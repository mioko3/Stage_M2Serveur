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-pam\Services\Suivi_Production\RP\"/>
    </mc:Choice>
  </mc:AlternateContent>
  <xr:revisionPtr revIDLastSave="0" documentId="13_ncr:1_{90B26730-5AAF-4EDF-A055-795F3B7A8A97}" xr6:coauthVersionLast="47" xr6:coauthVersionMax="47" xr10:uidLastSave="{00000000-0000-0000-0000-000000000000}"/>
  <bookViews>
    <workbookView xWindow="-108" yWindow="-108" windowWidth="23256" windowHeight="12576" firstSheet="2" activeTab="6" xr2:uid="{BD28F022-1DF9-4F50-AE70-3E2DBC2FD5EE}"/>
  </bookViews>
  <sheets>
    <sheet name="Pilotage effectif" sheetId="1" state="hidden" r:id="rId1"/>
    <sheet name="Feuil1 (2)" sheetId="3" state="hidden" r:id="rId2"/>
    <sheet name="TDB V2" sheetId="9" r:id="rId3"/>
    <sheet name="TDB" sheetId="4" state="hidden" r:id="rId4"/>
    <sheet name="Pilotage effectif 27O" sheetId="8" r:id="rId5"/>
    <sheet name="Pilotage effectif PA" sheetId="5" r:id="rId6"/>
    <sheet name="Pilotage effectif EUP" sheetId="6" r:id="rId7"/>
    <sheet name="Pilotage effectif CFP" sheetId="7" r:id="rId8"/>
    <sheet name="Listes" sheetId="2" r:id="rId9"/>
  </sheets>
  <definedNames>
    <definedName name="_xlnm._FilterDatabase" localSheetId="1" hidden="1">'Feuil1 (2)'!$B$3:$O$258</definedName>
    <definedName name="_xlnm._FilterDatabase" localSheetId="0" hidden="1">'Pilotage effectif'!$F$4:$AE$131</definedName>
    <definedName name="_xlnm._FilterDatabase" localSheetId="4" hidden="1">'Pilotage effectif 27O'!$D$4:$AC$39</definedName>
    <definedName name="_xlnm._FilterDatabase" localSheetId="7" hidden="1">'Pilotage effectif CFP'!$D$4:$AC$39</definedName>
    <definedName name="_xlnm._FilterDatabase" localSheetId="6" hidden="1">'Pilotage effectif EUP'!$D$4:$AC$39</definedName>
    <definedName name="_xlnm._FilterDatabase" localSheetId="5" hidden="1">'Pilotage effectif PA'!$D$4:$AC$43</definedName>
    <definedName name="ACE">Listes!$K$4:$K$6</definedName>
    <definedName name="CA">Listes!$L$4:$L$7</definedName>
    <definedName name="CE">Listes!$K$4:$K$6</definedName>
    <definedName name="CQ">Listes!$O$4:$O$9</definedName>
    <definedName name="FONCTION">Listes!$F$3:$F$18</definedName>
    <definedName name="GS">Listes!$P$4:$P$9</definedName>
    <definedName name="MA">Listes!$J$4:$J$8</definedName>
    <definedName name="OP">Listes!$I$4:$I$9</definedName>
    <definedName name="REX">Listes!$N$4:$N$6</definedName>
    <definedName name="RR">Listes!$M$4:$M$6</definedName>
    <definedName name="SOCIETE">Listes!$U$2:$U$5</definedName>
    <definedName name="STATUT">Listes!$X$2:$X$9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Z42" i="7" l="1"/>
  <c r="HA42" i="7"/>
  <c r="HC42" i="7"/>
  <c r="HD42" i="7"/>
  <c r="HE42" i="7"/>
  <c r="HF42" i="7"/>
  <c r="HG42" i="7"/>
  <c r="HH42" i="7"/>
  <c r="HJ42" i="7"/>
  <c r="HK42" i="7"/>
  <c r="HL42" i="7"/>
  <c r="HM42" i="7"/>
  <c r="HN42" i="7"/>
  <c r="HO42" i="7"/>
  <c r="HQ42" i="7"/>
  <c r="HR42" i="7"/>
  <c r="HS42" i="7"/>
  <c r="HT42" i="7"/>
  <c r="HU42" i="7"/>
  <c r="HV42" i="7"/>
  <c r="HX42" i="7"/>
  <c r="HY42" i="7"/>
  <c r="HZ42" i="7"/>
  <c r="IA42" i="7"/>
  <c r="IB42" i="7"/>
  <c r="IC42" i="7"/>
  <c r="IE42" i="7"/>
  <c r="IF42" i="7"/>
  <c r="IG42" i="7"/>
  <c r="IH42" i="7"/>
  <c r="II42" i="7"/>
  <c r="IJ42" i="7"/>
  <c r="IL42" i="7"/>
  <c r="IM42" i="7"/>
  <c r="IN42" i="7"/>
  <c r="IO42" i="7"/>
  <c r="IP42" i="7"/>
  <c r="IQ42" i="7"/>
  <c r="IS42" i="7"/>
  <c r="IT42" i="7"/>
  <c r="IU42" i="7"/>
  <c r="IV42" i="7"/>
  <c r="IW42" i="7"/>
  <c r="IX42" i="7"/>
  <c r="IZ42" i="7"/>
  <c r="JA42" i="7"/>
  <c r="JB42" i="7"/>
  <c r="JC42" i="7"/>
  <c r="JD42" i="7"/>
  <c r="JE42" i="7"/>
  <c r="JG42" i="7"/>
  <c r="JH42" i="7"/>
  <c r="JI42" i="7"/>
  <c r="JJ42" i="7"/>
  <c r="JK42" i="7"/>
  <c r="JL42" i="7"/>
  <c r="JN42" i="7"/>
  <c r="JO42" i="7"/>
  <c r="JP42" i="7"/>
  <c r="JQ42" i="7"/>
  <c r="JR42" i="7"/>
  <c r="JS42" i="7"/>
  <c r="JU42" i="7"/>
  <c r="JV42" i="7"/>
  <c r="JW42" i="7"/>
  <c r="JX42" i="7"/>
  <c r="JY42" i="7"/>
  <c r="JZ42" i="7"/>
  <c r="KB42" i="7"/>
  <c r="KC42" i="7"/>
  <c r="KD42" i="7"/>
  <c r="KE42" i="7"/>
  <c r="KF42" i="7"/>
  <c r="KG42" i="7"/>
  <c r="KI42" i="7"/>
  <c r="KJ42" i="7"/>
  <c r="KK42" i="7"/>
  <c r="KL42" i="7"/>
  <c r="KM42" i="7"/>
  <c r="KN42" i="7"/>
  <c r="KP42" i="7"/>
  <c r="KQ42" i="7"/>
  <c r="KR42" i="7"/>
  <c r="KS42" i="7"/>
  <c r="KT42" i="7"/>
  <c r="KU42" i="7"/>
  <c r="KW42" i="7"/>
  <c r="KX42" i="7"/>
  <c r="KY42" i="7"/>
  <c r="KZ42" i="7"/>
  <c r="LA42" i="7"/>
  <c r="LB42" i="7"/>
  <c r="LD42" i="7"/>
  <c r="LE42" i="7"/>
  <c r="LF42" i="7"/>
  <c r="LG42" i="7"/>
  <c r="LH42" i="7"/>
  <c r="LI42" i="7"/>
  <c r="LK42" i="7"/>
  <c r="LL42" i="7"/>
  <c r="LM42" i="7"/>
  <c r="LN42" i="7"/>
  <c r="LO42" i="7"/>
  <c r="LP42" i="7"/>
  <c r="LR42" i="7"/>
  <c r="LS42" i="7"/>
  <c r="LT42" i="7"/>
  <c r="LU42" i="7"/>
  <c r="LV42" i="7"/>
  <c r="LW42" i="7"/>
  <c r="LY42" i="7"/>
  <c r="LZ42" i="7"/>
  <c r="MA42" i="7"/>
  <c r="MB42" i="7"/>
  <c r="MC42" i="7"/>
  <c r="MD42" i="7"/>
  <c r="MF42" i="7"/>
  <c r="MG42" i="7"/>
  <c r="MH42" i="7"/>
  <c r="MI42" i="7"/>
  <c r="MJ42" i="7"/>
  <c r="MK42" i="7"/>
  <c r="MM42" i="7"/>
  <c r="MN42" i="7"/>
  <c r="MO42" i="7"/>
  <c r="MP42" i="7"/>
  <c r="MQ42" i="7"/>
  <c r="MR42" i="7"/>
  <c r="MT42" i="7"/>
  <c r="MU42" i="7"/>
  <c r="MV42" i="7"/>
  <c r="MW42" i="7"/>
  <c r="MX42" i="7"/>
  <c r="MY42" i="7"/>
  <c r="NA42" i="7"/>
  <c r="NB42" i="7"/>
  <c r="NC42" i="7"/>
  <c r="ND42" i="7"/>
  <c r="NE42" i="7"/>
  <c r="NF42" i="7"/>
  <c r="NH42" i="7"/>
  <c r="NI42" i="7"/>
  <c r="NJ42" i="7"/>
  <c r="NK42" i="7"/>
  <c r="NL42" i="7"/>
  <c r="NM42" i="7"/>
  <c r="NO42" i="7"/>
  <c r="NP42" i="7"/>
  <c r="NQ42" i="7"/>
  <c r="NR42" i="7"/>
  <c r="NS42" i="7"/>
  <c r="NT42" i="7"/>
  <c r="GZ43" i="7"/>
  <c r="GZ44" i="7" s="1"/>
  <c r="HA43" i="7"/>
  <c r="HA44" i="7" s="1"/>
  <c r="HC43" i="7"/>
  <c r="HC44" i="7" s="1"/>
  <c r="HD43" i="7"/>
  <c r="HD44" i="7" s="1"/>
  <c r="HE43" i="7"/>
  <c r="HE44" i="7" s="1"/>
  <c r="HF43" i="7"/>
  <c r="HF44" i="7" s="1"/>
  <c r="HG43" i="7"/>
  <c r="HG44" i="7" s="1"/>
  <c r="HH43" i="7"/>
  <c r="HH44" i="7" s="1"/>
  <c r="HJ43" i="7"/>
  <c r="HK43" i="7"/>
  <c r="HL43" i="7"/>
  <c r="HL44" i="7" s="1"/>
  <c r="HM43" i="7"/>
  <c r="HM44" i="7" s="1"/>
  <c r="HN43" i="7"/>
  <c r="HN44" i="7" s="1"/>
  <c r="HO43" i="7"/>
  <c r="HO44" i="7" s="1"/>
  <c r="HQ43" i="7"/>
  <c r="HQ44" i="7" s="1"/>
  <c r="HR43" i="7"/>
  <c r="HS43" i="7"/>
  <c r="HS44" i="7" s="1"/>
  <c r="HT43" i="7"/>
  <c r="HT44" i="7" s="1"/>
  <c r="HU43" i="7"/>
  <c r="HU44" i="7" s="1"/>
  <c r="HV43" i="7"/>
  <c r="HV44" i="7" s="1"/>
  <c r="HX43" i="7"/>
  <c r="HX44" i="7" s="1"/>
  <c r="HY43" i="7"/>
  <c r="HZ43" i="7"/>
  <c r="HZ44" i="7" s="1"/>
  <c r="IA43" i="7"/>
  <c r="IA44" i="7" s="1"/>
  <c r="IB43" i="7"/>
  <c r="IB44" i="7" s="1"/>
  <c r="IC43" i="7"/>
  <c r="IC44" i="7" s="1"/>
  <c r="IE43" i="7"/>
  <c r="IE44" i="7" s="1"/>
  <c r="IF43" i="7"/>
  <c r="IG43" i="7"/>
  <c r="IG44" i="7" s="1"/>
  <c r="IH43" i="7"/>
  <c r="IH44" i="7" s="1"/>
  <c r="II43" i="7"/>
  <c r="II44" i="7" s="1"/>
  <c r="IJ43" i="7"/>
  <c r="IJ44" i="7" s="1"/>
  <c r="IL43" i="7"/>
  <c r="IL44" i="7" s="1"/>
  <c r="IM43" i="7"/>
  <c r="IN43" i="7"/>
  <c r="IN44" i="7" s="1"/>
  <c r="IO43" i="7"/>
  <c r="IO44" i="7" s="1"/>
  <c r="IP43" i="7"/>
  <c r="IP44" i="7" s="1"/>
  <c r="IQ43" i="7"/>
  <c r="IQ44" i="7" s="1"/>
  <c r="IS43" i="7"/>
  <c r="IS44" i="7" s="1"/>
  <c r="IT43" i="7"/>
  <c r="IT44" i="7" s="1"/>
  <c r="IU43" i="7"/>
  <c r="IU44" i="7" s="1"/>
  <c r="IV43" i="7"/>
  <c r="IV44" i="7" s="1"/>
  <c r="IW43" i="7"/>
  <c r="IW44" i="7" s="1"/>
  <c r="IX43" i="7"/>
  <c r="IX44" i="7" s="1"/>
  <c r="IZ43" i="7"/>
  <c r="IZ44" i="7" s="1"/>
  <c r="JA43" i="7"/>
  <c r="JB43" i="7"/>
  <c r="JB44" i="7" s="1"/>
  <c r="JC43" i="7"/>
  <c r="JC44" i="7" s="1"/>
  <c r="JD43" i="7"/>
  <c r="JD44" i="7" s="1"/>
  <c r="JE43" i="7"/>
  <c r="JE44" i="7" s="1"/>
  <c r="JG43" i="7"/>
  <c r="JG44" i="7" s="1"/>
  <c r="JH43" i="7"/>
  <c r="JH44" i="7" s="1"/>
  <c r="JI43" i="7"/>
  <c r="JI44" i="7" s="1"/>
  <c r="JJ43" i="7"/>
  <c r="JJ44" i="7" s="1"/>
  <c r="JK43" i="7"/>
  <c r="JK44" i="7" s="1"/>
  <c r="JL43" i="7"/>
  <c r="JL44" i="7" s="1"/>
  <c r="JN43" i="7"/>
  <c r="JN44" i="7" s="1"/>
  <c r="JO43" i="7"/>
  <c r="JP43" i="7"/>
  <c r="JP44" i="7" s="1"/>
  <c r="JQ43" i="7"/>
  <c r="JQ44" i="7" s="1"/>
  <c r="JR43" i="7"/>
  <c r="JR44" i="7" s="1"/>
  <c r="JS43" i="7"/>
  <c r="JS44" i="7" s="1"/>
  <c r="JU43" i="7"/>
  <c r="JU44" i="7" s="1"/>
  <c r="JV43" i="7"/>
  <c r="JV44" i="7" s="1"/>
  <c r="JW43" i="7"/>
  <c r="JW44" i="7" s="1"/>
  <c r="JX43" i="7"/>
  <c r="JX44" i="7" s="1"/>
  <c r="JY43" i="7"/>
  <c r="JY44" i="7" s="1"/>
  <c r="JZ43" i="7"/>
  <c r="JZ44" i="7" s="1"/>
  <c r="KB43" i="7"/>
  <c r="KB44" i="7" s="1"/>
  <c r="KC43" i="7"/>
  <c r="KC44" i="7" s="1"/>
  <c r="KD43" i="7"/>
  <c r="KD44" i="7" s="1"/>
  <c r="KE43" i="7"/>
  <c r="KE44" i="7" s="1"/>
  <c r="KF43" i="7"/>
  <c r="KF44" i="7" s="1"/>
  <c r="KG43" i="7"/>
  <c r="KG44" i="7" s="1"/>
  <c r="KI43" i="7"/>
  <c r="KI44" i="7" s="1"/>
  <c r="KJ43" i="7"/>
  <c r="KJ44" i="7" s="1"/>
  <c r="KK43" i="7"/>
  <c r="KK44" i="7" s="1"/>
  <c r="KL43" i="7"/>
  <c r="KL44" i="7" s="1"/>
  <c r="KM43" i="7"/>
  <c r="KM44" i="7" s="1"/>
  <c r="KN43" i="7"/>
  <c r="KN44" i="7" s="1"/>
  <c r="KP43" i="7"/>
  <c r="KP44" i="7" s="1"/>
  <c r="KQ43" i="7"/>
  <c r="KQ44" i="7" s="1"/>
  <c r="KR43" i="7"/>
  <c r="KS43" i="7"/>
  <c r="KS44" i="7" s="1"/>
  <c r="KT43" i="7"/>
  <c r="KT44" i="7" s="1"/>
  <c r="KU43" i="7"/>
  <c r="KU44" i="7" s="1"/>
  <c r="KW43" i="7"/>
  <c r="KW44" i="7" s="1"/>
  <c r="KX43" i="7"/>
  <c r="KX44" i="7" s="1"/>
  <c r="KY43" i="7"/>
  <c r="KY44" i="7" s="1"/>
  <c r="KZ43" i="7"/>
  <c r="KZ44" i="7" s="1"/>
  <c r="LA43" i="7"/>
  <c r="LA44" i="7" s="1"/>
  <c r="LB43" i="7"/>
  <c r="LB44" i="7" s="1"/>
  <c r="LD43" i="7"/>
  <c r="LD44" i="7" s="1"/>
  <c r="LE43" i="7"/>
  <c r="LE44" i="7" s="1"/>
  <c r="LF43" i="7"/>
  <c r="LF44" i="7" s="1"/>
  <c r="LG43" i="7"/>
  <c r="LG44" i="7" s="1"/>
  <c r="LH43" i="7"/>
  <c r="LH44" i="7" s="1"/>
  <c r="LI43" i="7"/>
  <c r="LI44" i="7" s="1"/>
  <c r="LK43" i="7"/>
  <c r="LK44" i="7" s="1"/>
  <c r="LL43" i="7"/>
  <c r="LL44" i="7" s="1"/>
  <c r="LM43" i="7"/>
  <c r="LM44" i="7" s="1"/>
  <c r="LN43" i="7"/>
  <c r="LN44" i="7" s="1"/>
  <c r="LO43" i="7"/>
  <c r="LO44" i="7" s="1"/>
  <c r="LP43" i="7"/>
  <c r="LP44" i="7" s="1"/>
  <c r="LR43" i="7"/>
  <c r="LR44" i="7" s="1"/>
  <c r="LS43" i="7"/>
  <c r="LT43" i="7"/>
  <c r="LT44" i="7" s="1"/>
  <c r="LU43" i="7"/>
  <c r="LU44" i="7" s="1"/>
  <c r="LV43" i="7"/>
  <c r="LV44" i="7" s="1"/>
  <c r="LW43" i="7"/>
  <c r="LW44" i="7" s="1"/>
  <c r="LY43" i="7"/>
  <c r="LY44" i="7" s="1"/>
  <c r="LZ43" i="7"/>
  <c r="LZ44" i="7" s="1"/>
  <c r="MA43" i="7"/>
  <c r="MA44" i="7" s="1"/>
  <c r="MB43" i="7"/>
  <c r="MB44" i="7" s="1"/>
  <c r="MC43" i="7"/>
  <c r="MC44" i="7" s="1"/>
  <c r="MD43" i="7"/>
  <c r="MD44" i="7" s="1"/>
  <c r="MF43" i="7"/>
  <c r="MF44" i="7" s="1"/>
  <c r="MG43" i="7"/>
  <c r="MG44" i="7" s="1"/>
  <c r="MH43" i="7"/>
  <c r="MH44" i="7" s="1"/>
  <c r="MI43" i="7"/>
  <c r="MI44" i="7" s="1"/>
  <c r="MJ43" i="7"/>
  <c r="MJ44" i="7" s="1"/>
  <c r="MK43" i="7"/>
  <c r="MK44" i="7" s="1"/>
  <c r="MM43" i="7"/>
  <c r="MM44" i="7" s="1"/>
  <c r="MN43" i="7"/>
  <c r="MN44" i="7" s="1"/>
  <c r="MO43" i="7"/>
  <c r="MO44" i="7" s="1"/>
  <c r="MP43" i="7"/>
  <c r="MP44" i="7" s="1"/>
  <c r="MQ43" i="7"/>
  <c r="MQ44" i="7" s="1"/>
  <c r="MR43" i="7"/>
  <c r="MR44" i="7" s="1"/>
  <c r="MT43" i="7"/>
  <c r="MT44" i="7" s="1"/>
  <c r="MU43" i="7"/>
  <c r="MV43" i="7"/>
  <c r="MV44" i="7" s="1"/>
  <c r="MW43" i="7"/>
  <c r="MW44" i="7" s="1"/>
  <c r="MX43" i="7"/>
  <c r="MX44" i="7" s="1"/>
  <c r="MY43" i="7"/>
  <c r="MY44" i="7" s="1"/>
  <c r="NA43" i="7"/>
  <c r="NA44" i="7" s="1"/>
  <c r="NB43" i="7"/>
  <c r="NB44" i="7" s="1"/>
  <c r="NC43" i="7"/>
  <c r="NC44" i="7" s="1"/>
  <c r="ND43" i="7"/>
  <c r="ND44" i="7" s="1"/>
  <c r="NE43" i="7"/>
  <c r="NE44" i="7" s="1"/>
  <c r="NF43" i="7"/>
  <c r="NF44" i="7" s="1"/>
  <c r="NH43" i="7"/>
  <c r="NH44" i="7" s="1"/>
  <c r="NI43" i="7"/>
  <c r="NI44" i="7" s="1"/>
  <c r="NJ43" i="7"/>
  <c r="NJ44" i="7" s="1"/>
  <c r="NK43" i="7"/>
  <c r="NK44" i="7" s="1"/>
  <c r="NL43" i="7"/>
  <c r="NL44" i="7" s="1"/>
  <c r="NM43" i="7"/>
  <c r="NM44" i="7" s="1"/>
  <c r="NO43" i="7"/>
  <c r="NO44" i="7" s="1"/>
  <c r="NP43" i="7"/>
  <c r="NP44" i="7" s="1"/>
  <c r="NQ43" i="7"/>
  <c r="NQ44" i="7" s="1"/>
  <c r="NR43" i="7"/>
  <c r="NR44" i="7" s="1"/>
  <c r="NS43" i="7"/>
  <c r="NS44" i="7" s="1"/>
  <c r="NT43" i="7"/>
  <c r="NT44" i="7" s="1"/>
  <c r="HJ44" i="7"/>
  <c r="KR44" i="7"/>
  <c r="BL42" i="7"/>
  <c r="BM42" i="7"/>
  <c r="BN42" i="7"/>
  <c r="BO42" i="7"/>
  <c r="BP42" i="7"/>
  <c r="BQ42" i="7"/>
  <c r="BS42" i="7"/>
  <c r="BT42" i="7"/>
  <c r="BU42" i="7"/>
  <c r="BV42" i="7"/>
  <c r="BW42" i="7"/>
  <c r="BX42" i="7"/>
  <c r="BZ42" i="7"/>
  <c r="CA42" i="7"/>
  <c r="CB42" i="7"/>
  <c r="CC42" i="7"/>
  <c r="CD42" i="7"/>
  <c r="CE42" i="7"/>
  <c r="CG42" i="7"/>
  <c r="CH42" i="7"/>
  <c r="CI42" i="7"/>
  <c r="CJ42" i="7"/>
  <c r="CK42" i="7"/>
  <c r="CL42" i="7"/>
  <c r="CN42" i="7"/>
  <c r="CO42" i="7"/>
  <c r="CP42" i="7"/>
  <c r="CQ42" i="7"/>
  <c r="CR42" i="7"/>
  <c r="CS42" i="7"/>
  <c r="CU42" i="7"/>
  <c r="CV42" i="7"/>
  <c r="CW42" i="7"/>
  <c r="CX42" i="7"/>
  <c r="CY42" i="7"/>
  <c r="CZ42" i="7"/>
  <c r="DB42" i="7"/>
  <c r="DC42" i="7"/>
  <c r="DD42" i="7"/>
  <c r="DE42" i="7"/>
  <c r="DF42" i="7"/>
  <c r="DG42" i="7"/>
  <c r="DI42" i="7"/>
  <c r="DJ42" i="7"/>
  <c r="DK42" i="7"/>
  <c r="DL42" i="7"/>
  <c r="DM42" i="7"/>
  <c r="DN42" i="7"/>
  <c r="DP42" i="7"/>
  <c r="DQ42" i="7"/>
  <c r="DR42" i="7"/>
  <c r="DS42" i="7"/>
  <c r="DT42" i="7"/>
  <c r="DU42" i="7"/>
  <c r="DW42" i="7"/>
  <c r="DX42" i="7"/>
  <c r="DY42" i="7"/>
  <c r="DZ42" i="7"/>
  <c r="EA42" i="7"/>
  <c r="EB42" i="7"/>
  <c r="ED42" i="7"/>
  <c r="EE42" i="7"/>
  <c r="EF42" i="7"/>
  <c r="EG42" i="7"/>
  <c r="EH42" i="7"/>
  <c r="EI42" i="7"/>
  <c r="EK42" i="7"/>
  <c r="EL42" i="7"/>
  <c r="EM42" i="7"/>
  <c r="EN42" i="7"/>
  <c r="EO42" i="7"/>
  <c r="EP42" i="7"/>
  <c r="ER42" i="7"/>
  <c r="ES42" i="7"/>
  <c r="ET42" i="7"/>
  <c r="EU42" i="7"/>
  <c r="EV42" i="7"/>
  <c r="EW42" i="7"/>
  <c r="EY42" i="7"/>
  <c r="EZ42" i="7"/>
  <c r="FA42" i="7"/>
  <c r="FB42" i="7"/>
  <c r="FC42" i="7"/>
  <c r="FD42" i="7"/>
  <c r="FF42" i="7"/>
  <c r="FG42" i="7"/>
  <c r="FH42" i="7"/>
  <c r="FI42" i="7"/>
  <c r="FJ42" i="7"/>
  <c r="FK42" i="7"/>
  <c r="FM42" i="7"/>
  <c r="FN42" i="7"/>
  <c r="FO42" i="7"/>
  <c r="FP42" i="7"/>
  <c r="FQ42" i="7"/>
  <c r="FR42" i="7"/>
  <c r="FT42" i="7"/>
  <c r="FU42" i="7"/>
  <c r="FV42" i="7"/>
  <c r="FW42" i="7"/>
  <c r="FX42" i="7"/>
  <c r="FY42" i="7"/>
  <c r="GA42" i="7"/>
  <c r="GB42" i="7"/>
  <c r="GC42" i="7"/>
  <c r="GD42" i="7"/>
  <c r="GE42" i="7"/>
  <c r="GF42" i="7"/>
  <c r="GH42" i="7"/>
  <c r="GI42" i="7"/>
  <c r="GJ42" i="7"/>
  <c r="GK42" i="7"/>
  <c r="GL42" i="7"/>
  <c r="GM42" i="7"/>
  <c r="GO42" i="7"/>
  <c r="GP42" i="7"/>
  <c r="GQ42" i="7"/>
  <c r="GR42" i="7"/>
  <c r="GS42" i="7"/>
  <c r="GT42" i="7"/>
  <c r="GV42" i="7"/>
  <c r="GW42" i="7"/>
  <c r="GX42" i="7"/>
  <c r="GY42" i="7"/>
  <c r="BL43" i="7"/>
  <c r="BL44" i="7" s="1"/>
  <c r="BM43" i="7"/>
  <c r="BM44" i="7" s="1"/>
  <c r="BN43" i="7"/>
  <c r="BN44" i="7" s="1"/>
  <c r="BO43" i="7"/>
  <c r="BO44" i="7" s="1"/>
  <c r="BP43" i="7"/>
  <c r="BQ43" i="7"/>
  <c r="BQ44" i="7" s="1"/>
  <c r="BS43" i="7"/>
  <c r="BS44" i="7" s="1"/>
  <c r="BT43" i="7"/>
  <c r="BT44" i="7" s="1"/>
  <c r="BU43" i="7"/>
  <c r="BU44" i="7" s="1"/>
  <c r="BV43" i="7"/>
  <c r="BV44" i="7" s="1"/>
  <c r="BW43" i="7"/>
  <c r="BW44" i="7" s="1"/>
  <c r="BX43" i="7"/>
  <c r="BZ43" i="7"/>
  <c r="BZ44" i="7" s="1"/>
  <c r="CA43" i="7"/>
  <c r="CA44" i="7" s="1"/>
  <c r="CB43" i="7"/>
  <c r="CB44" i="7" s="1"/>
  <c r="CC43" i="7"/>
  <c r="CC44" i="7" s="1"/>
  <c r="CD43" i="7"/>
  <c r="CD44" i="7" s="1"/>
  <c r="CE43" i="7"/>
  <c r="CE44" i="7" s="1"/>
  <c r="CG43" i="7"/>
  <c r="CG44" i="7" s="1"/>
  <c r="CH43" i="7"/>
  <c r="CH44" i="7" s="1"/>
  <c r="CI43" i="7"/>
  <c r="CI44" i="7" s="1"/>
  <c r="CJ43" i="7"/>
  <c r="CJ44" i="7" s="1"/>
  <c r="CK43" i="7"/>
  <c r="CK44" i="7" s="1"/>
  <c r="CL43" i="7"/>
  <c r="CL44" i="7" s="1"/>
  <c r="CN43" i="7"/>
  <c r="CN44" i="7" s="1"/>
  <c r="CO43" i="7"/>
  <c r="CO44" i="7" s="1"/>
  <c r="CP43" i="7"/>
  <c r="CP44" i="7" s="1"/>
  <c r="CQ43" i="7"/>
  <c r="CQ44" i="7" s="1"/>
  <c r="CR43" i="7"/>
  <c r="CR44" i="7" s="1"/>
  <c r="CS43" i="7"/>
  <c r="CS44" i="7" s="1"/>
  <c r="CU43" i="7"/>
  <c r="CU44" i="7" s="1"/>
  <c r="CV43" i="7"/>
  <c r="CV44" i="7" s="1"/>
  <c r="CW43" i="7"/>
  <c r="CW44" i="7" s="1"/>
  <c r="CX43" i="7"/>
  <c r="CX44" i="7" s="1"/>
  <c r="CY43" i="7"/>
  <c r="CY44" i="7" s="1"/>
  <c r="CZ43" i="7"/>
  <c r="CZ44" i="7" s="1"/>
  <c r="DB43" i="7"/>
  <c r="DB44" i="7" s="1"/>
  <c r="DC43" i="7"/>
  <c r="DC44" i="7" s="1"/>
  <c r="DD43" i="7"/>
  <c r="DD44" i="7" s="1"/>
  <c r="DE43" i="7"/>
  <c r="DE44" i="7" s="1"/>
  <c r="DF43" i="7"/>
  <c r="DF44" i="7" s="1"/>
  <c r="DG43" i="7"/>
  <c r="DG44" i="7" s="1"/>
  <c r="DI43" i="7"/>
  <c r="DI44" i="7" s="1"/>
  <c r="DJ43" i="7"/>
  <c r="DJ44" i="7" s="1"/>
  <c r="DK43" i="7"/>
  <c r="DK44" i="7" s="1"/>
  <c r="DL43" i="7"/>
  <c r="DL44" i="7" s="1"/>
  <c r="DM43" i="7"/>
  <c r="DM44" i="7" s="1"/>
  <c r="DN43" i="7"/>
  <c r="DN44" i="7" s="1"/>
  <c r="DP43" i="7"/>
  <c r="DP44" i="7" s="1"/>
  <c r="DQ43" i="7"/>
  <c r="DQ44" i="7" s="1"/>
  <c r="DR43" i="7"/>
  <c r="DR44" i="7" s="1"/>
  <c r="DS43" i="7"/>
  <c r="DS44" i="7" s="1"/>
  <c r="DT43" i="7"/>
  <c r="DU43" i="7"/>
  <c r="DU44" i="7" s="1"/>
  <c r="DW43" i="7"/>
  <c r="DW44" i="7" s="1"/>
  <c r="DX43" i="7"/>
  <c r="DX44" i="7" s="1"/>
  <c r="DY43" i="7"/>
  <c r="DY44" i="7" s="1"/>
  <c r="DZ43" i="7"/>
  <c r="DZ44" i="7" s="1"/>
  <c r="EA43" i="7"/>
  <c r="EA44" i="7" s="1"/>
  <c r="EB43" i="7"/>
  <c r="ED43" i="7"/>
  <c r="ED44" i="7" s="1"/>
  <c r="EE43" i="7"/>
  <c r="EE44" i="7" s="1"/>
  <c r="EF43" i="7"/>
  <c r="EF44" i="7" s="1"/>
  <c r="EG43" i="7"/>
  <c r="EG44" i="7" s="1"/>
  <c r="EH43" i="7"/>
  <c r="EH44" i="7" s="1"/>
  <c r="EI43" i="7"/>
  <c r="EI44" i="7" s="1"/>
  <c r="EK43" i="7"/>
  <c r="EK44" i="7" s="1"/>
  <c r="EL43" i="7"/>
  <c r="EL44" i="7" s="1"/>
  <c r="EM43" i="7"/>
  <c r="EM44" i="7" s="1"/>
  <c r="EN43" i="7"/>
  <c r="EN44" i="7" s="1"/>
  <c r="EO43" i="7"/>
  <c r="EO44" i="7" s="1"/>
  <c r="EP43" i="7"/>
  <c r="EP44" i="7" s="1"/>
  <c r="ER43" i="7"/>
  <c r="ER44" i="7" s="1"/>
  <c r="ES43" i="7"/>
  <c r="ES44" i="7" s="1"/>
  <c r="ET43" i="7"/>
  <c r="ET44" i="7" s="1"/>
  <c r="EU43" i="7"/>
  <c r="EU44" i="7" s="1"/>
  <c r="EV43" i="7"/>
  <c r="EV44" i="7" s="1"/>
  <c r="EW43" i="7"/>
  <c r="EW44" i="7" s="1"/>
  <c r="EY43" i="7"/>
  <c r="EY44" i="7" s="1"/>
  <c r="EZ43" i="7"/>
  <c r="EZ44" i="7" s="1"/>
  <c r="FA43" i="7"/>
  <c r="FA44" i="7" s="1"/>
  <c r="FB43" i="7"/>
  <c r="FB44" i="7" s="1"/>
  <c r="FC43" i="7"/>
  <c r="FC44" i="7" s="1"/>
  <c r="FD43" i="7"/>
  <c r="FD44" i="7" s="1"/>
  <c r="FF43" i="7"/>
  <c r="FF44" i="7" s="1"/>
  <c r="FG43" i="7"/>
  <c r="FG44" i="7" s="1"/>
  <c r="FH43" i="7"/>
  <c r="FH44" i="7" s="1"/>
  <c r="FI43" i="7"/>
  <c r="FI44" i="7" s="1"/>
  <c r="FJ43" i="7"/>
  <c r="FJ44" i="7" s="1"/>
  <c r="FK43" i="7"/>
  <c r="FK44" i="7" s="1"/>
  <c r="FM43" i="7"/>
  <c r="FM44" i="7" s="1"/>
  <c r="FN43" i="7"/>
  <c r="FN44" i="7" s="1"/>
  <c r="FO43" i="7"/>
  <c r="FO44" i="7" s="1"/>
  <c r="FP43" i="7"/>
  <c r="FP44" i="7" s="1"/>
  <c r="FQ43" i="7"/>
  <c r="FQ44" i="7" s="1"/>
  <c r="FR43" i="7"/>
  <c r="FR44" i="7" s="1"/>
  <c r="FT43" i="7"/>
  <c r="FT44" i="7" s="1"/>
  <c r="FU43" i="7"/>
  <c r="FU44" i="7" s="1"/>
  <c r="FV43" i="7"/>
  <c r="FV44" i="7" s="1"/>
  <c r="FW43" i="7"/>
  <c r="FW44" i="7" s="1"/>
  <c r="FX43" i="7"/>
  <c r="FY43" i="7"/>
  <c r="FY44" i="7" s="1"/>
  <c r="GA43" i="7"/>
  <c r="GA44" i="7" s="1"/>
  <c r="GB43" i="7"/>
  <c r="GB44" i="7" s="1"/>
  <c r="GC43" i="7"/>
  <c r="GC44" i="7" s="1"/>
  <c r="GD43" i="7"/>
  <c r="GD44" i="7" s="1"/>
  <c r="GE43" i="7"/>
  <c r="GE44" i="7" s="1"/>
  <c r="GF43" i="7"/>
  <c r="GH43" i="7"/>
  <c r="GH44" i="7" s="1"/>
  <c r="GI43" i="7"/>
  <c r="GJ43" i="7"/>
  <c r="GJ44" i="7" s="1"/>
  <c r="GK43" i="7"/>
  <c r="GK44" i="7" s="1"/>
  <c r="GL43" i="7"/>
  <c r="GL44" i="7" s="1"/>
  <c r="GM43" i="7"/>
  <c r="GM44" i="7" s="1"/>
  <c r="GO43" i="7"/>
  <c r="GO44" i="7" s="1"/>
  <c r="GP43" i="7"/>
  <c r="GP44" i="7" s="1"/>
  <c r="GQ43" i="7"/>
  <c r="GQ44" i="7" s="1"/>
  <c r="GR43" i="7"/>
  <c r="GR44" i="7" s="1"/>
  <c r="GS43" i="7"/>
  <c r="GS44" i="7" s="1"/>
  <c r="GT43" i="7"/>
  <c r="GT44" i="7" s="1"/>
  <c r="GV43" i="7"/>
  <c r="GV44" i="7" s="1"/>
  <c r="GW43" i="7"/>
  <c r="GX43" i="7"/>
  <c r="GX44" i="7" s="1"/>
  <c r="GY43" i="7"/>
  <c r="GY44" i="7" s="1"/>
  <c r="NU41" i="6"/>
  <c r="NN41" i="6"/>
  <c r="NG41" i="6"/>
  <c r="MZ41" i="6"/>
  <c r="MS41" i="6"/>
  <c r="ML41" i="6"/>
  <c r="ME41" i="6"/>
  <c r="LX41" i="6"/>
  <c r="LQ41" i="6"/>
  <c r="LJ41" i="6"/>
  <c r="LC41" i="6"/>
  <c r="KV41" i="6"/>
  <c r="KO41" i="6"/>
  <c r="KH41" i="6"/>
  <c r="KA41" i="6"/>
  <c r="JT41" i="6"/>
  <c r="JM41" i="6"/>
  <c r="JF41" i="6"/>
  <c r="IY41" i="6"/>
  <c r="IR41" i="6"/>
  <c r="IK41" i="6"/>
  <c r="ID41" i="6"/>
  <c r="HW41" i="6"/>
  <c r="HP41" i="6"/>
  <c r="HI41" i="6"/>
  <c r="HB41" i="6"/>
  <c r="GZ42" i="6"/>
  <c r="HA42" i="6"/>
  <c r="HC42" i="6"/>
  <c r="HD42" i="6"/>
  <c r="HE42" i="6"/>
  <c r="HF42" i="6"/>
  <c r="HG42" i="6"/>
  <c r="HH42" i="6"/>
  <c r="HJ42" i="6"/>
  <c r="HK42" i="6"/>
  <c r="HL42" i="6"/>
  <c r="HM42" i="6"/>
  <c r="HN42" i="6"/>
  <c r="HO42" i="6"/>
  <c r="HQ42" i="6"/>
  <c r="HR42" i="6"/>
  <c r="HS42" i="6"/>
  <c r="HT42" i="6"/>
  <c r="HU42" i="6"/>
  <c r="HV42" i="6"/>
  <c r="HX42" i="6"/>
  <c r="HY42" i="6"/>
  <c r="HZ42" i="6"/>
  <c r="IA42" i="6"/>
  <c r="IB42" i="6"/>
  <c r="IC42" i="6"/>
  <c r="IE42" i="6"/>
  <c r="IF42" i="6"/>
  <c r="IG42" i="6"/>
  <c r="IH42" i="6"/>
  <c r="II42" i="6"/>
  <c r="IJ42" i="6"/>
  <c r="IL42" i="6"/>
  <c r="IM42" i="6"/>
  <c r="IN42" i="6"/>
  <c r="IO42" i="6"/>
  <c r="IP42" i="6"/>
  <c r="IQ42" i="6"/>
  <c r="IS42" i="6"/>
  <c r="IT42" i="6"/>
  <c r="IU42" i="6"/>
  <c r="IV42" i="6"/>
  <c r="IW42" i="6"/>
  <c r="IX42" i="6"/>
  <c r="IZ42" i="6"/>
  <c r="JA42" i="6"/>
  <c r="JB42" i="6"/>
  <c r="JC42" i="6"/>
  <c r="JD42" i="6"/>
  <c r="JE42" i="6"/>
  <c r="JG42" i="6"/>
  <c r="JH42" i="6"/>
  <c r="JI42" i="6"/>
  <c r="JJ42" i="6"/>
  <c r="JK42" i="6"/>
  <c r="JL42" i="6"/>
  <c r="JN42" i="6"/>
  <c r="JO42" i="6"/>
  <c r="JP42" i="6"/>
  <c r="JQ42" i="6"/>
  <c r="JR42" i="6"/>
  <c r="JS42" i="6"/>
  <c r="JU42" i="6"/>
  <c r="JV42" i="6"/>
  <c r="JW42" i="6"/>
  <c r="JX42" i="6"/>
  <c r="JY42" i="6"/>
  <c r="JZ42" i="6"/>
  <c r="KB42" i="6"/>
  <c r="KC42" i="6"/>
  <c r="KD42" i="6"/>
  <c r="KE42" i="6"/>
  <c r="KF42" i="6"/>
  <c r="KG42" i="6"/>
  <c r="KI42" i="6"/>
  <c r="KJ42" i="6"/>
  <c r="KK42" i="6"/>
  <c r="KL42" i="6"/>
  <c r="KM42" i="6"/>
  <c r="KN42" i="6"/>
  <c r="KP42" i="6"/>
  <c r="KQ42" i="6"/>
  <c r="KR42" i="6"/>
  <c r="KS42" i="6"/>
  <c r="KT42" i="6"/>
  <c r="KU42" i="6"/>
  <c r="KW42" i="6"/>
  <c r="KX42" i="6"/>
  <c r="KY42" i="6"/>
  <c r="KZ42" i="6"/>
  <c r="LA42" i="6"/>
  <c r="LB42" i="6"/>
  <c r="LD42" i="6"/>
  <c r="LE42" i="6"/>
  <c r="LF42" i="6"/>
  <c r="LG42" i="6"/>
  <c r="LH42" i="6"/>
  <c r="LI42" i="6"/>
  <c r="LK42" i="6"/>
  <c r="LL42" i="6"/>
  <c r="LM42" i="6"/>
  <c r="LN42" i="6"/>
  <c r="LO42" i="6"/>
  <c r="LP42" i="6"/>
  <c r="LR42" i="6"/>
  <c r="LS42" i="6"/>
  <c r="LT42" i="6"/>
  <c r="LU42" i="6"/>
  <c r="LV42" i="6"/>
  <c r="LW42" i="6"/>
  <c r="LY42" i="6"/>
  <c r="LZ42" i="6"/>
  <c r="MA42" i="6"/>
  <c r="MB42" i="6"/>
  <c r="MC42" i="6"/>
  <c r="MD42" i="6"/>
  <c r="MF42" i="6"/>
  <c r="MG42" i="6"/>
  <c r="MH42" i="6"/>
  <c r="MI42" i="6"/>
  <c r="MJ42" i="6"/>
  <c r="MK42" i="6"/>
  <c r="MM42" i="6"/>
  <c r="MN42" i="6"/>
  <c r="MO42" i="6"/>
  <c r="MP42" i="6"/>
  <c r="MQ42" i="6"/>
  <c r="MR42" i="6"/>
  <c r="MT42" i="6"/>
  <c r="MU42" i="6"/>
  <c r="MV42" i="6"/>
  <c r="MW42" i="6"/>
  <c r="MX42" i="6"/>
  <c r="MY42" i="6"/>
  <c r="NA42" i="6"/>
  <c r="NB42" i="6"/>
  <c r="NC42" i="6"/>
  <c r="ND42" i="6"/>
  <c r="NE42" i="6"/>
  <c r="NF42" i="6"/>
  <c r="NH42" i="6"/>
  <c r="NI42" i="6"/>
  <c r="NJ42" i="6"/>
  <c r="NK42" i="6"/>
  <c r="NL42" i="6"/>
  <c r="NM42" i="6"/>
  <c r="NO42" i="6"/>
  <c r="NP42" i="6"/>
  <c r="NQ42" i="6"/>
  <c r="NR42" i="6"/>
  <c r="NS42" i="6"/>
  <c r="NT42" i="6"/>
  <c r="NV42" i="6"/>
  <c r="NW42" i="6"/>
  <c r="NX42" i="6"/>
  <c r="NY42" i="6"/>
  <c r="NZ42" i="6"/>
  <c r="OA42" i="6"/>
  <c r="GZ43" i="6"/>
  <c r="GZ45" i="6" s="1"/>
  <c r="HA43" i="6"/>
  <c r="HA45" i="6" s="1"/>
  <c r="HC43" i="6"/>
  <c r="HC45" i="6" s="1"/>
  <c r="HD43" i="6"/>
  <c r="HD45" i="6" s="1"/>
  <c r="HE43" i="6"/>
  <c r="HE45" i="6" s="1"/>
  <c r="HF43" i="6"/>
  <c r="HF45" i="6" s="1"/>
  <c r="HG43" i="6"/>
  <c r="HG45" i="6" s="1"/>
  <c r="HH43" i="6"/>
  <c r="HH45" i="6" s="1"/>
  <c r="HJ43" i="6"/>
  <c r="HJ45" i="6" s="1"/>
  <c r="HK43" i="6"/>
  <c r="HK45" i="6" s="1"/>
  <c r="HL43" i="6"/>
  <c r="HL45" i="6" s="1"/>
  <c r="HM43" i="6"/>
  <c r="HM45" i="6" s="1"/>
  <c r="HN43" i="6"/>
  <c r="HN45" i="6" s="1"/>
  <c r="HO43" i="6"/>
  <c r="HO45" i="6" s="1"/>
  <c r="HQ43" i="6"/>
  <c r="HQ45" i="6" s="1"/>
  <c r="HR43" i="6"/>
  <c r="HS43" i="6"/>
  <c r="HS45" i="6" s="1"/>
  <c r="HT43" i="6"/>
  <c r="HT45" i="6" s="1"/>
  <c r="HU43" i="6"/>
  <c r="HU45" i="6" s="1"/>
  <c r="HV43" i="6"/>
  <c r="HV45" i="6" s="1"/>
  <c r="HX43" i="6"/>
  <c r="HX45" i="6" s="1"/>
  <c r="HY43" i="6"/>
  <c r="HY45" i="6" s="1"/>
  <c r="HZ43" i="6"/>
  <c r="IA43" i="6"/>
  <c r="IA45" i="6" s="1"/>
  <c r="IB43" i="6"/>
  <c r="IB45" i="6" s="1"/>
  <c r="IC43" i="6"/>
  <c r="IC45" i="6" s="1"/>
  <c r="IE43" i="6"/>
  <c r="IE45" i="6" s="1"/>
  <c r="IF43" i="6"/>
  <c r="IF45" i="6" s="1"/>
  <c r="IG43" i="6"/>
  <c r="IG45" i="6" s="1"/>
  <c r="IH43" i="6"/>
  <c r="IH45" i="6" s="1"/>
  <c r="II43" i="6"/>
  <c r="IJ43" i="6"/>
  <c r="IJ45" i="6" s="1"/>
  <c r="IL43" i="6"/>
  <c r="IL45" i="6" s="1"/>
  <c r="IM43" i="6"/>
  <c r="IM45" i="6" s="1"/>
  <c r="IN43" i="6"/>
  <c r="IO43" i="6"/>
  <c r="IO45" i="6" s="1"/>
  <c r="IP43" i="6"/>
  <c r="IP45" i="6" s="1"/>
  <c r="IQ43" i="6"/>
  <c r="IQ45" i="6" s="1"/>
  <c r="IS43" i="6"/>
  <c r="IS45" i="6" s="1"/>
  <c r="IT43" i="6"/>
  <c r="IT45" i="6" s="1"/>
  <c r="IU43" i="6"/>
  <c r="IU45" i="6" s="1"/>
  <c r="IV43" i="6"/>
  <c r="IV45" i="6" s="1"/>
  <c r="IW43" i="6"/>
  <c r="IW45" i="6" s="1"/>
  <c r="IX43" i="6"/>
  <c r="IX45" i="6" s="1"/>
  <c r="IZ43" i="6"/>
  <c r="IZ45" i="6" s="1"/>
  <c r="JA43" i="6"/>
  <c r="IQ21" i="9" s="1"/>
  <c r="JB43" i="6"/>
  <c r="JB45" i="6" s="1"/>
  <c r="JC43" i="6"/>
  <c r="JC45" i="6" s="1"/>
  <c r="JD43" i="6"/>
  <c r="JD45" i="6" s="1"/>
  <c r="JE43" i="6"/>
  <c r="JE45" i="6" s="1"/>
  <c r="JG43" i="6"/>
  <c r="JG45" i="6" s="1"/>
  <c r="JH43" i="6"/>
  <c r="JH45" i="6" s="1"/>
  <c r="JI43" i="6"/>
  <c r="JI45" i="6" s="1"/>
  <c r="JJ43" i="6"/>
  <c r="JJ45" i="6" s="1"/>
  <c r="JK43" i="6"/>
  <c r="JK45" i="6" s="1"/>
  <c r="JL43" i="6"/>
  <c r="JL45" i="6" s="1"/>
  <c r="JN43" i="6"/>
  <c r="JN45" i="6" s="1"/>
  <c r="JO43" i="6"/>
  <c r="JO45" i="6" s="1"/>
  <c r="JP43" i="6"/>
  <c r="JP45" i="6" s="1"/>
  <c r="JQ43" i="6"/>
  <c r="JQ45" i="6" s="1"/>
  <c r="JR43" i="6"/>
  <c r="JR45" i="6" s="1"/>
  <c r="JS43" i="6"/>
  <c r="JS45" i="6" s="1"/>
  <c r="JU43" i="6"/>
  <c r="JU45" i="6" s="1"/>
  <c r="JV43" i="6"/>
  <c r="JV45" i="6" s="1"/>
  <c r="JW43" i="6"/>
  <c r="JX43" i="6"/>
  <c r="JX45" i="6" s="1"/>
  <c r="JY43" i="6"/>
  <c r="JZ43" i="6"/>
  <c r="JZ45" i="6" s="1"/>
  <c r="KB43" i="6"/>
  <c r="KB45" i="6" s="1"/>
  <c r="KC43" i="6"/>
  <c r="KC45" i="6" s="1"/>
  <c r="KD43" i="6"/>
  <c r="KD45" i="6" s="1"/>
  <c r="KE43" i="6"/>
  <c r="KE45" i="6" s="1"/>
  <c r="KF43" i="6"/>
  <c r="KF45" i="6" s="1"/>
  <c r="KG43" i="6"/>
  <c r="KG45" i="6" s="1"/>
  <c r="KI43" i="6"/>
  <c r="KI45" i="6" s="1"/>
  <c r="KJ43" i="6"/>
  <c r="KJ45" i="6" s="1"/>
  <c r="KK43" i="6"/>
  <c r="KK45" i="6" s="1"/>
  <c r="KL43" i="6"/>
  <c r="KL45" i="6" s="1"/>
  <c r="KM43" i="6"/>
  <c r="KM45" i="6" s="1"/>
  <c r="KN43" i="6"/>
  <c r="KN45" i="6" s="1"/>
  <c r="KP43" i="6"/>
  <c r="KP45" i="6" s="1"/>
  <c r="KQ43" i="6"/>
  <c r="KQ45" i="6" s="1"/>
  <c r="KR43" i="6"/>
  <c r="KR45" i="6" s="1"/>
  <c r="KS43" i="6"/>
  <c r="KS45" i="6" s="1"/>
  <c r="KT43" i="6"/>
  <c r="KT45" i="6" s="1"/>
  <c r="KU43" i="6"/>
  <c r="KU45" i="6" s="1"/>
  <c r="KW43" i="6"/>
  <c r="KW45" i="6" s="1"/>
  <c r="KX43" i="6"/>
  <c r="KX45" i="6" s="1"/>
  <c r="KY43" i="6"/>
  <c r="KY45" i="6" s="1"/>
  <c r="KZ43" i="6"/>
  <c r="KZ45" i="6" s="1"/>
  <c r="LA43" i="6"/>
  <c r="LA45" i="6" s="1"/>
  <c r="LB43" i="6"/>
  <c r="LB45" i="6" s="1"/>
  <c r="LD43" i="6"/>
  <c r="LD45" i="6" s="1"/>
  <c r="LE43" i="6"/>
  <c r="LE45" i="6" s="1"/>
  <c r="LF43" i="6"/>
  <c r="LF45" i="6" s="1"/>
  <c r="LG43" i="6"/>
  <c r="LG45" i="6" s="1"/>
  <c r="LH43" i="6"/>
  <c r="LH45" i="6" s="1"/>
  <c r="LI43" i="6"/>
  <c r="LI45" i="6" s="1"/>
  <c r="LK43" i="6"/>
  <c r="LL43" i="6"/>
  <c r="LL45" i="6" s="1"/>
  <c r="LM43" i="6"/>
  <c r="LM45" i="6" s="1"/>
  <c r="LN43" i="6"/>
  <c r="LN45" i="6" s="1"/>
  <c r="LO43" i="6"/>
  <c r="LO45" i="6" s="1"/>
  <c r="LP43" i="6"/>
  <c r="LP45" i="6" s="1"/>
  <c r="LR43" i="6"/>
  <c r="LR45" i="6" s="1"/>
  <c r="LS43" i="6"/>
  <c r="LS45" i="6" s="1"/>
  <c r="LT43" i="6"/>
  <c r="LT45" i="6" s="1"/>
  <c r="LU43" i="6"/>
  <c r="LU45" i="6" s="1"/>
  <c r="LV43" i="6"/>
  <c r="LV45" i="6" s="1"/>
  <c r="LW43" i="6"/>
  <c r="LW45" i="6" s="1"/>
  <c r="LY43" i="6"/>
  <c r="LY45" i="6" s="1"/>
  <c r="LZ43" i="6"/>
  <c r="LZ45" i="6" s="1"/>
  <c r="MA43" i="6"/>
  <c r="MA45" i="6" s="1"/>
  <c r="MB43" i="6"/>
  <c r="MB45" i="6" s="1"/>
  <c r="MC43" i="6"/>
  <c r="MC45" i="6" s="1"/>
  <c r="MD43" i="6"/>
  <c r="MD45" i="6" s="1"/>
  <c r="MF43" i="6"/>
  <c r="MF45" i="6" s="1"/>
  <c r="MG43" i="6"/>
  <c r="MG45" i="6" s="1"/>
  <c r="MH43" i="6"/>
  <c r="MH45" i="6" s="1"/>
  <c r="MI43" i="6"/>
  <c r="MI45" i="6" s="1"/>
  <c r="MJ43" i="6"/>
  <c r="MJ45" i="6" s="1"/>
  <c r="MK43" i="6"/>
  <c r="MK45" i="6" s="1"/>
  <c r="MM43" i="6"/>
  <c r="MN43" i="6"/>
  <c r="MN45" i="6" s="1"/>
  <c r="MO43" i="6"/>
  <c r="MO45" i="6" s="1"/>
  <c r="MP43" i="6"/>
  <c r="MP45" i="6" s="1"/>
  <c r="MQ43" i="6"/>
  <c r="MQ45" i="6" s="1"/>
  <c r="MR43" i="6"/>
  <c r="MR45" i="6" s="1"/>
  <c r="MT43" i="6"/>
  <c r="MT45" i="6" s="1"/>
  <c r="MU43" i="6"/>
  <c r="MU45" i="6" s="1"/>
  <c r="MV43" i="6"/>
  <c r="MV45" i="6" s="1"/>
  <c r="MW43" i="6"/>
  <c r="MW45" i="6" s="1"/>
  <c r="MX43" i="6"/>
  <c r="MX45" i="6" s="1"/>
  <c r="MY43" i="6"/>
  <c r="MY45" i="6" s="1"/>
  <c r="NA43" i="6"/>
  <c r="NB43" i="6"/>
  <c r="NB45" i="6" s="1"/>
  <c r="NC43" i="6"/>
  <c r="NC45" i="6" s="1"/>
  <c r="ND43" i="6"/>
  <c r="ND45" i="6" s="1"/>
  <c r="NE43" i="6"/>
  <c r="NE45" i="6" s="1"/>
  <c r="NF43" i="6"/>
  <c r="NF45" i="6" s="1"/>
  <c r="NH43" i="6"/>
  <c r="NH45" i="6" s="1"/>
  <c r="NI43" i="6"/>
  <c r="NJ43" i="6"/>
  <c r="NJ45" i="6" s="1"/>
  <c r="NK43" i="6"/>
  <c r="NK45" i="6" s="1"/>
  <c r="NL43" i="6"/>
  <c r="NL45" i="6" s="1"/>
  <c r="NM43" i="6"/>
  <c r="NM45" i="6" s="1"/>
  <c r="NO43" i="6"/>
  <c r="NO45" i="6" s="1"/>
  <c r="NP43" i="6"/>
  <c r="NP45" i="6" s="1"/>
  <c r="NQ43" i="6"/>
  <c r="NQ45" i="6" s="1"/>
  <c r="NR43" i="6"/>
  <c r="NR45" i="6" s="1"/>
  <c r="NS43" i="6"/>
  <c r="NS45" i="6" s="1"/>
  <c r="NT43" i="6"/>
  <c r="NT45" i="6" s="1"/>
  <c r="NV43" i="6"/>
  <c r="NV45" i="6" s="1"/>
  <c r="NW43" i="6"/>
  <c r="NW45" i="6" s="1"/>
  <c r="NX43" i="6"/>
  <c r="NY43" i="6"/>
  <c r="NY45" i="6" s="1"/>
  <c r="NZ43" i="6"/>
  <c r="NZ45" i="6" s="1"/>
  <c r="OA43" i="6"/>
  <c r="OA45" i="6" s="1"/>
  <c r="GZ44" i="6"/>
  <c r="HA44" i="6"/>
  <c r="HC44" i="6"/>
  <c r="HD44" i="6"/>
  <c r="HE44" i="6"/>
  <c r="HF44" i="6"/>
  <c r="HG44" i="6"/>
  <c r="HH44" i="6"/>
  <c r="HJ44" i="6"/>
  <c r="HK44" i="6"/>
  <c r="HL44" i="6"/>
  <c r="HM44" i="6"/>
  <c r="HN44" i="6"/>
  <c r="HO44" i="6"/>
  <c r="HQ44" i="6"/>
  <c r="HR44" i="6"/>
  <c r="HS44" i="6"/>
  <c r="HT44" i="6"/>
  <c r="HU44" i="6"/>
  <c r="HV44" i="6"/>
  <c r="HX44" i="6"/>
  <c r="HY44" i="6"/>
  <c r="HZ44" i="6"/>
  <c r="IA44" i="6"/>
  <c r="IB44" i="6"/>
  <c r="IC44" i="6"/>
  <c r="IE44" i="6"/>
  <c r="IF44" i="6"/>
  <c r="IG44" i="6"/>
  <c r="IH44" i="6"/>
  <c r="II44" i="6"/>
  <c r="IJ44" i="6"/>
  <c r="IL44" i="6"/>
  <c r="IM44" i="6"/>
  <c r="IN44" i="6"/>
  <c r="IO44" i="6"/>
  <c r="IP44" i="6"/>
  <c r="IQ44" i="6"/>
  <c r="IS44" i="6"/>
  <c r="IT44" i="6"/>
  <c r="IU44" i="6"/>
  <c r="IV44" i="6"/>
  <c r="IW44" i="6"/>
  <c r="IX44" i="6"/>
  <c r="IZ44" i="6"/>
  <c r="JA44" i="6"/>
  <c r="JB44" i="6"/>
  <c r="JC44" i="6"/>
  <c r="JD44" i="6"/>
  <c r="JE44" i="6"/>
  <c r="JG44" i="6"/>
  <c r="JH44" i="6"/>
  <c r="JI44" i="6"/>
  <c r="JJ44" i="6"/>
  <c r="JK44" i="6"/>
  <c r="JL44" i="6"/>
  <c r="JN44" i="6"/>
  <c r="JO44" i="6"/>
  <c r="JP44" i="6"/>
  <c r="JQ44" i="6"/>
  <c r="JR44" i="6"/>
  <c r="JS44" i="6"/>
  <c r="JU44" i="6"/>
  <c r="JV44" i="6"/>
  <c r="JW44" i="6"/>
  <c r="JX44" i="6"/>
  <c r="JY44" i="6"/>
  <c r="JZ44" i="6"/>
  <c r="KB44" i="6"/>
  <c r="KC44" i="6"/>
  <c r="KD44" i="6"/>
  <c r="KE44" i="6"/>
  <c r="KF44" i="6"/>
  <c r="KG44" i="6"/>
  <c r="KI44" i="6"/>
  <c r="KJ44" i="6"/>
  <c r="KK44" i="6"/>
  <c r="KL44" i="6"/>
  <c r="KM44" i="6"/>
  <c r="KN44" i="6"/>
  <c r="KP44" i="6"/>
  <c r="KQ44" i="6"/>
  <c r="KR44" i="6"/>
  <c r="KS44" i="6"/>
  <c r="KT44" i="6"/>
  <c r="KU44" i="6"/>
  <c r="KW44" i="6"/>
  <c r="KX44" i="6"/>
  <c r="KY44" i="6"/>
  <c r="KZ44" i="6"/>
  <c r="LA44" i="6"/>
  <c r="LB44" i="6"/>
  <c r="LD44" i="6"/>
  <c r="LE44" i="6"/>
  <c r="LF44" i="6"/>
  <c r="LG44" i="6"/>
  <c r="LH44" i="6"/>
  <c r="LI44" i="6"/>
  <c r="LK44" i="6"/>
  <c r="LL44" i="6"/>
  <c r="LM44" i="6"/>
  <c r="LN44" i="6"/>
  <c r="LO44" i="6"/>
  <c r="LP44" i="6"/>
  <c r="LR44" i="6"/>
  <c r="LS44" i="6"/>
  <c r="LT44" i="6"/>
  <c r="LU44" i="6"/>
  <c r="LV44" i="6"/>
  <c r="LW44" i="6"/>
  <c r="LY44" i="6"/>
  <c r="LZ44" i="6"/>
  <c r="MA44" i="6"/>
  <c r="MB44" i="6"/>
  <c r="MC44" i="6"/>
  <c r="MD44" i="6"/>
  <c r="MF44" i="6"/>
  <c r="MG44" i="6"/>
  <c r="MH44" i="6"/>
  <c r="MI44" i="6"/>
  <c r="MJ44" i="6"/>
  <c r="MK44" i="6"/>
  <c r="MM44" i="6"/>
  <c r="MN44" i="6"/>
  <c r="MO44" i="6"/>
  <c r="MP44" i="6"/>
  <c r="MQ44" i="6"/>
  <c r="MR44" i="6"/>
  <c r="MT44" i="6"/>
  <c r="MU44" i="6"/>
  <c r="MV44" i="6"/>
  <c r="MW44" i="6"/>
  <c r="MX44" i="6"/>
  <c r="MY44" i="6"/>
  <c r="NA44" i="6"/>
  <c r="NB44" i="6"/>
  <c r="NC44" i="6"/>
  <c r="ND44" i="6"/>
  <c r="NE44" i="6"/>
  <c r="NF44" i="6"/>
  <c r="NH44" i="6"/>
  <c r="NI44" i="6"/>
  <c r="NJ44" i="6"/>
  <c r="NK44" i="6"/>
  <c r="NL44" i="6"/>
  <c r="NM44" i="6"/>
  <c r="NO44" i="6"/>
  <c r="NP44" i="6"/>
  <c r="NQ44" i="6"/>
  <c r="NR44" i="6"/>
  <c r="NS44" i="6"/>
  <c r="NT44" i="6"/>
  <c r="NV44" i="6"/>
  <c r="NW44" i="6"/>
  <c r="NX44" i="6"/>
  <c r="NY44" i="6"/>
  <c r="NZ44" i="6"/>
  <c r="OA44" i="6"/>
  <c r="HZ45" i="6"/>
  <c r="II45" i="6"/>
  <c r="IN45" i="6"/>
  <c r="JW45" i="6"/>
  <c r="JY45" i="6"/>
  <c r="LK45" i="6"/>
  <c r="MM45" i="6"/>
  <c r="NA45" i="6"/>
  <c r="NX45" i="6"/>
  <c r="NP2" i="7"/>
  <c r="NU41" i="7" s="1"/>
  <c r="NI2" i="7"/>
  <c r="NN41" i="7" s="1"/>
  <c r="NB2" i="7"/>
  <c r="NG41" i="7" s="1"/>
  <c r="MU2" i="7"/>
  <c r="MZ41" i="7" s="1"/>
  <c r="MN2" i="7"/>
  <c r="MS41" i="7" s="1"/>
  <c r="MG2" i="7"/>
  <c r="ML41" i="7" s="1"/>
  <c r="LZ2" i="7"/>
  <c r="ME41" i="7" s="1"/>
  <c r="LS2" i="7"/>
  <c r="LX41" i="7" s="1"/>
  <c r="LL2" i="7"/>
  <c r="LQ41" i="7" s="1"/>
  <c r="LE2" i="7"/>
  <c r="LJ41" i="7" s="1"/>
  <c r="KX2" i="7"/>
  <c r="LC41" i="7" s="1"/>
  <c r="KQ2" i="7"/>
  <c r="KV41" i="7" s="1"/>
  <c r="KJ2" i="7"/>
  <c r="KO41" i="7" s="1"/>
  <c r="KC2" i="7"/>
  <c r="KH41" i="7" s="1"/>
  <c r="JV2" i="7"/>
  <c r="KA41" i="7" s="1"/>
  <c r="JO2" i="7"/>
  <c r="JT41" i="7" s="1"/>
  <c r="JH2" i="7"/>
  <c r="JM41" i="7" s="1"/>
  <c r="JA2" i="7"/>
  <c r="JF41" i="7" s="1"/>
  <c r="IT2" i="7"/>
  <c r="IY41" i="7" s="1"/>
  <c r="IM2" i="7"/>
  <c r="IR41" i="7" s="1"/>
  <c r="IF2" i="7"/>
  <c r="IK41" i="7" s="1"/>
  <c r="HY2" i="7"/>
  <c r="ID41" i="7" s="1"/>
  <c r="HR2" i="7"/>
  <c r="HW41" i="7" s="1"/>
  <c r="HK2" i="7"/>
  <c r="HP41" i="7" s="1"/>
  <c r="HD2" i="7"/>
  <c r="HI41" i="7" s="1"/>
  <c r="OB41" i="6"/>
  <c r="NW2" i="6"/>
  <c r="NP2" i="6"/>
  <c r="HD2" i="6"/>
  <c r="HK2" i="6"/>
  <c r="HR2" i="6"/>
  <c r="HY2" i="6"/>
  <c r="IF2" i="6"/>
  <c r="IM2" i="6"/>
  <c r="IT2" i="6"/>
  <c r="JA2" i="6"/>
  <c r="JH2" i="6"/>
  <c r="JO2" i="6"/>
  <c r="JV2" i="6"/>
  <c r="KC2" i="6"/>
  <c r="KJ2" i="6"/>
  <c r="KQ2" i="6"/>
  <c r="KX2" i="6"/>
  <c r="LE2" i="6"/>
  <c r="LL2" i="6"/>
  <c r="LS2" i="6"/>
  <c r="LZ2" i="6"/>
  <c r="MG2" i="6"/>
  <c r="MN2" i="6"/>
  <c r="MU2" i="6"/>
  <c r="NB2" i="6"/>
  <c r="NI2" i="6"/>
  <c r="HD2" i="8"/>
  <c r="HI41" i="8" s="1"/>
  <c r="HK2" i="8"/>
  <c r="HR2" i="8"/>
  <c r="HW41" i="8" s="1"/>
  <c r="HY2" i="8"/>
  <c r="IF2" i="8"/>
  <c r="IK41" i="8" s="1"/>
  <c r="IM2" i="8"/>
  <c r="IR41" i="8" s="1"/>
  <c r="IT2" i="8"/>
  <c r="IY41" i="8" s="1"/>
  <c r="JA2" i="8"/>
  <c r="JF41" i="8" s="1"/>
  <c r="JH2" i="8"/>
  <c r="JM41" i="8" s="1"/>
  <c r="JO2" i="8"/>
  <c r="JV2" i="8"/>
  <c r="KA41" i="8" s="1"/>
  <c r="KC2" i="8"/>
  <c r="KJ2" i="8"/>
  <c r="KQ2" i="8"/>
  <c r="KV41" i="8" s="1"/>
  <c r="KX2" i="8"/>
  <c r="LC41" i="8" s="1"/>
  <c r="LE2" i="8"/>
  <c r="LJ41" i="8" s="1"/>
  <c r="LL2" i="8"/>
  <c r="LQ41" i="8" s="1"/>
  <c r="LS2" i="8"/>
  <c r="LX41" i="8" s="1"/>
  <c r="LZ2" i="8"/>
  <c r="ME41" i="8" s="1"/>
  <c r="MG2" i="8"/>
  <c r="MN2" i="8"/>
  <c r="MS41" i="8" s="1"/>
  <c r="MU2" i="8"/>
  <c r="MZ41" i="8" s="1"/>
  <c r="NB2" i="8"/>
  <c r="NG41" i="8" s="1"/>
  <c r="NI2" i="8"/>
  <c r="NN41" i="8" s="1"/>
  <c r="NP2" i="8"/>
  <c r="NU41" i="8" s="1"/>
  <c r="HP41" i="8"/>
  <c r="ID41" i="8"/>
  <c r="JT41" i="8"/>
  <c r="KH41" i="8"/>
  <c r="KO41" i="8"/>
  <c r="ML41" i="8"/>
  <c r="HD42" i="8"/>
  <c r="HE42" i="8"/>
  <c r="HF42" i="8"/>
  <c r="HG42" i="8"/>
  <c r="HH42" i="8"/>
  <c r="HJ42" i="8"/>
  <c r="HK42" i="8"/>
  <c r="HL42" i="8"/>
  <c r="HM42" i="8"/>
  <c r="HN42" i="8"/>
  <c r="HO42" i="8"/>
  <c r="HQ42" i="8"/>
  <c r="HR42" i="8"/>
  <c r="HS42" i="8"/>
  <c r="HT42" i="8"/>
  <c r="HU42" i="8"/>
  <c r="HV42" i="8"/>
  <c r="HX42" i="8"/>
  <c r="HY42" i="8"/>
  <c r="HZ42" i="8"/>
  <c r="IA42" i="8"/>
  <c r="IB42" i="8"/>
  <c r="IC42" i="8"/>
  <c r="IE42" i="8"/>
  <c r="IF42" i="8"/>
  <c r="IG42" i="8"/>
  <c r="IH42" i="8"/>
  <c r="II42" i="8"/>
  <c r="IJ42" i="8"/>
  <c r="IL42" i="8"/>
  <c r="IM42" i="8"/>
  <c r="IN42" i="8"/>
  <c r="IO42" i="8"/>
  <c r="IP42" i="8"/>
  <c r="IQ42" i="8"/>
  <c r="IS42" i="8"/>
  <c r="IT42" i="8"/>
  <c r="IU42" i="8"/>
  <c r="IV42" i="8"/>
  <c r="IW42" i="8"/>
  <c r="IX42" i="8"/>
  <c r="IZ42" i="8"/>
  <c r="JA42" i="8"/>
  <c r="JB42" i="8"/>
  <c r="JC42" i="8"/>
  <c r="JD42" i="8"/>
  <c r="JE42" i="8"/>
  <c r="JG42" i="8"/>
  <c r="JH42" i="8"/>
  <c r="JI42" i="8"/>
  <c r="JJ42" i="8"/>
  <c r="JK42" i="8"/>
  <c r="JL42" i="8"/>
  <c r="JN42" i="8"/>
  <c r="JO42" i="8"/>
  <c r="JP42" i="8"/>
  <c r="JQ42" i="8"/>
  <c r="JR42" i="8"/>
  <c r="JS42" i="8"/>
  <c r="JU42" i="8"/>
  <c r="JV42" i="8"/>
  <c r="JW42" i="8"/>
  <c r="JX42" i="8"/>
  <c r="JY42" i="8"/>
  <c r="JZ42" i="8"/>
  <c r="KB42" i="8"/>
  <c r="KC42" i="8"/>
  <c r="KD42" i="8"/>
  <c r="KE42" i="8"/>
  <c r="KF42" i="8"/>
  <c r="KG42" i="8"/>
  <c r="KI42" i="8"/>
  <c r="KJ42" i="8"/>
  <c r="KK42" i="8"/>
  <c r="KL42" i="8"/>
  <c r="KM42" i="8"/>
  <c r="KN42" i="8"/>
  <c r="KP42" i="8"/>
  <c r="KQ42" i="8"/>
  <c r="KR42" i="8"/>
  <c r="KS42" i="8"/>
  <c r="KT42" i="8"/>
  <c r="KU42" i="8"/>
  <c r="KW42" i="8"/>
  <c r="KX42" i="8"/>
  <c r="KY42" i="8"/>
  <c r="KZ42" i="8"/>
  <c r="LA42" i="8"/>
  <c r="LB42" i="8"/>
  <c r="LD42" i="8"/>
  <c r="LE42" i="8"/>
  <c r="LF42" i="8"/>
  <c r="LG42" i="8"/>
  <c r="LH42" i="8"/>
  <c r="LI42" i="8"/>
  <c r="LK42" i="8"/>
  <c r="LL42" i="8"/>
  <c r="LM42" i="8"/>
  <c r="LN42" i="8"/>
  <c r="LO42" i="8"/>
  <c r="LP42" i="8"/>
  <c r="LR42" i="8"/>
  <c r="LS42" i="8"/>
  <c r="LT42" i="8"/>
  <c r="LU42" i="8"/>
  <c r="LV42" i="8"/>
  <c r="LW42" i="8"/>
  <c r="LY42" i="8"/>
  <c r="LZ42" i="8"/>
  <c r="MA42" i="8"/>
  <c r="MB42" i="8"/>
  <c r="MC42" i="8"/>
  <c r="MD42" i="8"/>
  <c r="MF42" i="8"/>
  <c r="MG42" i="8"/>
  <c r="MH42" i="8"/>
  <c r="MI42" i="8"/>
  <c r="MJ42" i="8"/>
  <c r="MK42" i="8"/>
  <c r="MM42" i="8"/>
  <c r="MN42" i="8"/>
  <c r="MO42" i="8"/>
  <c r="MP42" i="8"/>
  <c r="MQ42" i="8"/>
  <c r="MR42" i="8"/>
  <c r="MT42" i="8"/>
  <c r="MU42" i="8"/>
  <c r="MV42" i="8"/>
  <c r="MW42" i="8"/>
  <c r="MX42" i="8"/>
  <c r="MY42" i="8"/>
  <c r="NA42" i="8"/>
  <c r="NB42" i="8"/>
  <c r="NC42" i="8"/>
  <c r="ND42" i="8"/>
  <c r="NE42" i="8"/>
  <c r="NF42" i="8"/>
  <c r="NH42" i="8"/>
  <c r="NI42" i="8"/>
  <c r="NJ42" i="8"/>
  <c r="NK42" i="8"/>
  <c r="NL42" i="8"/>
  <c r="NM42" i="8"/>
  <c r="NO42" i="8"/>
  <c r="NP42" i="8"/>
  <c r="NQ42" i="8"/>
  <c r="NR42" i="8"/>
  <c r="NS42" i="8"/>
  <c r="NT42" i="8"/>
  <c r="HD43" i="8"/>
  <c r="HE43" i="8"/>
  <c r="HF43" i="8"/>
  <c r="HG43" i="8"/>
  <c r="HH43" i="8"/>
  <c r="HJ43" i="8"/>
  <c r="HK43" i="8"/>
  <c r="HL43" i="8"/>
  <c r="HM43" i="8"/>
  <c r="HN43" i="8"/>
  <c r="HO43" i="8"/>
  <c r="HQ43" i="8"/>
  <c r="HR43" i="8"/>
  <c r="HS43" i="8"/>
  <c r="HT43" i="8"/>
  <c r="HU43" i="8"/>
  <c r="HV43" i="8"/>
  <c r="HX43" i="8"/>
  <c r="HY43" i="8"/>
  <c r="HZ43" i="8"/>
  <c r="IA43" i="8"/>
  <c r="IB43" i="8"/>
  <c r="IC43" i="8"/>
  <c r="IE43" i="8"/>
  <c r="IF43" i="8"/>
  <c r="IG43" i="8"/>
  <c r="IH43" i="8"/>
  <c r="II43" i="8"/>
  <c r="IJ43" i="8"/>
  <c r="IL43" i="8"/>
  <c r="IM43" i="8"/>
  <c r="IN43" i="8"/>
  <c r="IO43" i="8"/>
  <c r="IP43" i="8"/>
  <c r="IQ43" i="8"/>
  <c r="IS43" i="8"/>
  <c r="IT43" i="8"/>
  <c r="IU43" i="8"/>
  <c r="IV43" i="8"/>
  <c r="IW43" i="8"/>
  <c r="IX43" i="8"/>
  <c r="IZ43" i="8"/>
  <c r="JA43" i="8"/>
  <c r="JB43" i="8"/>
  <c r="JC43" i="8"/>
  <c r="JD43" i="8"/>
  <c r="JE43" i="8"/>
  <c r="JG43" i="8"/>
  <c r="JH43" i="8"/>
  <c r="JI43" i="8"/>
  <c r="JJ43" i="8"/>
  <c r="JK43" i="8"/>
  <c r="JL43" i="8"/>
  <c r="JN43" i="8"/>
  <c r="JO43" i="8"/>
  <c r="JP43" i="8"/>
  <c r="JQ43" i="8"/>
  <c r="JR43" i="8"/>
  <c r="JS43" i="8"/>
  <c r="JU43" i="8"/>
  <c r="JV43" i="8"/>
  <c r="JW43" i="8"/>
  <c r="JX43" i="8"/>
  <c r="JY43" i="8"/>
  <c r="JZ43" i="8"/>
  <c r="KB43" i="8"/>
  <c r="KC43" i="8"/>
  <c r="KD43" i="8"/>
  <c r="KE43" i="8"/>
  <c r="KF43" i="8"/>
  <c r="KG43" i="8"/>
  <c r="KI43" i="8"/>
  <c r="KJ43" i="8"/>
  <c r="KK43" i="8"/>
  <c r="KL43" i="8"/>
  <c r="KM43" i="8"/>
  <c r="KN43" i="8"/>
  <c r="KP43" i="8"/>
  <c r="KQ43" i="8"/>
  <c r="KR43" i="8"/>
  <c r="KS43" i="8"/>
  <c r="KT43" i="8"/>
  <c r="KU43" i="8"/>
  <c r="KW43" i="8"/>
  <c r="KX43" i="8"/>
  <c r="KY43" i="8"/>
  <c r="KZ43" i="8"/>
  <c r="LA43" i="8"/>
  <c r="LB43" i="8"/>
  <c r="LD43" i="8"/>
  <c r="LE43" i="8"/>
  <c r="LF43" i="8"/>
  <c r="LG43" i="8"/>
  <c r="LH43" i="8"/>
  <c r="LI43" i="8"/>
  <c r="LK43" i="8"/>
  <c r="LL43" i="8"/>
  <c r="LM43" i="8"/>
  <c r="LN43" i="8"/>
  <c r="LO43" i="8"/>
  <c r="LP43" i="8"/>
  <c r="LR43" i="8"/>
  <c r="LS43" i="8"/>
  <c r="LT43" i="8"/>
  <c r="LU43" i="8"/>
  <c r="LV43" i="8"/>
  <c r="LW43" i="8"/>
  <c r="LY43" i="8"/>
  <c r="LZ43" i="8"/>
  <c r="MA43" i="8"/>
  <c r="MB43" i="8"/>
  <c r="MC43" i="8"/>
  <c r="MD43" i="8"/>
  <c r="MF43" i="8"/>
  <c r="MG43" i="8"/>
  <c r="MH43" i="8"/>
  <c r="MI43" i="8"/>
  <c r="MJ43" i="8"/>
  <c r="MK43" i="8"/>
  <c r="MM43" i="8"/>
  <c r="MN43" i="8"/>
  <c r="MO43" i="8"/>
  <c r="MP43" i="8"/>
  <c r="MQ43" i="8"/>
  <c r="MR43" i="8"/>
  <c r="MT43" i="8"/>
  <c r="MU43" i="8"/>
  <c r="MV43" i="8"/>
  <c r="MW43" i="8"/>
  <c r="MX43" i="8"/>
  <c r="MY43" i="8"/>
  <c r="NA43" i="8"/>
  <c r="NB43" i="8"/>
  <c r="NC43" i="8"/>
  <c r="ND43" i="8"/>
  <c r="NE43" i="8"/>
  <c r="NF43" i="8"/>
  <c r="NH43" i="8"/>
  <c r="NI43" i="8"/>
  <c r="NJ43" i="8"/>
  <c r="NK43" i="8"/>
  <c r="NL43" i="8"/>
  <c r="NM43" i="8"/>
  <c r="NO43" i="8"/>
  <c r="NP43" i="8"/>
  <c r="NQ43" i="8"/>
  <c r="NR43" i="8"/>
  <c r="NS43" i="8"/>
  <c r="NT43" i="8"/>
  <c r="HD44" i="8"/>
  <c r="HE44" i="8"/>
  <c r="HF44" i="8"/>
  <c r="HC36" i="9" s="1"/>
  <c r="HC37" i="9" s="1"/>
  <c r="HG44" i="8"/>
  <c r="HH44" i="8"/>
  <c r="HE36" i="9" s="1"/>
  <c r="HE37" i="9" s="1"/>
  <c r="HJ44" i="8"/>
  <c r="HK44" i="8"/>
  <c r="HL44" i="8"/>
  <c r="HM44" i="8"/>
  <c r="HN44" i="8"/>
  <c r="HO44" i="8"/>
  <c r="HL36" i="9" s="1"/>
  <c r="HQ44" i="8"/>
  <c r="HR44" i="8"/>
  <c r="HO36" i="9" s="1"/>
  <c r="HS44" i="8"/>
  <c r="HT44" i="8"/>
  <c r="HU44" i="8"/>
  <c r="HV44" i="8"/>
  <c r="HX44" i="8"/>
  <c r="HY44" i="8"/>
  <c r="HV36" i="9" s="1"/>
  <c r="HZ44" i="8"/>
  <c r="IA44" i="8"/>
  <c r="HX36" i="9" s="1"/>
  <c r="IB44" i="8"/>
  <c r="IC44" i="8"/>
  <c r="IE44" i="8"/>
  <c r="IF44" i="8"/>
  <c r="IG44" i="8"/>
  <c r="IH44" i="8"/>
  <c r="IE36" i="9" s="1"/>
  <c r="II44" i="8"/>
  <c r="IJ44" i="8"/>
  <c r="IG36" i="9" s="1"/>
  <c r="IL44" i="8"/>
  <c r="IM44" i="8"/>
  <c r="IN44" i="8"/>
  <c r="IO44" i="8"/>
  <c r="IP44" i="8"/>
  <c r="IQ44" i="8"/>
  <c r="IN36" i="9" s="1"/>
  <c r="IS44" i="8"/>
  <c r="IT44" i="8"/>
  <c r="IQ36" i="9" s="1"/>
  <c r="IU44" i="8"/>
  <c r="IV44" i="8"/>
  <c r="IW44" i="8"/>
  <c r="IX44" i="8"/>
  <c r="IZ44" i="8"/>
  <c r="JA44" i="8"/>
  <c r="JB44" i="8"/>
  <c r="JC44" i="8"/>
  <c r="IZ36" i="9" s="1"/>
  <c r="JD44" i="8"/>
  <c r="JE44" i="8"/>
  <c r="JG44" i="8"/>
  <c r="JH44" i="8"/>
  <c r="JI44" i="8"/>
  <c r="JJ44" i="8"/>
  <c r="JG36" i="9" s="1"/>
  <c r="JK44" i="8"/>
  <c r="JL44" i="8"/>
  <c r="JI36" i="9" s="1"/>
  <c r="JN44" i="8"/>
  <c r="JO44" i="8"/>
  <c r="JP44" i="8"/>
  <c r="JQ44" i="8"/>
  <c r="JR44" i="8"/>
  <c r="JS44" i="8"/>
  <c r="JP36" i="9" s="1"/>
  <c r="JU44" i="8"/>
  <c r="JV44" i="8"/>
  <c r="JS36" i="9" s="1"/>
  <c r="JW44" i="8"/>
  <c r="JX44" i="8"/>
  <c r="JY44" i="8"/>
  <c r="JZ44" i="8"/>
  <c r="KB44" i="8"/>
  <c r="KC44" i="8"/>
  <c r="JZ36" i="9" s="1"/>
  <c r="KD44" i="8"/>
  <c r="KE44" i="8"/>
  <c r="KB36" i="9" s="1"/>
  <c r="KF44" i="8"/>
  <c r="KG44" i="8"/>
  <c r="KI44" i="8"/>
  <c r="KJ44" i="8"/>
  <c r="KK44" i="8"/>
  <c r="KL44" i="8"/>
  <c r="KI36" i="9" s="1"/>
  <c r="KM44" i="8"/>
  <c r="KN44" i="8"/>
  <c r="KK36" i="9" s="1"/>
  <c r="KP44" i="8"/>
  <c r="KQ44" i="8"/>
  <c r="KR44" i="8"/>
  <c r="KS44" i="8"/>
  <c r="KT44" i="8"/>
  <c r="KU44" i="8"/>
  <c r="KR36" i="9" s="1"/>
  <c r="KW44" i="8"/>
  <c r="KX44" i="8"/>
  <c r="KU36" i="9" s="1"/>
  <c r="KY44" i="8"/>
  <c r="KZ44" i="8"/>
  <c r="LA44" i="8"/>
  <c r="LB44" i="8"/>
  <c r="LD44" i="8"/>
  <c r="LE44" i="8"/>
  <c r="LB36" i="9" s="1"/>
  <c r="LF44" i="8"/>
  <c r="LG44" i="8"/>
  <c r="LD36" i="9" s="1"/>
  <c r="LH44" i="8"/>
  <c r="LI44" i="8"/>
  <c r="LK44" i="8"/>
  <c r="LL44" i="8"/>
  <c r="LM44" i="8"/>
  <c r="LN44" i="8"/>
  <c r="LK36" i="9" s="1"/>
  <c r="LO44" i="8"/>
  <c r="LP44" i="8"/>
  <c r="LM36" i="9" s="1"/>
  <c r="LR44" i="8"/>
  <c r="LS44" i="8"/>
  <c r="LT44" i="8"/>
  <c r="LU44" i="8"/>
  <c r="LV44" i="8"/>
  <c r="LW44" i="8"/>
  <c r="LT36" i="9" s="1"/>
  <c r="LY44" i="8"/>
  <c r="LZ44" i="8"/>
  <c r="LW36" i="9" s="1"/>
  <c r="MA44" i="8"/>
  <c r="MB44" i="8"/>
  <c r="MC44" i="8"/>
  <c r="MD44" i="8"/>
  <c r="MF44" i="8"/>
  <c r="MG44" i="8"/>
  <c r="MD36" i="9" s="1"/>
  <c r="MH44" i="8"/>
  <c r="MI44" i="8"/>
  <c r="MF36" i="9" s="1"/>
  <c r="MJ44" i="8"/>
  <c r="MK44" i="8"/>
  <c r="MM44" i="8"/>
  <c r="MN44" i="8"/>
  <c r="MO44" i="8"/>
  <c r="MP44" i="8"/>
  <c r="MM36" i="9" s="1"/>
  <c r="MQ44" i="8"/>
  <c r="MR44" i="8"/>
  <c r="MO36" i="9" s="1"/>
  <c r="MT44" i="8"/>
  <c r="MU44" i="8"/>
  <c r="MV44" i="8"/>
  <c r="MW44" i="8"/>
  <c r="MX44" i="8"/>
  <c r="MY44" i="8"/>
  <c r="MV36" i="9" s="1"/>
  <c r="NA44" i="8"/>
  <c r="NB44" i="8"/>
  <c r="MY36" i="9" s="1"/>
  <c r="NC44" i="8"/>
  <c r="MZ36" i="9" s="1"/>
  <c r="ND44" i="8"/>
  <c r="NE44" i="8"/>
  <c r="NF44" i="8"/>
  <c r="NH44" i="8"/>
  <c r="NI44" i="8"/>
  <c r="NF36" i="9" s="1"/>
  <c r="NJ44" i="8"/>
  <c r="NG36" i="9" s="1"/>
  <c r="NK44" i="8"/>
  <c r="NH36" i="9" s="1"/>
  <c r="NL44" i="8"/>
  <c r="NI36" i="9" s="1"/>
  <c r="NM44" i="8"/>
  <c r="NO44" i="8"/>
  <c r="NP44" i="8"/>
  <c r="NQ44" i="8"/>
  <c r="NR44" i="8"/>
  <c r="NO36" i="9" s="1"/>
  <c r="NS44" i="8"/>
  <c r="NT44" i="8"/>
  <c r="NQ36" i="9" s="1"/>
  <c r="HD45" i="8"/>
  <c r="HE45" i="8"/>
  <c r="HF45" i="8"/>
  <c r="HG45" i="8"/>
  <c r="HD39" i="9" s="1"/>
  <c r="HD40" i="9" s="1"/>
  <c r="HH45" i="8"/>
  <c r="HJ45" i="8"/>
  <c r="HK45" i="8"/>
  <c r="HL45" i="8"/>
  <c r="HI39" i="9" s="1"/>
  <c r="HM45" i="8"/>
  <c r="HN45" i="8"/>
  <c r="HO45" i="8"/>
  <c r="HQ45" i="8"/>
  <c r="HR45" i="8"/>
  <c r="HS45" i="8"/>
  <c r="HP39" i="9" s="1"/>
  <c r="HT45" i="8"/>
  <c r="HU45" i="8"/>
  <c r="HR39" i="9" s="1"/>
  <c r="HV45" i="8"/>
  <c r="HX45" i="8"/>
  <c r="HY45" i="8"/>
  <c r="HZ45" i="8"/>
  <c r="IA45" i="8"/>
  <c r="IB45" i="8"/>
  <c r="HY39" i="9" s="1"/>
  <c r="IC45" i="8"/>
  <c r="IE45" i="8"/>
  <c r="IF45" i="8"/>
  <c r="IG45" i="8"/>
  <c r="IH45" i="8"/>
  <c r="II45" i="8"/>
  <c r="IJ45" i="8"/>
  <c r="IL45" i="8"/>
  <c r="IM45" i="8"/>
  <c r="IN45" i="8"/>
  <c r="IK39" i="9" s="1"/>
  <c r="IO45" i="8"/>
  <c r="IP45" i="8"/>
  <c r="IQ45" i="8"/>
  <c r="IS45" i="8"/>
  <c r="IT45" i="8"/>
  <c r="IU45" i="8"/>
  <c r="IR39" i="9" s="1"/>
  <c r="IV45" i="8"/>
  <c r="IW45" i="8"/>
  <c r="IT39" i="9" s="1"/>
  <c r="IX45" i="8"/>
  <c r="IZ45" i="8"/>
  <c r="JA45" i="8"/>
  <c r="JB45" i="8"/>
  <c r="JC45" i="8"/>
  <c r="IZ39" i="9" s="1"/>
  <c r="JD45" i="8"/>
  <c r="JA39" i="9" s="1"/>
  <c r="JE45" i="8"/>
  <c r="JG45" i="8"/>
  <c r="JH45" i="8"/>
  <c r="JI45" i="8"/>
  <c r="JJ45" i="8"/>
  <c r="JK45" i="8"/>
  <c r="JH39" i="9" s="1"/>
  <c r="JL45" i="8"/>
  <c r="JN45" i="8"/>
  <c r="JO45" i="8"/>
  <c r="JP45" i="8"/>
  <c r="JM39" i="9" s="1"/>
  <c r="JQ45" i="8"/>
  <c r="JR45" i="8"/>
  <c r="JS45" i="8"/>
  <c r="JU45" i="8"/>
  <c r="JV45" i="8"/>
  <c r="JW45" i="8"/>
  <c r="JT39" i="9" s="1"/>
  <c r="JX45" i="8"/>
  <c r="JY45" i="8"/>
  <c r="JV39" i="9" s="1"/>
  <c r="JZ45" i="8"/>
  <c r="KB45" i="8"/>
  <c r="KC45" i="8"/>
  <c r="KD45" i="8"/>
  <c r="KE45" i="8"/>
  <c r="KF45" i="8"/>
  <c r="KC39" i="9" s="1"/>
  <c r="KG45" i="8"/>
  <c r="KI45" i="8"/>
  <c r="KJ45" i="8"/>
  <c r="KK45" i="8"/>
  <c r="KL45" i="8"/>
  <c r="KM45" i="8"/>
  <c r="KN45" i="8"/>
  <c r="KP45" i="8"/>
  <c r="KQ45" i="8"/>
  <c r="KR45" i="8"/>
  <c r="KO39" i="9" s="1"/>
  <c r="KS45" i="8"/>
  <c r="KT45" i="8"/>
  <c r="KU45" i="8"/>
  <c r="KW45" i="8"/>
  <c r="KX45" i="8"/>
  <c r="KY45" i="8"/>
  <c r="KV39" i="9" s="1"/>
  <c r="KZ45" i="8"/>
  <c r="LA45" i="8"/>
  <c r="KX39" i="9" s="1"/>
  <c r="LB45" i="8"/>
  <c r="LD45" i="8"/>
  <c r="LE45" i="8"/>
  <c r="LF45" i="8"/>
  <c r="LG45" i="8"/>
  <c r="LD39" i="9" s="1"/>
  <c r="LH45" i="8"/>
  <c r="LE39" i="9" s="1"/>
  <c r="LI45" i="8"/>
  <c r="LK45" i="8"/>
  <c r="LL45" i="8"/>
  <c r="LM45" i="8"/>
  <c r="LN45" i="8"/>
  <c r="LO45" i="8"/>
  <c r="LL39" i="9" s="1"/>
  <c r="LP45" i="8"/>
  <c r="LR45" i="8"/>
  <c r="LS45" i="8"/>
  <c r="LT45" i="8"/>
  <c r="LQ39" i="9" s="1"/>
  <c r="LU45" i="8"/>
  <c r="LV45" i="8"/>
  <c r="LW45" i="8"/>
  <c r="LY45" i="8"/>
  <c r="LZ45" i="8"/>
  <c r="MA45" i="8"/>
  <c r="MB45" i="8"/>
  <c r="MC45" i="8"/>
  <c r="LZ39" i="9" s="1"/>
  <c r="MD45" i="8"/>
  <c r="MF45" i="8"/>
  <c r="MG45" i="8"/>
  <c r="MH45" i="8"/>
  <c r="MI45" i="8"/>
  <c r="MJ45" i="8"/>
  <c r="MG39" i="9" s="1"/>
  <c r="MK45" i="8"/>
  <c r="MM45" i="8"/>
  <c r="MN45" i="8"/>
  <c r="MO45" i="8"/>
  <c r="MP45" i="8"/>
  <c r="MQ45" i="8"/>
  <c r="MR45" i="8"/>
  <c r="MT45" i="8"/>
  <c r="MU45" i="8"/>
  <c r="MV45" i="8"/>
  <c r="MS39" i="9" s="1"/>
  <c r="MW45" i="8"/>
  <c r="MX45" i="8"/>
  <c r="MY45" i="8"/>
  <c r="NA45" i="8"/>
  <c r="NB45" i="8"/>
  <c r="NC45" i="8"/>
  <c r="MZ39" i="9" s="1"/>
  <c r="ND45" i="8"/>
  <c r="NE45" i="8"/>
  <c r="NB39" i="9" s="1"/>
  <c r="NF45" i="8"/>
  <c r="NC39" i="9" s="1"/>
  <c r="NH45" i="8"/>
  <c r="NI45" i="8"/>
  <c r="NJ45" i="8"/>
  <c r="NK45" i="8"/>
  <c r="NL45" i="8"/>
  <c r="NI39" i="9" s="1"/>
  <c r="NM45" i="8"/>
  <c r="NJ39" i="9" s="1"/>
  <c r="NO45" i="8"/>
  <c r="NP45" i="8"/>
  <c r="NQ45" i="8"/>
  <c r="NN39" i="9" s="1"/>
  <c r="NR45" i="8"/>
  <c r="NS45" i="8"/>
  <c r="NP39" i="9" s="1"/>
  <c r="NT45" i="8"/>
  <c r="HD46" i="8"/>
  <c r="HA42" i="9" s="1"/>
  <c r="HA43" i="9" s="1"/>
  <c r="HE46" i="8"/>
  <c r="HF46" i="8"/>
  <c r="HC42" i="9" s="1"/>
  <c r="HC43" i="9" s="1"/>
  <c r="HG46" i="8"/>
  <c r="HH46" i="8"/>
  <c r="HJ46" i="8"/>
  <c r="HK46" i="8"/>
  <c r="HL46" i="8"/>
  <c r="HM46" i="8"/>
  <c r="HJ42" i="9" s="1"/>
  <c r="HN46" i="8"/>
  <c r="HO46" i="8"/>
  <c r="HL42" i="9" s="1"/>
  <c r="HQ46" i="8"/>
  <c r="HR46" i="8"/>
  <c r="HS46" i="8"/>
  <c r="HT46" i="8"/>
  <c r="HU46" i="8"/>
  <c r="HV46" i="8"/>
  <c r="HS42" i="9" s="1"/>
  <c r="HX46" i="8"/>
  <c r="HY46" i="8"/>
  <c r="HZ46" i="8"/>
  <c r="IA46" i="8"/>
  <c r="IB46" i="8"/>
  <c r="IC46" i="8"/>
  <c r="IE46" i="8"/>
  <c r="IF46" i="8"/>
  <c r="IC42" i="9" s="1"/>
  <c r="IG46" i="8"/>
  <c r="IH46" i="8"/>
  <c r="IE42" i="9" s="1"/>
  <c r="II46" i="8"/>
  <c r="IJ46" i="8"/>
  <c r="IL46" i="8"/>
  <c r="IM46" i="8"/>
  <c r="IN46" i="8"/>
  <c r="IO46" i="8"/>
  <c r="IL42" i="9" s="1"/>
  <c r="IP46" i="8"/>
  <c r="IQ46" i="8"/>
  <c r="IN42" i="9" s="1"/>
  <c r="IS46" i="8"/>
  <c r="IT46" i="8"/>
  <c r="IU46" i="8"/>
  <c r="IV46" i="8"/>
  <c r="IW46" i="8"/>
  <c r="IX46" i="8"/>
  <c r="IU42" i="9" s="1"/>
  <c r="IZ46" i="8"/>
  <c r="JA46" i="8"/>
  <c r="IX42" i="9" s="1"/>
  <c r="JB46" i="8"/>
  <c r="JC46" i="8"/>
  <c r="JD46" i="8"/>
  <c r="JE46" i="8"/>
  <c r="JB42" i="9" s="1"/>
  <c r="JG46" i="8"/>
  <c r="JH46" i="8"/>
  <c r="JE42" i="9" s="1"/>
  <c r="JI46" i="8"/>
  <c r="JJ46" i="8"/>
  <c r="JG42" i="9" s="1"/>
  <c r="JK46" i="8"/>
  <c r="JL46" i="8"/>
  <c r="JN46" i="8"/>
  <c r="JO46" i="8"/>
  <c r="JP46" i="8"/>
  <c r="JQ46" i="8"/>
  <c r="JN42" i="9" s="1"/>
  <c r="JR46" i="8"/>
  <c r="JS46" i="8"/>
  <c r="JP42" i="9" s="1"/>
  <c r="JU46" i="8"/>
  <c r="JV46" i="8"/>
  <c r="JW46" i="8"/>
  <c r="JX46" i="8"/>
  <c r="JY46" i="8"/>
  <c r="JZ46" i="8"/>
  <c r="JW42" i="9" s="1"/>
  <c r="KB46" i="8"/>
  <c r="KC46" i="8"/>
  <c r="KD46" i="8"/>
  <c r="KE46" i="8"/>
  <c r="KF46" i="8"/>
  <c r="KG46" i="8"/>
  <c r="KI46" i="8"/>
  <c r="KJ46" i="8"/>
  <c r="KG42" i="9" s="1"/>
  <c r="KK46" i="8"/>
  <c r="KL46" i="8"/>
  <c r="KI42" i="9" s="1"/>
  <c r="KM46" i="8"/>
  <c r="KN46" i="8"/>
  <c r="KP46" i="8"/>
  <c r="KQ46" i="8"/>
  <c r="KR46" i="8"/>
  <c r="KS46" i="8"/>
  <c r="KP42" i="9" s="1"/>
  <c r="KT46" i="8"/>
  <c r="KU46" i="8"/>
  <c r="KR42" i="9" s="1"/>
  <c r="KW46" i="8"/>
  <c r="KX46" i="8"/>
  <c r="KY46" i="8"/>
  <c r="KZ46" i="8"/>
  <c r="LA46" i="8"/>
  <c r="LB46" i="8"/>
  <c r="KY42" i="9" s="1"/>
  <c r="LD46" i="8"/>
  <c r="LE46" i="8"/>
  <c r="LB42" i="9" s="1"/>
  <c r="LF46" i="8"/>
  <c r="LG46" i="8"/>
  <c r="LH46" i="8"/>
  <c r="LI46" i="8"/>
  <c r="LF42" i="9" s="1"/>
  <c r="LK46" i="8"/>
  <c r="LL46" i="8"/>
  <c r="LI42" i="9" s="1"/>
  <c r="LM46" i="8"/>
  <c r="LN46" i="8"/>
  <c r="LK42" i="9" s="1"/>
  <c r="LO46" i="8"/>
  <c r="LP46" i="8"/>
  <c r="LR46" i="8"/>
  <c r="LS46" i="8"/>
  <c r="LT46" i="8"/>
  <c r="LU46" i="8"/>
  <c r="LR42" i="9" s="1"/>
  <c r="LV46" i="8"/>
  <c r="LW46" i="8"/>
  <c r="LT42" i="9" s="1"/>
  <c r="LY46" i="8"/>
  <c r="LZ46" i="8"/>
  <c r="MA46" i="8"/>
  <c r="MB46" i="8"/>
  <c r="MC46" i="8"/>
  <c r="MD46" i="8"/>
  <c r="MA42" i="9" s="1"/>
  <c r="MF46" i="8"/>
  <c r="MG46" i="8"/>
  <c r="MH46" i="8"/>
  <c r="MI46" i="8"/>
  <c r="MJ46" i="8"/>
  <c r="MK46" i="8"/>
  <c r="MM46" i="8"/>
  <c r="MN46" i="8"/>
  <c r="MK42" i="9" s="1"/>
  <c r="MO46" i="8"/>
  <c r="ML42" i="9" s="1"/>
  <c r="MP46" i="8"/>
  <c r="MM42" i="9" s="1"/>
  <c r="MQ46" i="8"/>
  <c r="MR46" i="8"/>
  <c r="MT46" i="8"/>
  <c r="MU46" i="8"/>
  <c r="MV46" i="8"/>
  <c r="MW46" i="8"/>
  <c r="MT42" i="9" s="1"/>
  <c r="MX46" i="8"/>
  <c r="MU42" i="9" s="1"/>
  <c r="MY46" i="8"/>
  <c r="MV42" i="9" s="1"/>
  <c r="NA46" i="8"/>
  <c r="NB46" i="8"/>
  <c r="NC46" i="8"/>
  <c r="ND46" i="8"/>
  <c r="NA42" i="9" s="1"/>
  <c r="NE46" i="8"/>
  <c r="NF46" i="8"/>
  <c r="NC42" i="9" s="1"/>
  <c r="NH46" i="8"/>
  <c r="NI46" i="8"/>
  <c r="NF42" i="9" s="1"/>
  <c r="NJ46" i="8"/>
  <c r="NG42" i="9" s="1"/>
  <c r="NK46" i="8"/>
  <c r="NH42" i="9" s="1"/>
  <c r="NL46" i="8"/>
  <c r="NM46" i="8"/>
  <c r="NJ42" i="9" s="1"/>
  <c r="NO46" i="8"/>
  <c r="NP46" i="8"/>
  <c r="NQ46" i="8"/>
  <c r="NN42" i="9" s="1"/>
  <c r="NR46" i="8"/>
  <c r="NO42" i="9" s="1"/>
  <c r="NS46" i="8"/>
  <c r="NP42" i="9" s="1"/>
  <c r="NT46" i="8"/>
  <c r="NQ42" i="9" s="1"/>
  <c r="HD47" i="8"/>
  <c r="HE47" i="8"/>
  <c r="HF47" i="8"/>
  <c r="HG47" i="8"/>
  <c r="HD51" i="9" s="1"/>
  <c r="HD52" i="9" s="1"/>
  <c r="HH47" i="8"/>
  <c r="HJ47" i="8"/>
  <c r="HK47" i="8"/>
  <c r="HL47" i="8"/>
  <c r="HM47" i="8"/>
  <c r="HN47" i="8"/>
  <c r="HO47" i="8"/>
  <c r="HQ47" i="8"/>
  <c r="HR47" i="8"/>
  <c r="HO51" i="9" s="1"/>
  <c r="HS47" i="8"/>
  <c r="HT47" i="8"/>
  <c r="HU47" i="8"/>
  <c r="HV47" i="8"/>
  <c r="HX47" i="8"/>
  <c r="HY47" i="8"/>
  <c r="HZ47" i="8"/>
  <c r="HW51" i="9" s="1"/>
  <c r="HW52" i="9" s="1"/>
  <c r="IA47" i="8"/>
  <c r="HX51" i="9" s="1"/>
  <c r="HX52" i="9" s="1"/>
  <c r="IB47" i="8"/>
  <c r="HY51" i="9" s="1"/>
  <c r="HY52" i="9" s="1"/>
  <c r="IC47" i="8"/>
  <c r="IE47" i="8"/>
  <c r="IF47" i="8"/>
  <c r="IG47" i="8"/>
  <c r="IH47" i="8"/>
  <c r="II47" i="8"/>
  <c r="IF51" i="9" s="1"/>
  <c r="IF52" i="9" s="1"/>
  <c r="IJ47" i="8"/>
  <c r="IG51" i="9" s="1"/>
  <c r="IG52" i="9" s="1"/>
  <c r="IL47" i="8"/>
  <c r="IM47" i="8"/>
  <c r="IN47" i="8"/>
  <c r="IO47" i="8"/>
  <c r="IP47" i="8"/>
  <c r="IQ47" i="8"/>
  <c r="IS47" i="8"/>
  <c r="IT47" i="8"/>
  <c r="IQ51" i="9" s="1"/>
  <c r="IQ52" i="9" s="1"/>
  <c r="IU47" i="8"/>
  <c r="IR51" i="9" s="1"/>
  <c r="IR52" i="9" s="1"/>
  <c r="IV47" i="8"/>
  <c r="IW47" i="8"/>
  <c r="IX47" i="8"/>
  <c r="IZ47" i="8"/>
  <c r="JA47" i="8"/>
  <c r="JB47" i="8"/>
  <c r="JC47" i="8"/>
  <c r="IZ51" i="9" s="1"/>
  <c r="IZ52" i="9" s="1"/>
  <c r="JD47" i="8"/>
  <c r="JA51" i="9" s="1"/>
  <c r="JA52" i="9" s="1"/>
  <c r="JE47" i="8"/>
  <c r="JG47" i="8"/>
  <c r="JH47" i="8"/>
  <c r="JI47" i="8"/>
  <c r="JJ47" i="8"/>
  <c r="JK47" i="8"/>
  <c r="JH51" i="9" s="1"/>
  <c r="JH52" i="9" s="1"/>
  <c r="JL47" i="8"/>
  <c r="JI51" i="9" s="1"/>
  <c r="JI52" i="9" s="1"/>
  <c r="JN47" i="8"/>
  <c r="JO47" i="8"/>
  <c r="JP47" i="8"/>
  <c r="JQ47" i="8"/>
  <c r="JR47" i="8"/>
  <c r="JS47" i="8"/>
  <c r="JU47" i="8"/>
  <c r="JV47" i="8"/>
  <c r="JS51" i="9" s="1"/>
  <c r="JW47" i="8"/>
  <c r="JX47" i="8"/>
  <c r="JY47" i="8"/>
  <c r="JZ47" i="8"/>
  <c r="KB47" i="8"/>
  <c r="KC47" i="8"/>
  <c r="KD47" i="8"/>
  <c r="KA51" i="9" s="1"/>
  <c r="KE47" i="8"/>
  <c r="KB51" i="9" s="1"/>
  <c r="KF47" i="8"/>
  <c r="KC51" i="9" s="1"/>
  <c r="KG47" i="8"/>
  <c r="KI47" i="8"/>
  <c r="KJ47" i="8"/>
  <c r="KK47" i="8"/>
  <c r="KL47" i="8"/>
  <c r="KM47" i="8"/>
  <c r="KJ51" i="9" s="1"/>
  <c r="KN47" i="8"/>
  <c r="KK51" i="9" s="1"/>
  <c r="KP47" i="8"/>
  <c r="KQ47" i="8"/>
  <c r="KR47" i="8"/>
  <c r="KS47" i="8"/>
  <c r="KT47" i="8"/>
  <c r="KU47" i="8"/>
  <c r="KW47" i="8"/>
  <c r="KX47" i="8"/>
  <c r="KU51" i="9" s="1"/>
  <c r="KY47" i="8"/>
  <c r="KV51" i="9" s="1"/>
  <c r="KZ47" i="8"/>
  <c r="LA47" i="8"/>
  <c r="KX51" i="9" s="1"/>
  <c r="LB47" i="8"/>
  <c r="LD47" i="8"/>
  <c r="LE47" i="8"/>
  <c r="LF47" i="8"/>
  <c r="LC51" i="9" s="1"/>
  <c r="LG47" i="8"/>
  <c r="LD51" i="9" s="1"/>
  <c r="LH47" i="8"/>
  <c r="LE51" i="9" s="1"/>
  <c r="LI47" i="8"/>
  <c r="LK47" i="8"/>
  <c r="LL47" i="8"/>
  <c r="LM47" i="8"/>
  <c r="LN47" i="8"/>
  <c r="LO47" i="8"/>
  <c r="LL51" i="9" s="1"/>
  <c r="LP47" i="8"/>
  <c r="LM51" i="9" s="1"/>
  <c r="LR47" i="8"/>
  <c r="LS47" i="8"/>
  <c r="LT47" i="8"/>
  <c r="LQ51" i="9" s="1"/>
  <c r="LU47" i="8"/>
  <c r="LV47" i="8"/>
  <c r="LW47" i="8"/>
  <c r="LY47" i="8"/>
  <c r="LZ47" i="8"/>
  <c r="LW51" i="9" s="1"/>
  <c r="MA47" i="8"/>
  <c r="MB47" i="8"/>
  <c r="MC47" i="8"/>
  <c r="MD47" i="8"/>
  <c r="MF47" i="8"/>
  <c r="MG47" i="8"/>
  <c r="MH47" i="8"/>
  <c r="ME51" i="9" s="1"/>
  <c r="MI47" i="8"/>
  <c r="MF51" i="9" s="1"/>
  <c r="MJ47" i="8"/>
  <c r="MG51" i="9" s="1"/>
  <c r="MK47" i="8"/>
  <c r="MM47" i="8"/>
  <c r="MN47" i="8"/>
  <c r="MO47" i="8"/>
  <c r="MP47" i="8"/>
  <c r="MQ47" i="8"/>
  <c r="MN51" i="9" s="1"/>
  <c r="MR47" i="8"/>
  <c r="MO51" i="9" s="1"/>
  <c r="MT47" i="8"/>
  <c r="MU47" i="8"/>
  <c r="MV47" i="8"/>
  <c r="MW47" i="8"/>
  <c r="MX47" i="8"/>
  <c r="MY47" i="8"/>
  <c r="NA47" i="8"/>
  <c r="NB47" i="8"/>
  <c r="MY51" i="9" s="1"/>
  <c r="NC47" i="8"/>
  <c r="MZ51" i="9" s="1"/>
  <c r="ND47" i="8"/>
  <c r="NA51" i="9" s="1"/>
  <c r="NE47" i="8"/>
  <c r="NB51" i="9" s="1"/>
  <c r="NF47" i="8"/>
  <c r="NH47" i="8"/>
  <c r="NI47" i="8"/>
  <c r="NJ47" i="8"/>
  <c r="NK47" i="8"/>
  <c r="NH51" i="9" s="1"/>
  <c r="NL47" i="8"/>
  <c r="NI51" i="9" s="1"/>
  <c r="NM47" i="8"/>
  <c r="NJ51" i="9" s="1"/>
  <c r="NO47" i="8"/>
  <c r="NP47" i="8"/>
  <c r="NM51" i="9" s="1"/>
  <c r="NQ47" i="8"/>
  <c r="NR47" i="8"/>
  <c r="NS47" i="8"/>
  <c r="NT47" i="8"/>
  <c r="NQ51" i="9" s="1"/>
  <c r="HD48" i="8"/>
  <c r="HE48" i="8"/>
  <c r="HF48" i="8"/>
  <c r="HG48" i="8"/>
  <c r="HH48" i="8"/>
  <c r="HJ48" i="8"/>
  <c r="HK48" i="8"/>
  <c r="HL48" i="8"/>
  <c r="HM48" i="8"/>
  <c r="HN48" i="8"/>
  <c r="HO48" i="8"/>
  <c r="HQ48" i="8"/>
  <c r="HR48" i="8"/>
  <c r="HS48" i="8"/>
  <c r="HT48" i="8"/>
  <c r="HU48" i="8"/>
  <c r="HV48" i="8"/>
  <c r="HX48" i="8"/>
  <c r="HY48" i="8"/>
  <c r="HZ48" i="8"/>
  <c r="IA48" i="8"/>
  <c r="IB48" i="8"/>
  <c r="IC48" i="8"/>
  <c r="IE48" i="8"/>
  <c r="IF48" i="8"/>
  <c r="IG48" i="8"/>
  <c r="IH48" i="8"/>
  <c r="II48" i="8"/>
  <c r="IJ48" i="8"/>
  <c r="IL48" i="8"/>
  <c r="IM48" i="8"/>
  <c r="IN48" i="8"/>
  <c r="IO48" i="8"/>
  <c r="IP48" i="8"/>
  <c r="IQ48" i="8"/>
  <c r="IS48" i="8"/>
  <c r="IT48" i="8"/>
  <c r="IU48" i="8"/>
  <c r="IV48" i="8"/>
  <c r="IW48" i="8"/>
  <c r="IX48" i="8"/>
  <c r="IZ48" i="8"/>
  <c r="JA48" i="8"/>
  <c r="JB48" i="8"/>
  <c r="JC48" i="8"/>
  <c r="JD48" i="8"/>
  <c r="JE48" i="8"/>
  <c r="JG48" i="8"/>
  <c r="JH48" i="8"/>
  <c r="JI48" i="8"/>
  <c r="JJ48" i="8"/>
  <c r="JK48" i="8"/>
  <c r="JL48" i="8"/>
  <c r="JN48" i="8"/>
  <c r="JO48" i="8"/>
  <c r="JP48" i="8"/>
  <c r="JQ48" i="8"/>
  <c r="JR48" i="8"/>
  <c r="JS48" i="8"/>
  <c r="JU48" i="8"/>
  <c r="JV48" i="8"/>
  <c r="JW48" i="8"/>
  <c r="JX48" i="8"/>
  <c r="JY48" i="8"/>
  <c r="JZ48" i="8"/>
  <c r="KB48" i="8"/>
  <c r="KC48" i="8"/>
  <c r="KD48" i="8"/>
  <c r="KE48" i="8"/>
  <c r="KF48" i="8"/>
  <c r="KG48" i="8"/>
  <c r="KI48" i="8"/>
  <c r="KJ48" i="8"/>
  <c r="KK48" i="8"/>
  <c r="KL48" i="8"/>
  <c r="KM48" i="8"/>
  <c r="KN48" i="8"/>
  <c r="KP48" i="8"/>
  <c r="KQ48" i="8"/>
  <c r="KR48" i="8"/>
  <c r="KS48" i="8"/>
  <c r="KT48" i="8"/>
  <c r="KU48" i="8"/>
  <c r="KW48" i="8"/>
  <c r="KX48" i="8"/>
  <c r="KY48" i="8"/>
  <c r="KZ48" i="8"/>
  <c r="LA48" i="8"/>
  <c r="LB48" i="8"/>
  <c r="LD48" i="8"/>
  <c r="LE48" i="8"/>
  <c r="LF48" i="8"/>
  <c r="LG48" i="8"/>
  <c r="LH48" i="8"/>
  <c r="LI48" i="8"/>
  <c r="LK48" i="8"/>
  <c r="LL48" i="8"/>
  <c r="LM48" i="8"/>
  <c r="LN48" i="8"/>
  <c r="LO48" i="8"/>
  <c r="LP48" i="8"/>
  <c r="LR48" i="8"/>
  <c r="LS48" i="8"/>
  <c r="LT48" i="8"/>
  <c r="LU48" i="8"/>
  <c r="LV48" i="8"/>
  <c r="LW48" i="8"/>
  <c r="LY48" i="8"/>
  <c r="LZ48" i="8"/>
  <c r="MA48" i="8"/>
  <c r="MB48" i="8"/>
  <c r="MC48" i="8"/>
  <c r="MD48" i="8"/>
  <c r="MF48" i="8"/>
  <c r="MG48" i="8"/>
  <c r="MH48" i="8"/>
  <c r="MI48" i="8"/>
  <c r="MJ48" i="8"/>
  <c r="MK48" i="8"/>
  <c r="MM48" i="8"/>
  <c r="MN48" i="8"/>
  <c r="MO48" i="8"/>
  <c r="MP48" i="8"/>
  <c r="MQ48" i="8"/>
  <c r="MR48" i="8"/>
  <c r="MT48" i="8"/>
  <c r="MU48" i="8"/>
  <c r="MV48" i="8"/>
  <c r="MW48" i="8"/>
  <c r="MX48" i="8"/>
  <c r="MY48" i="8"/>
  <c r="NA48" i="8"/>
  <c r="NB48" i="8"/>
  <c r="NC48" i="8"/>
  <c r="ND48" i="8"/>
  <c r="NE48" i="8"/>
  <c r="NF48" i="8"/>
  <c r="NH48" i="8"/>
  <c r="NI48" i="8"/>
  <c r="NJ48" i="8"/>
  <c r="NK48" i="8"/>
  <c r="NL48" i="8"/>
  <c r="NM48" i="8"/>
  <c r="NO48" i="8"/>
  <c r="NP48" i="8"/>
  <c r="NQ48" i="8"/>
  <c r="NR48" i="8"/>
  <c r="NS48" i="8"/>
  <c r="NT48" i="8"/>
  <c r="HD49" i="8"/>
  <c r="HE49" i="8"/>
  <c r="HB48" i="9" s="1"/>
  <c r="HF49" i="8"/>
  <c r="HC48" i="9" s="1"/>
  <c r="HG49" i="8"/>
  <c r="HD48" i="9" s="1"/>
  <c r="HH49" i="8"/>
  <c r="HJ49" i="8"/>
  <c r="HK49" i="8"/>
  <c r="HL49" i="8"/>
  <c r="HM49" i="8"/>
  <c r="HN49" i="8"/>
  <c r="HK48" i="9" s="1"/>
  <c r="HO49" i="8"/>
  <c r="HL48" i="9" s="1"/>
  <c r="HQ49" i="8"/>
  <c r="HR49" i="8"/>
  <c r="HS49" i="8"/>
  <c r="HP48" i="9" s="1"/>
  <c r="HP49" i="9" s="1"/>
  <c r="HT49" i="8"/>
  <c r="HQ48" i="9" s="1"/>
  <c r="HQ49" i="9" s="1"/>
  <c r="HU49" i="8"/>
  <c r="HR48" i="9" s="1"/>
  <c r="HR49" i="9" s="1"/>
  <c r="HV49" i="8"/>
  <c r="HS48" i="9" s="1"/>
  <c r="HS49" i="9" s="1"/>
  <c r="HX49" i="8"/>
  <c r="HY49" i="8"/>
  <c r="HZ49" i="8"/>
  <c r="HW48" i="9" s="1"/>
  <c r="HW49" i="9" s="1"/>
  <c r="IA49" i="8"/>
  <c r="HX48" i="9" s="1"/>
  <c r="HX49" i="9" s="1"/>
  <c r="IB49" i="8"/>
  <c r="IC49" i="8"/>
  <c r="IE49" i="8"/>
  <c r="IF49" i="8"/>
  <c r="IG49" i="8"/>
  <c r="ID48" i="9" s="1"/>
  <c r="ID49" i="9" s="1"/>
  <c r="IH49" i="8"/>
  <c r="IE48" i="9" s="1"/>
  <c r="IE49" i="9" s="1"/>
  <c r="II49" i="8"/>
  <c r="IF48" i="9" s="1"/>
  <c r="IF49" i="9" s="1"/>
  <c r="IJ49" i="8"/>
  <c r="IG48" i="9" s="1"/>
  <c r="IG49" i="9" s="1"/>
  <c r="IL49" i="8"/>
  <c r="IM49" i="8"/>
  <c r="IN49" i="8"/>
  <c r="IK48" i="9" s="1"/>
  <c r="IK49" i="9" s="1"/>
  <c r="IO49" i="8"/>
  <c r="IL48" i="9" s="1"/>
  <c r="IL49" i="9" s="1"/>
  <c r="IP49" i="8"/>
  <c r="IM48" i="9" s="1"/>
  <c r="IM49" i="9" s="1"/>
  <c r="IQ49" i="8"/>
  <c r="IN48" i="9" s="1"/>
  <c r="IN49" i="9" s="1"/>
  <c r="IS49" i="8"/>
  <c r="IT49" i="8"/>
  <c r="IU49" i="8"/>
  <c r="IR48" i="9" s="1"/>
  <c r="IR49" i="9" s="1"/>
  <c r="IV49" i="8"/>
  <c r="IW49" i="8"/>
  <c r="IX49" i="8"/>
  <c r="IZ49" i="8"/>
  <c r="JA49" i="8"/>
  <c r="JB49" i="8"/>
  <c r="IY48" i="9" s="1"/>
  <c r="IY49" i="9" s="1"/>
  <c r="JC49" i="8"/>
  <c r="IZ48" i="9" s="1"/>
  <c r="IZ49" i="9" s="1"/>
  <c r="JD49" i="8"/>
  <c r="JA48" i="9" s="1"/>
  <c r="JA49" i="9" s="1"/>
  <c r="JE49" i="8"/>
  <c r="JG49" i="8"/>
  <c r="JH49" i="8"/>
  <c r="JE48" i="9" s="1"/>
  <c r="JE49" i="9" s="1"/>
  <c r="JI49" i="8"/>
  <c r="JJ49" i="8"/>
  <c r="JG48" i="9" s="1"/>
  <c r="JG49" i="9" s="1"/>
  <c r="JK49" i="8"/>
  <c r="JH48" i="9" s="1"/>
  <c r="JH49" i="9" s="1"/>
  <c r="JL49" i="8"/>
  <c r="JI48" i="9" s="1"/>
  <c r="JI49" i="9" s="1"/>
  <c r="JN49" i="8"/>
  <c r="JO49" i="8"/>
  <c r="JP49" i="8"/>
  <c r="JQ49" i="8"/>
  <c r="JN48" i="9" s="1"/>
  <c r="JN49" i="9" s="1"/>
  <c r="JR49" i="8"/>
  <c r="JO48" i="9" s="1"/>
  <c r="JO49" i="9" s="1"/>
  <c r="JS49" i="8"/>
  <c r="JP48" i="9" s="1"/>
  <c r="JP49" i="9" s="1"/>
  <c r="JU49" i="8"/>
  <c r="JV49" i="8"/>
  <c r="JS48" i="9" s="1"/>
  <c r="JS49" i="9" s="1"/>
  <c r="JW49" i="8"/>
  <c r="JT48" i="9" s="1"/>
  <c r="JT49" i="9" s="1"/>
  <c r="JX49" i="8"/>
  <c r="JY49" i="8"/>
  <c r="JV48" i="9" s="1"/>
  <c r="JV49" i="9" s="1"/>
  <c r="JZ49" i="8"/>
  <c r="JW48" i="9" s="1"/>
  <c r="JW49" i="9" s="1"/>
  <c r="KB49" i="8"/>
  <c r="KC49" i="8"/>
  <c r="JZ48" i="9" s="1"/>
  <c r="JZ49" i="9" s="1"/>
  <c r="KD49" i="8"/>
  <c r="KA48" i="9" s="1"/>
  <c r="KA49" i="9" s="1"/>
  <c r="KE49" i="8"/>
  <c r="KB48" i="9" s="1"/>
  <c r="KB49" i="9" s="1"/>
  <c r="KF49" i="8"/>
  <c r="KC48" i="9" s="1"/>
  <c r="KC49" i="9" s="1"/>
  <c r="KG49" i="8"/>
  <c r="KD48" i="9" s="1"/>
  <c r="KD49" i="9" s="1"/>
  <c r="KI49" i="8"/>
  <c r="KJ49" i="8"/>
  <c r="KG48" i="9" s="1"/>
  <c r="KG49" i="9" s="1"/>
  <c r="KK49" i="8"/>
  <c r="KH48" i="9" s="1"/>
  <c r="KH49" i="9" s="1"/>
  <c r="KL49" i="8"/>
  <c r="KI48" i="9" s="1"/>
  <c r="KI49" i="9" s="1"/>
  <c r="KM49" i="8"/>
  <c r="KN49" i="8"/>
  <c r="KK48" i="9" s="1"/>
  <c r="KK49" i="9" s="1"/>
  <c r="KP49" i="8"/>
  <c r="KQ49" i="8"/>
  <c r="KR49" i="8"/>
  <c r="KS49" i="8"/>
  <c r="KT49" i="8"/>
  <c r="KQ48" i="9" s="1"/>
  <c r="KQ49" i="9" s="1"/>
  <c r="KU49" i="8"/>
  <c r="KR48" i="9" s="1"/>
  <c r="KR49" i="9" s="1"/>
  <c r="KW49" i="8"/>
  <c r="KX49" i="8"/>
  <c r="KY49" i="8"/>
  <c r="KV48" i="9" s="1"/>
  <c r="KZ49" i="8"/>
  <c r="KW48" i="9" s="1"/>
  <c r="LA49" i="8"/>
  <c r="KX48" i="9" s="1"/>
  <c r="LB49" i="8"/>
  <c r="KY48" i="9" s="1"/>
  <c r="LD49" i="8"/>
  <c r="LE49" i="8"/>
  <c r="LF49" i="8"/>
  <c r="LC48" i="9" s="1"/>
  <c r="LG49" i="8"/>
  <c r="LD48" i="9" s="1"/>
  <c r="LH49" i="8"/>
  <c r="LE48" i="9" s="1"/>
  <c r="LI49" i="8"/>
  <c r="LK49" i="8"/>
  <c r="LL49" i="8"/>
  <c r="LM49" i="8"/>
  <c r="LJ48" i="9" s="1"/>
  <c r="LN49" i="8"/>
  <c r="LK48" i="9" s="1"/>
  <c r="LO49" i="8"/>
  <c r="LL48" i="9" s="1"/>
  <c r="LP49" i="8"/>
  <c r="LR49" i="8"/>
  <c r="LS49" i="8"/>
  <c r="LT49" i="8"/>
  <c r="LQ48" i="9" s="1"/>
  <c r="LU49" i="8"/>
  <c r="LR48" i="9" s="1"/>
  <c r="LV49" i="8"/>
  <c r="LS48" i="9" s="1"/>
  <c r="LW49" i="8"/>
  <c r="LT48" i="9" s="1"/>
  <c r="LY49" i="8"/>
  <c r="LZ49" i="8"/>
  <c r="LW48" i="9" s="1"/>
  <c r="MA49" i="8"/>
  <c r="LX48" i="9" s="1"/>
  <c r="MB49" i="8"/>
  <c r="LY48" i="9" s="1"/>
  <c r="MC49" i="8"/>
  <c r="LZ48" i="9" s="1"/>
  <c r="MD49" i="8"/>
  <c r="MF49" i="8"/>
  <c r="MG49" i="8"/>
  <c r="MH49" i="8"/>
  <c r="ME48" i="9" s="1"/>
  <c r="MI49" i="8"/>
  <c r="MF48" i="9" s="1"/>
  <c r="MJ49" i="8"/>
  <c r="MG48" i="9" s="1"/>
  <c r="MK49" i="8"/>
  <c r="MH48" i="9" s="1"/>
  <c r="MM49" i="8"/>
  <c r="MN49" i="8"/>
  <c r="MO49" i="8"/>
  <c r="MP49" i="8"/>
  <c r="MM48" i="9" s="1"/>
  <c r="MQ49" i="8"/>
  <c r="MN48" i="9" s="1"/>
  <c r="MR49" i="8"/>
  <c r="MO48" i="9" s="1"/>
  <c r="MT49" i="8"/>
  <c r="MU49" i="8"/>
  <c r="MV49" i="8"/>
  <c r="MS48" i="9" s="1"/>
  <c r="MW49" i="8"/>
  <c r="MX49" i="8"/>
  <c r="MU48" i="9" s="1"/>
  <c r="MY49" i="8"/>
  <c r="MV48" i="9" s="1"/>
  <c r="NA49" i="8"/>
  <c r="NB49" i="8"/>
  <c r="MY48" i="9" s="1"/>
  <c r="NC49" i="8"/>
  <c r="MZ48" i="9" s="1"/>
  <c r="ND49" i="8"/>
  <c r="NA48" i="9" s="1"/>
  <c r="NE49" i="8"/>
  <c r="NF49" i="8"/>
  <c r="NH49" i="8"/>
  <c r="NI49" i="8"/>
  <c r="NJ49" i="8"/>
  <c r="NG48" i="9" s="1"/>
  <c r="NK49" i="8"/>
  <c r="NH48" i="9" s="1"/>
  <c r="NL49" i="8"/>
  <c r="NI48" i="9" s="1"/>
  <c r="NM49" i="8"/>
  <c r="NJ48" i="9" s="1"/>
  <c r="NO49" i="8"/>
  <c r="NP49" i="8"/>
  <c r="NM48" i="9" s="1"/>
  <c r="NQ49" i="8"/>
  <c r="NR49" i="8"/>
  <c r="NO48" i="9" s="1"/>
  <c r="NS49" i="8"/>
  <c r="NP48" i="9" s="1"/>
  <c r="NT49" i="8"/>
  <c r="NQ48" i="9" s="1"/>
  <c r="NQ52" i="9"/>
  <c r="NP52" i="9"/>
  <c r="NO52" i="9"/>
  <c r="NN52" i="9"/>
  <c r="NM52" i="9"/>
  <c r="NJ52" i="9"/>
  <c r="NI52" i="9"/>
  <c r="NH52" i="9"/>
  <c r="NG52" i="9"/>
  <c r="NF52" i="9"/>
  <c r="NC52" i="9"/>
  <c r="NB52" i="9"/>
  <c r="NA52" i="9"/>
  <c r="MZ52" i="9"/>
  <c r="MY52" i="9"/>
  <c r="MV52" i="9"/>
  <c r="MU52" i="9"/>
  <c r="MT52" i="9"/>
  <c r="MS52" i="9"/>
  <c r="MR52" i="9"/>
  <c r="MO52" i="9"/>
  <c r="MN52" i="9"/>
  <c r="MM52" i="9"/>
  <c r="ML52" i="9"/>
  <c r="MK52" i="9"/>
  <c r="MH52" i="9"/>
  <c r="MG52" i="9"/>
  <c r="MF52" i="9"/>
  <c r="ME52" i="9"/>
  <c r="MD52" i="9"/>
  <c r="MA52" i="9"/>
  <c r="LZ52" i="9"/>
  <c r="LY52" i="9"/>
  <c r="LX52" i="9"/>
  <c r="LW52" i="9"/>
  <c r="LT52" i="9"/>
  <c r="LS52" i="9"/>
  <c r="LR52" i="9"/>
  <c r="LQ52" i="9"/>
  <c r="LP52" i="9"/>
  <c r="LM52" i="9"/>
  <c r="LL52" i="9"/>
  <c r="LK52" i="9"/>
  <c r="LJ52" i="9"/>
  <c r="LI52" i="9"/>
  <c r="LF52" i="9"/>
  <c r="LE52" i="9"/>
  <c r="LD52" i="9"/>
  <c r="LC52" i="9"/>
  <c r="LB52" i="9"/>
  <c r="KY52" i="9"/>
  <c r="KX52" i="9"/>
  <c r="KW52" i="9"/>
  <c r="KV52" i="9"/>
  <c r="KU52" i="9"/>
  <c r="KR52" i="9"/>
  <c r="KQ52" i="9"/>
  <c r="KP52" i="9"/>
  <c r="KO52" i="9"/>
  <c r="KN52" i="9"/>
  <c r="KK52" i="9"/>
  <c r="KJ52" i="9"/>
  <c r="KI52" i="9"/>
  <c r="KH52" i="9"/>
  <c r="KG52" i="9"/>
  <c r="KD52" i="9"/>
  <c r="KC52" i="9"/>
  <c r="KB52" i="9"/>
  <c r="KA52" i="9"/>
  <c r="JZ52" i="9"/>
  <c r="JW52" i="9"/>
  <c r="JV52" i="9"/>
  <c r="JU52" i="9"/>
  <c r="JT52" i="9"/>
  <c r="JS52" i="9"/>
  <c r="JP52" i="9"/>
  <c r="JO52" i="9"/>
  <c r="JN52" i="9"/>
  <c r="JM52" i="9"/>
  <c r="JL52" i="9"/>
  <c r="HP52" i="9"/>
  <c r="HO52" i="9"/>
  <c r="HE52" i="9"/>
  <c r="NO51" i="9"/>
  <c r="NN51" i="9"/>
  <c r="NF51" i="9"/>
  <c r="NC51" i="9"/>
  <c r="MV51" i="9"/>
  <c r="MU51" i="9"/>
  <c r="MT51" i="9"/>
  <c r="MS51" i="9"/>
  <c r="MR51" i="9"/>
  <c r="MM51" i="9"/>
  <c r="ML51" i="9"/>
  <c r="MK51" i="9"/>
  <c r="MH51" i="9"/>
  <c r="MD51" i="9"/>
  <c r="MA51" i="9"/>
  <c r="LZ51" i="9"/>
  <c r="LY51" i="9"/>
  <c r="LT51" i="9"/>
  <c r="LS51" i="9"/>
  <c r="LR51" i="9"/>
  <c r="LP51" i="9"/>
  <c r="LK51" i="9"/>
  <c r="LJ51" i="9"/>
  <c r="LI51" i="9"/>
  <c r="LF51" i="9"/>
  <c r="LB51" i="9"/>
  <c r="KY51" i="9"/>
  <c r="KW51" i="9"/>
  <c r="KR51" i="9"/>
  <c r="KQ51" i="9"/>
  <c r="KP51" i="9"/>
  <c r="KO51" i="9"/>
  <c r="KN51" i="9"/>
  <c r="KI51" i="9"/>
  <c r="KH51" i="9"/>
  <c r="KG51" i="9"/>
  <c r="KD51" i="9"/>
  <c r="JZ51" i="9"/>
  <c r="JW51" i="9"/>
  <c r="JV51" i="9"/>
  <c r="JU51" i="9"/>
  <c r="JP51" i="9"/>
  <c r="JO51" i="9"/>
  <c r="JN51" i="9"/>
  <c r="JM51" i="9"/>
  <c r="JL51" i="9"/>
  <c r="JG51" i="9"/>
  <c r="JG52" i="9" s="1"/>
  <c r="JF51" i="9"/>
  <c r="JF52" i="9" s="1"/>
  <c r="JE51" i="9"/>
  <c r="JE52" i="9" s="1"/>
  <c r="JB51" i="9"/>
  <c r="JB52" i="9" s="1"/>
  <c r="IY51" i="9"/>
  <c r="IY52" i="9" s="1"/>
  <c r="IX51" i="9"/>
  <c r="IX52" i="9" s="1"/>
  <c r="IU51" i="9"/>
  <c r="IU52" i="9" s="1"/>
  <c r="IT51" i="9"/>
  <c r="IT52" i="9" s="1"/>
  <c r="IS51" i="9"/>
  <c r="IS52" i="9" s="1"/>
  <c r="IN51" i="9"/>
  <c r="IN52" i="9" s="1"/>
  <c r="IM51" i="9"/>
  <c r="IM52" i="9" s="1"/>
  <c r="IL51" i="9"/>
  <c r="IL52" i="9" s="1"/>
  <c r="IK51" i="9"/>
  <c r="IK52" i="9" s="1"/>
  <c r="IJ51" i="9"/>
  <c r="IJ52" i="9" s="1"/>
  <c r="IE51" i="9"/>
  <c r="IE52" i="9" s="1"/>
  <c r="ID51" i="9"/>
  <c r="ID52" i="9" s="1"/>
  <c r="IC51" i="9"/>
  <c r="IC52" i="9" s="1"/>
  <c r="HZ51" i="9"/>
  <c r="HZ52" i="9" s="1"/>
  <c r="HV51" i="9"/>
  <c r="HV52" i="9" s="1"/>
  <c r="HS51" i="9"/>
  <c r="HS52" i="9" s="1"/>
  <c r="HR51" i="9"/>
  <c r="HR52" i="9" s="1"/>
  <c r="HQ51" i="9"/>
  <c r="HQ52" i="9" s="1"/>
  <c r="HL51" i="9"/>
  <c r="HL52" i="9" s="1"/>
  <c r="HK51" i="9"/>
  <c r="HK52" i="9" s="1"/>
  <c r="HJ51" i="9"/>
  <c r="HJ52" i="9" s="1"/>
  <c r="HI51" i="9"/>
  <c r="HI52" i="9" s="1"/>
  <c r="HH51" i="9"/>
  <c r="HH52" i="9" s="1"/>
  <c r="HE51" i="9"/>
  <c r="HC51" i="9"/>
  <c r="HC52" i="9" s="1"/>
  <c r="HB51" i="9"/>
  <c r="HB52" i="9" s="1"/>
  <c r="HA51" i="9"/>
  <c r="HA52" i="9" s="1"/>
  <c r="NR50" i="9"/>
  <c r="NK50" i="9"/>
  <c r="ND50" i="9"/>
  <c r="MW50" i="9"/>
  <c r="MP50" i="9"/>
  <c r="MI50" i="9"/>
  <c r="MB50" i="9"/>
  <c r="LU50" i="9"/>
  <c r="LN50" i="9"/>
  <c r="LG50" i="9"/>
  <c r="KZ50" i="9"/>
  <c r="KS50" i="9"/>
  <c r="KL50" i="9"/>
  <c r="KE50" i="9"/>
  <c r="JX50" i="9"/>
  <c r="JQ50" i="9"/>
  <c r="JJ50" i="9"/>
  <c r="JC50" i="9"/>
  <c r="IV50" i="9"/>
  <c r="IO50" i="9"/>
  <c r="IH50" i="9"/>
  <c r="IA50" i="9"/>
  <c r="HT50" i="9"/>
  <c r="HM50" i="9"/>
  <c r="HF50" i="9"/>
  <c r="NQ49" i="9"/>
  <c r="NP49" i="9"/>
  <c r="NO49" i="9"/>
  <c r="NN49" i="9"/>
  <c r="NM49" i="9"/>
  <c r="NJ49" i="9"/>
  <c r="NI49" i="9"/>
  <c r="NH49" i="9"/>
  <c r="NG49" i="9"/>
  <c r="NF49" i="9"/>
  <c r="NC49" i="9"/>
  <c r="NB49" i="9"/>
  <c r="NA49" i="9"/>
  <c r="MZ49" i="9"/>
  <c r="MY49" i="9"/>
  <c r="MV49" i="9"/>
  <c r="MU49" i="9"/>
  <c r="MT49" i="9"/>
  <c r="MS49" i="9"/>
  <c r="MR49" i="9"/>
  <c r="MO49" i="9"/>
  <c r="MN49" i="9"/>
  <c r="MM49" i="9"/>
  <c r="ML49" i="9"/>
  <c r="MK49" i="9"/>
  <c r="MH49" i="9"/>
  <c r="MG49" i="9"/>
  <c r="MF49" i="9"/>
  <c r="ME49" i="9"/>
  <c r="MD49" i="9"/>
  <c r="MA49" i="9"/>
  <c r="LZ49" i="9"/>
  <c r="LY49" i="9"/>
  <c r="LX49" i="9"/>
  <c r="LW49" i="9"/>
  <c r="LT49" i="9"/>
  <c r="LS49" i="9"/>
  <c r="LR49" i="9"/>
  <c r="LQ49" i="9"/>
  <c r="LP49" i="9"/>
  <c r="LM49" i="9"/>
  <c r="LL49" i="9"/>
  <c r="LK49" i="9"/>
  <c r="LJ49" i="9"/>
  <c r="LI49" i="9"/>
  <c r="LF49" i="9"/>
  <c r="LE49" i="9"/>
  <c r="LD49" i="9"/>
  <c r="LC49" i="9"/>
  <c r="LB49" i="9"/>
  <c r="KY49" i="9"/>
  <c r="KX49" i="9"/>
  <c r="KW49" i="9"/>
  <c r="KV49" i="9"/>
  <c r="KU49" i="9"/>
  <c r="HL49" i="9"/>
  <c r="HK49" i="9"/>
  <c r="HE49" i="9"/>
  <c r="HD49" i="9"/>
  <c r="HC49" i="9"/>
  <c r="HB49" i="9"/>
  <c r="HA49" i="9"/>
  <c r="NC48" i="9"/>
  <c r="NB48" i="9"/>
  <c r="MT48" i="9"/>
  <c r="ML48" i="9"/>
  <c r="MK48" i="9"/>
  <c r="MA48" i="9"/>
  <c r="LM48" i="9"/>
  <c r="LI48" i="9"/>
  <c r="LF48" i="9"/>
  <c r="KU48" i="9"/>
  <c r="KP48" i="9"/>
  <c r="KP49" i="9" s="1"/>
  <c r="KO48" i="9"/>
  <c r="KO49" i="9" s="1"/>
  <c r="JU48" i="9"/>
  <c r="JU49" i="9" s="1"/>
  <c r="JM48" i="9"/>
  <c r="JM49" i="9" s="1"/>
  <c r="JF48" i="9"/>
  <c r="JF49" i="9" s="1"/>
  <c r="JB48" i="9"/>
  <c r="JB49" i="9" s="1"/>
  <c r="IU48" i="9"/>
  <c r="IU49" i="9" s="1"/>
  <c r="IT48" i="9"/>
  <c r="IT49" i="9" s="1"/>
  <c r="IS48" i="9"/>
  <c r="IS49" i="9" s="1"/>
  <c r="IQ48" i="9"/>
  <c r="IQ49" i="9" s="1"/>
  <c r="IC48" i="9"/>
  <c r="IC49" i="9" s="1"/>
  <c r="HZ48" i="9"/>
  <c r="HZ49" i="9" s="1"/>
  <c r="HY48" i="9"/>
  <c r="HY49" i="9" s="1"/>
  <c r="HV48" i="9"/>
  <c r="HV49" i="9" s="1"/>
  <c r="HO48" i="9"/>
  <c r="HO49" i="9" s="1"/>
  <c r="HJ48" i="9"/>
  <c r="HJ49" i="9" s="1"/>
  <c r="HI48" i="9"/>
  <c r="HI49" i="9" s="1"/>
  <c r="HE48" i="9"/>
  <c r="HA48" i="9"/>
  <c r="NR47" i="9"/>
  <c r="NK47" i="9"/>
  <c r="ND47" i="9"/>
  <c r="MW47" i="9"/>
  <c r="MP47" i="9"/>
  <c r="MI47" i="9"/>
  <c r="MB47" i="9"/>
  <c r="LU47" i="9"/>
  <c r="LN47" i="9"/>
  <c r="LG47" i="9"/>
  <c r="KZ47" i="9"/>
  <c r="KS47" i="9"/>
  <c r="KL47" i="9"/>
  <c r="KE47" i="9"/>
  <c r="JX47" i="9"/>
  <c r="JQ47" i="9"/>
  <c r="JJ47" i="9"/>
  <c r="JC47" i="9"/>
  <c r="IV47" i="9"/>
  <c r="IO47" i="9"/>
  <c r="IH47" i="9"/>
  <c r="IA47" i="9"/>
  <c r="HT47" i="9"/>
  <c r="HM47" i="9"/>
  <c r="HF47" i="9"/>
  <c r="NQ46" i="9"/>
  <c r="NP46" i="9"/>
  <c r="NO46" i="9"/>
  <c r="NN46" i="9"/>
  <c r="NM46" i="9"/>
  <c r="NJ46" i="9"/>
  <c r="NI46" i="9"/>
  <c r="NH46" i="9"/>
  <c r="NG46" i="9"/>
  <c r="NF46" i="9"/>
  <c r="NC46" i="9"/>
  <c r="NB46" i="9"/>
  <c r="NA46" i="9"/>
  <c r="MZ46" i="9"/>
  <c r="MY46" i="9"/>
  <c r="MV46" i="9"/>
  <c r="MU46" i="9"/>
  <c r="MT46" i="9"/>
  <c r="MS46" i="9"/>
  <c r="MR46" i="9"/>
  <c r="MO46" i="9"/>
  <c r="MN46" i="9"/>
  <c r="MM46" i="9"/>
  <c r="ML46" i="9"/>
  <c r="MK46" i="9"/>
  <c r="MH46" i="9"/>
  <c r="MG46" i="9"/>
  <c r="MF46" i="9"/>
  <c r="ME46" i="9"/>
  <c r="MD46" i="9"/>
  <c r="MA46" i="9"/>
  <c r="LZ46" i="9"/>
  <c r="LY46" i="9"/>
  <c r="LX46" i="9"/>
  <c r="LW46" i="9"/>
  <c r="LT46" i="9"/>
  <c r="LS46" i="9"/>
  <c r="LR46" i="9"/>
  <c r="LQ46" i="9"/>
  <c r="LP46" i="9"/>
  <c r="LM46" i="9"/>
  <c r="LL46" i="9"/>
  <c r="LK46" i="9"/>
  <c r="LJ46" i="9"/>
  <c r="LI46" i="9"/>
  <c r="LF46" i="9"/>
  <c r="LE46" i="9"/>
  <c r="LD46" i="9"/>
  <c r="LC46" i="9"/>
  <c r="LB46" i="9"/>
  <c r="KY46" i="9"/>
  <c r="KX46" i="9"/>
  <c r="KW46" i="9"/>
  <c r="KV46" i="9"/>
  <c r="KU46" i="9"/>
  <c r="KR46" i="9"/>
  <c r="KQ46" i="9"/>
  <c r="KP46" i="9"/>
  <c r="KO46" i="9"/>
  <c r="KN46" i="9"/>
  <c r="KK46" i="9"/>
  <c r="KJ46" i="9"/>
  <c r="KI46" i="9"/>
  <c r="KH46" i="9"/>
  <c r="KG46" i="9"/>
  <c r="KD46" i="9"/>
  <c r="KC46" i="9"/>
  <c r="KB46" i="9"/>
  <c r="KA46" i="9"/>
  <c r="JZ46" i="9"/>
  <c r="HR46" i="9"/>
  <c r="HQ46" i="9"/>
  <c r="HI46" i="9"/>
  <c r="HH46" i="9"/>
  <c r="NR44" i="9"/>
  <c r="NK44" i="9"/>
  <c r="ND44" i="9"/>
  <c r="MW44" i="9"/>
  <c r="MP44" i="9"/>
  <c r="MI44" i="9"/>
  <c r="MB44" i="9"/>
  <c r="LU44" i="9"/>
  <c r="LN44" i="9"/>
  <c r="LG44" i="9"/>
  <c r="KZ44" i="9"/>
  <c r="KS44" i="9"/>
  <c r="KL44" i="9"/>
  <c r="KE44" i="9"/>
  <c r="JX44" i="9"/>
  <c r="JQ44" i="9"/>
  <c r="JJ44" i="9"/>
  <c r="JC44" i="9"/>
  <c r="IV44" i="9"/>
  <c r="IO44" i="9"/>
  <c r="IH44" i="9"/>
  <c r="IA44" i="9"/>
  <c r="HT44" i="9"/>
  <c r="HM44" i="9"/>
  <c r="HF44" i="9"/>
  <c r="NQ43" i="9"/>
  <c r="NP43" i="9"/>
  <c r="NO43" i="9"/>
  <c r="NN43" i="9"/>
  <c r="NM43" i="9"/>
  <c r="NJ43" i="9"/>
  <c r="NI43" i="9"/>
  <c r="NH43" i="9"/>
  <c r="NG43" i="9"/>
  <c r="NF43" i="9"/>
  <c r="NC43" i="9"/>
  <c r="NB43" i="9"/>
  <c r="NA43" i="9"/>
  <c r="MZ43" i="9"/>
  <c r="MY43" i="9"/>
  <c r="MV43" i="9"/>
  <c r="MU43" i="9"/>
  <c r="MT43" i="9"/>
  <c r="MS43" i="9"/>
  <c r="MR43" i="9"/>
  <c r="MO43" i="9"/>
  <c r="MN43" i="9"/>
  <c r="MM43" i="9"/>
  <c r="ML43" i="9"/>
  <c r="MK43" i="9"/>
  <c r="MH43" i="9"/>
  <c r="MG43" i="9"/>
  <c r="MF43" i="9"/>
  <c r="ME43" i="9"/>
  <c r="MD43" i="9"/>
  <c r="MA43" i="9"/>
  <c r="LZ43" i="9"/>
  <c r="LY43" i="9"/>
  <c r="LX43" i="9"/>
  <c r="LW43" i="9"/>
  <c r="LT43" i="9"/>
  <c r="LS43" i="9"/>
  <c r="LR43" i="9"/>
  <c r="LQ43" i="9"/>
  <c r="LP43" i="9"/>
  <c r="LM43" i="9"/>
  <c r="LL43" i="9"/>
  <c r="LK43" i="9"/>
  <c r="LJ43" i="9"/>
  <c r="LI43" i="9"/>
  <c r="LF43" i="9"/>
  <c r="LE43" i="9"/>
  <c r="LD43" i="9"/>
  <c r="LC43" i="9"/>
  <c r="LB43" i="9"/>
  <c r="KY43" i="9"/>
  <c r="KX43" i="9"/>
  <c r="KW43" i="9"/>
  <c r="KV43" i="9"/>
  <c r="KU43" i="9"/>
  <c r="KR43" i="9"/>
  <c r="KQ43" i="9"/>
  <c r="KP43" i="9"/>
  <c r="KO43" i="9"/>
  <c r="KN43" i="9"/>
  <c r="KK43" i="9"/>
  <c r="KJ43" i="9"/>
  <c r="KI43" i="9"/>
  <c r="KH43" i="9"/>
  <c r="KG43" i="9"/>
  <c r="KD43" i="9"/>
  <c r="KC43" i="9"/>
  <c r="KB43" i="9"/>
  <c r="KA43" i="9"/>
  <c r="JZ43" i="9"/>
  <c r="JW43" i="9"/>
  <c r="JV43" i="9"/>
  <c r="JU43" i="9"/>
  <c r="JT43" i="9"/>
  <c r="JS43" i="9"/>
  <c r="JP43" i="9"/>
  <c r="JO43" i="9"/>
  <c r="JN43" i="9"/>
  <c r="JM43" i="9"/>
  <c r="JL43" i="9"/>
  <c r="JI43" i="9"/>
  <c r="JH43" i="9"/>
  <c r="JG43" i="9"/>
  <c r="JF43" i="9"/>
  <c r="JE43" i="9"/>
  <c r="JB43" i="9"/>
  <c r="JA43" i="9"/>
  <c r="IZ43" i="9"/>
  <c r="IY43" i="9"/>
  <c r="IX43" i="9"/>
  <c r="IU43" i="9"/>
  <c r="IT43" i="9"/>
  <c r="IS43" i="9"/>
  <c r="IR43" i="9"/>
  <c r="IQ43" i="9"/>
  <c r="IN43" i="9"/>
  <c r="IM43" i="9"/>
  <c r="IL43" i="9"/>
  <c r="IK43" i="9"/>
  <c r="IJ43" i="9"/>
  <c r="IG43" i="9"/>
  <c r="IF43" i="9"/>
  <c r="IE43" i="9"/>
  <c r="ID43" i="9"/>
  <c r="IC43" i="9"/>
  <c r="HZ43" i="9"/>
  <c r="HY43" i="9"/>
  <c r="HX43" i="9"/>
  <c r="HW43" i="9"/>
  <c r="HV43" i="9"/>
  <c r="HS43" i="9"/>
  <c r="HR43" i="9"/>
  <c r="HQ43" i="9"/>
  <c r="HP43" i="9"/>
  <c r="HO43" i="9"/>
  <c r="HL43" i="9"/>
  <c r="HK43" i="9"/>
  <c r="HJ43" i="9"/>
  <c r="HI43" i="9"/>
  <c r="HH43" i="9"/>
  <c r="HE43" i="9"/>
  <c r="HD43" i="9"/>
  <c r="NM42" i="9"/>
  <c r="NI42" i="9"/>
  <c r="NB42" i="9"/>
  <c r="MZ42" i="9"/>
  <c r="MS42" i="9"/>
  <c r="MR42" i="9"/>
  <c r="MO42" i="9"/>
  <c r="MN42" i="9"/>
  <c r="MH42" i="9"/>
  <c r="MG42" i="9"/>
  <c r="MF42" i="9"/>
  <c r="ME42" i="9"/>
  <c r="LZ42" i="9"/>
  <c r="LY42" i="9"/>
  <c r="LX42" i="9"/>
  <c r="LW42" i="9"/>
  <c r="LS42" i="9"/>
  <c r="LQ42" i="9"/>
  <c r="LP42" i="9"/>
  <c r="LM42" i="9"/>
  <c r="LL42" i="9"/>
  <c r="LJ42" i="9"/>
  <c r="LE42" i="9"/>
  <c r="LD42" i="9"/>
  <c r="LC42" i="9"/>
  <c r="KX42" i="9"/>
  <c r="KW42" i="9"/>
  <c r="KV42" i="9"/>
  <c r="KU42" i="9"/>
  <c r="KQ42" i="9"/>
  <c r="KO42" i="9"/>
  <c r="KN42" i="9"/>
  <c r="KK42" i="9"/>
  <c r="KJ42" i="9"/>
  <c r="KH42" i="9"/>
  <c r="KD42" i="9"/>
  <c r="KC42" i="9"/>
  <c r="KB42" i="9"/>
  <c r="KA42" i="9"/>
  <c r="JV42" i="9"/>
  <c r="JU42" i="9"/>
  <c r="JT42" i="9"/>
  <c r="JS42" i="9"/>
  <c r="JO42" i="9"/>
  <c r="JM42" i="9"/>
  <c r="JL42" i="9"/>
  <c r="JI42" i="9"/>
  <c r="JH42" i="9"/>
  <c r="JF42" i="9"/>
  <c r="JA42" i="9"/>
  <c r="IZ42" i="9"/>
  <c r="IY42" i="9"/>
  <c r="IT42" i="9"/>
  <c r="IS42" i="9"/>
  <c r="IR42" i="9"/>
  <c r="IQ42" i="9"/>
  <c r="IM42" i="9"/>
  <c r="IK42" i="9"/>
  <c r="IJ42" i="9"/>
  <c r="IG42" i="9"/>
  <c r="IF42" i="9"/>
  <c r="ID42" i="9"/>
  <c r="HZ42" i="9"/>
  <c r="HY42" i="9"/>
  <c r="HX42" i="9"/>
  <c r="HW42" i="9"/>
  <c r="HR42" i="9"/>
  <c r="HQ42" i="9"/>
  <c r="HP42" i="9"/>
  <c r="HO42" i="9"/>
  <c r="HK42" i="9"/>
  <c r="HI42" i="9"/>
  <c r="HH42" i="9"/>
  <c r="HE42" i="9"/>
  <c r="HD42" i="9"/>
  <c r="HB42" i="9"/>
  <c r="HB43" i="9" s="1"/>
  <c r="NR41" i="9"/>
  <c r="NK41" i="9"/>
  <c r="ND41" i="9"/>
  <c r="MW41" i="9"/>
  <c r="MP41" i="9"/>
  <c r="MI41" i="9"/>
  <c r="MB41" i="9"/>
  <c r="LU41" i="9"/>
  <c r="LN41" i="9"/>
  <c r="LG41" i="9"/>
  <c r="KZ41" i="9"/>
  <c r="KS41" i="9"/>
  <c r="KL41" i="9"/>
  <c r="KE41" i="9"/>
  <c r="JX41" i="9"/>
  <c r="JQ41" i="9"/>
  <c r="JJ41" i="9"/>
  <c r="JC41" i="9"/>
  <c r="IV41" i="9"/>
  <c r="IO41" i="9"/>
  <c r="IH41" i="9"/>
  <c r="IA41" i="9"/>
  <c r="HT41" i="9"/>
  <c r="HM41" i="9"/>
  <c r="HF41" i="9"/>
  <c r="NQ40" i="9"/>
  <c r="NP40" i="9"/>
  <c r="NO40" i="9"/>
  <c r="NN40" i="9"/>
  <c r="NM40" i="9"/>
  <c r="NJ40" i="9"/>
  <c r="NI40" i="9"/>
  <c r="NH40" i="9"/>
  <c r="NG40" i="9"/>
  <c r="NF40" i="9"/>
  <c r="NC40" i="9"/>
  <c r="NB40" i="9"/>
  <c r="NA40" i="9"/>
  <c r="MZ40" i="9"/>
  <c r="MY40" i="9"/>
  <c r="MV40" i="9"/>
  <c r="MU40" i="9"/>
  <c r="MT40" i="9"/>
  <c r="MS40" i="9"/>
  <c r="MR40" i="9"/>
  <c r="MO40" i="9"/>
  <c r="MN40" i="9"/>
  <c r="MM40" i="9"/>
  <c r="ML40" i="9"/>
  <c r="MK40" i="9"/>
  <c r="MH40" i="9"/>
  <c r="MG40" i="9"/>
  <c r="MF40" i="9"/>
  <c r="ME40" i="9"/>
  <c r="MD40" i="9"/>
  <c r="MA40" i="9"/>
  <c r="LZ40" i="9"/>
  <c r="LY40" i="9"/>
  <c r="LX40" i="9"/>
  <c r="LW40" i="9"/>
  <c r="LT40" i="9"/>
  <c r="LS40" i="9"/>
  <c r="LR40" i="9"/>
  <c r="LQ40" i="9"/>
  <c r="LP40" i="9"/>
  <c r="LM40" i="9"/>
  <c r="LL40" i="9"/>
  <c r="LK40" i="9"/>
  <c r="LJ40" i="9"/>
  <c r="LI40" i="9"/>
  <c r="LF40" i="9"/>
  <c r="LE40" i="9"/>
  <c r="LD40" i="9"/>
  <c r="LC40" i="9"/>
  <c r="LB40" i="9"/>
  <c r="KY40" i="9"/>
  <c r="KX40" i="9"/>
  <c r="KW40" i="9"/>
  <c r="KV40" i="9"/>
  <c r="KU40" i="9"/>
  <c r="KR40" i="9"/>
  <c r="KQ40" i="9"/>
  <c r="KP40" i="9"/>
  <c r="KO40" i="9"/>
  <c r="KN40" i="9"/>
  <c r="KK40" i="9"/>
  <c r="KJ40" i="9"/>
  <c r="KI40" i="9"/>
  <c r="KH40" i="9"/>
  <c r="KG40" i="9"/>
  <c r="KD40" i="9"/>
  <c r="KC40" i="9"/>
  <c r="KB40" i="9"/>
  <c r="KA40" i="9"/>
  <c r="JZ40" i="9"/>
  <c r="JW40" i="9"/>
  <c r="JV40" i="9"/>
  <c r="JU40" i="9"/>
  <c r="JT40" i="9"/>
  <c r="JS40" i="9"/>
  <c r="JP40" i="9"/>
  <c r="JO40" i="9"/>
  <c r="JN40" i="9"/>
  <c r="JM40" i="9"/>
  <c r="JL40" i="9"/>
  <c r="JI40" i="9"/>
  <c r="JH40" i="9"/>
  <c r="JG40" i="9"/>
  <c r="JF40" i="9"/>
  <c r="JE40" i="9"/>
  <c r="JB40" i="9"/>
  <c r="JA40" i="9"/>
  <c r="IZ40" i="9"/>
  <c r="IY40" i="9"/>
  <c r="IX40" i="9"/>
  <c r="IU40" i="9"/>
  <c r="IT40" i="9"/>
  <c r="IS40" i="9"/>
  <c r="IR40" i="9"/>
  <c r="IQ40" i="9"/>
  <c r="IN40" i="9"/>
  <c r="IM40" i="9"/>
  <c r="IL40" i="9"/>
  <c r="IK40" i="9"/>
  <c r="IJ40" i="9"/>
  <c r="IG40" i="9"/>
  <c r="IF40" i="9"/>
  <c r="IE40" i="9"/>
  <c r="ID40" i="9"/>
  <c r="IC40" i="9"/>
  <c r="HZ40" i="9"/>
  <c r="HY40" i="9"/>
  <c r="HX40" i="9"/>
  <c r="HW40" i="9"/>
  <c r="HV40" i="9"/>
  <c r="HS40" i="9"/>
  <c r="HR40" i="9"/>
  <c r="HQ40" i="9"/>
  <c r="HP40" i="9"/>
  <c r="HO40" i="9"/>
  <c r="HL40" i="9"/>
  <c r="HK40" i="9"/>
  <c r="HJ40" i="9"/>
  <c r="HI40" i="9"/>
  <c r="HH40" i="9"/>
  <c r="HB40" i="9"/>
  <c r="HA40" i="9"/>
  <c r="NQ39" i="9"/>
  <c r="NO39" i="9"/>
  <c r="NM39" i="9"/>
  <c r="NG39" i="9"/>
  <c r="NF39" i="9"/>
  <c r="NA39" i="9"/>
  <c r="MY39" i="9"/>
  <c r="MV39" i="9"/>
  <c r="MU39" i="9"/>
  <c r="MT39" i="9"/>
  <c r="MR39" i="9"/>
  <c r="MO39" i="9"/>
  <c r="MN39" i="9"/>
  <c r="MM39" i="9"/>
  <c r="ML39" i="9"/>
  <c r="MK39" i="9"/>
  <c r="MH39" i="9"/>
  <c r="MF39" i="9"/>
  <c r="ME39" i="9"/>
  <c r="MD39" i="9"/>
  <c r="MA39" i="9"/>
  <c r="LY39" i="9"/>
  <c r="LX39" i="9"/>
  <c r="LW39" i="9"/>
  <c r="LT39" i="9"/>
  <c r="LS39" i="9"/>
  <c r="LR39" i="9"/>
  <c r="LP39" i="9"/>
  <c r="LM39" i="9"/>
  <c r="LK39" i="9"/>
  <c r="LJ39" i="9"/>
  <c r="LI39" i="9"/>
  <c r="LF39" i="9"/>
  <c r="LC39" i="9"/>
  <c r="LB39" i="9"/>
  <c r="KY39" i="9"/>
  <c r="KW39" i="9"/>
  <c r="KU39" i="9"/>
  <c r="KR39" i="9"/>
  <c r="KQ39" i="9"/>
  <c r="KP39" i="9"/>
  <c r="KN39" i="9"/>
  <c r="KK39" i="9"/>
  <c r="KJ39" i="9"/>
  <c r="KI39" i="9"/>
  <c r="KH39" i="9"/>
  <c r="KG39" i="9"/>
  <c r="KD39" i="9"/>
  <c r="KB39" i="9"/>
  <c r="KA39" i="9"/>
  <c r="JZ39" i="9"/>
  <c r="JW39" i="9"/>
  <c r="JU39" i="9"/>
  <c r="JS39" i="9"/>
  <c r="JP39" i="9"/>
  <c r="JO39" i="9"/>
  <c r="JN39" i="9"/>
  <c r="JL39" i="9"/>
  <c r="JI39" i="9"/>
  <c r="JG39" i="9"/>
  <c r="JF39" i="9"/>
  <c r="JE39" i="9"/>
  <c r="JB39" i="9"/>
  <c r="IY39" i="9"/>
  <c r="IX39" i="9"/>
  <c r="IU39" i="9"/>
  <c r="IS39" i="9"/>
  <c r="IQ39" i="9"/>
  <c r="IN39" i="9"/>
  <c r="IM39" i="9"/>
  <c r="IL39" i="9"/>
  <c r="IG39" i="9"/>
  <c r="IF39" i="9"/>
  <c r="IE39" i="9"/>
  <c r="ID39" i="9"/>
  <c r="IC39" i="9"/>
  <c r="HZ39" i="9"/>
  <c r="HX39" i="9"/>
  <c r="HW39" i="9"/>
  <c r="HV39" i="9"/>
  <c r="HS39" i="9"/>
  <c r="HQ39" i="9"/>
  <c r="HO39" i="9"/>
  <c r="HL39" i="9"/>
  <c r="HK39" i="9"/>
  <c r="HJ39" i="9"/>
  <c r="HH39" i="9"/>
  <c r="HE39" i="9"/>
  <c r="HE40" i="9" s="1"/>
  <c r="HC39" i="9"/>
  <c r="HC40" i="9" s="1"/>
  <c r="HB39" i="9"/>
  <c r="HA39" i="9"/>
  <c r="NR38" i="9"/>
  <c r="NK38" i="9"/>
  <c r="ND38" i="9"/>
  <c r="MW38" i="9"/>
  <c r="MP38" i="9"/>
  <c r="MI38" i="9"/>
  <c r="MB38" i="9"/>
  <c r="LU38" i="9"/>
  <c r="LN38" i="9"/>
  <c r="LG38" i="9"/>
  <c r="KZ38" i="9"/>
  <c r="KS38" i="9"/>
  <c r="KL38" i="9"/>
  <c r="KE38" i="9"/>
  <c r="JX38" i="9"/>
  <c r="JQ38" i="9"/>
  <c r="JJ38" i="9"/>
  <c r="JC38" i="9"/>
  <c r="IV38" i="9"/>
  <c r="IO38" i="9"/>
  <c r="IH38" i="9"/>
  <c r="IA38" i="9"/>
  <c r="HT38" i="9"/>
  <c r="HM38" i="9"/>
  <c r="HF38" i="9"/>
  <c r="NQ37" i="9"/>
  <c r="NP37" i="9"/>
  <c r="NO37" i="9"/>
  <c r="NN37" i="9"/>
  <c r="NM37" i="9"/>
  <c r="NJ37" i="9"/>
  <c r="NI37" i="9"/>
  <c r="NH37" i="9"/>
  <c r="NG37" i="9"/>
  <c r="NF37" i="9"/>
  <c r="NC37" i="9"/>
  <c r="NB37" i="9"/>
  <c r="NA37" i="9"/>
  <c r="MZ37" i="9"/>
  <c r="MY37" i="9"/>
  <c r="MV37" i="9"/>
  <c r="MU37" i="9"/>
  <c r="MT37" i="9"/>
  <c r="MS37" i="9"/>
  <c r="MR37" i="9"/>
  <c r="MO37" i="9"/>
  <c r="MN37" i="9"/>
  <c r="MM37" i="9"/>
  <c r="ML37" i="9"/>
  <c r="MK37" i="9"/>
  <c r="MH37" i="9"/>
  <c r="MG37" i="9"/>
  <c r="MF37" i="9"/>
  <c r="ME37" i="9"/>
  <c r="MD37" i="9"/>
  <c r="MA37" i="9"/>
  <c r="LZ37" i="9"/>
  <c r="LY37" i="9"/>
  <c r="LX37" i="9"/>
  <c r="LW37" i="9"/>
  <c r="LT37" i="9"/>
  <c r="LS37" i="9"/>
  <c r="LR37" i="9"/>
  <c r="LQ37" i="9"/>
  <c r="LP37" i="9"/>
  <c r="LM37" i="9"/>
  <c r="LL37" i="9"/>
  <c r="LK37" i="9"/>
  <c r="LJ37" i="9"/>
  <c r="LI37" i="9"/>
  <c r="LF37" i="9"/>
  <c r="LE37" i="9"/>
  <c r="LD37" i="9"/>
  <c r="LC37" i="9"/>
  <c r="LB37" i="9"/>
  <c r="KY37" i="9"/>
  <c r="KX37" i="9"/>
  <c r="KW37" i="9"/>
  <c r="KV37" i="9"/>
  <c r="KU37" i="9"/>
  <c r="KR37" i="9"/>
  <c r="KQ37" i="9"/>
  <c r="KP37" i="9"/>
  <c r="KO37" i="9"/>
  <c r="KN37" i="9"/>
  <c r="KK37" i="9"/>
  <c r="KJ37" i="9"/>
  <c r="KI37" i="9"/>
  <c r="KH37" i="9"/>
  <c r="KG37" i="9"/>
  <c r="KD37" i="9"/>
  <c r="KC37" i="9"/>
  <c r="KB37" i="9"/>
  <c r="KA37" i="9"/>
  <c r="JZ37" i="9"/>
  <c r="JW37" i="9"/>
  <c r="JV37" i="9"/>
  <c r="JU37" i="9"/>
  <c r="JT37" i="9"/>
  <c r="JS37" i="9"/>
  <c r="JP37" i="9"/>
  <c r="JO37" i="9"/>
  <c r="JN37" i="9"/>
  <c r="JM37" i="9"/>
  <c r="JL37" i="9"/>
  <c r="JI37" i="9"/>
  <c r="JH37" i="9"/>
  <c r="JG37" i="9"/>
  <c r="JF37" i="9"/>
  <c r="JE37" i="9"/>
  <c r="JB37" i="9"/>
  <c r="JA37" i="9"/>
  <c r="IZ37" i="9"/>
  <c r="IY37" i="9"/>
  <c r="IX37" i="9"/>
  <c r="IU37" i="9"/>
  <c r="IT37" i="9"/>
  <c r="IS37" i="9"/>
  <c r="IR37" i="9"/>
  <c r="IQ37" i="9"/>
  <c r="IN37" i="9"/>
  <c r="IM37" i="9"/>
  <c r="IL37" i="9"/>
  <c r="IK37" i="9"/>
  <c r="IJ37" i="9"/>
  <c r="IG37" i="9"/>
  <c r="IF37" i="9"/>
  <c r="IE37" i="9"/>
  <c r="ID37" i="9"/>
  <c r="IC37" i="9"/>
  <c r="HZ37" i="9"/>
  <c r="HY37" i="9"/>
  <c r="HX37" i="9"/>
  <c r="HW37" i="9"/>
  <c r="HV37" i="9"/>
  <c r="HS37" i="9"/>
  <c r="HR37" i="9"/>
  <c r="HQ37" i="9"/>
  <c r="HP37" i="9"/>
  <c r="HO37" i="9"/>
  <c r="HL37" i="9"/>
  <c r="HK37" i="9"/>
  <c r="HJ37" i="9"/>
  <c r="HI37" i="9"/>
  <c r="HH37" i="9"/>
  <c r="NP36" i="9"/>
  <c r="NM36" i="9"/>
  <c r="NJ36" i="9"/>
  <c r="NC36" i="9"/>
  <c r="NB36" i="9"/>
  <c r="NA36" i="9"/>
  <c r="MU36" i="9"/>
  <c r="MT36" i="9"/>
  <c r="MS36" i="9"/>
  <c r="MR36" i="9"/>
  <c r="MN36" i="9"/>
  <c r="ML36" i="9"/>
  <c r="MK36" i="9"/>
  <c r="MG36" i="9"/>
  <c r="ME36" i="9"/>
  <c r="MA36" i="9"/>
  <c r="LZ36" i="9"/>
  <c r="LY36" i="9"/>
  <c r="LX36" i="9"/>
  <c r="LS36" i="9"/>
  <c r="LR36" i="9"/>
  <c r="LQ36" i="9"/>
  <c r="LP36" i="9"/>
  <c r="LL36" i="9"/>
  <c r="LI36" i="9"/>
  <c r="LF36" i="9"/>
  <c r="LE36" i="9"/>
  <c r="LC36" i="9"/>
  <c r="KY36" i="9"/>
  <c r="KX36" i="9"/>
  <c r="KW36" i="9"/>
  <c r="KV36" i="9"/>
  <c r="KQ36" i="9"/>
  <c r="KP36" i="9"/>
  <c r="KO36" i="9"/>
  <c r="KN36" i="9"/>
  <c r="KJ36" i="9"/>
  <c r="KH36" i="9"/>
  <c r="KG36" i="9"/>
  <c r="KC36" i="9"/>
  <c r="KA36" i="9"/>
  <c r="JW36" i="9"/>
  <c r="JV36" i="9"/>
  <c r="JU36" i="9"/>
  <c r="JT36" i="9"/>
  <c r="JO36" i="9"/>
  <c r="JN36" i="9"/>
  <c r="JM36" i="9"/>
  <c r="JL36" i="9"/>
  <c r="JH36" i="9"/>
  <c r="JF36" i="9"/>
  <c r="JE36" i="9"/>
  <c r="JB36" i="9"/>
  <c r="JA36" i="9"/>
  <c r="IY36" i="9"/>
  <c r="IX36" i="9"/>
  <c r="IU36" i="9"/>
  <c r="IT36" i="9"/>
  <c r="IS36" i="9"/>
  <c r="IR36" i="9"/>
  <c r="IM36" i="9"/>
  <c r="IL36" i="9"/>
  <c r="IK36" i="9"/>
  <c r="IJ36" i="9"/>
  <c r="IF36" i="9"/>
  <c r="ID36" i="9"/>
  <c r="IC36" i="9"/>
  <c r="HZ36" i="9"/>
  <c r="HY36" i="9"/>
  <c r="HW36" i="9"/>
  <c r="HS36" i="9"/>
  <c r="HQ36" i="9"/>
  <c r="HP36" i="9"/>
  <c r="HK36" i="9"/>
  <c r="HJ36" i="9"/>
  <c r="HI36" i="9"/>
  <c r="HH36" i="9"/>
  <c r="HD36" i="9"/>
  <c r="HD37" i="9" s="1"/>
  <c r="HB36" i="9"/>
  <c r="HB37" i="9" s="1"/>
  <c r="HA36" i="9"/>
  <c r="HA37" i="9" s="1"/>
  <c r="NR35" i="9"/>
  <c r="NK35" i="9"/>
  <c r="ND35" i="9"/>
  <c r="MW35" i="9"/>
  <c r="MP35" i="9"/>
  <c r="MI35" i="9"/>
  <c r="MB35" i="9"/>
  <c r="LU35" i="9"/>
  <c r="LN35" i="9"/>
  <c r="LG35" i="9"/>
  <c r="KZ35" i="9"/>
  <c r="KS35" i="9"/>
  <c r="KL35" i="9"/>
  <c r="KE35" i="9"/>
  <c r="JX35" i="9"/>
  <c r="JQ35" i="9"/>
  <c r="JJ35" i="9"/>
  <c r="JC35" i="9"/>
  <c r="IV35" i="9"/>
  <c r="IO35" i="9"/>
  <c r="IH35" i="9"/>
  <c r="IA35" i="9"/>
  <c r="HT35" i="9"/>
  <c r="HM35" i="9"/>
  <c r="HF35" i="9"/>
  <c r="NQ34" i="9"/>
  <c r="NP34" i="9"/>
  <c r="NO34" i="9"/>
  <c r="NN34" i="9"/>
  <c r="NM34" i="9"/>
  <c r="NJ34" i="9"/>
  <c r="NI34" i="9"/>
  <c r="NH34" i="9"/>
  <c r="NG34" i="9"/>
  <c r="NF34" i="9"/>
  <c r="NC34" i="9"/>
  <c r="NB34" i="9"/>
  <c r="NA34" i="9"/>
  <c r="MZ34" i="9"/>
  <c r="MY34" i="9"/>
  <c r="MV34" i="9"/>
  <c r="MU34" i="9"/>
  <c r="MT34" i="9"/>
  <c r="MS34" i="9"/>
  <c r="MR34" i="9"/>
  <c r="MO34" i="9"/>
  <c r="MN34" i="9"/>
  <c r="MM34" i="9"/>
  <c r="ML34" i="9"/>
  <c r="MK34" i="9"/>
  <c r="MH34" i="9"/>
  <c r="MG34" i="9"/>
  <c r="MF34" i="9"/>
  <c r="ME34" i="9"/>
  <c r="MD34" i="9"/>
  <c r="MA34" i="9"/>
  <c r="LZ34" i="9"/>
  <c r="LY34" i="9"/>
  <c r="LX34" i="9"/>
  <c r="LW34" i="9"/>
  <c r="LT34" i="9"/>
  <c r="LS34" i="9"/>
  <c r="LR34" i="9"/>
  <c r="LQ34" i="9"/>
  <c r="LP34" i="9"/>
  <c r="LM34" i="9"/>
  <c r="LL34" i="9"/>
  <c r="LK34" i="9"/>
  <c r="LJ34" i="9"/>
  <c r="LI34" i="9"/>
  <c r="LF34" i="9"/>
  <c r="LE34" i="9"/>
  <c r="LD34" i="9"/>
  <c r="LC34" i="9"/>
  <c r="LB34" i="9"/>
  <c r="KY34" i="9"/>
  <c r="KX34" i="9"/>
  <c r="KW34" i="9"/>
  <c r="KV34" i="9"/>
  <c r="KU34" i="9"/>
  <c r="KR34" i="9"/>
  <c r="KQ34" i="9"/>
  <c r="KP34" i="9"/>
  <c r="KO34" i="9"/>
  <c r="KN34" i="9"/>
  <c r="KK34" i="9"/>
  <c r="KJ34" i="9"/>
  <c r="KI34" i="9"/>
  <c r="KH34" i="9"/>
  <c r="KG34" i="9"/>
  <c r="KD34" i="9"/>
  <c r="KC34" i="9"/>
  <c r="KB34" i="9"/>
  <c r="KA34" i="9"/>
  <c r="JZ34" i="9"/>
  <c r="JW34" i="9"/>
  <c r="JV34" i="9"/>
  <c r="JU34" i="9"/>
  <c r="JT34" i="9"/>
  <c r="JS34" i="9"/>
  <c r="JP34" i="9"/>
  <c r="JO34" i="9"/>
  <c r="JN34" i="9"/>
  <c r="JM34" i="9"/>
  <c r="JL34" i="9"/>
  <c r="JI34" i="9"/>
  <c r="JH34" i="9"/>
  <c r="JG34" i="9"/>
  <c r="JF34" i="9"/>
  <c r="JE34" i="9"/>
  <c r="JB34" i="9"/>
  <c r="JA34" i="9"/>
  <c r="IZ34" i="9"/>
  <c r="IY34" i="9"/>
  <c r="IX34" i="9"/>
  <c r="IU34" i="9"/>
  <c r="IT34" i="9"/>
  <c r="IS34" i="9"/>
  <c r="IR34" i="9"/>
  <c r="IQ34" i="9"/>
  <c r="IN34" i="9"/>
  <c r="IM34" i="9"/>
  <c r="IL34" i="9"/>
  <c r="IK34" i="9"/>
  <c r="IJ34" i="9"/>
  <c r="IG34" i="9"/>
  <c r="IF34" i="9"/>
  <c r="IE34" i="9"/>
  <c r="ID34" i="9"/>
  <c r="IC34" i="9"/>
  <c r="HZ34" i="9"/>
  <c r="HY34" i="9"/>
  <c r="HX34" i="9"/>
  <c r="HW34" i="9"/>
  <c r="HV34" i="9"/>
  <c r="HS34" i="9"/>
  <c r="HR34" i="9"/>
  <c r="HQ34" i="9"/>
  <c r="HP34" i="9"/>
  <c r="HO34" i="9"/>
  <c r="HL34" i="9"/>
  <c r="HK34" i="9"/>
  <c r="HJ34" i="9"/>
  <c r="HI34" i="9"/>
  <c r="HH34" i="9"/>
  <c r="HE34" i="9"/>
  <c r="HD34" i="9"/>
  <c r="HC34" i="9"/>
  <c r="HB34" i="9"/>
  <c r="HA34" i="9"/>
  <c r="NM32" i="9"/>
  <c r="NF32" i="9"/>
  <c r="MY32" i="9"/>
  <c r="MR32" i="9"/>
  <c r="MK32" i="9"/>
  <c r="MD32" i="9"/>
  <c r="LW32" i="9"/>
  <c r="LP32" i="9"/>
  <c r="LI32" i="9"/>
  <c r="LB32" i="9"/>
  <c r="KU32" i="9"/>
  <c r="KN32" i="9"/>
  <c r="KG32" i="9"/>
  <c r="JZ32" i="9"/>
  <c r="JS32" i="9"/>
  <c r="JL32" i="9"/>
  <c r="JE32" i="9"/>
  <c r="IX32" i="9"/>
  <c r="IQ32" i="9"/>
  <c r="IJ32" i="9"/>
  <c r="IC32" i="9"/>
  <c r="HV32" i="9"/>
  <c r="HO32" i="9"/>
  <c r="HH32" i="9"/>
  <c r="HA32" i="9"/>
  <c r="IY28" i="9"/>
  <c r="HI28" i="9"/>
  <c r="HB28" i="9"/>
  <c r="NN26" i="9"/>
  <c r="NN30" i="9" s="1"/>
  <c r="NG26" i="9"/>
  <c r="NG30" i="9" s="1"/>
  <c r="MZ26" i="9"/>
  <c r="MZ30" i="9" s="1"/>
  <c r="MS26" i="9"/>
  <c r="MS30" i="9" s="1"/>
  <c r="ML26" i="9"/>
  <c r="ML30" i="9" s="1"/>
  <c r="ME26" i="9"/>
  <c r="ME30" i="9" s="1"/>
  <c r="LX26" i="9"/>
  <c r="LX30" i="9" s="1"/>
  <c r="LQ26" i="9"/>
  <c r="LQ30" i="9" s="1"/>
  <c r="LJ26" i="9"/>
  <c r="LJ30" i="9" s="1"/>
  <c r="LC26" i="9"/>
  <c r="LC30" i="9" s="1"/>
  <c r="KV26" i="9"/>
  <c r="KV30" i="9" s="1"/>
  <c r="KO26" i="9"/>
  <c r="KO30" i="9" s="1"/>
  <c r="KH26" i="9"/>
  <c r="KH30" i="9" s="1"/>
  <c r="KA26" i="9"/>
  <c r="KA30" i="9" s="1"/>
  <c r="JT26" i="9"/>
  <c r="JT30" i="9" s="1"/>
  <c r="JM26" i="9"/>
  <c r="JM30" i="9" s="1"/>
  <c r="JM9" i="9" s="1"/>
  <c r="JF26" i="9"/>
  <c r="JF30" i="9" s="1"/>
  <c r="IY26" i="9"/>
  <c r="IR26" i="9"/>
  <c r="IR30" i="9" s="1"/>
  <c r="IK26" i="9"/>
  <c r="IK30" i="9" s="1"/>
  <c r="ID26" i="9"/>
  <c r="ID30" i="9" s="1"/>
  <c r="HW26" i="9"/>
  <c r="HW30" i="9" s="1"/>
  <c r="HP26" i="9"/>
  <c r="HP30" i="9" s="1"/>
  <c r="HI26" i="9"/>
  <c r="HB26" i="9"/>
  <c r="NN23" i="9"/>
  <c r="MS23" i="9"/>
  <c r="LQ23" i="9"/>
  <c r="LQ9" i="9" s="1"/>
  <c r="LJ23" i="9"/>
  <c r="JM23" i="9"/>
  <c r="JF23" i="9"/>
  <c r="IR23" i="9"/>
  <c r="NN21" i="9"/>
  <c r="LJ21" i="9"/>
  <c r="JF21" i="9"/>
  <c r="IY21" i="9"/>
  <c r="HI21" i="9"/>
  <c r="HB21" i="9"/>
  <c r="NN19" i="9"/>
  <c r="NG19" i="9"/>
  <c r="NG23" i="9" s="1"/>
  <c r="NG21" i="9" s="1"/>
  <c r="MZ19" i="9"/>
  <c r="MZ23" i="9" s="1"/>
  <c r="MS19" i="9"/>
  <c r="ML19" i="9"/>
  <c r="ML23" i="9" s="1"/>
  <c r="ME19" i="9"/>
  <c r="ME23" i="9" s="1"/>
  <c r="ME21" i="9" s="1"/>
  <c r="LX19" i="9"/>
  <c r="LX23" i="9" s="1"/>
  <c r="LX21" i="9" s="1"/>
  <c r="LQ19" i="9"/>
  <c r="LJ19" i="9"/>
  <c r="LC19" i="9"/>
  <c r="LC23" i="9" s="1"/>
  <c r="LC21" i="9" s="1"/>
  <c r="KV19" i="9"/>
  <c r="KV23" i="9" s="1"/>
  <c r="KO19" i="9"/>
  <c r="KO23" i="9" s="1"/>
  <c r="KH19" i="9"/>
  <c r="KH23" i="9" s="1"/>
  <c r="KA19" i="9"/>
  <c r="KA23" i="9" s="1"/>
  <c r="KA21" i="9" s="1"/>
  <c r="JT19" i="9"/>
  <c r="JT23" i="9" s="1"/>
  <c r="JT21" i="9" s="1"/>
  <c r="JM19" i="9"/>
  <c r="JF19" i="9"/>
  <c r="IY19" i="9"/>
  <c r="IR19" i="9"/>
  <c r="IK19" i="9"/>
  <c r="IK23" i="9" s="1"/>
  <c r="ID19" i="9"/>
  <c r="ID23" i="9" s="1"/>
  <c r="ID21" i="9" s="1"/>
  <c r="HW19" i="9"/>
  <c r="HW23" i="9" s="1"/>
  <c r="HP19" i="9"/>
  <c r="HP23" i="9" s="1"/>
  <c r="HI19" i="9"/>
  <c r="HB19" i="9"/>
  <c r="ME16" i="9"/>
  <c r="LJ16" i="9"/>
  <c r="LJ9" i="9" s="1"/>
  <c r="NP14" i="9"/>
  <c r="NP16" i="9" s="1"/>
  <c r="NM14" i="9"/>
  <c r="LQ14" i="9"/>
  <c r="JM14" i="9"/>
  <c r="IY14" i="9"/>
  <c r="HI14" i="9"/>
  <c r="HB14" i="9"/>
  <c r="NN12" i="9"/>
  <c r="NN16" i="9" s="1"/>
  <c r="NG12" i="9"/>
  <c r="NG16" i="9" s="1"/>
  <c r="MZ12" i="9"/>
  <c r="MZ16" i="9" s="1"/>
  <c r="MS12" i="9"/>
  <c r="MS16" i="9" s="1"/>
  <c r="MS14" i="9" s="1"/>
  <c r="ML12" i="9"/>
  <c r="ML16" i="9" s="1"/>
  <c r="ME12" i="9"/>
  <c r="LX12" i="9"/>
  <c r="LX16" i="9" s="1"/>
  <c r="LQ12" i="9"/>
  <c r="LQ16" i="9" s="1"/>
  <c r="LJ12" i="9"/>
  <c r="LC12" i="9"/>
  <c r="LC16" i="9" s="1"/>
  <c r="KV12" i="9"/>
  <c r="KV16" i="9" s="1"/>
  <c r="KO12" i="9"/>
  <c r="KO16" i="9" s="1"/>
  <c r="KO14" i="9" s="1"/>
  <c r="KH12" i="9"/>
  <c r="KH16" i="9" s="1"/>
  <c r="KH14" i="9" s="1"/>
  <c r="KA12" i="9"/>
  <c r="KA16" i="9" s="1"/>
  <c r="JT12" i="9"/>
  <c r="JT16" i="9" s="1"/>
  <c r="JM12" i="9"/>
  <c r="JM16" i="9" s="1"/>
  <c r="JF12" i="9"/>
  <c r="JF16" i="9" s="1"/>
  <c r="IY12" i="9"/>
  <c r="IR12" i="9"/>
  <c r="IR16" i="9" s="1"/>
  <c r="IK12" i="9"/>
  <c r="IK16" i="9" s="1"/>
  <c r="ID12" i="9"/>
  <c r="ID16" i="9" s="1"/>
  <c r="HW12" i="9"/>
  <c r="HW16" i="9" s="1"/>
  <c r="HP12" i="9"/>
  <c r="HP16" i="9" s="1"/>
  <c r="HI12" i="9"/>
  <c r="HB12" i="9"/>
  <c r="IY9" i="9"/>
  <c r="HI9" i="9"/>
  <c r="HB9" i="9"/>
  <c r="NP5" i="9"/>
  <c r="NI5" i="9"/>
  <c r="NB5" i="9"/>
  <c r="MU5" i="9"/>
  <c r="MN5" i="9"/>
  <c r="MG5" i="9"/>
  <c r="LZ5" i="9"/>
  <c r="LS5" i="9"/>
  <c r="LL5" i="9"/>
  <c r="LE5" i="9"/>
  <c r="KX5" i="9"/>
  <c r="KQ5" i="9"/>
  <c r="KJ5" i="9"/>
  <c r="KC5" i="9"/>
  <c r="JV5" i="9"/>
  <c r="JO5" i="9"/>
  <c r="JH5" i="9"/>
  <c r="JA5" i="9"/>
  <c r="IT5" i="9"/>
  <c r="IM5" i="9"/>
  <c r="IF5" i="9"/>
  <c r="HY5" i="9"/>
  <c r="HR5" i="9"/>
  <c r="HK5" i="9"/>
  <c r="HD5" i="9"/>
  <c r="NM2" i="9"/>
  <c r="NF2" i="9"/>
  <c r="MY2" i="9"/>
  <c r="MR2" i="9"/>
  <c r="MK2" i="9"/>
  <c r="MD2" i="9"/>
  <c r="LW2" i="9"/>
  <c r="LP2" i="9"/>
  <c r="LI2" i="9"/>
  <c r="LB2" i="9"/>
  <c r="KU2" i="9"/>
  <c r="KN2" i="9"/>
  <c r="KG2" i="9"/>
  <c r="JZ2" i="9"/>
  <c r="JS2" i="9"/>
  <c r="JL2" i="9"/>
  <c r="JE2" i="9"/>
  <c r="IX2" i="9"/>
  <c r="IQ2" i="9"/>
  <c r="IJ2" i="9"/>
  <c r="IC2" i="9"/>
  <c r="HV2" i="9"/>
  <c r="HO2" i="9"/>
  <c r="HH2" i="9"/>
  <c r="HA2" i="9"/>
  <c r="AZ46" i="5"/>
  <c r="NN45" i="9" l="1"/>
  <c r="MZ42" i="7"/>
  <c r="LX42" i="7"/>
  <c r="NO45" i="9"/>
  <c r="NM45" i="9"/>
  <c r="NQ45" i="9"/>
  <c r="KV42" i="7"/>
  <c r="GN43" i="7"/>
  <c r="KO43" i="7"/>
  <c r="NU42" i="7"/>
  <c r="MS42" i="7"/>
  <c r="LQ42" i="7"/>
  <c r="MZ44" i="6"/>
  <c r="LX44" i="6"/>
  <c r="KV44" i="6"/>
  <c r="NG43" i="6"/>
  <c r="NB21" i="9" s="1"/>
  <c r="ME43" i="6"/>
  <c r="LZ21" i="9" s="1"/>
  <c r="LC43" i="6"/>
  <c r="KU21" i="9" s="1"/>
  <c r="KA43" i="6"/>
  <c r="JS21" i="9" s="1"/>
  <c r="OB42" i="6"/>
  <c r="EJ44" i="7"/>
  <c r="LJ44" i="7"/>
  <c r="MS43" i="7"/>
  <c r="KO42" i="7"/>
  <c r="MZ43" i="7"/>
  <c r="LX43" i="7"/>
  <c r="KV44" i="7"/>
  <c r="KA44" i="7"/>
  <c r="ME43" i="7"/>
  <c r="LZ28" i="9" s="1"/>
  <c r="LZ30" i="9" s="1"/>
  <c r="MB30" i="9" s="1"/>
  <c r="LC44" i="7"/>
  <c r="KA43" i="7"/>
  <c r="JV28" i="9" s="1"/>
  <c r="JV30" i="9" s="1"/>
  <c r="JX30" i="9" s="1"/>
  <c r="NG42" i="7"/>
  <c r="ME42" i="7"/>
  <c r="LC42" i="7"/>
  <c r="KA42" i="7"/>
  <c r="ML42" i="7"/>
  <c r="LJ42" i="7"/>
  <c r="KH42" i="7"/>
  <c r="ME44" i="7"/>
  <c r="ML43" i="7"/>
  <c r="LJ43" i="7"/>
  <c r="KH43" i="7"/>
  <c r="IY7" i="9"/>
  <c r="KA42" i="6"/>
  <c r="ML42" i="6"/>
  <c r="LJ42" i="6"/>
  <c r="MZ45" i="6"/>
  <c r="LX45" i="6"/>
  <c r="KV45" i="6"/>
  <c r="ML45" i="6"/>
  <c r="LJ45" i="6"/>
  <c r="KH45" i="6"/>
  <c r="ML44" i="6"/>
  <c r="LJ44" i="6"/>
  <c r="KH44" i="6"/>
  <c r="MS43" i="6"/>
  <c r="MK21" i="9" s="1"/>
  <c r="LQ43" i="6"/>
  <c r="LL21" i="9" s="1"/>
  <c r="LN21" i="9" s="1"/>
  <c r="LO21" i="9" s="1"/>
  <c r="KO43" i="6"/>
  <c r="KC21" i="9" s="1"/>
  <c r="MZ42" i="6"/>
  <c r="LX42" i="6"/>
  <c r="KV42" i="6"/>
  <c r="MS45" i="6"/>
  <c r="LQ45" i="6"/>
  <c r="KO45" i="6"/>
  <c r="MS44" i="6"/>
  <c r="LQ44" i="6"/>
  <c r="KO44" i="6"/>
  <c r="MZ43" i="6"/>
  <c r="MU21" i="9" s="1"/>
  <c r="MU23" i="9" s="1"/>
  <c r="MW23" i="9" s="1"/>
  <c r="LX43" i="6"/>
  <c r="LS21" i="9" s="1"/>
  <c r="KV43" i="6"/>
  <c r="KQ21" i="9" s="1"/>
  <c r="KQ23" i="9" s="1"/>
  <c r="KS23" i="9" s="1"/>
  <c r="NG42" i="6"/>
  <c r="ME42" i="6"/>
  <c r="LC42" i="6"/>
  <c r="KH42" i="6"/>
  <c r="NG45" i="6"/>
  <c r="ME45" i="6"/>
  <c r="LC45" i="6"/>
  <c r="KA45" i="6"/>
  <c r="NG44" i="6"/>
  <c r="ME44" i="6"/>
  <c r="LC44" i="6"/>
  <c r="KA44" i="6"/>
  <c r="ML43" i="6"/>
  <c r="MG21" i="9" s="1"/>
  <c r="MI21" i="9" s="1"/>
  <c r="MJ21" i="9" s="1"/>
  <c r="LJ43" i="6"/>
  <c r="LB21" i="9" s="1"/>
  <c r="KH43" i="6"/>
  <c r="MS42" i="6"/>
  <c r="LQ42" i="6"/>
  <c r="KO42" i="6"/>
  <c r="NN42" i="6"/>
  <c r="NU42" i="6"/>
  <c r="NN43" i="6"/>
  <c r="NI21" i="9" s="1"/>
  <c r="NK21" i="9" s="1"/>
  <c r="NL21" i="9" s="1"/>
  <c r="NU45" i="6"/>
  <c r="NN44" i="6"/>
  <c r="NU44" i="6"/>
  <c r="LQ46" i="8"/>
  <c r="LN42" i="9" s="1"/>
  <c r="LN43" i="9" s="1"/>
  <c r="KO48" i="8"/>
  <c r="LX46" i="8"/>
  <c r="LU42" i="9" s="1"/>
  <c r="JM46" i="8"/>
  <c r="JJ42" i="9" s="1"/>
  <c r="HI46" i="8"/>
  <c r="HF42" i="9" s="1"/>
  <c r="HF43" i="9" s="1"/>
  <c r="HW45" i="8"/>
  <c r="HT39" i="9" s="1"/>
  <c r="HT40" i="9" s="1"/>
  <c r="JF42" i="8"/>
  <c r="HW49" i="8"/>
  <c r="HT48" i="9" s="1"/>
  <c r="HT49" i="9" s="1"/>
  <c r="MS44" i="8"/>
  <c r="MP36" i="9" s="1"/>
  <c r="MP37" i="9" s="1"/>
  <c r="KO49" i="8"/>
  <c r="KL48" i="9" s="1"/>
  <c r="LQ48" i="8"/>
  <c r="HI44" i="8"/>
  <c r="HF36" i="9" s="1"/>
  <c r="HF37" i="9" s="1"/>
  <c r="ML49" i="8"/>
  <c r="MI48" i="9" s="1"/>
  <c r="MI49" i="9" s="1"/>
  <c r="LX47" i="8"/>
  <c r="LU51" i="9" s="1"/>
  <c r="LU52" i="9" s="1"/>
  <c r="IY47" i="8"/>
  <c r="IV51" i="9" s="1"/>
  <c r="IV52" i="9" s="1"/>
  <c r="KO44" i="8"/>
  <c r="KL36" i="9" s="1"/>
  <c r="KL37" i="9" s="1"/>
  <c r="JT44" i="8"/>
  <c r="JQ36" i="9" s="1"/>
  <c r="JQ37" i="9" s="1"/>
  <c r="JM44" i="8"/>
  <c r="JJ36" i="9" s="1"/>
  <c r="JJ37" i="9" s="1"/>
  <c r="IK44" i="8"/>
  <c r="IH36" i="9" s="1"/>
  <c r="IH37" i="9" s="1"/>
  <c r="NU42" i="8"/>
  <c r="ID42" i="8"/>
  <c r="JM48" i="8"/>
  <c r="IR48" i="8"/>
  <c r="IK48" i="8"/>
  <c r="LC47" i="8"/>
  <c r="KZ51" i="9" s="1"/>
  <c r="KZ52" i="9" s="1"/>
  <c r="MS45" i="8"/>
  <c r="MP39" i="9" s="1"/>
  <c r="MP40" i="9" s="1"/>
  <c r="MZ44" i="8"/>
  <c r="MW36" i="9" s="1"/>
  <c r="MW37" i="9" s="1"/>
  <c r="ME44" i="8"/>
  <c r="MB36" i="9" s="1"/>
  <c r="MB37" i="9" s="1"/>
  <c r="IK42" i="8"/>
  <c r="ME48" i="8"/>
  <c r="ME45" i="8"/>
  <c r="MB39" i="9" s="1"/>
  <c r="MB40" i="9" s="1"/>
  <c r="KA45" i="8"/>
  <c r="JX39" i="9" s="1"/>
  <c r="JX40" i="9" s="1"/>
  <c r="KH44" i="8"/>
  <c r="KE36" i="9" s="1"/>
  <c r="KE37" i="9" s="1"/>
  <c r="LX42" i="8"/>
  <c r="LQ42" i="8"/>
  <c r="JM42" i="8"/>
  <c r="HI42" i="8"/>
  <c r="JF43" i="8"/>
  <c r="HP42" i="8"/>
  <c r="KA42" i="8"/>
  <c r="KL49" i="9"/>
  <c r="JT46" i="8"/>
  <c r="JQ42" i="9" s="1"/>
  <c r="JQ43" i="9" s="1"/>
  <c r="IY43" i="8"/>
  <c r="LU43" i="9"/>
  <c r="ME49" i="8"/>
  <c r="MB48" i="9" s="1"/>
  <c r="MB49" i="9" s="1"/>
  <c r="KA49" i="8"/>
  <c r="JX48" i="9" s="1"/>
  <c r="JX49" i="9" s="1"/>
  <c r="KV46" i="8"/>
  <c r="KS42" i="9" s="1"/>
  <c r="KS43" i="9" s="1"/>
  <c r="KA46" i="8"/>
  <c r="JX42" i="9" s="1"/>
  <c r="JX43" i="9" s="1"/>
  <c r="LC43" i="8"/>
  <c r="JT43" i="7"/>
  <c r="JO28" i="9" s="1"/>
  <c r="JO30" i="9" s="1"/>
  <c r="JQ30" i="9" s="1"/>
  <c r="JT42" i="7"/>
  <c r="JO44" i="7"/>
  <c r="JT44" i="7" s="1"/>
  <c r="JM42" i="7"/>
  <c r="JT45" i="6"/>
  <c r="JT43" i="6"/>
  <c r="JO21" i="9" s="1"/>
  <c r="JT44" i="6"/>
  <c r="JT42" i="6"/>
  <c r="JM42" i="6"/>
  <c r="JM45" i="6"/>
  <c r="JM43" i="6"/>
  <c r="JE21" i="9" s="1"/>
  <c r="JM44" i="6"/>
  <c r="JF43" i="7"/>
  <c r="JA44" i="7"/>
  <c r="JF44" i="7" s="1"/>
  <c r="JF42" i="7"/>
  <c r="JF42" i="6"/>
  <c r="JF43" i="6"/>
  <c r="JA21" i="9" s="1"/>
  <c r="JF44" i="6"/>
  <c r="JA45" i="6"/>
  <c r="JF45" i="6" s="1"/>
  <c r="IY44" i="7"/>
  <c r="IY42" i="7"/>
  <c r="IY42" i="6"/>
  <c r="IY43" i="6"/>
  <c r="IT21" i="9" s="1"/>
  <c r="IT23" i="9" s="1"/>
  <c r="IY45" i="6"/>
  <c r="IY44" i="6"/>
  <c r="IR43" i="7"/>
  <c r="IR42" i="7"/>
  <c r="IR45" i="6"/>
  <c r="IR44" i="6"/>
  <c r="IR42" i="6"/>
  <c r="IR43" i="6"/>
  <c r="IM21" i="9" s="1"/>
  <c r="IM23" i="9" s="1"/>
  <c r="IO23" i="9" s="1"/>
  <c r="IK42" i="6"/>
  <c r="IK45" i="6"/>
  <c r="IK43" i="6"/>
  <c r="IC21" i="9" s="1"/>
  <c r="IK44" i="6"/>
  <c r="IK43" i="7"/>
  <c r="IK42" i="7"/>
  <c r="IF44" i="7"/>
  <c r="IK44" i="7" s="1"/>
  <c r="ID45" i="6"/>
  <c r="ID43" i="7"/>
  <c r="ID42" i="7"/>
  <c r="HY44" i="7"/>
  <c r="ID44" i="7" s="1"/>
  <c r="ID42" i="6"/>
  <c r="ID43" i="6"/>
  <c r="HY21" i="9" s="1"/>
  <c r="ID44" i="6"/>
  <c r="HW42" i="6"/>
  <c r="HW43" i="6"/>
  <c r="HO21" i="9" s="1"/>
  <c r="HW44" i="6"/>
  <c r="HR45" i="6"/>
  <c r="HW45" i="6" s="1"/>
  <c r="HW43" i="7"/>
  <c r="HO28" i="9" s="1"/>
  <c r="HW42" i="7"/>
  <c r="HR44" i="7"/>
  <c r="HW44" i="7" s="1"/>
  <c r="HP42" i="6"/>
  <c r="HP45" i="6"/>
  <c r="HP43" i="6"/>
  <c r="HH21" i="9" s="1"/>
  <c r="HP44" i="6"/>
  <c r="HP43" i="7"/>
  <c r="HK28" i="9" s="1"/>
  <c r="HM28" i="9" s="1"/>
  <c r="HN28" i="9" s="1"/>
  <c r="HP42" i="7"/>
  <c r="HI42" i="7"/>
  <c r="HB42" i="7"/>
  <c r="HB43" i="7"/>
  <c r="HI42" i="6"/>
  <c r="HI43" i="6"/>
  <c r="HA21" i="9" s="1"/>
  <c r="HI44" i="6"/>
  <c r="HI45" i="6"/>
  <c r="MS44" i="7"/>
  <c r="KH44" i="7"/>
  <c r="NG44" i="7"/>
  <c r="GU44" i="7"/>
  <c r="ML44" i="7"/>
  <c r="KO44" i="7"/>
  <c r="CT44" i="7"/>
  <c r="NU44" i="7"/>
  <c r="LQ44" i="7"/>
  <c r="JM44" i="7"/>
  <c r="HI44" i="7"/>
  <c r="FZ42" i="7"/>
  <c r="DV42" i="7"/>
  <c r="BR42" i="7"/>
  <c r="HI7" i="9"/>
  <c r="EX44" i="7"/>
  <c r="HI43" i="7"/>
  <c r="IY43" i="7"/>
  <c r="JM43" i="7"/>
  <c r="LC43" i="7"/>
  <c r="LQ43" i="7"/>
  <c r="NG43" i="7"/>
  <c r="GW44" i="7"/>
  <c r="HB44" i="7" s="1"/>
  <c r="CF44" i="7"/>
  <c r="BY42" i="7"/>
  <c r="MU44" i="7"/>
  <c r="MZ44" i="7" s="1"/>
  <c r="IM44" i="7"/>
  <c r="IR44" i="7" s="1"/>
  <c r="LS44" i="7"/>
  <c r="LX44" i="7" s="1"/>
  <c r="HK44" i="7"/>
  <c r="HP44" i="7" s="1"/>
  <c r="CF43" i="7"/>
  <c r="GI44" i="7"/>
  <c r="GN44" i="7" s="1"/>
  <c r="EJ43" i="7"/>
  <c r="NN44" i="7"/>
  <c r="NN42" i="7"/>
  <c r="KV43" i="7"/>
  <c r="NU43" i="7"/>
  <c r="EX43" i="7"/>
  <c r="EX42" i="7"/>
  <c r="NI45" i="6"/>
  <c r="NN45" i="6" s="1"/>
  <c r="IK49" i="8"/>
  <c r="IH48" i="9" s="1"/>
  <c r="IH49" i="9" s="1"/>
  <c r="HW48" i="8"/>
  <c r="JM47" i="8"/>
  <c r="JJ51" i="9" s="1"/>
  <c r="JJ52" i="9" s="1"/>
  <c r="JF47" i="8"/>
  <c r="JC51" i="9" s="1"/>
  <c r="JC52" i="9" s="1"/>
  <c r="MS46" i="8"/>
  <c r="MP42" i="9" s="1"/>
  <c r="MP43" i="9" s="1"/>
  <c r="HW46" i="8"/>
  <c r="HT42" i="9" s="1"/>
  <c r="HT43" i="9" s="1"/>
  <c r="IY44" i="8"/>
  <c r="IV36" i="9" s="1"/>
  <c r="IV37" i="9" s="1"/>
  <c r="LJ43" i="8"/>
  <c r="KO43" i="8"/>
  <c r="ID43" i="8"/>
  <c r="ML42" i="8"/>
  <c r="MD48" i="9"/>
  <c r="JM49" i="8"/>
  <c r="JJ48" i="9" s="1"/>
  <c r="JJ49" i="9" s="1"/>
  <c r="ID49" i="8"/>
  <c r="IA48" i="9" s="1"/>
  <c r="IA49" i="9" s="1"/>
  <c r="HI47" i="8"/>
  <c r="HF51" i="9" s="1"/>
  <c r="HF52" i="9" s="1"/>
  <c r="KO46" i="8"/>
  <c r="KL42" i="9" s="1"/>
  <c r="KL43" i="9" s="1"/>
  <c r="LJ44" i="8"/>
  <c r="LG36" i="9" s="1"/>
  <c r="LG37" i="9" s="1"/>
  <c r="MS42" i="8"/>
  <c r="KH42" i="8"/>
  <c r="IY49" i="8"/>
  <c r="IV48" i="9" s="1"/>
  <c r="IV49" i="9" s="1"/>
  <c r="ID47" i="8"/>
  <c r="IA51" i="9" s="1"/>
  <c r="IA52" i="9" s="1"/>
  <c r="ME46" i="8"/>
  <c r="MB42" i="9" s="1"/>
  <c r="MB43" i="9" s="1"/>
  <c r="JF44" i="8"/>
  <c r="JC36" i="9" s="1"/>
  <c r="JC37" i="9" s="1"/>
  <c r="LQ43" i="8"/>
  <c r="MZ42" i="8"/>
  <c r="KO42" i="8"/>
  <c r="NP45" i="9"/>
  <c r="LQ45" i="8"/>
  <c r="LN39" i="9" s="1"/>
  <c r="LN40" i="9" s="1"/>
  <c r="KO45" i="8"/>
  <c r="KL39" i="9" s="1"/>
  <c r="KL40" i="9" s="1"/>
  <c r="LX44" i="8"/>
  <c r="LU36" i="9" s="1"/>
  <c r="LU37" i="9" s="1"/>
  <c r="JM43" i="8"/>
  <c r="KV42" i="8"/>
  <c r="MZ45" i="8"/>
  <c r="MW39" i="9" s="1"/>
  <c r="MW40" i="9" s="1"/>
  <c r="LX45" i="8"/>
  <c r="LU39" i="9" s="1"/>
  <c r="LU40" i="9" s="1"/>
  <c r="JM45" i="8"/>
  <c r="JJ39" i="9" s="1"/>
  <c r="IK45" i="8"/>
  <c r="IH39" i="9" s="1"/>
  <c r="IH40" i="9" s="1"/>
  <c r="MZ43" i="8"/>
  <c r="LX43" i="8"/>
  <c r="KV43" i="8"/>
  <c r="HI43" i="8"/>
  <c r="JT42" i="8"/>
  <c r="IR42" i="8"/>
  <c r="JJ43" i="9"/>
  <c r="MS49" i="8"/>
  <c r="MP48" i="9" s="1"/>
  <c r="MP49" i="9" s="1"/>
  <c r="JT47" i="8"/>
  <c r="JQ51" i="9" s="1"/>
  <c r="JQ52" i="9" s="1"/>
  <c r="NG46" i="8"/>
  <c r="ND42" i="9" s="1"/>
  <c r="ND43" i="9" s="1"/>
  <c r="HP46" i="8"/>
  <c r="HM42" i="9" s="1"/>
  <c r="HM43" i="9" s="1"/>
  <c r="ML45" i="8"/>
  <c r="MI39" i="9" s="1"/>
  <c r="MI40" i="9" s="1"/>
  <c r="KV45" i="8"/>
  <c r="KS39" i="9" s="1"/>
  <c r="KS40" i="9" s="1"/>
  <c r="JT45" i="8"/>
  <c r="JQ39" i="9" s="1"/>
  <c r="JQ40" i="9" s="1"/>
  <c r="HI45" i="8"/>
  <c r="HF39" i="9" s="1"/>
  <c r="HF40" i="9" s="1"/>
  <c r="KV44" i="8"/>
  <c r="KS36" i="9" s="1"/>
  <c r="KS37" i="9" s="1"/>
  <c r="KA44" i="8"/>
  <c r="JX36" i="9" s="1"/>
  <c r="JX37" i="9" s="1"/>
  <c r="HP44" i="8"/>
  <c r="HM36" i="9" s="1"/>
  <c r="HM37" i="9" s="1"/>
  <c r="ME43" i="8"/>
  <c r="JT43" i="8"/>
  <c r="IR43" i="8"/>
  <c r="ME42" i="8"/>
  <c r="NG47" i="8"/>
  <c r="ND51" i="9" s="1"/>
  <c r="ND52" i="9" s="1"/>
  <c r="IR47" i="8"/>
  <c r="IO51" i="9" s="1"/>
  <c r="IO52" i="9" s="1"/>
  <c r="HP47" i="8"/>
  <c r="HM51" i="9" s="1"/>
  <c r="LC46" i="8"/>
  <c r="KZ42" i="9" s="1"/>
  <c r="KZ43" i="9" s="1"/>
  <c r="IR46" i="8"/>
  <c r="IO42" i="9" s="1"/>
  <c r="IO43" i="9" s="1"/>
  <c r="KH45" i="8"/>
  <c r="KE39" i="9" s="1"/>
  <c r="KE40" i="9" s="1"/>
  <c r="IR45" i="8"/>
  <c r="IO39" i="9" s="1"/>
  <c r="HP45" i="8"/>
  <c r="HM39" i="9" s="1"/>
  <c r="HM40" i="9" s="1"/>
  <c r="IR44" i="8"/>
  <c r="IO36" i="9" s="1"/>
  <c r="IO37" i="9" s="1"/>
  <c r="HW44" i="8"/>
  <c r="HT36" i="9" s="1"/>
  <c r="HT37" i="9" s="1"/>
  <c r="NG43" i="8"/>
  <c r="ML43" i="8"/>
  <c r="KA43" i="8"/>
  <c r="HP43" i="8"/>
  <c r="HW42" i="8"/>
  <c r="NU49" i="8"/>
  <c r="NR48" i="9" s="1"/>
  <c r="NR49" i="9" s="1"/>
  <c r="LJ49" i="8"/>
  <c r="LG48" i="9" s="1"/>
  <c r="LG49" i="9" s="1"/>
  <c r="HP48" i="8"/>
  <c r="NU47" i="8"/>
  <c r="NR51" i="9" s="1"/>
  <c r="NR52" i="9" s="1"/>
  <c r="NN47" i="8"/>
  <c r="NK51" i="9" s="1"/>
  <c r="NK52" i="9" s="1"/>
  <c r="LQ47" i="8"/>
  <c r="LN51" i="9" s="1"/>
  <c r="LN52" i="9" s="1"/>
  <c r="LJ47" i="8"/>
  <c r="LG51" i="9" s="1"/>
  <c r="LG52" i="9" s="1"/>
  <c r="NU46" i="8"/>
  <c r="NR42" i="9" s="1"/>
  <c r="NR43" i="9" s="1"/>
  <c r="ID45" i="8"/>
  <c r="IA39" i="9" s="1"/>
  <c r="IA40" i="9" s="1"/>
  <c r="LC44" i="8"/>
  <c r="KZ36" i="9" s="1"/>
  <c r="KZ37" i="9" s="1"/>
  <c r="ID44" i="8"/>
  <c r="IA36" i="9" s="1"/>
  <c r="IA37" i="9" s="1"/>
  <c r="MS43" i="8"/>
  <c r="KH43" i="8"/>
  <c r="HW43" i="8"/>
  <c r="NG51" i="9"/>
  <c r="NG45" i="8"/>
  <c r="ND39" i="9" s="1"/>
  <c r="ND40" i="9" s="1"/>
  <c r="NG44" i="8"/>
  <c r="ND36" i="9" s="1"/>
  <c r="ND37" i="9" s="1"/>
  <c r="NN48" i="9"/>
  <c r="NN44" i="8"/>
  <c r="NK36" i="9" s="1"/>
  <c r="NK37" i="9" s="1"/>
  <c r="NU43" i="8"/>
  <c r="NN43" i="8"/>
  <c r="MY42" i="9"/>
  <c r="NP51" i="9"/>
  <c r="NN43" i="7"/>
  <c r="BY43" i="7"/>
  <c r="GU42" i="7"/>
  <c r="FS42" i="7"/>
  <c r="CF42" i="7"/>
  <c r="LS28" i="9"/>
  <c r="LS30" i="9" s="1"/>
  <c r="LU30" i="9" s="1"/>
  <c r="CT43" i="7"/>
  <c r="EQ42" i="7"/>
  <c r="DO42" i="7"/>
  <c r="FE44" i="7"/>
  <c r="CM42" i="7"/>
  <c r="FL44" i="7"/>
  <c r="EQ44" i="7"/>
  <c r="DA44" i="7"/>
  <c r="GG42" i="7"/>
  <c r="FE42" i="7"/>
  <c r="FL43" i="7"/>
  <c r="GN42" i="7"/>
  <c r="EC42" i="7"/>
  <c r="CT42" i="7"/>
  <c r="GU43" i="7"/>
  <c r="FZ43" i="7"/>
  <c r="DH43" i="7"/>
  <c r="EJ42" i="7"/>
  <c r="DA42" i="7"/>
  <c r="FS44" i="7"/>
  <c r="DH44" i="7"/>
  <c r="CM44" i="7"/>
  <c r="GG43" i="7"/>
  <c r="EQ43" i="7"/>
  <c r="DV43" i="7"/>
  <c r="EC43" i="7"/>
  <c r="CM43" i="7"/>
  <c r="BR43" i="7"/>
  <c r="FL42" i="7"/>
  <c r="DH42" i="7"/>
  <c r="DO44" i="7"/>
  <c r="FE43" i="7"/>
  <c r="DA43" i="7"/>
  <c r="FS43" i="7"/>
  <c r="FN28" i="9" s="1"/>
  <c r="DO43" i="7"/>
  <c r="GF44" i="7"/>
  <c r="GG44" i="7" s="1"/>
  <c r="FX44" i="7"/>
  <c r="FZ44" i="7" s="1"/>
  <c r="EB44" i="7"/>
  <c r="EC44" i="7" s="1"/>
  <c r="DT44" i="7"/>
  <c r="DV44" i="7" s="1"/>
  <c r="BX44" i="7"/>
  <c r="BY44" i="7" s="1"/>
  <c r="BP44" i="7"/>
  <c r="BR44" i="7" s="1"/>
  <c r="NU43" i="6"/>
  <c r="NM21" i="9" s="1"/>
  <c r="OB43" i="6"/>
  <c r="OB44" i="6"/>
  <c r="LP28" i="9"/>
  <c r="OB45" i="6"/>
  <c r="NH39" i="9"/>
  <c r="NN45" i="8"/>
  <c r="NK39" i="9" s="1"/>
  <c r="NK40" i="9" s="1"/>
  <c r="KN48" i="9"/>
  <c r="KN49" i="9" s="1"/>
  <c r="KV49" i="8"/>
  <c r="KS48" i="9" s="1"/>
  <c r="HI49" i="8"/>
  <c r="HF48" i="9" s="1"/>
  <c r="HF49" i="9" s="1"/>
  <c r="NG48" i="8"/>
  <c r="KH48" i="8"/>
  <c r="ML47" i="8"/>
  <c r="MI51" i="9" s="1"/>
  <c r="MI52" i="9" s="1"/>
  <c r="NN46" i="8"/>
  <c r="NK42" i="9" s="1"/>
  <c r="NK43" i="9" s="1"/>
  <c r="ML46" i="8"/>
  <c r="MI42" i="9" s="1"/>
  <c r="MI43" i="9" s="1"/>
  <c r="MD42" i="9"/>
  <c r="LJ46" i="8"/>
  <c r="LG42" i="9" s="1"/>
  <c r="LC45" i="8"/>
  <c r="KZ39" i="9" s="1"/>
  <c r="KZ40" i="9" s="1"/>
  <c r="NG42" i="8"/>
  <c r="KJ48" i="9"/>
  <c r="KJ49" i="9" s="1"/>
  <c r="NN49" i="8"/>
  <c r="NK48" i="9" s="1"/>
  <c r="NK49" i="9" s="1"/>
  <c r="JT49" i="8"/>
  <c r="JQ48" i="9" s="1"/>
  <c r="JQ49" i="9" s="1"/>
  <c r="JL48" i="9"/>
  <c r="JL49" i="9" s="1"/>
  <c r="MZ48" i="8"/>
  <c r="JF48" i="8"/>
  <c r="KH47" i="8"/>
  <c r="KE51" i="9" s="1"/>
  <c r="KE52" i="9" s="1"/>
  <c r="KH46" i="8"/>
  <c r="KE42" i="9" s="1"/>
  <c r="KE43" i="9" s="1"/>
  <c r="JZ42" i="9"/>
  <c r="IY46" i="8"/>
  <c r="IV42" i="9" s="1"/>
  <c r="IV43" i="9" s="1"/>
  <c r="LJ45" i="8"/>
  <c r="LG39" i="9" s="1"/>
  <c r="LG40" i="9" s="1"/>
  <c r="IY45" i="8"/>
  <c r="IV39" i="9" s="1"/>
  <c r="IV40" i="9" s="1"/>
  <c r="NN42" i="8"/>
  <c r="LC42" i="8"/>
  <c r="HP51" i="9"/>
  <c r="HW47" i="8"/>
  <c r="HT51" i="9" s="1"/>
  <c r="HT52" i="9" s="1"/>
  <c r="IJ48" i="9"/>
  <c r="IJ49" i="9" s="1"/>
  <c r="IR49" i="8"/>
  <c r="IO48" i="9" s="1"/>
  <c r="IO49" i="9" s="1"/>
  <c r="NU48" i="8"/>
  <c r="LX48" i="8"/>
  <c r="LC48" i="8"/>
  <c r="ID48" i="8"/>
  <c r="MS47" i="8"/>
  <c r="MP51" i="9" s="1"/>
  <c r="MP52" i="9" s="1"/>
  <c r="JF46" i="8"/>
  <c r="JC42" i="9" s="1"/>
  <c r="JC43" i="9" s="1"/>
  <c r="JF45" i="8"/>
  <c r="JC39" i="9" s="1"/>
  <c r="JC40" i="9" s="1"/>
  <c r="NU44" i="8"/>
  <c r="NR36" i="9" s="1"/>
  <c r="NR37" i="9" s="1"/>
  <c r="NN36" i="9"/>
  <c r="LJ42" i="8"/>
  <c r="IY42" i="8"/>
  <c r="LX49" i="8"/>
  <c r="LU48" i="9" s="1"/>
  <c r="LU49" i="9" s="1"/>
  <c r="LP48" i="9"/>
  <c r="IJ39" i="9"/>
  <c r="NG49" i="8"/>
  <c r="ND48" i="9" s="1"/>
  <c r="ND49" i="9" s="1"/>
  <c r="HP49" i="8"/>
  <c r="HM48" i="9" s="1"/>
  <c r="HM49" i="9" s="1"/>
  <c r="HH48" i="9"/>
  <c r="HH49" i="9" s="1"/>
  <c r="MS48" i="8"/>
  <c r="KV48" i="8"/>
  <c r="KA48" i="8"/>
  <c r="HI48" i="8"/>
  <c r="KO47" i="8"/>
  <c r="KL51" i="9" s="1"/>
  <c r="KL52" i="9" s="1"/>
  <c r="ID46" i="8"/>
  <c r="IA42" i="9" s="1"/>
  <c r="IA43" i="9" s="1"/>
  <c r="HV42" i="9"/>
  <c r="NU45" i="8"/>
  <c r="NR39" i="9" s="1"/>
  <c r="NR40" i="9" s="1"/>
  <c r="LQ44" i="8"/>
  <c r="LN36" i="9" s="1"/>
  <c r="LN37" i="9" s="1"/>
  <c r="LJ36" i="9"/>
  <c r="LQ49" i="8"/>
  <c r="LN48" i="9" s="1"/>
  <c r="LN49" i="9" s="1"/>
  <c r="KH49" i="8"/>
  <c r="KE48" i="9" s="1"/>
  <c r="KE49" i="9" s="1"/>
  <c r="JT48" i="8"/>
  <c r="MZ47" i="8"/>
  <c r="MW51" i="9" s="1"/>
  <c r="MW52" i="9" s="1"/>
  <c r="IK47" i="8"/>
  <c r="IH51" i="9" s="1"/>
  <c r="IH52" i="9" s="1"/>
  <c r="MZ46" i="8"/>
  <c r="MW42" i="9" s="1"/>
  <c r="MW43" i="9" s="1"/>
  <c r="LJ48" i="8"/>
  <c r="KD36" i="9"/>
  <c r="LC49" i="8"/>
  <c r="KZ48" i="9" s="1"/>
  <c r="KZ49" i="9" s="1"/>
  <c r="JF49" i="8"/>
  <c r="JC48" i="9" s="1"/>
  <c r="JC49" i="9" s="1"/>
  <c r="NN48" i="8"/>
  <c r="LX51" i="9"/>
  <c r="ME47" i="8"/>
  <c r="MB51" i="9" s="1"/>
  <c r="MB52" i="9" s="1"/>
  <c r="KV47" i="8"/>
  <c r="KS51" i="9" s="1"/>
  <c r="KS52" i="9" s="1"/>
  <c r="IK46" i="8"/>
  <c r="IH42" i="9" s="1"/>
  <c r="IH43" i="9" s="1"/>
  <c r="HR36" i="9"/>
  <c r="MR48" i="9"/>
  <c r="MZ49" i="8"/>
  <c r="MW48" i="9" s="1"/>
  <c r="MW49" i="9" s="1"/>
  <c r="ML48" i="8"/>
  <c r="JT51" i="9"/>
  <c r="KA47" i="8"/>
  <c r="JX51" i="9" s="1"/>
  <c r="JX52" i="9" s="1"/>
  <c r="ML44" i="8"/>
  <c r="MI36" i="9" s="1"/>
  <c r="MI37" i="9" s="1"/>
  <c r="MH36" i="9"/>
  <c r="IK43" i="8"/>
  <c r="JJ40" i="9"/>
  <c r="IY48" i="8"/>
  <c r="IX48" i="9"/>
  <c r="IX49" i="9" s="1"/>
  <c r="LB48" i="9"/>
  <c r="NF48" i="9"/>
  <c r="KS49" i="9"/>
  <c r="IO40" i="9"/>
  <c r="LG43" i="9"/>
  <c r="HM52" i="9"/>
  <c r="HW14" i="9"/>
  <c r="HW9" i="9"/>
  <c r="HV9" i="9" s="1"/>
  <c r="KA14" i="9"/>
  <c r="KA9" i="9"/>
  <c r="JZ9" i="9"/>
  <c r="KO21" i="9"/>
  <c r="KO9" i="9"/>
  <c r="KN9" i="9"/>
  <c r="ID14" i="9"/>
  <c r="ID9" i="9"/>
  <c r="IC9" i="9"/>
  <c r="KV21" i="9"/>
  <c r="KV9" i="9"/>
  <c r="MZ21" i="9"/>
  <c r="MZ9" i="9"/>
  <c r="IK21" i="9"/>
  <c r="IK14" i="9"/>
  <c r="IK9" i="9"/>
  <c r="LC14" i="9"/>
  <c r="LC9" i="9"/>
  <c r="LB9" i="9"/>
  <c r="NG14" i="9"/>
  <c r="NG9" i="9"/>
  <c r="NF9" i="9"/>
  <c r="IR9" i="9"/>
  <c r="IR14" i="9"/>
  <c r="JF9" i="9"/>
  <c r="JE9" i="9"/>
  <c r="JF14" i="9"/>
  <c r="NR16" i="9"/>
  <c r="NN9" i="9"/>
  <c r="NN14" i="9"/>
  <c r="HP21" i="9"/>
  <c r="HW21" i="9"/>
  <c r="HP9" i="9"/>
  <c r="HO9" i="9" s="1"/>
  <c r="HP14" i="9"/>
  <c r="JS9" i="9"/>
  <c r="JT9" i="9"/>
  <c r="JT14" i="9"/>
  <c r="LX9" i="9"/>
  <c r="LX14" i="9"/>
  <c r="LW9" i="9"/>
  <c r="HH9" i="9"/>
  <c r="IX9" i="9"/>
  <c r="JL9" i="9"/>
  <c r="LP9" i="9"/>
  <c r="MR9" i="9"/>
  <c r="KV14" i="9"/>
  <c r="MZ14" i="9"/>
  <c r="MS21" i="9"/>
  <c r="IK28" i="9"/>
  <c r="KO28" i="9"/>
  <c r="MS28" i="9"/>
  <c r="HB7" i="9"/>
  <c r="ME9" i="9"/>
  <c r="MS9" i="9"/>
  <c r="ME14" i="9"/>
  <c r="KH21" i="9"/>
  <c r="IR28" i="9"/>
  <c r="KV28" i="9"/>
  <c r="MZ28" i="9"/>
  <c r="LQ21" i="9"/>
  <c r="ML28" i="9"/>
  <c r="LJ14" i="9"/>
  <c r="LC28" i="9"/>
  <c r="NG28" i="9"/>
  <c r="KH28" i="9"/>
  <c r="JM21" i="9"/>
  <c r="JF28" i="9"/>
  <c r="LJ28" i="9"/>
  <c r="NN28" i="9"/>
  <c r="LQ28" i="9"/>
  <c r="IR21" i="9"/>
  <c r="LI9" i="9"/>
  <c r="JM28" i="9"/>
  <c r="KH9" i="9"/>
  <c r="KG9" i="9" s="1"/>
  <c r="ML9" i="9"/>
  <c r="ML21" i="9"/>
  <c r="HP28" i="9"/>
  <c r="JT28" i="9"/>
  <c r="LX28" i="9"/>
  <c r="ID28" i="9"/>
  <c r="MK9" i="9"/>
  <c r="ML14" i="9"/>
  <c r="HW28" i="9"/>
  <c r="KA28" i="9"/>
  <c r="ME28" i="9"/>
  <c r="AY46" i="5"/>
  <c r="LU28" i="9" l="1"/>
  <c r="LV28" i="9" s="1"/>
  <c r="MY21" i="9"/>
  <c r="LW21" i="9"/>
  <c r="JL28" i="9"/>
  <c r="JV21" i="9"/>
  <c r="JX21" i="9" s="1"/>
  <c r="JY21" i="9" s="1"/>
  <c r="JL21" i="9"/>
  <c r="LP21" i="9"/>
  <c r="LI21" i="9"/>
  <c r="KO7" i="9"/>
  <c r="KG21" i="9"/>
  <c r="KJ21" i="9"/>
  <c r="KJ23" i="9" s="1"/>
  <c r="KL23" i="9" s="1"/>
  <c r="LU21" i="9"/>
  <c r="LV21" i="9" s="1"/>
  <c r="NF21" i="9"/>
  <c r="IF21" i="9"/>
  <c r="IF23" i="9" s="1"/>
  <c r="IH23" i="9" s="1"/>
  <c r="JQ28" i="9"/>
  <c r="JR28" i="9" s="1"/>
  <c r="LW28" i="9"/>
  <c r="LE21" i="9"/>
  <c r="LG21" i="9" s="1"/>
  <c r="LH21" i="9" s="1"/>
  <c r="MW21" i="9"/>
  <c r="MX21" i="9" s="1"/>
  <c r="MR21" i="9"/>
  <c r="NR45" i="9"/>
  <c r="NR46" i="9" s="1"/>
  <c r="JZ21" i="9"/>
  <c r="KX21" i="9"/>
  <c r="KZ21" i="9" s="1"/>
  <c r="LA21" i="9" s="1"/>
  <c r="KS21" i="9"/>
  <c r="KT21" i="9" s="1"/>
  <c r="KN21" i="9"/>
  <c r="MD21" i="9"/>
  <c r="JH21" i="9"/>
  <c r="JH23" i="9" s="1"/>
  <c r="HK21" i="9"/>
  <c r="HM21" i="9" s="1"/>
  <c r="HN21" i="9" s="1"/>
  <c r="IX21" i="9"/>
  <c r="IO21" i="9"/>
  <c r="IP21" i="9" s="1"/>
  <c r="IJ21" i="9"/>
  <c r="IA21" i="9"/>
  <c r="IB21" i="9" s="1"/>
  <c r="HV21" i="9"/>
  <c r="HR28" i="9"/>
  <c r="HR30" i="9" s="1"/>
  <c r="HT30" i="9" s="1"/>
  <c r="HD21" i="9"/>
  <c r="HF21" i="9" s="1"/>
  <c r="HG21" i="9" s="1"/>
  <c r="JS28" i="9"/>
  <c r="HK30" i="9"/>
  <c r="HM30" i="9" s="1"/>
  <c r="HH28" i="9"/>
  <c r="MB28" i="9"/>
  <c r="MC28" i="9" s="1"/>
  <c r="ND21" i="9"/>
  <c r="NE21" i="9" s="1"/>
  <c r="HR21" i="9"/>
  <c r="HT21" i="9" s="1"/>
  <c r="HU21" i="9" s="1"/>
  <c r="MN21" i="9"/>
  <c r="MN23" i="9" s="1"/>
  <c r="MP23" i="9" s="1"/>
  <c r="NP21" i="9"/>
  <c r="NR21" i="9" s="1"/>
  <c r="NS21" i="9" s="1"/>
  <c r="LZ23" i="9"/>
  <c r="MB23" i="9" s="1"/>
  <c r="MB21" i="9"/>
  <c r="MC21" i="9" s="1"/>
  <c r="IV21" i="9"/>
  <c r="IW21" i="9" s="1"/>
  <c r="MG28" i="9"/>
  <c r="MG30" i="9" s="1"/>
  <c r="MI30" i="9" s="1"/>
  <c r="MD28" i="9"/>
  <c r="MU28" i="9"/>
  <c r="MR28" i="9"/>
  <c r="NI28" i="9"/>
  <c r="NI30" i="9" s="1"/>
  <c r="NK30" i="9" s="1"/>
  <c r="NF28" i="9"/>
  <c r="JH28" i="9"/>
  <c r="JH30" i="9" s="1"/>
  <c r="JJ30" i="9" s="1"/>
  <c r="JE28" i="9"/>
  <c r="KC28" i="9"/>
  <c r="KC30" i="9" s="1"/>
  <c r="KE30" i="9" s="1"/>
  <c r="JZ28" i="9"/>
  <c r="KQ28" i="9"/>
  <c r="KN28" i="9"/>
  <c r="LE28" i="9"/>
  <c r="LE30" i="9" s="1"/>
  <c r="LG30" i="9" s="1"/>
  <c r="LB28" i="9"/>
  <c r="HD28" i="9"/>
  <c r="HA28" i="9"/>
  <c r="HY28" i="9"/>
  <c r="HY30" i="9" s="1"/>
  <c r="IA30" i="9" s="1"/>
  <c r="HV28" i="9"/>
  <c r="IM28" i="9"/>
  <c r="IO28" i="9" s="1"/>
  <c r="IP28" i="9" s="1"/>
  <c r="IJ28" i="9"/>
  <c r="JA28" i="9"/>
  <c r="IX28" i="9"/>
  <c r="LL28" i="9"/>
  <c r="LL30" i="9" s="1"/>
  <c r="LN30" i="9" s="1"/>
  <c r="LI28" i="9"/>
  <c r="MY28" i="9"/>
  <c r="NB28" i="9"/>
  <c r="NB30" i="9" s="1"/>
  <c r="ND30" i="9" s="1"/>
  <c r="JX28" i="9"/>
  <c r="JY28" i="9" s="1"/>
  <c r="MN28" i="9"/>
  <c r="MP28" i="9" s="1"/>
  <c r="MQ28" i="9" s="1"/>
  <c r="MK28" i="9"/>
  <c r="KU28" i="9"/>
  <c r="KX28" i="9"/>
  <c r="KX30" i="9" s="1"/>
  <c r="KZ30" i="9" s="1"/>
  <c r="IF28" i="9"/>
  <c r="IF30" i="9" s="1"/>
  <c r="IH30" i="9" s="1"/>
  <c r="IC28" i="9"/>
  <c r="KJ28" i="9"/>
  <c r="KG28" i="9"/>
  <c r="IQ28" i="9"/>
  <c r="IT28" i="9"/>
  <c r="IV28" i="9" s="1"/>
  <c r="IW28" i="9" s="1"/>
  <c r="NP28" i="9"/>
  <c r="NP30" i="9" s="1"/>
  <c r="NR30" i="9" s="1"/>
  <c r="NM28" i="9"/>
  <c r="NM7" i="9" s="1"/>
  <c r="JA23" i="9"/>
  <c r="JO23" i="9"/>
  <c r="HY23" i="9"/>
  <c r="IV23" i="9"/>
  <c r="LL23" i="9"/>
  <c r="NI23" i="9"/>
  <c r="JC21" i="9"/>
  <c r="JD21" i="9" s="1"/>
  <c r="KC23" i="9"/>
  <c r="KE21" i="9"/>
  <c r="KF21" i="9" s="1"/>
  <c r="NB23" i="9"/>
  <c r="JQ21" i="9"/>
  <c r="JR21" i="9" s="1"/>
  <c r="MG23" i="9"/>
  <c r="LS23" i="9"/>
  <c r="JF7" i="9"/>
  <c r="ME7" i="9"/>
  <c r="LX7" i="9"/>
  <c r="HP7" i="9"/>
  <c r="LC7" i="9"/>
  <c r="MS7" i="9"/>
  <c r="KH7" i="9"/>
  <c r="KA7" i="9"/>
  <c r="IK7" i="9"/>
  <c r="IQ9" i="9"/>
  <c r="MZ7" i="9"/>
  <c r="KU9" i="9"/>
  <c r="KV7" i="9"/>
  <c r="NR14" i="9"/>
  <c r="NS14" i="9" s="1"/>
  <c r="NN7" i="9"/>
  <c r="LQ7" i="9"/>
  <c r="JT7" i="9"/>
  <c r="ML7" i="9"/>
  <c r="MD9" i="9"/>
  <c r="NM9" i="9"/>
  <c r="IR7" i="9"/>
  <c r="NG7" i="9"/>
  <c r="IJ9" i="9"/>
  <c r="MY9" i="9"/>
  <c r="ID7" i="9"/>
  <c r="HW7" i="9"/>
  <c r="LJ7" i="9"/>
  <c r="JM7" i="9"/>
  <c r="I46" i="5"/>
  <c r="JV23" i="9" l="1"/>
  <c r="IH21" i="9"/>
  <c r="II21" i="9" s="1"/>
  <c r="LE23" i="9"/>
  <c r="LG23" i="9" s="1"/>
  <c r="KL21" i="9"/>
  <c r="KM21" i="9" s="1"/>
  <c r="KX23" i="9"/>
  <c r="KZ23" i="9" s="1"/>
  <c r="HD23" i="9"/>
  <c r="HF23" i="9" s="1"/>
  <c r="HK23" i="9"/>
  <c r="HM23" i="9" s="1"/>
  <c r="JJ21" i="9"/>
  <c r="JK21" i="9" s="1"/>
  <c r="HT28" i="9"/>
  <c r="HU28" i="9" s="1"/>
  <c r="NP23" i="9"/>
  <c r="NP9" i="9" s="1"/>
  <c r="NR9" i="9" s="1"/>
  <c r="JJ28" i="9"/>
  <c r="JK28" i="9" s="1"/>
  <c r="KZ28" i="9"/>
  <c r="LA28" i="9" s="1"/>
  <c r="NK28" i="9"/>
  <c r="NL28" i="9" s="1"/>
  <c r="LN28" i="9"/>
  <c r="LO28" i="9" s="1"/>
  <c r="KE28" i="9"/>
  <c r="KF28" i="9" s="1"/>
  <c r="MI28" i="9"/>
  <c r="MJ28" i="9" s="1"/>
  <c r="ND28" i="9"/>
  <c r="NE28" i="9" s="1"/>
  <c r="NP7" i="9"/>
  <c r="NR5" i="9" s="1"/>
  <c r="MP21" i="9"/>
  <c r="MQ21" i="9" s="1"/>
  <c r="HR23" i="9"/>
  <c r="NR28" i="9"/>
  <c r="NS28" i="9" s="1"/>
  <c r="NS7" i="9" s="1"/>
  <c r="IH28" i="9"/>
  <c r="II28" i="9" s="1"/>
  <c r="IM30" i="9"/>
  <c r="LG28" i="9"/>
  <c r="LH28" i="9" s="1"/>
  <c r="MU30" i="9"/>
  <c r="KJ30" i="9"/>
  <c r="KQ30" i="9"/>
  <c r="MN30" i="9"/>
  <c r="KL28" i="9"/>
  <c r="KM28" i="9" s="1"/>
  <c r="IA28" i="9"/>
  <c r="IB28" i="9" s="1"/>
  <c r="HD30" i="9"/>
  <c r="HF30" i="9" s="1"/>
  <c r="HF28" i="9"/>
  <c r="HG28" i="9" s="1"/>
  <c r="MW28" i="9"/>
  <c r="MX28" i="9" s="1"/>
  <c r="IT30" i="9"/>
  <c r="KS28" i="9"/>
  <c r="KT28" i="9" s="1"/>
  <c r="JA30" i="9"/>
  <c r="JC30" i="9" s="1"/>
  <c r="JC28" i="9"/>
  <c r="JD28" i="9" s="1"/>
  <c r="KE23" i="9"/>
  <c r="LU23" i="9"/>
  <c r="MI23" i="9"/>
  <c r="JJ23" i="9"/>
  <c r="JX23" i="9"/>
  <c r="LN23" i="9"/>
  <c r="IA23" i="9"/>
  <c r="JQ23" i="9"/>
  <c r="NK23" i="9"/>
  <c r="JC23" i="9"/>
  <c r="ND23" i="9"/>
  <c r="AA46" i="5"/>
  <c r="AC46" i="5"/>
  <c r="AD46" i="5"/>
  <c r="AE46" i="5"/>
  <c r="AF46" i="5"/>
  <c r="AG46" i="5"/>
  <c r="AH46" i="5"/>
  <c r="AJ46" i="5"/>
  <c r="AK46" i="5"/>
  <c r="AL46" i="5"/>
  <c r="AM46" i="5"/>
  <c r="AN46" i="5"/>
  <c r="AO46" i="5"/>
  <c r="AQ46" i="5"/>
  <c r="AR46" i="5"/>
  <c r="AS46" i="5"/>
  <c r="AT46" i="5"/>
  <c r="AU46" i="5"/>
  <c r="AV46" i="5"/>
  <c r="AX46" i="5"/>
  <c r="BA46" i="5"/>
  <c r="BB46" i="5"/>
  <c r="BC46" i="5"/>
  <c r="BE46" i="5"/>
  <c r="BF46" i="5"/>
  <c r="BG46" i="5"/>
  <c r="BH46" i="5"/>
  <c r="BI46" i="5"/>
  <c r="BJ46" i="5"/>
  <c r="BL46" i="5"/>
  <c r="BM46" i="5"/>
  <c r="BN46" i="5"/>
  <c r="BO46" i="5"/>
  <c r="BP46" i="5"/>
  <c r="BQ46" i="5"/>
  <c r="BS46" i="5"/>
  <c r="BT46" i="5"/>
  <c r="BU46" i="5"/>
  <c r="BV46" i="5"/>
  <c r="BW46" i="5"/>
  <c r="BX46" i="5"/>
  <c r="BZ46" i="5"/>
  <c r="CA46" i="5"/>
  <c r="CB46" i="5"/>
  <c r="CC46" i="5"/>
  <c r="CD46" i="5"/>
  <c r="CE46" i="5"/>
  <c r="CG46" i="5"/>
  <c r="CH46" i="5"/>
  <c r="CI46" i="5"/>
  <c r="CJ46" i="5"/>
  <c r="CK46" i="5"/>
  <c r="CL46" i="5"/>
  <c r="CN46" i="5"/>
  <c r="CO46" i="5"/>
  <c r="CP46" i="5"/>
  <c r="CQ46" i="5"/>
  <c r="CR46" i="5"/>
  <c r="CS46" i="5"/>
  <c r="CU46" i="5"/>
  <c r="CV46" i="5"/>
  <c r="CW46" i="5"/>
  <c r="CX46" i="5"/>
  <c r="CY46" i="5"/>
  <c r="CZ46" i="5"/>
  <c r="DB46" i="5"/>
  <c r="DC46" i="5"/>
  <c r="DD46" i="5"/>
  <c r="DE46" i="5"/>
  <c r="DF46" i="5"/>
  <c r="DG46" i="5"/>
  <c r="DI46" i="5"/>
  <c r="DJ46" i="5"/>
  <c r="DK46" i="5"/>
  <c r="DL46" i="5"/>
  <c r="DM46" i="5"/>
  <c r="DN46" i="5"/>
  <c r="DP46" i="5"/>
  <c r="DQ46" i="5"/>
  <c r="DR46" i="5"/>
  <c r="DS46" i="5"/>
  <c r="DT46" i="5"/>
  <c r="DU46" i="5"/>
  <c r="DW46" i="5"/>
  <c r="DX46" i="5"/>
  <c r="DY46" i="5"/>
  <c r="DZ46" i="5"/>
  <c r="EA46" i="5"/>
  <c r="EB46" i="5"/>
  <c r="ED46" i="5"/>
  <c r="EE46" i="5"/>
  <c r="EF46" i="5"/>
  <c r="EG46" i="5"/>
  <c r="EH46" i="5"/>
  <c r="EI46" i="5"/>
  <c r="EK46" i="5"/>
  <c r="EL46" i="5"/>
  <c r="EM46" i="5"/>
  <c r="EN46" i="5"/>
  <c r="EO46" i="5"/>
  <c r="EP46" i="5"/>
  <c r="ER46" i="5"/>
  <c r="ES46" i="5"/>
  <c r="ET46" i="5"/>
  <c r="EU46" i="5"/>
  <c r="EV46" i="5"/>
  <c r="EW46" i="5"/>
  <c r="EY46" i="5"/>
  <c r="EZ46" i="5"/>
  <c r="FA46" i="5"/>
  <c r="FB46" i="5"/>
  <c r="FC46" i="5"/>
  <c r="FD46" i="5"/>
  <c r="FF46" i="5"/>
  <c r="FG46" i="5"/>
  <c r="FH46" i="5"/>
  <c r="FI46" i="5"/>
  <c r="FJ46" i="5"/>
  <c r="FK46" i="5"/>
  <c r="FM46" i="5"/>
  <c r="FN46" i="5"/>
  <c r="FO46" i="5"/>
  <c r="FP46" i="5"/>
  <c r="FQ46" i="5"/>
  <c r="FR46" i="5"/>
  <c r="FT46" i="5"/>
  <c r="FU46" i="5"/>
  <c r="FV46" i="5"/>
  <c r="FW46" i="5"/>
  <c r="FX46" i="5"/>
  <c r="FY46" i="5"/>
  <c r="GA46" i="5"/>
  <c r="GB46" i="5"/>
  <c r="GC46" i="5"/>
  <c r="GD46" i="5"/>
  <c r="GE46" i="5"/>
  <c r="GF46" i="5"/>
  <c r="GH46" i="5"/>
  <c r="GI46" i="5"/>
  <c r="GJ46" i="5"/>
  <c r="GK46" i="5"/>
  <c r="GL46" i="5"/>
  <c r="GM46" i="5"/>
  <c r="GO46" i="5"/>
  <c r="GP46" i="5"/>
  <c r="GQ46" i="5"/>
  <c r="GR46" i="5"/>
  <c r="GS46" i="5"/>
  <c r="GT46" i="5"/>
  <c r="GV46" i="5"/>
  <c r="GW46" i="5"/>
  <c r="GX46" i="5"/>
  <c r="GY46" i="5"/>
  <c r="GZ46" i="5"/>
  <c r="HA46" i="5"/>
  <c r="HC46" i="5"/>
  <c r="HD46" i="5"/>
  <c r="HE46" i="5"/>
  <c r="HF46" i="5"/>
  <c r="HG46" i="5"/>
  <c r="HH46" i="5"/>
  <c r="HJ46" i="5"/>
  <c r="HK46" i="5"/>
  <c r="HL46" i="5"/>
  <c r="HM46" i="5"/>
  <c r="HN46" i="5"/>
  <c r="HO46" i="5"/>
  <c r="HQ46" i="5"/>
  <c r="HR46" i="5"/>
  <c r="HS46" i="5"/>
  <c r="HT46" i="5"/>
  <c r="HU46" i="5"/>
  <c r="HV46" i="5"/>
  <c r="HX46" i="5"/>
  <c r="HY46" i="5"/>
  <c r="HZ46" i="5"/>
  <c r="IA46" i="5"/>
  <c r="IB46" i="5"/>
  <c r="IC46" i="5"/>
  <c r="IE46" i="5"/>
  <c r="IF46" i="5"/>
  <c r="IG46" i="5"/>
  <c r="IH46" i="5"/>
  <c r="II46" i="5"/>
  <c r="IJ46" i="5"/>
  <c r="IL46" i="5"/>
  <c r="IM46" i="5"/>
  <c r="IN46" i="5"/>
  <c r="IO46" i="5"/>
  <c r="IP46" i="5"/>
  <c r="IQ46" i="5"/>
  <c r="IS46" i="5"/>
  <c r="IT46" i="5"/>
  <c r="IU46" i="5"/>
  <c r="IV46" i="5"/>
  <c r="IW46" i="5"/>
  <c r="IX46" i="5"/>
  <c r="IZ46" i="5"/>
  <c r="JA46" i="5"/>
  <c r="JB46" i="5"/>
  <c r="JC46" i="5"/>
  <c r="JD46" i="5"/>
  <c r="JE46" i="5"/>
  <c r="JG46" i="5"/>
  <c r="JH46" i="5"/>
  <c r="JI46" i="5"/>
  <c r="JJ46" i="5"/>
  <c r="JK46" i="5"/>
  <c r="JL46" i="5"/>
  <c r="JN46" i="5"/>
  <c r="JO46" i="5"/>
  <c r="JP46" i="5"/>
  <c r="JQ46" i="5"/>
  <c r="JR46" i="5"/>
  <c r="JS46" i="5"/>
  <c r="JU46" i="5"/>
  <c r="JV46" i="5"/>
  <c r="JW46" i="5"/>
  <c r="JX46" i="5"/>
  <c r="JY46" i="5"/>
  <c r="JZ46" i="5"/>
  <c r="KB46" i="5"/>
  <c r="KC46" i="5"/>
  <c r="KD46" i="5"/>
  <c r="KE46" i="5"/>
  <c r="KF46" i="5"/>
  <c r="KG46" i="5"/>
  <c r="KI46" i="5"/>
  <c r="KJ46" i="5"/>
  <c r="KK46" i="5"/>
  <c r="KL46" i="5"/>
  <c r="KM46" i="5"/>
  <c r="KN46" i="5"/>
  <c r="KP46" i="5"/>
  <c r="KQ46" i="5"/>
  <c r="KR46" i="5"/>
  <c r="KS46" i="5"/>
  <c r="KT46" i="5"/>
  <c r="KU46" i="5"/>
  <c r="KW46" i="5"/>
  <c r="KX46" i="5"/>
  <c r="KY46" i="5"/>
  <c r="KZ46" i="5"/>
  <c r="LA46" i="5"/>
  <c r="LB46" i="5"/>
  <c r="LD46" i="5"/>
  <c r="LE46" i="5"/>
  <c r="LF46" i="5"/>
  <c r="LG46" i="5"/>
  <c r="LH46" i="5"/>
  <c r="LI46" i="5"/>
  <c r="LK46" i="5"/>
  <c r="LL46" i="5"/>
  <c r="LM46" i="5"/>
  <c r="LN46" i="5"/>
  <c r="LO46" i="5"/>
  <c r="LP46" i="5"/>
  <c r="LR46" i="5"/>
  <c r="LS46" i="5"/>
  <c r="LT46" i="5"/>
  <c r="LU46" i="5"/>
  <c r="LV46" i="5"/>
  <c r="LW46" i="5"/>
  <c r="LY46" i="5"/>
  <c r="LZ46" i="5"/>
  <c r="MA46" i="5"/>
  <c r="MB46" i="5"/>
  <c r="MC46" i="5"/>
  <c r="MD46" i="5"/>
  <c r="MF46" i="5"/>
  <c r="MG46" i="5"/>
  <c r="MH46" i="5"/>
  <c r="MI46" i="5"/>
  <c r="MJ46" i="5"/>
  <c r="MK46" i="5"/>
  <c r="MM46" i="5"/>
  <c r="MN46" i="5"/>
  <c r="MO46" i="5"/>
  <c r="MP46" i="5"/>
  <c r="MQ46" i="5"/>
  <c r="MR46" i="5"/>
  <c r="MT46" i="5"/>
  <c r="MU46" i="5"/>
  <c r="MV46" i="5"/>
  <c r="MW46" i="5"/>
  <c r="MX46" i="5"/>
  <c r="MY46" i="5"/>
  <c r="NA46" i="5"/>
  <c r="NB46" i="5"/>
  <c r="NC46" i="5"/>
  <c r="ND46" i="5"/>
  <c r="NE46" i="5"/>
  <c r="NF46" i="5"/>
  <c r="NH46" i="5"/>
  <c r="NI46" i="5"/>
  <c r="NJ46" i="5"/>
  <c r="NK46" i="5"/>
  <c r="NL46" i="5"/>
  <c r="NM46" i="5"/>
  <c r="AA47" i="5"/>
  <c r="AC47" i="5"/>
  <c r="AC49" i="5" s="1"/>
  <c r="AD47" i="5"/>
  <c r="AE47" i="5"/>
  <c r="AF47" i="5"/>
  <c r="AG47" i="5"/>
  <c r="AH47" i="5"/>
  <c r="AH49" i="5" s="1"/>
  <c r="AJ47" i="5"/>
  <c r="AJ49" i="5" s="1"/>
  <c r="AK47" i="5"/>
  <c r="AL47" i="5"/>
  <c r="AL49" i="5" s="1"/>
  <c r="AM47" i="5"/>
  <c r="AM49" i="5" s="1"/>
  <c r="AN47" i="5"/>
  <c r="AN49" i="5" s="1"/>
  <c r="AO47" i="5"/>
  <c r="AO49" i="5" s="1"/>
  <c r="AQ47" i="5"/>
  <c r="AQ49" i="5" s="1"/>
  <c r="AR47" i="5"/>
  <c r="AR49" i="5" s="1"/>
  <c r="AS47" i="5"/>
  <c r="AS49" i="5" s="1"/>
  <c r="AT47" i="5"/>
  <c r="AT49" i="5" s="1"/>
  <c r="AU47" i="5"/>
  <c r="AU49" i="5" s="1"/>
  <c r="AV47" i="5"/>
  <c r="AV49" i="5" s="1"/>
  <c r="AX47" i="5"/>
  <c r="AX49" i="5" s="1"/>
  <c r="AY47" i="5"/>
  <c r="AY49" i="5" s="1"/>
  <c r="AZ47" i="5"/>
  <c r="AZ49" i="5" s="1"/>
  <c r="BA47" i="5"/>
  <c r="BA49" i="5" s="1"/>
  <c r="BB47" i="5"/>
  <c r="BB49" i="5" s="1"/>
  <c r="BC47" i="5"/>
  <c r="BC49" i="5" s="1"/>
  <c r="BE47" i="5"/>
  <c r="BE49" i="5" s="1"/>
  <c r="BF47" i="5"/>
  <c r="BF49" i="5" s="1"/>
  <c r="BG47" i="5"/>
  <c r="BG49" i="5" s="1"/>
  <c r="BH47" i="5"/>
  <c r="BH49" i="5" s="1"/>
  <c r="BI47" i="5"/>
  <c r="BI49" i="5" s="1"/>
  <c r="BJ47" i="5"/>
  <c r="BJ49" i="5" s="1"/>
  <c r="BL47" i="5"/>
  <c r="BL49" i="5" s="1"/>
  <c r="BM47" i="5"/>
  <c r="BM49" i="5" s="1"/>
  <c r="BN47" i="5"/>
  <c r="BN49" i="5" s="1"/>
  <c r="BO47" i="5"/>
  <c r="BO49" i="5" s="1"/>
  <c r="BP47" i="5"/>
  <c r="BP49" i="5" s="1"/>
  <c r="BQ47" i="5"/>
  <c r="BQ49" i="5" s="1"/>
  <c r="BS47" i="5"/>
  <c r="BS49" i="5" s="1"/>
  <c r="BT47" i="5"/>
  <c r="BT49" i="5" s="1"/>
  <c r="BU47" i="5"/>
  <c r="BU49" i="5" s="1"/>
  <c r="BV47" i="5"/>
  <c r="BV49" i="5" s="1"/>
  <c r="BW47" i="5"/>
  <c r="BW49" i="5" s="1"/>
  <c r="BX47" i="5"/>
  <c r="BX49" i="5" s="1"/>
  <c r="BZ47" i="5"/>
  <c r="BZ49" i="5" s="1"/>
  <c r="CA47" i="5"/>
  <c r="CA49" i="5" s="1"/>
  <c r="CB47" i="5"/>
  <c r="CC47" i="5"/>
  <c r="CC49" i="5" s="1"/>
  <c r="CD47" i="5"/>
  <c r="CD49" i="5" s="1"/>
  <c r="CE47" i="5"/>
  <c r="CE49" i="5" s="1"/>
  <c r="CG47" i="5"/>
  <c r="CH47" i="5"/>
  <c r="CH49" i="5" s="1"/>
  <c r="CI47" i="5"/>
  <c r="CI49" i="5" s="1"/>
  <c r="CJ47" i="5"/>
  <c r="CJ49" i="5" s="1"/>
  <c r="CK47" i="5"/>
  <c r="CK49" i="5" s="1"/>
  <c r="CL47" i="5"/>
  <c r="CL49" i="5" s="1"/>
  <c r="CN47" i="5"/>
  <c r="CN49" i="5" s="1"/>
  <c r="CO47" i="5"/>
  <c r="CO49" i="5" s="1"/>
  <c r="CP47" i="5"/>
  <c r="CP49" i="5" s="1"/>
  <c r="CQ47" i="5"/>
  <c r="CQ49" i="5" s="1"/>
  <c r="CR47" i="5"/>
  <c r="CR49" i="5" s="1"/>
  <c r="CS47" i="5"/>
  <c r="CS49" i="5" s="1"/>
  <c r="CU47" i="5"/>
  <c r="CU49" i="5" s="1"/>
  <c r="CV47" i="5"/>
  <c r="CV49" i="5" s="1"/>
  <c r="CW47" i="5"/>
  <c r="CW49" i="5" s="1"/>
  <c r="CX47" i="5"/>
  <c r="CX49" i="5" s="1"/>
  <c r="CY47" i="5"/>
  <c r="CY49" i="5" s="1"/>
  <c r="CZ47" i="5"/>
  <c r="CZ49" i="5" s="1"/>
  <c r="DB47" i="5"/>
  <c r="DB49" i="5" s="1"/>
  <c r="DC47" i="5"/>
  <c r="DC49" i="5" s="1"/>
  <c r="DD47" i="5"/>
  <c r="DD49" i="5" s="1"/>
  <c r="DE47" i="5"/>
  <c r="DE49" i="5" s="1"/>
  <c r="DF47" i="5"/>
  <c r="DF49" i="5" s="1"/>
  <c r="DG47" i="5"/>
  <c r="DI47" i="5"/>
  <c r="DI49" i="5" s="1"/>
  <c r="DJ47" i="5"/>
  <c r="DJ49" i="5" s="1"/>
  <c r="DK47" i="5"/>
  <c r="DK49" i="5" s="1"/>
  <c r="DL47" i="5"/>
  <c r="DL49" i="5" s="1"/>
  <c r="DM47" i="5"/>
  <c r="DM49" i="5" s="1"/>
  <c r="DN47" i="5"/>
  <c r="DN49" i="5" s="1"/>
  <c r="DP47" i="5"/>
  <c r="DP49" i="5" s="1"/>
  <c r="DQ47" i="5"/>
  <c r="DQ49" i="5" s="1"/>
  <c r="DR47" i="5"/>
  <c r="DR49" i="5" s="1"/>
  <c r="DS47" i="5"/>
  <c r="DS49" i="5" s="1"/>
  <c r="DT47" i="5"/>
  <c r="DT49" i="5" s="1"/>
  <c r="DU47" i="5"/>
  <c r="DU49" i="5" s="1"/>
  <c r="DW47" i="5"/>
  <c r="DW49" i="5" s="1"/>
  <c r="DX47" i="5"/>
  <c r="DY47" i="5"/>
  <c r="DY49" i="5" s="1"/>
  <c r="DZ47" i="5"/>
  <c r="DZ49" i="5" s="1"/>
  <c r="EA47" i="5"/>
  <c r="EA49" i="5" s="1"/>
  <c r="EB47" i="5"/>
  <c r="EB49" i="5" s="1"/>
  <c r="ED47" i="5"/>
  <c r="ED49" i="5" s="1"/>
  <c r="EE47" i="5"/>
  <c r="EF47" i="5"/>
  <c r="EF49" i="5" s="1"/>
  <c r="EG47" i="5"/>
  <c r="EG49" i="5" s="1"/>
  <c r="EH47" i="5"/>
  <c r="EH49" i="5" s="1"/>
  <c r="EI47" i="5"/>
  <c r="EI49" i="5" s="1"/>
  <c r="EK47" i="5"/>
  <c r="EL47" i="5"/>
  <c r="EL49" i="5" s="1"/>
  <c r="EM47" i="5"/>
  <c r="EM49" i="5" s="1"/>
  <c r="EN47" i="5"/>
  <c r="EN49" i="5" s="1"/>
  <c r="EO47" i="5"/>
  <c r="EO49" i="5" s="1"/>
  <c r="EP47" i="5"/>
  <c r="EP49" i="5" s="1"/>
  <c r="ER47" i="5"/>
  <c r="ER49" i="5" s="1"/>
  <c r="ES47" i="5"/>
  <c r="ES49" i="5" s="1"/>
  <c r="ET47" i="5"/>
  <c r="EU47" i="5"/>
  <c r="EU49" i="5" s="1"/>
  <c r="EV47" i="5"/>
  <c r="EV49" i="5" s="1"/>
  <c r="EW47" i="5"/>
  <c r="EW49" i="5" s="1"/>
  <c r="EY47" i="5"/>
  <c r="EY49" i="5" s="1"/>
  <c r="EZ47" i="5"/>
  <c r="FA47" i="5"/>
  <c r="FA49" i="5" s="1"/>
  <c r="FB47" i="5"/>
  <c r="FB49" i="5" s="1"/>
  <c r="FC47" i="5"/>
  <c r="FC49" i="5" s="1"/>
  <c r="FD47" i="5"/>
  <c r="FD49" i="5" s="1"/>
  <c r="FF47" i="5"/>
  <c r="FF49" i="5" s="1"/>
  <c r="FG47" i="5"/>
  <c r="FG49" i="5" s="1"/>
  <c r="FH47" i="5"/>
  <c r="FH49" i="5" s="1"/>
  <c r="FI47" i="5"/>
  <c r="FI49" i="5" s="1"/>
  <c r="FJ47" i="5"/>
  <c r="FJ49" i="5" s="1"/>
  <c r="FK47" i="5"/>
  <c r="FK49" i="5" s="1"/>
  <c r="FM47" i="5"/>
  <c r="FM49" i="5" s="1"/>
  <c r="FN47" i="5"/>
  <c r="FN49" i="5" s="1"/>
  <c r="FO47" i="5"/>
  <c r="FO49" i="5" s="1"/>
  <c r="FP47" i="5"/>
  <c r="FP49" i="5" s="1"/>
  <c r="FQ47" i="5"/>
  <c r="FQ49" i="5" s="1"/>
  <c r="FR47" i="5"/>
  <c r="FR49" i="5" s="1"/>
  <c r="FT47" i="5"/>
  <c r="FT49" i="5" s="1"/>
  <c r="FU47" i="5"/>
  <c r="FU49" i="5" s="1"/>
  <c r="FV47" i="5"/>
  <c r="FV49" i="5" s="1"/>
  <c r="FW47" i="5"/>
  <c r="FW49" i="5" s="1"/>
  <c r="FX47" i="5"/>
  <c r="FX49" i="5" s="1"/>
  <c r="FY47" i="5"/>
  <c r="FY49" i="5" s="1"/>
  <c r="GA47" i="5"/>
  <c r="GA49" i="5" s="1"/>
  <c r="GB47" i="5"/>
  <c r="GB49" i="5" s="1"/>
  <c r="GC47" i="5"/>
  <c r="GC49" i="5" s="1"/>
  <c r="GD47" i="5"/>
  <c r="GD49" i="5" s="1"/>
  <c r="GE47" i="5"/>
  <c r="GE49" i="5" s="1"/>
  <c r="GF47" i="5"/>
  <c r="GF49" i="5" s="1"/>
  <c r="GH47" i="5"/>
  <c r="GH49" i="5" s="1"/>
  <c r="GI47" i="5"/>
  <c r="GI49" i="5" s="1"/>
  <c r="GJ47" i="5"/>
  <c r="GJ49" i="5" s="1"/>
  <c r="GK47" i="5"/>
  <c r="GK49" i="5" s="1"/>
  <c r="GL47" i="5"/>
  <c r="GL49" i="5" s="1"/>
  <c r="GM47" i="5"/>
  <c r="GM49" i="5" s="1"/>
  <c r="GO47" i="5"/>
  <c r="GO49" i="5" s="1"/>
  <c r="GP47" i="5"/>
  <c r="GP49" i="5" s="1"/>
  <c r="GQ47" i="5"/>
  <c r="GQ49" i="5" s="1"/>
  <c r="GR47" i="5"/>
  <c r="GR49" i="5" s="1"/>
  <c r="GS47" i="5"/>
  <c r="GS49" i="5" s="1"/>
  <c r="GT47" i="5"/>
  <c r="GT49" i="5" s="1"/>
  <c r="GV47" i="5"/>
  <c r="GV49" i="5" s="1"/>
  <c r="GW47" i="5"/>
  <c r="GW49" i="5" s="1"/>
  <c r="GX47" i="5"/>
  <c r="GX49" i="5" s="1"/>
  <c r="GY47" i="5"/>
  <c r="GY49" i="5" s="1"/>
  <c r="GZ47" i="5"/>
  <c r="GZ49" i="5" s="1"/>
  <c r="HA47" i="5"/>
  <c r="HA49" i="5" s="1"/>
  <c r="HC47" i="5"/>
  <c r="HC49" i="5" s="1"/>
  <c r="HD47" i="5"/>
  <c r="HD49" i="5" s="1"/>
  <c r="HE47" i="5"/>
  <c r="HE49" i="5" s="1"/>
  <c r="HF47" i="5"/>
  <c r="HG47" i="5"/>
  <c r="HG49" i="5" s="1"/>
  <c r="HH47" i="5"/>
  <c r="HH49" i="5" s="1"/>
  <c r="HJ47" i="5"/>
  <c r="HJ49" i="5" s="1"/>
  <c r="HK47" i="5"/>
  <c r="HK49" i="5" s="1"/>
  <c r="HL47" i="5"/>
  <c r="HL49" i="5" s="1"/>
  <c r="HM47" i="5"/>
  <c r="HM49" i="5" s="1"/>
  <c r="HN47" i="5"/>
  <c r="HN49" i="5" s="1"/>
  <c r="HO47" i="5"/>
  <c r="HO49" i="5" s="1"/>
  <c r="HQ47" i="5"/>
  <c r="HQ49" i="5" s="1"/>
  <c r="HR47" i="5"/>
  <c r="HR49" i="5" s="1"/>
  <c r="HS47" i="5"/>
  <c r="HS49" i="5" s="1"/>
  <c r="HT47" i="5"/>
  <c r="HT49" i="5" s="1"/>
  <c r="HU47" i="5"/>
  <c r="HU49" i="5" s="1"/>
  <c r="HV47" i="5"/>
  <c r="HV49" i="5" s="1"/>
  <c r="HX47" i="5"/>
  <c r="HX49" i="5" s="1"/>
  <c r="HY47" i="5"/>
  <c r="HY49" i="5" s="1"/>
  <c r="HZ47" i="5"/>
  <c r="HZ49" i="5" s="1"/>
  <c r="IA47" i="5"/>
  <c r="IA49" i="5" s="1"/>
  <c r="IB47" i="5"/>
  <c r="IB49" i="5" s="1"/>
  <c r="IC47" i="5"/>
  <c r="IC49" i="5" s="1"/>
  <c r="IE47" i="5"/>
  <c r="IE49" i="5" s="1"/>
  <c r="IF47" i="5"/>
  <c r="IF49" i="5" s="1"/>
  <c r="IG47" i="5"/>
  <c r="IG49" i="5" s="1"/>
  <c r="IH47" i="5"/>
  <c r="IH49" i="5" s="1"/>
  <c r="II47" i="5"/>
  <c r="II49" i="5" s="1"/>
  <c r="IJ47" i="5"/>
  <c r="IJ49" i="5" s="1"/>
  <c r="IL47" i="5"/>
  <c r="IL49" i="5" s="1"/>
  <c r="IM47" i="5"/>
  <c r="IN47" i="5"/>
  <c r="IN49" i="5" s="1"/>
  <c r="IO47" i="5"/>
  <c r="IO49" i="5" s="1"/>
  <c r="IP47" i="5"/>
  <c r="IP49" i="5" s="1"/>
  <c r="IQ47" i="5"/>
  <c r="IQ49" i="5" s="1"/>
  <c r="IS47" i="5"/>
  <c r="IS49" i="5" s="1"/>
  <c r="IT47" i="5"/>
  <c r="IT49" i="5" s="1"/>
  <c r="IU47" i="5"/>
  <c r="IU49" i="5" s="1"/>
  <c r="IV47" i="5"/>
  <c r="IV49" i="5" s="1"/>
  <c r="IW47" i="5"/>
  <c r="IW49" i="5" s="1"/>
  <c r="IX47" i="5"/>
  <c r="IX49" i="5" s="1"/>
  <c r="IZ47" i="5"/>
  <c r="IZ49" i="5" s="1"/>
  <c r="JA47" i="5"/>
  <c r="JA49" i="5" s="1"/>
  <c r="JB47" i="5"/>
  <c r="JB49" i="5" s="1"/>
  <c r="JC47" i="5"/>
  <c r="JC49" i="5" s="1"/>
  <c r="JD47" i="5"/>
  <c r="JD49" i="5" s="1"/>
  <c r="JE47" i="5"/>
  <c r="JE49" i="5" s="1"/>
  <c r="JG47" i="5"/>
  <c r="JG49" i="5" s="1"/>
  <c r="JH47" i="5"/>
  <c r="JI47" i="5"/>
  <c r="JI49" i="5" s="1"/>
  <c r="JJ47" i="5"/>
  <c r="JJ49" i="5" s="1"/>
  <c r="JK47" i="5"/>
  <c r="JK49" i="5" s="1"/>
  <c r="JL47" i="5"/>
  <c r="JL49" i="5" s="1"/>
  <c r="JN47" i="5"/>
  <c r="JN49" i="5" s="1"/>
  <c r="JO47" i="5"/>
  <c r="JO49" i="5" s="1"/>
  <c r="JP47" i="5"/>
  <c r="JP49" i="5" s="1"/>
  <c r="JQ47" i="5"/>
  <c r="JQ49" i="5" s="1"/>
  <c r="JR47" i="5"/>
  <c r="JR49" i="5" s="1"/>
  <c r="JS47" i="5"/>
  <c r="JS49" i="5" s="1"/>
  <c r="JU47" i="5"/>
  <c r="JU49" i="5" s="1"/>
  <c r="JV47" i="5"/>
  <c r="JV49" i="5" s="1"/>
  <c r="JW47" i="5"/>
  <c r="JW49" i="5" s="1"/>
  <c r="JX47" i="5"/>
  <c r="JX49" i="5" s="1"/>
  <c r="JY47" i="5"/>
  <c r="JY49" i="5" s="1"/>
  <c r="JZ47" i="5"/>
  <c r="JZ49" i="5" s="1"/>
  <c r="KB47" i="5"/>
  <c r="KB49" i="5" s="1"/>
  <c r="KC47" i="5"/>
  <c r="KC49" i="5" s="1"/>
  <c r="KD47" i="5"/>
  <c r="KD49" i="5" s="1"/>
  <c r="KE47" i="5"/>
  <c r="KE49" i="5" s="1"/>
  <c r="KF47" i="5"/>
  <c r="KF49" i="5" s="1"/>
  <c r="KG47" i="5"/>
  <c r="KG49" i="5" s="1"/>
  <c r="KI47" i="5"/>
  <c r="KI49" i="5" s="1"/>
  <c r="KJ47" i="5"/>
  <c r="KJ49" i="5" s="1"/>
  <c r="KK47" i="5"/>
  <c r="KK49" i="5" s="1"/>
  <c r="KL47" i="5"/>
  <c r="KL49" i="5" s="1"/>
  <c r="KM47" i="5"/>
  <c r="KM49" i="5" s="1"/>
  <c r="KN47" i="5"/>
  <c r="KN49" i="5" s="1"/>
  <c r="KP47" i="5"/>
  <c r="KP49" i="5" s="1"/>
  <c r="KQ47" i="5"/>
  <c r="KR47" i="5"/>
  <c r="KR49" i="5" s="1"/>
  <c r="KS47" i="5"/>
  <c r="KS49" i="5" s="1"/>
  <c r="KT47" i="5"/>
  <c r="KT49" i="5" s="1"/>
  <c r="KU47" i="5"/>
  <c r="KU49" i="5" s="1"/>
  <c r="KW47" i="5"/>
  <c r="KW49" i="5" s="1"/>
  <c r="KX47" i="5"/>
  <c r="KX49" i="5" s="1"/>
  <c r="KY47" i="5"/>
  <c r="KY49" i="5" s="1"/>
  <c r="KZ47" i="5"/>
  <c r="KZ49" i="5" s="1"/>
  <c r="LA47" i="5"/>
  <c r="LA49" i="5" s="1"/>
  <c r="LB47" i="5"/>
  <c r="LB49" i="5" s="1"/>
  <c r="LD47" i="5"/>
  <c r="LD49" i="5" s="1"/>
  <c r="LE47" i="5"/>
  <c r="LE49" i="5" s="1"/>
  <c r="LF47" i="5"/>
  <c r="LF49" i="5" s="1"/>
  <c r="LG47" i="5"/>
  <c r="LG49" i="5" s="1"/>
  <c r="LH47" i="5"/>
  <c r="LH49" i="5" s="1"/>
  <c r="LI47" i="5"/>
  <c r="LI49" i="5" s="1"/>
  <c r="LK47" i="5"/>
  <c r="LK49" i="5" s="1"/>
  <c r="LL47" i="5"/>
  <c r="LM47" i="5"/>
  <c r="LM49" i="5" s="1"/>
  <c r="LN47" i="5"/>
  <c r="LN49" i="5" s="1"/>
  <c r="LO47" i="5"/>
  <c r="LO49" i="5" s="1"/>
  <c r="LP47" i="5"/>
  <c r="LP49" i="5" s="1"/>
  <c r="LR47" i="5"/>
  <c r="LR49" i="5" s="1"/>
  <c r="LS47" i="5"/>
  <c r="LS49" i="5" s="1"/>
  <c r="LT47" i="5"/>
  <c r="LT49" i="5" s="1"/>
  <c r="LU47" i="5"/>
  <c r="LU49" i="5" s="1"/>
  <c r="LV47" i="5"/>
  <c r="LV49" i="5" s="1"/>
  <c r="LW47" i="5"/>
  <c r="LW49" i="5" s="1"/>
  <c r="LY47" i="5"/>
  <c r="LY49" i="5" s="1"/>
  <c r="LZ47" i="5"/>
  <c r="LZ49" i="5" s="1"/>
  <c r="MA47" i="5"/>
  <c r="MA49" i="5" s="1"/>
  <c r="MB47" i="5"/>
  <c r="MB49" i="5" s="1"/>
  <c r="MC47" i="5"/>
  <c r="MC49" i="5" s="1"/>
  <c r="MD47" i="5"/>
  <c r="MD49" i="5" s="1"/>
  <c r="MF47" i="5"/>
  <c r="MF49" i="5" s="1"/>
  <c r="MG47" i="5"/>
  <c r="MG49" i="5" s="1"/>
  <c r="MH47" i="5"/>
  <c r="MH49" i="5" s="1"/>
  <c r="MI47" i="5"/>
  <c r="MI49" i="5" s="1"/>
  <c r="MJ47" i="5"/>
  <c r="MJ49" i="5" s="1"/>
  <c r="MK47" i="5"/>
  <c r="MK49" i="5" s="1"/>
  <c r="MM47" i="5"/>
  <c r="MM49" i="5" s="1"/>
  <c r="MN47" i="5"/>
  <c r="MO47" i="5"/>
  <c r="MO49" i="5" s="1"/>
  <c r="MP47" i="5"/>
  <c r="MP49" i="5" s="1"/>
  <c r="MQ47" i="5"/>
  <c r="MQ49" i="5" s="1"/>
  <c r="MR47" i="5"/>
  <c r="MR49" i="5" s="1"/>
  <c r="MT47" i="5"/>
  <c r="MT49" i="5" s="1"/>
  <c r="MU47" i="5"/>
  <c r="MU49" i="5" s="1"/>
  <c r="MV47" i="5"/>
  <c r="MV49" i="5" s="1"/>
  <c r="MW47" i="5"/>
  <c r="MW49" i="5" s="1"/>
  <c r="MX47" i="5"/>
  <c r="MX49" i="5" s="1"/>
  <c r="MY47" i="5"/>
  <c r="MY49" i="5" s="1"/>
  <c r="NA47" i="5"/>
  <c r="NA49" i="5" s="1"/>
  <c r="NB47" i="5"/>
  <c r="NB49" i="5" s="1"/>
  <c r="NC47" i="5"/>
  <c r="NC49" i="5" s="1"/>
  <c r="ND47" i="5"/>
  <c r="ND49" i="5" s="1"/>
  <c r="NE47" i="5"/>
  <c r="NE49" i="5" s="1"/>
  <c r="NF47" i="5"/>
  <c r="NF49" i="5" s="1"/>
  <c r="NH47" i="5"/>
  <c r="NH49" i="5" s="1"/>
  <c r="NI47" i="5"/>
  <c r="NI49" i="5" s="1"/>
  <c r="NJ47" i="5"/>
  <c r="NJ49" i="5" s="1"/>
  <c r="NK47" i="5"/>
  <c r="NK49" i="5" s="1"/>
  <c r="NL47" i="5"/>
  <c r="NL49" i="5" s="1"/>
  <c r="NM47" i="5"/>
  <c r="NM49" i="5" s="1"/>
  <c r="AA48" i="5"/>
  <c r="AC48" i="5"/>
  <c r="AD48" i="5"/>
  <c r="AE48" i="5"/>
  <c r="AF48" i="5"/>
  <c r="AG48" i="5"/>
  <c r="AH48" i="5"/>
  <c r="AJ48" i="5"/>
  <c r="AK48" i="5"/>
  <c r="AL48" i="5"/>
  <c r="AM48" i="5"/>
  <c r="AN48" i="5"/>
  <c r="AO48" i="5"/>
  <c r="AQ48" i="5"/>
  <c r="AR48" i="5"/>
  <c r="AS48" i="5"/>
  <c r="AT48" i="5"/>
  <c r="AU48" i="5"/>
  <c r="AV48" i="5"/>
  <c r="AX48" i="5"/>
  <c r="AY48" i="5"/>
  <c r="AZ48" i="5"/>
  <c r="BA48" i="5"/>
  <c r="BB48" i="5"/>
  <c r="BC48" i="5"/>
  <c r="BE48" i="5"/>
  <c r="BF48" i="5"/>
  <c r="BG48" i="5"/>
  <c r="BH48" i="5"/>
  <c r="BI48" i="5"/>
  <c r="BJ48" i="5"/>
  <c r="BL48" i="5"/>
  <c r="BM48" i="5"/>
  <c r="BN48" i="5"/>
  <c r="BO48" i="5"/>
  <c r="BP48" i="5"/>
  <c r="BQ48" i="5"/>
  <c r="BS48" i="5"/>
  <c r="BT48" i="5"/>
  <c r="BU48" i="5"/>
  <c r="BV48" i="5"/>
  <c r="BW48" i="5"/>
  <c r="BX48" i="5"/>
  <c r="BZ48" i="5"/>
  <c r="CA48" i="5"/>
  <c r="CB48" i="5"/>
  <c r="CC48" i="5"/>
  <c r="CD48" i="5"/>
  <c r="CE48" i="5"/>
  <c r="CG48" i="5"/>
  <c r="CH48" i="5"/>
  <c r="CI48" i="5"/>
  <c r="CJ48" i="5"/>
  <c r="CK48" i="5"/>
  <c r="CL48" i="5"/>
  <c r="CN48" i="5"/>
  <c r="CO48" i="5"/>
  <c r="CP48" i="5"/>
  <c r="CQ48" i="5"/>
  <c r="CR48" i="5"/>
  <c r="CS48" i="5"/>
  <c r="CU48" i="5"/>
  <c r="CV48" i="5"/>
  <c r="CW48" i="5"/>
  <c r="CX48" i="5"/>
  <c r="CY48" i="5"/>
  <c r="CZ48" i="5"/>
  <c r="DB48" i="5"/>
  <c r="DC48" i="5"/>
  <c r="DD48" i="5"/>
  <c r="DE48" i="5"/>
  <c r="DF48" i="5"/>
  <c r="DG48" i="5"/>
  <c r="DI48" i="5"/>
  <c r="DJ48" i="5"/>
  <c r="DK48" i="5"/>
  <c r="DL48" i="5"/>
  <c r="DM48" i="5"/>
  <c r="DN48" i="5"/>
  <c r="DP48" i="5"/>
  <c r="DQ48" i="5"/>
  <c r="DR48" i="5"/>
  <c r="DS48" i="5"/>
  <c r="DT48" i="5"/>
  <c r="DU48" i="5"/>
  <c r="DW48" i="5"/>
  <c r="DX48" i="5"/>
  <c r="DY48" i="5"/>
  <c r="DZ48" i="5"/>
  <c r="EA48" i="5"/>
  <c r="EB48" i="5"/>
  <c r="ED48" i="5"/>
  <c r="EE48" i="5"/>
  <c r="EF48" i="5"/>
  <c r="EG48" i="5"/>
  <c r="EH48" i="5"/>
  <c r="EI48" i="5"/>
  <c r="EK48" i="5"/>
  <c r="EL48" i="5"/>
  <c r="EM48" i="5"/>
  <c r="EN48" i="5"/>
  <c r="EO48" i="5"/>
  <c r="EP48" i="5"/>
  <c r="ER48" i="5"/>
  <c r="ES48" i="5"/>
  <c r="ET48" i="5"/>
  <c r="EU48" i="5"/>
  <c r="EV48" i="5"/>
  <c r="EW48" i="5"/>
  <c r="EY48" i="5"/>
  <c r="EZ48" i="5"/>
  <c r="FA48" i="5"/>
  <c r="FB48" i="5"/>
  <c r="FC48" i="5"/>
  <c r="FD48" i="5"/>
  <c r="FF48" i="5"/>
  <c r="FG48" i="5"/>
  <c r="FH48" i="5"/>
  <c r="FI48" i="5"/>
  <c r="FJ48" i="5"/>
  <c r="FK48" i="5"/>
  <c r="FM48" i="5"/>
  <c r="FN48" i="5"/>
  <c r="FO48" i="5"/>
  <c r="FP48" i="5"/>
  <c r="FQ48" i="5"/>
  <c r="FR48" i="5"/>
  <c r="FT48" i="5"/>
  <c r="FU48" i="5"/>
  <c r="FV48" i="5"/>
  <c r="FW48" i="5"/>
  <c r="FX48" i="5"/>
  <c r="FY48" i="5"/>
  <c r="GA48" i="5"/>
  <c r="GB48" i="5"/>
  <c r="GC48" i="5"/>
  <c r="GD48" i="5"/>
  <c r="GE48" i="5"/>
  <c r="GF48" i="5"/>
  <c r="GH48" i="5"/>
  <c r="GI48" i="5"/>
  <c r="GJ48" i="5"/>
  <c r="GK48" i="5"/>
  <c r="GL48" i="5"/>
  <c r="GM48" i="5"/>
  <c r="GO48" i="5"/>
  <c r="GP48" i="5"/>
  <c r="GQ48" i="5"/>
  <c r="GR48" i="5"/>
  <c r="GS48" i="5"/>
  <c r="GT48" i="5"/>
  <c r="GV48" i="5"/>
  <c r="GW48" i="5"/>
  <c r="GX48" i="5"/>
  <c r="GY48" i="5"/>
  <c r="GZ48" i="5"/>
  <c r="HA48" i="5"/>
  <c r="HC48" i="5"/>
  <c r="HD48" i="5"/>
  <c r="HA45" i="9" s="1"/>
  <c r="HA46" i="9" s="1"/>
  <c r="HE48" i="5"/>
  <c r="HB45" i="9" s="1"/>
  <c r="HB46" i="9" s="1"/>
  <c r="HF48" i="5"/>
  <c r="HC45" i="9" s="1"/>
  <c r="HC46" i="9" s="1"/>
  <c r="HG48" i="5"/>
  <c r="HD45" i="9" s="1"/>
  <c r="HD46" i="9" s="1"/>
  <c r="HH48" i="5"/>
  <c r="HE45" i="9" s="1"/>
  <c r="HE46" i="9" s="1"/>
  <c r="HJ48" i="5"/>
  <c r="HK48" i="5"/>
  <c r="HH45" i="9" s="1"/>
  <c r="HL48" i="5"/>
  <c r="HI45" i="9" s="1"/>
  <c r="HM48" i="5"/>
  <c r="HJ45" i="9" s="1"/>
  <c r="HJ46" i="9" s="1"/>
  <c r="HN48" i="5"/>
  <c r="HK45" i="9" s="1"/>
  <c r="HK46" i="9" s="1"/>
  <c r="HO48" i="5"/>
  <c r="HL45" i="9" s="1"/>
  <c r="HL46" i="9" s="1"/>
  <c r="HQ48" i="5"/>
  <c r="HR48" i="5"/>
  <c r="HO45" i="9" s="1"/>
  <c r="HO46" i="9" s="1"/>
  <c r="HS48" i="5"/>
  <c r="HP45" i="9" s="1"/>
  <c r="HP46" i="9" s="1"/>
  <c r="HT48" i="5"/>
  <c r="HQ45" i="9" s="1"/>
  <c r="HU48" i="5"/>
  <c r="HR45" i="9" s="1"/>
  <c r="HV48" i="5"/>
  <c r="HS45" i="9" s="1"/>
  <c r="HS46" i="9" s="1"/>
  <c r="HX48" i="5"/>
  <c r="HY48" i="5"/>
  <c r="HV45" i="9" s="1"/>
  <c r="HV46" i="9" s="1"/>
  <c r="HZ48" i="5"/>
  <c r="HW45" i="9" s="1"/>
  <c r="HW46" i="9" s="1"/>
  <c r="IA48" i="5"/>
  <c r="HX45" i="9" s="1"/>
  <c r="HX46" i="9" s="1"/>
  <c r="IB48" i="5"/>
  <c r="HY45" i="9" s="1"/>
  <c r="HY46" i="9" s="1"/>
  <c r="IC48" i="5"/>
  <c r="HZ45" i="9" s="1"/>
  <c r="HZ46" i="9" s="1"/>
  <c r="IE48" i="5"/>
  <c r="IF48" i="5"/>
  <c r="IC45" i="9" s="1"/>
  <c r="IC46" i="9" s="1"/>
  <c r="IG48" i="5"/>
  <c r="ID45" i="9" s="1"/>
  <c r="ID46" i="9" s="1"/>
  <c r="IH48" i="5"/>
  <c r="IE45" i="9" s="1"/>
  <c r="IE46" i="9" s="1"/>
  <c r="II48" i="5"/>
  <c r="IF45" i="9" s="1"/>
  <c r="IF46" i="9" s="1"/>
  <c r="IJ48" i="5"/>
  <c r="IG45" i="9" s="1"/>
  <c r="IG46" i="9" s="1"/>
  <c r="IL48" i="5"/>
  <c r="IM48" i="5"/>
  <c r="IJ45" i="9" s="1"/>
  <c r="IJ46" i="9" s="1"/>
  <c r="IN48" i="5"/>
  <c r="IK45" i="9" s="1"/>
  <c r="IK46" i="9" s="1"/>
  <c r="IO48" i="5"/>
  <c r="IL45" i="9" s="1"/>
  <c r="IL46" i="9" s="1"/>
  <c r="IP48" i="5"/>
  <c r="IM45" i="9" s="1"/>
  <c r="IM46" i="9" s="1"/>
  <c r="IQ48" i="5"/>
  <c r="IN45" i="9" s="1"/>
  <c r="IN46" i="9" s="1"/>
  <c r="IS48" i="5"/>
  <c r="IT48" i="5"/>
  <c r="IQ45" i="9" s="1"/>
  <c r="IQ46" i="9" s="1"/>
  <c r="IU48" i="5"/>
  <c r="IR45" i="9" s="1"/>
  <c r="IR46" i="9" s="1"/>
  <c r="IV48" i="5"/>
  <c r="IS45" i="9" s="1"/>
  <c r="IS46" i="9" s="1"/>
  <c r="IW48" i="5"/>
  <c r="IT45" i="9" s="1"/>
  <c r="IT46" i="9" s="1"/>
  <c r="IX48" i="5"/>
  <c r="IU45" i="9" s="1"/>
  <c r="IU46" i="9" s="1"/>
  <c r="IZ48" i="5"/>
  <c r="JA48" i="5"/>
  <c r="IX45" i="9" s="1"/>
  <c r="IX46" i="9" s="1"/>
  <c r="JB48" i="5"/>
  <c r="IY45" i="9" s="1"/>
  <c r="IY46" i="9" s="1"/>
  <c r="JC48" i="5"/>
  <c r="IZ45" i="9" s="1"/>
  <c r="IZ46" i="9" s="1"/>
  <c r="JD48" i="5"/>
  <c r="JA45" i="9" s="1"/>
  <c r="JA46" i="9" s="1"/>
  <c r="JE48" i="5"/>
  <c r="JB45" i="9" s="1"/>
  <c r="JB46" i="9" s="1"/>
  <c r="JG48" i="5"/>
  <c r="JH48" i="5"/>
  <c r="JE45" i="9" s="1"/>
  <c r="JE46" i="9" s="1"/>
  <c r="JI48" i="5"/>
  <c r="JF45" i="9" s="1"/>
  <c r="JF46" i="9" s="1"/>
  <c r="JJ48" i="5"/>
  <c r="JG45" i="9" s="1"/>
  <c r="JG46" i="9" s="1"/>
  <c r="JK48" i="5"/>
  <c r="JH45" i="9" s="1"/>
  <c r="JH46" i="9" s="1"/>
  <c r="JL48" i="5"/>
  <c r="JI45" i="9" s="1"/>
  <c r="JI46" i="9" s="1"/>
  <c r="JN48" i="5"/>
  <c r="JO48" i="5"/>
  <c r="JL45" i="9" s="1"/>
  <c r="JL46" i="9" s="1"/>
  <c r="JP48" i="5"/>
  <c r="JM45" i="9" s="1"/>
  <c r="JM46" i="9" s="1"/>
  <c r="JQ48" i="5"/>
  <c r="JN45" i="9" s="1"/>
  <c r="JN46" i="9" s="1"/>
  <c r="JR48" i="5"/>
  <c r="JO45" i="9" s="1"/>
  <c r="JO46" i="9" s="1"/>
  <c r="JS48" i="5"/>
  <c r="JP45" i="9" s="1"/>
  <c r="JP46" i="9" s="1"/>
  <c r="JU48" i="5"/>
  <c r="JV48" i="5"/>
  <c r="JS45" i="9" s="1"/>
  <c r="JS46" i="9" s="1"/>
  <c r="JW48" i="5"/>
  <c r="JT45" i="9" s="1"/>
  <c r="JT46" i="9" s="1"/>
  <c r="JX48" i="5"/>
  <c r="JU45" i="9" s="1"/>
  <c r="JU46" i="9" s="1"/>
  <c r="JY48" i="5"/>
  <c r="JV45" i="9" s="1"/>
  <c r="JV46" i="9" s="1"/>
  <c r="JZ48" i="5"/>
  <c r="JW45" i="9" s="1"/>
  <c r="JW46" i="9" s="1"/>
  <c r="KB48" i="5"/>
  <c r="KC48" i="5"/>
  <c r="JZ45" i="9" s="1"/>
  <c r="KD48" i="5"/>
  <c r="KA45" i="9" s="1"/>
  <c r="KE48" i="5"/>
  <c r="KB45" i="9" s="1"/>
  <c r="KF48" i="5"/>
  <c r="KC45" i="9" s="1"/>
  <c r="KG48" i="5"/>
  <c r="KD45" i="9" s="1"/>
  <c r="KI48" i="5"/>
  <c r="KJ48" i="5"/>
  <c r="KG45" i="9" s="1"/>
  <c r="KK48" i="5"/>
  <c r="KH45" i="9" s="1"/>
  <c r="KL48" i="5"/>
  <c r="KI45" i="9" s="1"/>
  <c r="KM48" i="5"/>
  <c r="KJ45" i="9" s="1"/>
  <c r="KN48" i="5"/>
  <c r="KK45" i="9" s="1"/>
  <c r="KP48" i="5"/>
  <c r="KQ48" i="5"/>
  <c r="KN45" i="9" s="1"/>
  <c r="KR48" i="5"/>
  <c r="KO45" i="9" s="1"/>
  <c r="KS48" i="5"/>
  <c r="KP45" i="9" s="1"/>
  <c r="KT48" i="5"/>
  <c r="KQ45" i="9" s="1"/>
  <c r="KU48" i="5"/>
  <c r="KR45" i="9" s="1"/>
  <c r="KW48" i="5"/>
  <c r="KX48" i="5"/>
  <c r="KU45" i="9" s="1"/>
  <c r="KY48" i="5"/>
  <c r="KV45" i="9" s="1"/>
  <c r="KZ48" i="5"/>
  <c r="KW45" i="9" s="1"/>
  <c r="LA48" i="5"/>
  <c r="KX45" i="9" s="1"/>
  <c r="LB48" i="5"/>
  <c r="KY45" i="9" s="1"/>
  <c r="LD48" i="5"/>
  <c r="LE48" i="5"/>
  <c r="LB45" i="9" s="1"/>
  <c r="LF48" i="5"/>
  <c r="LC45" i="9" s="1"/>
  <c r="LG48" i="5"/>
  <c r="LD45" i="9" s="1"/>
  <c r="LH48" i="5"/>
  <c r="LE45" i="9" s="1"/>
  <c r="LI48" i="5"/>
  <c r="LF45" i="9" s="1"/>
  <c r="LK48" i="5"/>
  <c r="LL48" i="5"/>
  <c r="LI45" i="9" s="1"/>
  <c r="LM48" i="5"/>
  <c r="LJ45" i="9" s="1"/>
  <c r="LN48" i="5"/>
  <c r="LK45" i="9" s="1"/>
  <c r="LO48" i="5"/>
  <c r="LL45" i="9" s="1"/>
  <c r="LP48" i="5"/>
  <c r="LM45" i="9" s="1"/>
  <c r="LR48" i="5"/>
  <c r="LS48" i="5"/>
  <c r="LP45" i="9" s="1"/>
  <c r="LT48" i="5"/>
  <c r="LQ45" i="9" s="1"/>
  <c r="LU48" i="5"/>
  <c r="LR45" i="9" s="1"/>
  <c r="LV48" i="5"/>
  <c r="LS45" i="9" s="1"/>
  <c r="LW48" i="5"/>
  <c r="LT45" i="9" s="1"/>
  <c r="LY48" i="5"/>
  <c r="LZ48" i="5"/>
  <c r="LW45" i="9" s="1"/>
  <c r="MA48" i="5"/>
  <c r="LX45" i="9" s="1"/>
  <c r="MB48" i="5"/>
  <c r="LY45" i="9" s="1"/>
  <c r="MC48" i="5"/>
  <c r="LZ45" i="9" s="1"/>
  <c r="MD48" i="5"/>
  <c r="MA45" i="9" s="1"/>
  <c r="MF48" i="5"/>
  <c r="MG48" i="5"/>
  <c r="MD45" i="9" s="1"/>
  <c r="MH48" i="5"/>
  <c r="ME45" i="9" s="1"/>
  <c r="MI48" i="5"/>
  <c r="MF45" i="9" s="1"/>
  <c r="MJ48" i="5"/>
  <c r="MG45" i="9" s="1"/>
  <c r="MK48" i="5"/>
  <c r="MH45" i="9" s="1"/>
  <c r="MM48" i="5"/>
  <c r="MN48" i="5"/>
  <c r="MK45" i="9" s="1"/>
  <c r="MO48" i="5"/>
  <c r="ML45" i="9" s="1"/>
  <c r="MP48" i="5"/>
  <c r="MM45" i="9" s="1"/>
  <c r="MQ48" i="5"/>
  <c r="MN45" i="9" s="1"/>
  <c r="MR48" i="5"/>
  <c r="MO45" i="9" s="1"/>
  <c r="MT48" i="5"/>
  <c r="MU48" i="5"/>
  <c r="MR45" i="9" s="1"/>
  <c r="MV48" i="5"/>
  <c r="MS45" i="9" s="1"/>
  <c r="MW48" i="5"/>
  <c r="MT45" i="9" s="1"/>
  <c r="MX48" i="5"/>
  <c r="MU45" i="9" s="1"/>
  <c r="MY48" i="5"/>
  <c r="MV45" i="9" s="1"/>
  <c r="NA48" i="5"/>
  <c r="NB48" i="5"/>
  <c r="MY45" i="9" s="1"/>
  <c r="NC48" i="5"/>
  <c r="MZ45" i="9" s="1"/>
  <c r="ND48" i="5"/>
  <c r="NA45" i="9" s="1"/>
  <c r="NE48" i="5"/>
  <c r="NB45" i="9" s="1"/>
  <c r="NF48" i="5"/>
  <c r="NC45" i="9" s="1"/>
  <c r="NH48" i="5"/>
  <c r="NI48" i="5"/>
  <c r="NF45" i="9" s="1"/>
  <c r="NJ48" i="5"/>
  <c r="NG45" i="9" s="1"/>
  <c r="NK48" i="5"/>
  <c r="NH45" i="9" s="1"/>
  <c r="NL48" i="5"/>
  <c r="NI45" i="9" s="1"/>
  <c r="NM48" i="5"/>
  <c r="NJ45" i="9" s="1"/>
  <c r="AA49" i="5"/>
  <c r="AE49" i="5"/>
  <c r="AF49" i="5"/>
  <c r="AG49" i="5"/>
  <c r="CB49" i="5"/>
  <c r="CG49" i="5"/>
  <c r="DG49" i="5"/>
  <c r="EK49" i="5"/>
  <c r="ET49" i="5"/>
  <c r="Y46" i="5"/>
  <c r="Z46" i="5"/>
  <c r="Y47" i="5"/>
  <c r="Y49" i="5" s="1"/>
  <c r="Z47" i="5"/>
  <c r="Z49" i="5" s="1"/>
  <c r="Y48" i="5"/>
  <c r="Z48" i="5"/>
  <c r="NR23" i="9" l="1"/>
  <c r="NR7" i="9"/>
  <c r="HT23" i="9"/>
  <c r="IO30" i="9"/>
  <c r="KS30" i="9"/>
  <c r="MP30" i="9"/>
  <c r="KL30" i="9"/>
  <c r="IV30" i="9"/>
  <c r="MW30" i="9"/>
  <c r="MS46" i="5"/>
  <c r="LQ46" i="5"/>
  <c r="KO46" i="5"/>
  <c r="JM46" i="5"/>
  <c r="IK46" i="5"/>
  <c r="NG48" i="5"/>
  <c r="ND45" i="9" s="1"/>
  <c r="ND46" i="9" s="1"/>
  <c r="ME48" i="5"/>
  <c r="MB45" i="9" s="1"/>
  <c r="MB46" i="9" s="1"/>
  <c r="LC48" i="5"/>
  <c r="KZ45" i="9" s="1"/>
  <c r="KZ46" i="9" s="1"/>
  <c r="KA48" i="5"/>
  <c r="JX45" i="9" s="1"/>
  <c r="JX46" i="9" s="1"/>
  <c r="IY48" i="5"/>
  <c r="IV45" i="9" s="1"/>
  <c r="IV46" i="9" s="1"/>
  <c r="HW48" i="5"/>
  <c r="HT45" i="9" s="1"/>
  <c r="HT46" i="9" s="1"/>
  <c r="GU48" i="5"/>
  <c r="FS48" i="5"/>
  <c r="EQ48" i="5"/>
  <c r="DO48" i="5"/>
  <c r="CM48" i="5"/>
  <c r="BK48" i="5"/>
  <c r="MZ46" i="5"/>
  <c r="LX46" i="5"/>
  <c r="KV46" i="5"/>
  <c r="JT46" i="5"/>
  <c r="IR46" i="5"/>
  <c r="HP46" i="5"/>
  <c r="GN46" i="5"/>
  <c r="FL46" i="5"/>
  <c r="EJ46" i="5"/>
  <c r="DH46" i="5"/>
  <c r="CF46" i="5"/>
  <c r="BD46" i="5"/>
  <c r="KO49" i="5"/>
  <c r="FS46" i="5"/>
  <c r="DO46" i="5"/>
  <c r="CM46" i="5"/>
  <c r="BK46" i="5"/>
  <c r="MZ49" i="5"/>
  <c r="LC49" i="5"/>
  <c r="MZ47" i="5"/>
  <c r="KV47" i="5"/>
  <c r="KN14" i="9" s="1"/>
  <c r="KN7" i="9" s="1"/>
  <c r="IR47" i="5"/>
  <c r="HP49" i="5"/>
  <c r="GN47" i="5"/>
  <c r="EJ47" i="5"/>
  <c r="CF47" i="5"/>
  <c r="BD47" i="5"/>
  <c r="AY14" i="9" s="1"/>
  <c r="CT49" i="5"/>
  <c r="KH49" i="5"/>
  <c r="FZ49" i="5"/>
  <c r="MS47" i="5"/>
  <c r="IK49" i="5"/>
  <c r="DA49" i="5"/>
  <c r="ME46" i="5"/>
  <c r="KA46" i="5"/>
  <c r="HW46" i="5"/>
  <c r="HB46" i="5"/>
  <c r="KH48" i="5"/>
  <c r="KE45" i="9" s="1"/>
  <c r="KE46" i="9" s="1"/>
  <c r="HB48" i="5"/>
  <c r="FZ48" i="5"/>
  <c r="BR48" i="5"/>
  <c r="ML49" i="5"/>
  <c r="IM49" i="5"/>
  <c r="IR49" i="5" s="1"/>
  <c r="EX49" i="5"/>
  <c r="BR49" i="5"/>
  <c r="MS48" i="5"/>
  <c r="MP45" i="9" s="1"/>
  <c r="MP46" i="9" s="1"/>
  <c r="LQ48" i="5"/>
  <c r="LN45" i="9" s="1"/>
  <c r="LN46" i="9" s="1"/>
  <c r="KO48" i="5"/>
  <c r="KL45" i="9" s="1"/>
  <c r="KL46" i="9" s="1"/>
  <c r="JM48" i="5"/>
  <c r="JJ45" i="9" s="1"/>
  <c r="JJ46" i="9" s="1"/>
  <c r="IK48" i="5"/>
  <c r="IH45" i="9" s="1"/>
  <c r="IH46" i="9" s="1"/>
  <c r="GG48" i="5"/>
  <c r="FE48" i="5"/>
  <c r="EC48" i="5"/>
  <c r="DA48" i="5"/>
  <c r="BY48" i="5"/>
  <c r="AW48" i="5"/>
  <c r="ML46" i="5"/>
  <c r="LJ46" i="5"/>
  <c r="KH46" i="5"/>
  <c r="JF46" i="5"/>
  <c r="ID46" i="5"/>
  <c r="HI46" i="5"/>
  <c r="KO47" i="5"/>
  <c r="JM47" i="5"/>
  <c r="FE47" i="5"/>
  <c r="EC47" i="5"/>
  <c r="BY49" i="5"/>
  <c r="EX46" i="5"/>
  <c r="DV46" i="5"/>
  <c r="CT46" i="5"/>
  <c r="DO49" i="5"/>
  <c r="CF49" i="5"/>
  <c r="ML48" i="5"/>
  <c r="MI45" i="9" s="1"/>
  <c r="MI46" i="9" s="1"/>
  <c r="LJ48" i="5"/>
  <c r="LG45" i="9" s="1"/>
  <c r="LG46" i="9" s="1"/>
  <c r="JF48" i="5"/>
  <c r="JC45" i="9" s="1"/>
  <c r="JC46" i="9" s="1"/>
  <c r="EX48" i="5"/>
  <c r="DV48" i="5"/>
  <c r="CT48" i="5"/>
  <c r="NG46" i="5"/>
  <c r="GU46" i="5"/>
  <c r="EQ46" i="5"/>
  <c r="JF49" i="5"/>
  <c r="ID49" i="5"/>
  <c r="EE49" i="5"/>
  <c r="EJ49" i="5" s="1"/>
  <c r="NG47" i="5"/>
  <c r="ME47" i="5"/>
  <c r="LC47" i="5"/>
  <c r="KA47" i="5"/>
  <c r="IY47" i="5"/>
  <c r="HW47" i="5"/>
  <c r="GU47" i="5"/>
  <c r="FS47" i="5"/>
  <c r="FN14" i="9" s="1"/>
  <c r="EQ47" i="5"/>
  <c r="DO47" i="5"/>
  <c r="CM47" i="5"/>
  <c r="BK47" i="5"/>
  <c r="MZ48" i="5"/>
  <c r="MW45" i="9" s="1"/>
  <c r="MW46" i="9" s="1"/>
  <c r="LX48" i="5"/>
  <c r="LU45" i="9" s="1"/>
  <c r="LU46" i="9" s="1"/>
  <c r="KV48" i="5"/>
  <c r="KS45" i="9" s="1"/>
  <c r="KS46" i="9" s="1"/>
  <c r="JT48" i="5"/>
  <c r="JQ45" i="9" s="1"/>
  <c r="JQ46" i="9" s="1"/>
  <c r="IR48" i="5"/>
  <c r="IO45" i="9" s="1"/>
  <c r="IO46" i="9" s="1"/>
  <c r="HP48" i="5"/>
  <c r="HM45" i="9" s="1"/>
  <c r="HM46" i="9" s="1"/>
  <c r="GN48" i="5"/>
  <c r="FL48" i="5"/>
  <c r="EJ48" i="5"/>
  <c r="DH48" i="5"/>
  <c r="CF48" i="5"/>
  <c r="BD48" i="5"/>
  <c r="LQ47" i="5"/>
  <c r="GG49" i="5"/>
  <c r="AW49" i="5"/>
  <c r="LC46" i="5"/>
  <c r="IY46" i="5"/>
  <c r="FZ46" i="5"/>
  <c r="BR46" i="5"/>
  <c r="ID48" i="5"/>
  <c r="IA45" i="9" s="1"/>
  <c r="IA46" i="9" s="1"/>
  <c r="LJ49" i="5"/>
  <c r="DV49" i="5"/>
  <c r="GG46" i="5"/>
  <c r="FE46" i="5"/>
  <c r="EC46" i="5"/>
  <c r="DA46" i="5"/>
  <c r="BY46" i="5"/>
  <c r="AW46" i="5"/>
  <c r="NG49" i="5"/>
  <c r="KQ49" i="5"/>
  <c r="KV49" i="5" s="1"/>
  <c r="KQ14" i="9" s="1"/>
  <c r="HB49" i="5"/>
  <c r="EZ49" i="5"/>
  <c r="FE49" i="5" s="1"/>
  <c r="ML47" i="5"/>
  <c r="LJ47" i="5"/>
  <c r="KH47" i="5"/>
  <c r="JF47" i="5"/>
  <c r="ID47" i="5"/>
  <c r="HB47" i="5"/>
  <c r="FZ47" i="5"/>
  <c r="EX47" i="5"/>
  <c r="DV47" i="5"/>
  <c r="CT47" i="5"/>
  <c r="BR47" i="5"/>
  <c r="AP48" i="5"/>
  <c r="AP47" i="5"/>
  <c r="AP46" i="5"/>
  <c r="AK49" i="5"/>
  <c r="AP49" i="5" s="1"/>
  <c r="KA49" i="5"/>
  <c r="FS49" i="5"/>
  <c r="CM49" i="5"/>
  <c r="LX49" i="5"/>
  <c r="JT49" i="5"/>
  <c r="FL49" i="5"/>
  <c r="DH49" i="5"/>
  <c r="GU49" i="5"/>
  <c r="BD49" i="5"/>
  <c r="ME49" i="5"/>
  <c r="IY49" i="5"/>
  <c r="GN49" i="5"/>
  <c r="HW49" i="5"/>
  <c r="EQ49" i="5"/>
  <c r="BK49" i="5"/>
  <c r="LL49" i="5"/>
  <c r="LQ49" i="5" s="1"/>
  <c r="AI47" i="5"/>
  <c r="JH49" i="5"/>
  <c r="JM49" i="5" s="1"/>
  <c r="DX49" i="5"/>
  <c r="EC49" i="5" s="1"/>
  <c r="DX14" i="9" s="1"/>
  <c r="AW47" i="5"/>
  <c r="AR14" i="9" s="1"/>
  <c r="BY47" i="5"/>
  <c r="DA47" i="5"/>
  <c r="GG47" i="5"/>
  <c r="HP47" i="5"/>
  <c r="JT47" i="5"/>
  <c r="LX47" i="5"/>
  <c r="HI47" i="5"/>
  <c r="MN49" i="5"/>
  <c r="MS49" i="5" s="1"/>
  <c r="HI48" i="5"/>
  <c r="HF45" i="9" s="1"/>
  <c r="HF46" i="9" s="1"/>
  <c r="DH47" i="5"/>
  <c r="FL47" i="5"/>
  <c r="IK47" i="5"/>
  <c r="AI48" i="5"/>
  <c r="AI46" i="5"/>
  <c r="AD49" i="5"/>
  <c r="AI49" i="5" s="1"/>
  <c r="HF49" i="5"/>
  <c r="HI49" i="5" s="1"/>
  <c r="AK5" i="9"/>
  <c r="AD5" i="9"/>
  <c r="W5" i="9"/>
  <c r="P5" i="9"/>
  <c r="I5" i="9"/>
  <c r="I2" i="5"/>
  <c r="NO48" i="5"/>
  <c r="NO47" i="5"/>
  <c r="NO49" i="5" s="1"/>
  <c r="NO46" i="5"/>
  <c r="NI2" i="5"/>
  <c r="NN45" i="5" s="1"/>
  <c r="NB2" i="5"/>
  <c r="NG45" i="5" s="1"/>
  <c r="MU2" i="5"/>
  <c r="MZ45" i="5" s="1"/>
  <c r="MN2" i="5"/>
  <c r="MS45" i="5" s="1"/>
  <c r="MG2" i="5"/>
  <c r="ML45" i="5" s="1"/>
  <c r="LZ2" i="5"/>
  <c r="ME45" i="5" s="1"/>
  <c r="LS2" i="5"/>
  <c r="LX45" i="5" s="1"/>
  <c r="LL2" i="5"/>
  <c r="LQ45" i="5" s="1"/>
  <c r="LE2" i="5"/>
  <c r="LJ45" i="5" s="1"/>
  <c r="KX2" i="5"/>
  <c r="LC45" i="5" s="1"/>
  <c r="KQ2" i="5"/>
  <c r="KV45" i="5" s="1"/>
  <c r="KJ2" i="5"/>
  <c r="KO45" i="5" s="1"/>
  <c r="KC2" i="5"/>
  <c r="KH45" i="5" s="1"/>
  <c r="JV2" i="5"/>
  <c r="KA45" i="5" s="1"/>
  <c r="JO2" i="5"/>
  <c r="JT45" i="5" s="1"/>
  <c r="JH2" i="5"/>
  <c r="JM45" i="5" s="1"/>
  <c r="JA2" i="5"/>
  <c r="JF45" i="5" s="1"/>
  <c r="IT2" i="5"/>
  <c r="IY45" i="5" s="1"/>
  <c r="IM2" i="5"/>
  <c r="IR45" i="5" s="1"/>
  <c r="IF2" i="5"/>
  <c r="IK45" i="5" s="1"/>
  <c r="HY2" i="5"/>
  <c r="ID45" i="5" s="1"/>
  <c r="HR2" i="5"/>
  <c r="HW45" i="5" s="1"/>
  <c r="HK2" i="5"/>
  <c r="HP45" i="5" s="1"/>
  <c r="HD2" i="5"/>
  <c r="HI45" i="5" s="1"/>
  <c r="KC14" i="9" l="1"/>
  <c r="JZ14" i="9"/>
  <c r="JZ7" i="9" s="1"/>
  <c r="LE14" i="9"/>
  <c r="LB14" i="9"/>
  <c r="LB7" i="9" s="1"/>
  <c r="MR14" i="9"/>
  <c r="MR7" i="9" s="1"/>
  <c r="MU14" i="9"/>
  <c r="LP14" i="9"/>
  <c r="LP7" i="9" s="1"/>
  <c r="LS14" i="9"/>
  <c r="MG14" i="9"/>
  <c r="MD14" i="9"/>
  <c r="MD7" i="9" s="1"/>
  <c r="JO14" i="9"/>
  <c r="JL14" i="9"/>
  <c r="JL7" i="9" s="1"/>
  <c r="JS14" i="9"/>
  <c r="JS7" i="9" s="1"/>
  <c r="JV14" i="9"/>
  <c r="JH14" i="9"/>
  <c r="JE14" i="9"/>
  <c r="JE7" i="9" s="1"/>
  <c r="KX14" i="9"/>
  <c r="KU14" i="9"/>
  <c r="KU7" i="9" s="1"/>
  <c r="KJ14" i="9"/>
  <c r="KG14" i="9"/>
  <c r="KG7" i="9" s="1"/>
  <c r="MN14" i="9"/>
  <c r="MK14" i="9"/>
  <c r="MK7" i="9" s="1"/>
  <c r="KQ16" i="9"/>
  <c r="KS14" i="9"/>
  <c r="KT14" i="9" s="1"/>
  <c r="KT7" i="9" s="1"/>
  <c r="KQ7" i="9"/>
  <c r="LZ14" i="9"/>
  <c r="LW14" i="9"/>
  <c r="LW7" i="9" s="1"/>
  <c r="LL14" i="9"/>
  <c r="LI14" i="9"/>
  <c r="LI7" i="9" s="1"/>
  <c r="NB14" i="9"/>
  <c r="MY14" i="9"/>
  <c r="MY7" i="9" s="1"/>
  <c r="IX14" i="9"/>
  <c r="IX7" i="9" s="1"/>
  <c r="JA14" i="9"/>
  <c r="IT14" i="9"/>
  <c r="IQ14" i="9"/>
  <c r="IQ7" i="9" s="1"/>
  <c r="IJ14" i="9"/>
  <c r="IJ7" i="9" s="1"/>
  <c r="IM14" i="9"/>
  <c r="IC14" i="9"/>
  <c r="IC7" i="9" s="1"/>
  <c r="IF14" i="9"/>
  <c r="HY14" i="9"/>
  <c r="HV14" i="9"/>
  <c r="HV7" i="9" s="1"/>
  <c r="HK14" i="9"/>
  <c r="HH14" i="9"/>
  <c r="HH7" i="9" s="1"/>
  <c r="HO14" i="9"/>
  <c r="HO7" i="9" s="1"/>
  <c r="HR14" i="9"/>
  <c r="HD14" i="9"/>
  <c r="HA14" i="9"/>
  <c r="HA7" i="9" s="1"/>
  <c r="NN48" i="5"/>
  <c r="NK45" i="9" s="1"/>
  <c r="NK46" i="9" s="1"/>
  <c r="NN46" i="5"/>
  <c r="NN47" i="5"/>
  <c r="NN49" i="5"/>
  <c r="KS16" i="9" l="1"/>
  <c r="KQ9" i="9"/>
  <c r="KS9" i="9" s="1"/>
  <c r="JH16" i="9"/>
  <c r="JJ14" i="9"/>
  <c r="JK14" i="9" s="1"/>
  <c r="JK7" i="9" s="1"/>
  <c r="JH7" i="9"/>
  <c r="NB16" i="9"/>
  <c r="ND14" i="9"/>
  <c r="NE14" i="9" s="1"/>
  <c r="NE7" i="9" s="1"/>
  <c r="NB7" i="9"/>
  <c r="JV16" i="9"/>
  <c r="JV7" i="9"/>
  <c r="JX14" i="9"/>
  <c r="JY14" i="9" s="1"/>
  <c r="JY7" i="9" s="1"/>
  <c r="MU16" i="9"/>
  <c r="MW14" i="9"/>
  <c r="MX14" i="9" s="1"/>
  <c r="MX7" i="9" s="1"/>
  <c r="MU7" i="9"/>
  <c r="LS16" i="9"/>
  <c r="LU14" i="9"/>
  <c r="LV14" i="9" s="1"/>
  <c r="LV7" i="9" s="1"/>
  <c r="LS7" i="9"/>
  <c r="MN16" i="9"/>
  <c r="MP14" i="9"/>
  <c r="MQ14" i="9" s="1"/>
  <c r="MQ7" i="9" s="1"/>
  <c r="MN7" i="9"/>
  <c r="LL16" i="9"/>
  <c r="LN14" i="9"/>
  <c r="LO14" i="9" s="1"/>
  <c r="LO7" i="9" s="1"/>
  <c r="LL7" i="9"/>
  <c r="KJ16" i="9"/>
  <c r="KL14" i="9"/>
  <c r="KM14" i="9" s="1"/>
  <c r="KM7" i="9" s="1"/>
  <c r="KJ7" i="9"/>
  <c r="JO16" i="9"/>
  <c r="JQ14" i="9"/>
  <c r="JR14" i="9" s="1"/>
  <c r="JR7" i="9" s="1"/>
  <c r="JO7" i="9"/>
  <c r="LE16" i="9"/>
  <c r="LG14" i="9"/>
  <c r="LH14" i="9" s="1"/>
  <c r="LH7" i="9" s="1"/>
  <c r="LE7" i="9"/>
  <c r="LZ16" i="9"/>
  <c r="MB14" i="9"/>
  <c r="MC14" i="9" s="1"/>
  <c r="MC7" i="9" s="1"/>
  <c r="LZ7" i="9"/>
  <c r="KS7" i="9"/>
  <c r="KS5" i="9"/>
  <c r="KX16" i="9"/>
  <c r="KZ14" i="9"/>
  <c r="LA14" i="9" s="1"/>
  <c r="LA7" i="9" s="1"/>
  <c r="KX7" i="9"/>
  <c r="MG16" i="9"/>
  <c r="MI14" i="9"/>
  <c r="MJ14" i="9" s="1"/>
  <c r="MJ7" i="9" s="1"/>
  <c r="MG7" i="9"/>
  <c r="KC16" i="9"/>
  <c r="KE14" i="9"/>
  <c r="KF14" i="9" s="1"/>
  <c r="KF7" i="9" s="1"/>
  <c r="KC7" i="9"/>
  <c r="JA16" i="9"/>
  <c r="JC14" i="9"/>
  <c r="JD14" i="9" s="1"/>
  <c r="JD7" i="9" s="1"/>
  <c r="JA7" i="9"/>
  <c r="IT16" i="9"/>
  <c r="IV14" i="9"/>
  <c r="IW14" i="9" s="1"/>
  <c r="IW7" i="9" s="1"/>
  <c r="IT7" i="9"/>
  <c r="IM16" i="9"/>
  <c r="IO14" i="9"/>
  <c r="IP14" i="9" s="1"/>
  <c r="IP7" i="9" s="1"/>
  <c r="IM7" i="9"/>
  <c r="IF16" i="9"/>
  <c r="IH14" i="9"/>
  <c r="II14" i="9" s="1"/>
  <c r="II7" i="9" s="1"/>
  <c r="IF7" i="9"/>
  <c r="HY16" i="9"/>
  <c r="IA14" i="9"/>
  <c r="IB14" i="9" s="1"/>
  <c r="IB7" i="9" s="1"/>
  <c r="HY7" i="9"/>
  <c r="HK16" i="9"/>
  <c r="HM14" i="9"/>
  <c r="HN14" i="9" s="1"/>
  <c r="HN7" i="9" s="1"/>
  <c r="HK7" i="9"/>
  <c r="HR16" i="9"/>
  <c r="HT14" i="9"/>
  <c r="HU14" i="9" s="1"/>
  <c r="HU7" i="9" s="1"/>
  <c r="HR7" i="9"/>
  <c r="HD16" i="9"/>
  <c r="HF14" i="9"/>
  <c r="HG14" i="9" s="1"/>
  <c r="HD7" i="9"/>
  <c r="HF7" i="9" s="1"/>
  <c r="NF14" i="9"/>
  <c r="NF7" i="9" s="1"/>
  <c r="NI14" i="9"/>
  <c r="V49" i="8"/>
  <c r="W49" i="8"/>
  <c r="T48" i="9" s="1"/>
  <c r="X49" i="8"/>
  <c r="U48" i="9" s="1"/>
  <c r="Y49" i="8"/>
  <c r="V48" i="9" s="1"/>
  <c r="Z49" i="8"/>
  <c r="W48" i="9" s="1"/>
  <c r="AA49" i="8"/>
  <c r="X48" i="9" s="1"/>
  <c r="AC49" i="8"/>
  <c r="AD49" i="8"/>
  <c r="AA48" i="9" s="1"/>
  <c r="AE49" i="8"/>
  <c r="AB48" i="9" s="1"/>
  <c r="AF49" i="8"/>
  <c r="AC48" i="9" s="1"/>
  <c r="AG49" i="8"/>
  <c r="AD48" i="9" s="1"/>
  <c r="AH49" i="8"/>
  <c r="AE48" i="9" s="1"/>
  <c r="AJ49" i="8"/>
  <c r="AK49" i="8"/>
  <c r="AL49" i="8"/>
  <c r="AI48" i="9" s="1"/>
  <c r="AM49" i="8"/>
  <c r="AJ48" i="9" s="1"/>
  <c r="AN49" i="8"/>
  <c r="AK48" i="9" s="1"/>
  <c r="AO49" i="8"/>
  <c r="AL48" i="9" s="1"/>
  <c r="AQ49" i="8"/>
  <c r="AR49" i="8"/>
  <c r="AS49" i="8"/>
  <c r="AP48" i="9" s="1"/>
  <c r="AT49" i="8"/>
  <c r="AQ48" i="9" s="1"/>
  <c r="AU49" i="8"/>
  <c r="AR48" i="9" s="1"/>
  <c r="AV49" i="8"/>
  <c r="AS48" i="9" s="1"/>
  <c r="AX49" i="8"/>
  <c r="AY49" i="8"/>
  <c r="AV48" i="9" s="1"/>
  <c r="AZ49" i="8"/>
  <c r="AW48" i="9" s="1"/>
  <c r="BA49" i="8"/>
  <c r="AX48" i="9" s="1"/>
  <c r="BB49" i="8"/>
  <c r="AY48" i="9" s="1"/>
  <c r="BC49" i="8"/>
  <c r="AZ48" i="9" s="1"/>
  <c r="BE49" i="8"/>
  <c r="BF49" i="8"/>
  <c r="BC48" i="9" s="1"/>
  <c r="BG49" i="8"/>
  <c r="BD48" i="9" s="1"/>
  <c r="BH49" i="8"/>
  <c r="BE48" i="9" s="1"/>
  <c r="BI49" i="8"/>
  <c r="BF48" i="9" s="1"/>
  <c r="BJ49" i="8"/>
  <c r="BG48" i="9" s="1"/>
  <c r="BL49" i="8"/>
  <c r="BM49" i="8"/>
  <c r="BJ48" i="9" s="1"/>
  <c r="BN49" i="8"/>
  <c r="BK48" i="9" s="1"/>
  <c r="BO49" i="8"/>
  <c r="BL48" i="9" s="1"/>
  <c r="BP49" i="8"/>
  <c r="BM48" i="9" s="1"/>
  <c r="BQ49" i="8"/>
  <c r="BN48" i="9" s="1"/>
  <c r="BS49" i="8"/>
  <c r="BT49" i="8"/>
  <c r="BU49" i="8"/>
  <c r="BR48" i="9" s="1"/>
  <c r="BV49" i="8"/>
  <c r="BS48" i="9" s="1"/>
  <c r="BW49" i="8"/>
  <c r="BT48" i="9" s="1"/>
  <c r="BX49" i="8"/>
  <c r="BU48" i="9" s="1"/>
  <c r="BZ49" i="8"/>
  <c r="CA49" i="8"/>
  <c r="BX48" i="9" s="1"/>
  <c r="CB49" i="8"/>
  <c r="BY48" i="9" s="1"/>
  <c r="CC49" i="8"/>
  <c r="BZ48" i="9" s="1"/>
  <c r="CD49" i="8"/>
  <c r="CA48" i="9" s="1"/>
  <c r="CE49" i="8"/>
  <c r="CB48" i="9" s="1"/>
  <c r="CG49" i="8"/>
  <c r="CH49" i="8"/>
  <c r="CI49" i="8"/>
  <c r="CF48" i="9" s="1"/>
  <c r="CJ49" i="8"/>
  <c r="CG48" i="9" s="1"/>
  <c r="CK49" i="8"/>
  <c r="CH48" i="9" s="1"/>
  <c r="CL49" i="8"/>
  <c r="CI48" i="9" s="1"/>
  <c r="CN49" i="8"/>
  <c r="CO49" i="8"/>
  <c r="CL48" i="9" s="1"/>
  <c r="CP49" i="8"/>
  <c r="CM48" i="9" s="1"/>
  <c r="CQ49" i="8"/>
  <c r="CN48" i="9" s="1"/>
  <c r="CR49" i="8"/>
  <c r="CO48" i="9" s="1"/>
  <c r="CS49" i="8"/>
  <c r="CP48" i="9" s="1"/>
  <c r="CU49" i="8"/>
  <c r="CV49" i="8"/>
  <c r="CW49" i="8"/>
  <c r="CT48" i="9" s="1"/>
  <c r="CX49" i="8"/>
  <c r="CU48" i="9" s="1"/>
  <c r="CY49" i="8"/>
  <c r="CV48" i="9" s="1"/>
  <c r="CZ49" i="8"/>
  <c r="CW48" i="9" s="1"/>
  <c r="DB49" i="8"/>
  <c r="DC49" i="8"/>
  <c r="DD49" i="8"/>
  <c r="DA48" i="9" s="1"/>
  <c r="DE49" i="8"/>
  <c r="DB48" i="9" s="1"/>
  <c r="DF49" i="8"/>
  <c r="DC48" i="9" s="1"/>
  <c r="DG49" i="8"/>
  <c r="DD48" i="9" s="1"/>
  <c r="DI49" i="8"/>
  <c r="DJ49" i="8"/>
  <c r="DG48" i="9" s="1"/>
  <c r="DK49" i="8"/>
  <c r="DH48" i="9" s="1"/>
  <c r="DL49" i="8"/>
  <c r="DI48" i="9" s="1"/>
  <c r="DM49" i="8"/>
  <c r="DJ48" i="9" s="1"/>
  <c r="DN49" i="8"/>
  <c r="DP49" i="8"/>
  <c r="DQ49" i="8"/>
  <c r="DN48" i="9" s="1"/>
  <c r="DR49" i="8"/>
  <c r="DO48" i="9" s="1"/>
  <c r="DS49" i="8"/>
  <c r="DP48" i="9" s="1"/>
  <c r="DT49" i="8"/>
  <c r="DQ48" i="9" s="1"/>
  <c r="DU49" i="8"/>
  <c r="DR48" i="9" s="1"/>
  <c r="DW49" i="8"/>
  <c r="DX49" i="8"/>
  <c r="DU48" i="9" s="1"/>
  <c r="DY49" i="8"/>
  <c r="DV48" i="9" s="1"/>
  <c r="DZ49" i="8"/>
  <c r="DW48" i="9" s="1"/>
  <c r="EA49" i="8"/>
  <c r="DX48" i="9" s="1"/>
  <c r="EB49" i="8"/>
  <c r="DY48" i="9" s="1"/>
  <c r="ED49" i="8"/>
  <c r="EE49" i="8"/>
  <c r="EB48" i="9" s="1"/>
  <c r="EF49" i="8"/>
  <c r="EC48" i="9" s="1"/>
  <c r="EG49" i="8"/>
  <c r="ED48" i="9" s="1"/>
  <c r="EH49" i="8"/>
  <c r="EE48" i="9" s="1"/>
  <c r="EI49" i="8"/>
  <c r="EF48" i="9" s="1"/>
  <c r="EK49" i="8"/>
  <c r="EL49" i="8"/>
  <c r="EI48" i="9" s="1"/>
  <c r="EM49" i="8"/>
  <c r="EJ48" i="9" s="1"/>
  <c r="EN49" i="8"/>
  <c r="EK48" i="9" s="1"/>
  <c r="EO49" i="8"/>
  <c r="EL48" i="9" s="1"/>
  <c r="EP49" i="8"/>
  <c r="EM48" i="9" s="1"/>
  <c r="ER49" i="8"/>
  <c r="ES49" i="8"/>
  <c r="EP48" i="9" s="1"/>
  <c r="ET49" i="8"/>
  <c r="EQ48" i="9" s="1"/>
  <c r="EU49" i="8"/>
  <c r="ER48" i="9" s="1"/>
  <c r="EV49" i="8"/>
  <c r="ES48" i="9" s="1"/>
  <c r="EW49" i="8"/>
  <c r="ET48" i="9" s="1"/>
  <c r="EY49" i="8"/>
  <c r="EZ49" i="8"/>
  <c r="FA49" i="8"/>
  <c r="EX48" i="9" s="1"/>
  <c r="FB49" i="8"/>
  <c r="EY48" i="9" s="1"/>
  <c r="FC49" i="8"/>
  <c r="EZ48" i="9" s="1"/>
  <c r="FD49" i="8"/>
  <c r="FA48" i="9" s="1"/>
  <c r="FF49" i="8"/>
  <c r="FG49" i="8"/>
  <c r="FH49" i="8"/>
  <c r="FE48" i="9" s="1"/>
  <c r="FI49" i="8"/>
  <c r="FF48" i="9" s="1"/>
  <c r="FJ49" i="8"/>
  <c r="FG48" i="9" s="1"/>
  <c r="FK49" i="8"/>
  <c r="FH48" i="9" s="1"/>
  <c r="FM49" i="8"/>
  <c r="FN49" i="8"/>
  <c r="FK48" i="9" s="1"/>
  <c r="FO49" i="8"/>
  <c r="FL48" i="9" s="1"/>
  <c r="FP49" i="8"/>
  <c r="FM48" i="9" s="1"/>
  <c r="FQ49" i="8"/>
  <c r="FN48" i="9" s="1"/>
  <c r="FR49" i="8"/>
  <c r="FT49" i="8"/>
  <c r="FU49" i="8"/>
  <c r="FR48" i="9" s="1"/>
  <c r="FV49" i="8"/>
  <c r="FS48" i="9" s="1"/>
  <c r="FW49" i="8"/>
  <c r="FT48" i="9" s="1"/>
  <c r="FX49" i="8"/>
  <c r="FU48" i="9" s="1"/>
  <c r="FY49" i="8"/>
  <c r="FV48" i="9" s="1"/>
  <c r="GA49" i="8"/>
  <c r="GB49" i="8"/>
  <c r="GC49" i="8"/>
  <c r="FZ48" i="9" s="1"/>
  <c r="GD49" i="8"/>
  <c r="GA48" i="9" s="1"/>
  <c r="GE49" i="8"/>
  <c r="GB48" i="9" s="1"/>
  <c r="GF49" i="8"/>
  <c r="GC48" i="9" s="1"/>
  <c r="GH49" i="8"/>
  <c r="GI49" i="8"/>
  <c r="GF48" i="9" s="1"/>
  <c r="GJ49" i="8"/>
  <c r="GG48" i="9" s="1"/>
  <c r="GK49" i="8"/>
  <c r="GH48" i="9" s="1"/>
  <c r="GL49" i="8"/>
  <c r="GI48" i="9" s="1"/>
  <c r="GM49" i="8"/>
  <c r="GJ48" i="9" s="1"/>
  <c r="GO49" i="8"/>
  <c r="GP49" i="8"/>
  <c r="GQ49" i="8"/>
  <c r="GN48" i="9" s="1"/>
  <c r="GR49" i="8"/>
  <c r="GO48" i="9" s="1"/>
  <c r="GS49" i="8"/>
  <c r="GP48" i="9" s="1"/>
  <c r="GT49" i="8"/>
  <c r="GQ48" i="9" s="1"/>
  <c r="GV49" i="8"/>
  <c r="GW49" i="8"/>
  <c r="GT48" i="9" s="1"/>
  <c r="GX49" i="8"/>
  <c r="GU48" i="9" s="1"/>
  <c r="GY49" i="8"/>
  <c r="GV48" i="9" s="1"/>
  <c r="GZ49" i="8"/>
  <c r="GW48" i="9" s="1"/>
  <c r="HA49" i="8"/>
  <c r="GX48" i="9" s="1"/>
  <c r="O49" i="8"/>
  <c r="P49" i="8"/>
  <c r="Q49" i="8"/>
  <c r="N48" i="9" s="1"/>
  <c r="R49" i="8"/>
  <c r="O48" i="9" s="1"/>
  <c r="S49" i="8"/>
  <c r="P48" i="9" s="1"/>
  <c r="T49" i="8"/>
  <c r="Q48" i="9" s="1"/>
  <c r="K49" i="8"/>
  <c r="H48" i="9" s="1"/>
  <c r="L49" i="8"/>
  <c r="I48" i="9" s="1"/>
  <c r="M49" i="8"/>
  <c r="J48" i="9" s="1"/>
  <c r="J49" i="8"/>
  <c r="G48" i="9" s="1"/>
  <c r="I49" i="8"/>
  <c r="BO47" i="9"/>
  <c r="EX30" i="9"/>
  <c r="EX23" i="9"/>
  <c r="EJ30" i="9"/>
  <c r="EJ23" i="9"/>
  <c r="DH30" i="9"/>
  <c r="DH23" i="9"/>
  <c r="DA30" i="9"/>
  <c r="DA23" i="9"/>
  <c r="DA16" i="9"/>
  <c r="CT30" i="9"/>
  <c r="CT23" i="9"/>
  <c r="CM30" i="9"/>
  <c r="CM23" i="9"/>
  <c r="CM16" i="9"/>
  <c r="BY30" i="9"/>
  <c r="BY23" i="9"/>
  <c r="BY16" i="9"/>
  <c r="BK30" i="9"/>
  <c r="BK23" i="9"/>
  <c r="EX16" i="9"/>
  <c r="EJ16" i="9"/>
  <c r="DH16" i="9"/>
  <c r="CT16" i="9"/>
  <c r="BK16" i="9"/>
  <c r="ND7" i="9" l="1"/>
  <c r="ND5" i="9"/>
  <c r="LN5" i="9"/>
  <c r="LN7" i="9"/>
  <c r="LU16" i="9"/>
  <c r="LS9" i="9"/>
  <c r="LU9" i="9" s="1"/>
  <c r="KE5" i="9"/>
  <c r="KE7" i="9"/>
  <c r="KZ16" i="9"/>
  <c r="KX9" i="9"/>
  <c r="KZ9" i="9" s="1"/>
  <c r="LG16" i="9"/>
  <c r="LE9" i="9"/>
  <c r="LG9" i="9" s="1"/>
  <c r="MW5" i="9"/>
  <c r="MW7" i="9"/>
  <c r="ND16" i="9"/>
  <c r="NB9" i="9"/>
  <c r="ND9" i="9" s="1"/>
  <c r="KL16" i="9"/>
  <c r="KJ9" i="9"/>
  <c r="KL9" i="9" s="1"/>
  <c r="JQ5" i="9"/>
  <c r="JQ7" i="9"/>
  <c r="LN16" i="9"/>
  <c r="LL9" i="9"/>
  <c r="LN9" i="9" s="1"/>
  <c r="JJ5" i="9"/>
  <c r="JJ7" i="9"/>
  <c r="LG5" i="9"/>
  <c r="LG7" i="9"/>
  <c r="KE16" i="9"/>
  <c r="KC9" i="9"/>
  <c r="KE9" i="9" s="1"/>
  <c r="MP5" i="9"/>
  <c r="MP7" i="9"/>
  <c r="MW16" i="9"/>
  <c r="MU9" i="9"/>
  <c r="MW9" i="9" s="1"/>
  <c r="MI7" i="9"/>
  <c r="MI5" i="9"/>
  <c r="MB5" i="9"/>
  <c r="MB7" i="9"/>
  <c r="JQ16" i="9"/>
  <c r="JO9" i="9"/>
  <c r="JQ9" i="9" s="1"/>
  <c r="JJ16" i="9"/>
  <c r="JH9" i="9"/>
  <c r="JJ9" i="9" s="1"/>
  <c r="KL5" i="9"/>
  <c r="KL7" i="9"/>
  <c r="MP16" i="9"/>
  <c r="MN9" i="9"/>
  <c r="MP9" i="9" s="1"/>
  <c r="JX5" i="9"/>
  <c r="JX7" i="9"/>
  <c r="KZ7" i="9"/>
  <c r="KZ5" i="9"/>
  <c r="MI16" i="9"/>
  <c r="MG9" i="9"/>
  <c r="MI9" i="9" s="1"/>
  <c r="MB16" i="9"/>
  <c r="LZ9" i="9"/>
  <c r="MB9" i="9" s="1"/>
  <c r="LU5" i="9"/>
  <c r="LU7" i="9"/>
  <c r="JX16" i="9"/>
  <c r="JV9" i="9"/>
  <c r="JX9" i="9" s="1"/>
  <c r="JC5" i="9"/>
  <c r="JC7" i="9"/>
  <c r="JC16" i="9"/>
  <c r="JA9" i="9"/>
  <c r="JC9" i="9" s="1"/>
  <c r="IV5" i="9"/>
  <c r="IV7" i="9"/>
  <c r="IV16" i="9"/>
  <c r="IT9" i="9"/>
  <c r="IV9" i="9" s="1"/>
  <c r="IO5" i="9"/>
  <c r="IO7" i="9"/>
  <c r="IO16" i="9"/>
  <c r="IM9" i="9"/>
  <c r="IO9" i="9" s="1"/>
  <c r="IH5" i="9"/>
  <c r="IH7" i="9"/>
  <c r="IH16" i="9"/>
  <c r="IF9" i="9"/>
  <c r="IH9" i="9" s="1"/>
  <c r="IA5" i="9"/>
  <c r="IA7" i="9"/>
  <c r="IA16" i="9"/>
  <c r="HY9" i="9"/>
  <c r="IA9" i="9" s="1"/>
  <c r="HM7" i="9"/>
  <c r="HM5" i="9"/>
  <c r="HM16" i="9"/>
  <c r="HK9" i="9"/>
  <c r="HM9" i="9" s="1"/>
  <c r="HT5" i="9"/>
  <c r="HT7" i="9"/>
  <c r="HT16" i="9"/>
  <c r="HR9" i="9"/>
  <c r="HT9" i="9" s="1"/>
  <c r="HF16" i="9"/>
  <c r="HD9" i="9"/>
  <c r="HF9" i="9" s="1"/>
  <c r="NI16" i="9"/>
  <c r="NI7" i="9"/>
  <c r="NK14" i="9"/>
  <c r="NL14" i="9" s="1"/>
  <c r="NL7" i="9" s="1"/>
  <c r="FS49" i="8"/>
  <c r="FP48" i="9" s="1"/>
  <c r="DO49" i="8"/>
  <c r="DL48" i="9" s="1"/>
  <c r="FE49" i="8"/>
  <c r="FB48" i="9" s="1"/>
  <c r="GG49" i="8"/>
  <c r="GD48" i="9" s="1"/>
  <c r="DV49" i="8"/>
  <c r="DS48" i="9" s="1"/>
  <c r="U49" i="8"/>
  <c r="R48" i="9" s="1"/>
  <c r="FL49" i="8"/>
  <c r="FI48" i="9" s="1"/>
  <c r="GU49" i="8"/>
  <c r="GR48" i="9" s="1"/>
  <c r="FZ49" i="8"/>
  <c r="FW48" i="9" s="1"/>
  <c r="DH49" i="8"/>
  <c r="DE48" i="9" s="1"/>
  <c r="EQ49" i="8"/>
  <c r="EN48" i="9" s="1"/>
  <c r="GM48" i="9"/>
  <c r="AP49" i="8"/>
  <c r="AM48" i="9" s="1"/>
  <c r="AH48" i="9"/>
  <c r="EC49" i="8"/>
  <c r="DZ48" i="9" s="1"/>
  <c r="GN49" i="8"/>
  <c r="GK48" i="9" s="1"/>
  <c r="AI49" i="8"/>
  <c r="AF48" i="9" s="1"/>
  <c r="EX49" i="8"/>
  <c r="EU48" i="9" s="1"/>
  <c r="HB49" i="8"/>
  <c r="GY48" i="9" s="1"/>
  <c r="DK48" i="9"/>
  <c r="EW48" i="9"/>
  <c r="FO48" i="9"/>
  <c r="FY48" i="9"/>
  <c r="M48" i="9"/>
  <c r="AB49" i="8"/>
  <c r="Y48" i="9" s="1"/>
  <c r="EJ49" i="8"/>
  <c r="EG48" i="9" s="1"/>
  <c r="CZ48" i="9"/>
  <c r="FD48" i="9"/>
  <c r="N49" i="8"/>
  <c r="K48" i="9" s="1"/>
  <c r="DA49" i="8"/>
  <c r="CX48" i="9" s="1"/>
  <c r="CS48" i="9"/>
  <c r="CT49" i="8"/>
  <c r="CQ48" i="9" s="1"/>
  <c r="CM49" i="8"/>
  <c r="CJ48" i="9" s="1"/>
  <c r="CE48" i="9"/>
  <c r="CF49" i="8"/>
  <c r="CC48" i="9" s="1"/>
  <c r="BY49" i="8"/>
  <c r="BV48" i="9" s="1"/>
  <c r="BQ48" i="9"/>
  <c r="BR49" i="8"/>
  <c r="BO48" i="9" s="1"/>
  <c r="BK49" i="8"/>
  <c r="BH48" i="9" s="1"/>
  <c r="BD49" i="8"/>
  <c r="BA48" i="9" s="1"/>
  <c r="AW49" i="8"/>
  <c r="AT48" i="9" s="1"/>
  <c r="AO48" i="9"/>
  <c r="F48" i="9"/>
  <c r="GW5" i="9"/>
  <c r="GP5" i="9"/>
  <c r="GI5" i="9"/>
  <c r="GB5" i="9"/>
  <c r="FU5" i="9"/>
  <c r="FN5" i="9"/>
  <c r="FG5" i="9"/>
  <c r="EZ5" i="9"/>
  <c r="ES5" i="9"/>
  <c r="EL5" i="9"/>
  <c r="EE5" i="9"/>
  <c r="DX5" i="9"/>
  <c r="DQ5" i="9"/>
  <c r="DJ5" i="9"/>
  <c r="DC5" i="9"/>
  <c r="CV5" i="9"/>
  <c r="CO5" i="9"/>
  <c r="CH5" i="9"/>
  <c r="CA5" i="9"/>
  <c r="BT5" i="9"/>
  <c r="BM5" i="9"/>
  <c r="AY5" i="9"/>
  <c r="AR5" i="9"/>
  <c r="BF5" i="9"/>
  <c r="HA9" i="9" l="1"/>
  <c r="HF5" i="9" s="1"/>
  <c r="NK16" i="9"/>
  <c r="NI9" i="9"/>
  <c r="NK9" i="9" s="1"/>
  <c r="NK5" i="9"/>
  <c r="NK7" i="9"/>
  <c r="GU26" i="9"/>
  <c r="GU30" i="9" s="1"/>
  <c r="GU28" i="9" s="1"/>
  <c r="GU19" i="9"/>
  <c r="GU23" i="9" s="1"/>
  <c r="GU21" i="9" s="1"/>
  <c r="GU12" i="9"/>
  <c r="GU16" i="9" s="1"/>
  <c r="GT2" i="9"/>
  <c r="GN26" i="9"/>
  <c r="GN30" i="9" s="1"/>
  <c r="GN28" i="9" s="1"/>
  <c r="GG26" i="9"/>
  <c r="GG30" i="9" s="1"/>
  <c r="GG9" i="9" s="1"/>
  <c r="FZ26" i="9"/>
  <c r="FZ30" i="9" s="1"/>
  <c r="FZ28" i="9" s="1"/>
  <c r="FS26" i="9"/>
  <c r="FS30" i="9" s="1"/>
  <c r="FS28" i="9" s="1"/>
  <c r="GN19" i="9"/>
  <c r="GN23" i="9" s="1"/>
  <c r="GN21" i="9" s="1"/>
  <c r="GG19" i="9"/>
  <c r="GG23" i="9" s="1"/>
  <c r="GG21" i="9" s="1"/>
  <c r="FZ19" i="9"/>
  <c r="FZ23" i="9" s="1"/>
  <c r="FZ21" i="9" s="1"/>
  <c r="FS19" i="9"/>
  <c r="FS23" i="9" s="1"/>
  <c r="FS21" i="9" s="1"/>
  <c r="GN12" i="9"/>
  <c r="GN16" i="9" s="1"/>
  <c r="GG12" i="9"/>
  <c r="GG16" i="9" s="1"/>
  <c r="GG14" i="9" s="1"/>
  <c r="FZ12" i="9"/>
  <c r="FZ16" i="9" s="1"/>
  <c r="FZ9" i="9" s="1"/>
  <c r="FS12" i="9"/>
  <c r="FS16" i="9" s="1"/>
  <c r="FS14" i="9" s="1"/>
  <c r="GM2" i="9"/>
  <c r="GF2" i="9"/>
  <c r="FY2" i="9"/>
  <c r="FR2" i="9"/>
  <c r="FL28" i="9"/>
  <c r="FE28" i="9"/>
  <c r="EX28" i="9"/>
  <c r="FL26" i="9"/>
  <c r="FE26" i="9"/>
  <c r="EX26" i="9"/>
  <c r="EQ26" i="9"/>
  <c r="EQ30" i="9" s="1"/>
  <c r="EQ28" i="9" s="1"/>
  <c r="FL21" i="9"/>
  <c r="FE21" i="9"/>
  <c r="EX21" i="9"/>
  <c r="FL19" i="9"/>
  <c r="FE19" i="9"/>
  <c r="EX19" i="9"/>
  <c r="EQ19" i="9"/>
  <c r="EQ23" i="9" s="1"/>
  <c r="EQ21" i="9" s="1"/>
  <c r="FL14" i="9"/>
  <c r="FE14" i="9"/>
  <c r="EX14" i="9"/>
  <c r="FL12" i="9"/>
  <c r="FE12" i="9"/>
  <c r="EX12" i="9"/>
  <c r="EQ12" i="9"/>
  <c r="EQ16" i="9" s="1"/>
  <c r="EQ14" i="9" s="1"/>
  <c r="FL9" i="9"/>
  <c r="FE9" i="9"/>
  <c r="EX9" i="9"/>
  <c r="FK2" i="9"/>
  <c r="FD2" i="9"/>
  <c r="EW2" i="9"/>
  <c r="EP2" i="9"/>
  <c r="EJ28" i="9"/>
  <c r="EJ26" i="9"/>
  <c r="EC26" i="9"/>
  <c r="EC30" i="9" s="1"/>
  <c r="EC9" i="9" s="1"/>
  <c r="DV26" i="9"/>
  <c r="DV30" i="9" s="1"/>
  <c r="DV28" i="9" s="1"/>
  <c r="DO26" i="9"/>
  <c r="DO30" i="9" s="1"/>
  <c r="DO28" i="9" s="1"/>
  <c r="EJ21" i="9"/>
  <c r="EJ19" i="9"/>
  <c r="EC19" i="9"/>
  <c r="EC23" i="9" s="1"/>
  <c r="EC21" i="9" s="1"/>
  <c r="DV19" i="9"/>
  <c r="DV23" i="9" s="1"/>
  <c r="DV21" i="9" s="1"/>
  <c r="DO19" i="9"/>
  <c r="DO23" i="9" s="1"/>
  <c r="DO21" i="9" s="1"/>
  <c r="EJ14" i="9"/>
  <c r="EJ12" i="9"/>
  <c r="EC12" i="9"/>
  <c r="EC16" i="9" s="1"/>
  <c r="EC14" i="9" s="1"/>
  <c r="DV12" i="9"/>
  <c r="DV16" i="9" s="1"/>
  <c r="DO12" i="9"/>
  <c r="DO16" i="9" s="1"/>
  <c r="DO14" i="9" s="1"/>
  <c r="EJ9" i="9"/>
  <c r="EI2" i="9"/>
  <c r="EB2" i="9"/>
  <c r="DU2" i="9"/>
  <c r="DN2" i="9"/>
  <c r="DH28" i="9"/>
  <c r="DA28" i="9"/>
  <c r="CT28" i="9"/>
  <c r="CM28" i="9"/>
  <c r="DH26" i="9"/>
  <c r="DA26" i="9"/>
  <c r="CT26" i="9"/>
  <c r="CM26" i="9"/>
  <c r="DH21" i="9"/>
  <c r="DA21" i="9"/>
  <c r="CT21" i="9"/>
  <c r="CM21" i="9"/>
  <c r="DH19" i="9"/>
  <c r="DA19" i="9"/>
  <c r="CT19" i="9"/>
  <c r="CM19" i="9"/>
  <c r="DH14" i="9"/>
  <c r="DA14" i="9"/>
  <c r="CT14" i="9"/>
  <c r="CM14" i="9"/>
  <c r="DH12" i="9"/>
  <c r="DA12" i="9"/>
  <c r="CT12" i="9"/>
  <c r="CM12" i="9"/>
  <c r="DH9" i="9"/>
  <c r="DA9" i="9"/>
  <c r="CZ9" i="9" s="1"/>
  <c r="CT9" i="9"/>
  <c r="CM9" i="9"/>
  <c r="CL9" i="9" s="1"/>
  <c r="DG2" i="9"/>
  <c r="CZ2" i="9"/>
  <c r="CS2" i="9"/>
  <c r="CL2" i="9"/>
  <c r="CF28" i="9"/>
  <c r="BY28" i="9"/>
  <c r="BK28" i="9"/>
  <c r="CF26" i="9"/>
  <c r="BY26" i="9"/>
  <c r="BR26" i="9"/>
  <c r="BR30" i="9" s="1"/>
  <c r="BR28" i="9" s="1"/>
  <c r="BK26" i="9"/>
  <c r="CF21" i="9"/>
  <c r="BY21" i="9"/>
  <c r="BK21" i="9"/>
  <c r="CF19" i="9"/>
  <c r="BY19" i="9"/>
  <c r="BR19" i="9"/>
  <c r="BR23" i="9" s="1"/>
  <c r="BR21" i="9" s="1"/>
  <c r="BK19" i="9"/>
  <c r="CF14" i="9"/>
  <c r="BY14" i="9"/>
  <c r="BK14" i="9"/>
  <c r="CF12" i="9"/>
  <c r="BY12" i="9"/>
  <c r="BR12" i="9"/>
  <c r="BR16" i="9" s="1"/>
  <c r="BR14" i="9" s="1"/>
  <c r="BK12" i="9"/>
  <c r="CF9" i="9"/>
  <c r="CE9" i="9" s="1"/>
  <c r="BY9" i="9"/>
  <c r="BX9" i="9" s="1"/>
  <c r="BK9" i="9"/>
  <c r="CE2" i="9"/>
  <c r="BX2" i="9"/>
  <c r="BQ2" i="9"/>
  <c r="BJ2" i="9"/>
  <c r="BD26" i="9"/>
  <c r="BD30" i="9" s="1"/>
  <c r="BD19" i="9"/>
  <c r="BD23" i="9" s="1"/>
  <c r="BD12" i="9"/>
  <c r="BD16" i="9" s="1"/>
  <c r="BC2" i="9"/>
  <c r="AW26" i="9"/>
  <c r="AW30" i="9" s="1"/>
  <c r="AW28" i="9" s="1"/>
  <c r="AW19" i="9"/>
  <c r="AW23" i="9" s="1"/>
  <c r="AW21" i="9" s="1"/>
  <c r="AW12" i="9"/>
  <c r="AW16" i="9" s="1"/>
  <c r="AV2" i="9"/>
  <c r="AP28" i="9"/>
  <c r="AP26" i="9"/>
  <c r="AP21" i="9"/>
  <c r="AP19" i="9"/>
  <c r="AP14" i="9"/>
  <c r="AP12" i="9"/>
  <c r="AP9" i="9"/>
  <c r="AO9" i="9" s="1"/>
  <c r="AO2" i="9"/>
  <c r="AI14" i="9"/>
  <c r="AI21" i="9"/>
  <c r="AI28" i="9"/>
  <c r="AI26" i="9"/>
  <c r="AI19" i="9"/>
  <c r="AI12" i="9"/>
  <c r="AI9" i="9"/>
  <c r="AB14" i="9"/>
  <c r="AB21" i="9"/>
  <c r="GN9" i="9" l="1"/>
  <c r="GU9" i="9"/>
  <c r="GT9" i="9" s="1"/>
  <c r="GU14" i="9"/>
  <c r="GU7" i="9" s="1"/>
  <c r="GN14" i="9"/>
  <c r="GN7" i="9" s="1"/>
  <c r="GG28" i="9"/>
  <c r="GG7" i="9" s="1"/>
  <c r="FZ14" i="9"/>
  <c r="FZ7" i="9" s="1"/>
  <c r="FS9" i="9"/>
  <c r="DV9" i="9"/>
  <c r="DU9" i="9" s="1"/>
  <c r="EC28" i="9"/>
  <c r="EC7" i="9" s="1"/>
  <c r="DO9" i="9"/>
  <c r="DN9" i="9" s="1"/>
  <c r="DV14" i="9"/>
  <c r="DV7" i="9" s="1"/>
  <c r="EQ9" i="9"/>
  <c r="BR7" i="9"/>
  <c r="BR9" i="9"/>
  <c r="BQ9" i="9" s="1"/>
  <c r="AW9" i="9"/>
  <c r="AV9" i="9" s="1"/>
  <c r="AW14" i="9"/>
  <c r="AW7" i="9" s="1"/>
  <c r="AI7" i="9"/>
  <c r="EJ7" i="9"/>
  <c r="EW9" i="9"/>
  <c r="CT7" i="9"/>
  <c r="CF7" i="9"/>
  <c r="DH7" i="9"/>
  <c r="FR9" i="9"/>
  <c r="CS9" i="9"/>
  <c r="EB9" i="9"/>
  <c r="BJ9" i="9"/>
  <c r="FD9" i="9"/>
  <c r="FY9" i="9"/>
  <c r="DO7" i="9"/>
  <c r="FK9" i="9"/>
  <c r="EQ7" i="9"/>
  <c r="EP9" i="9"/>
  <c r="FS7" i="9"/>
  <c r="EX7" i="9"/>
  <c r="DG9" i="9"/>
  <c r="GM9" i="9"/>
  <c r="FE7" i="9"/>
  <c r="EI9" i="9"/>
  <c r="FL7" i="9"/>
  <c r="BK7" i="9"/>
  <c r="GF9" i="9"/>
  <c r="BY7" i="9"/>
  <c r="CM7" i="9"/>
  <c r="DA7" i="9"/>
  <c r="AP7" i="9"/>
  <c r="AB28" i="9" l="1"/>
  <c r="AB7" i="9" s="1"/>
  <c r="AB26" i="9"/>
  <c r="AB19" i="9"/>
  <c r="AB12" i="9"/>
  <c r="AB9" i="9"/>
  <c r="AA9" i="9" s="1"/>
  <c r="Y30" i="9"/>
  <c r="U28" i="9"/>
  <c r="Y28" i="9" s="1"/>
  <c r="Z28" i="9" s="1"/>
  <c r="U26" i="9"/>
  <c r="Y23" i="9"/>
  <c r="U21" i="9"/>
  <c r="Y21" i="9" s="1"/>
  <c r="Z21" i="9" s="1"/>
  <c r="U19" i="9"/>
  <c r="Y16" i="9"/>
  <c r="U12" i="9"/>
  <c r="U14" i="9" s="1"/>
  <c r="U9" i="9"/>
  <c r="Y9" i="9" s="1"/>
  <c r="T9" i="9"/>
  <c r="U7" i="9"/>
  <c r="N28" i="9"/>
  <c r="R28" i="9" s="1"/>
  <c r="S28" i="9" s="1"/>
  <c r="N26" i="9"/>
  <c r="N21" i="9"/>
  <c r="R21" i="9" s="1"/>
  <c r="S21" i="9" s="1"/>
  <c r="N19" i="9"/>
  <c r="N12" i="9"/>
  <c r="N14" i="9" s="1"/>
  <c r="N9" i="9"/>
  <c r="M9" i="9"/>
  <c r="N7" i="9"/>
  <c r="G26" i="9"/>
  <c r="G19" i="9"/>
  <c r="G12" i="9"/>
  <c r="R16" i="9" l="1"/>
  <c r="F9" i="9" l="1"/>
  <c r="G7" i="9"/>
  <c r="G14" i="9" l="1"/>
  <c r="GX52" i="9" l="1"/>
  <c r="GW52" i="9"/>
  <c r="GV52" i="9"/>
  <c r="GU52" i="9"/>
  <c r="GT52" i="9"/>
  <c r="GQ52" i="9"/>
  <c r="GP52" i="9"/>
  <c r="GO52" i="9"/>
  <c r="GN52" i="9"/>
  <c r="GM52" i="9"/>
  <c r="GJ52" i="9"/>
  <c r="GI52" i="9"/>
  <c r="GH52" i="9"/>
  <c r="GG52" i="9"/>
  <c r="GF52" i="9"/>
  <c r="GC52" i="9"/>
  <c r="GB52" i="9"/>
  <c r="GA52" i="9"/>
  <c r="FZ52" i="9"/>
  <c r="FY52" i="9"/>
  <c r="FV52" i="9"/>
  <c r="FU52" i="9"/>
  <c r="FT52" i="9"/>
  <c r="FS52" i="9"/>
  <c r="FR52" i="9"/>
  <c r="FO52" i="9"/>
  <c r="FN52" i="9"/>
  <c r="FM52" i="9"/>
  <c r="FL52" i="9"/>
  <c r="FK52" i="9"/>
  <c r="FH52" i="9"/>
  <c r="FG52" i="9"/>
  <c r="FF52" i="9"/>
  <c r="FE52" i="9"/>
  <c r="FD52" i="9"/>
  <c r="FA52" i="9"/>
  <c r="EZ52" i="9"/>
  <c r="EY52" i="9"/>
  <c r="EX52" i="9"/>
  <c r="EW52" i="9"/>
  <c r="ET52" i="9"/>
  <c r="ES52" i="9"/>
  <c r="ER52" i="9"/>
  <c r="EQ52" i="9"/>
  <c r="EP52" i="9"/>
  <c r="EM52" i="9"/>
  <c r="EL52" i="9"/>
  <c r="EK52" i="9"/>
  <c r="EJ52" i="9"/>
  <c r="EI52" i="9"/>
  <c r="EF52" i="9"/>
  <c r="EE52" i="9"/>
  <c r="ED52" i="9"/>
  <c r="EC52" i="9"/>
  <c r="EB52" i="9"/>
  <c r="DY52" i="9"/>
  <c r="DX52" i="9"/>
  <c r="DW52" i="9"/>
  <c r="DV52" i="9"/>
  <c r="DU52" i="9"/>
  <c r="DR52" i="9"/>
  <c r="DQ52" i="9"/>
  <c r="DP52" i="9"/>
  <c r="DO52" i="9"/>
  <c r="DN52" i="9"/>
  <c r="DK52" i="9"/>
  <c r="DJ52" i="9"/>
  <c r="DI52" i="9"/>
  <c r="DH52" i="9"/>
  <c r="DG52" i="9"/>
  <c r="DD52" i="9"/>
  <c r="DC52" i="9"/>
  <c r="DB52" i="9"/>
  <c r="DA52" i="9"/>
  <c r="CZ52" i="9"/>
  <c r="CW52" i="9"/>
  <c r="CV52" i="9"/>
  <c r="CU52" i="9"/>
  <c r="CT52" i="9"/>
  <c r="CS52" i="9"/>
  <c r="Q52" i="9"/>
  <c r="P52" i="9"/>
  <c r="O52" i="9"/>
  <c r="N52" i="9"/>
  <c r="M52" i="9"/>
  <c r="GY50" i="9"/>
  <c r="GR50" i="9"/>
  <c r="GK50" i="9"/>
  <c r="GD50" i="9"/>
  <c r="FW50" i="9"/>
  <c r="FP50" i="9"/>
  <c r="FI50" i="9"/>
  <c r="FB50" i="9"/>
  <c r="EU50" i="9"/>
  <c r="EN50" i="9"/>
  <c r="EG50" i="9"/>
  <c r="DZ50" i="9"/>
  <c r="DS50" i="9"/>
  <c r="DL50" i="9"/>
  <c r="DE50" i="9"/>
  <c r="CX50" i="9"/>
  <c r="CQ50" i="9"/>
  <c r="CJ50" i="9"/>
  <c r="CC50" i="9"/>
  <c r="BV50" i="9"/>
  <c r="BO50" i="9"/>
  <c r="BH50" i="9"/>
  <c r="BA50" i="9"/>
  <c r="AT50" i="9"/>
  <c r="AM50" i="9"/>
  <c r="AF50" i="9"/>
  <c r="Y50" i="9"/>
  <c r="R50" i="9"/>
  <c r="K50" i="9"/>
  <c r="GX49" i="9"/>
  <c r="GW49" i="9"/>
  <c r="GV49" i="9"/>
  <c r="GU49" i="9"/>
  <c r="GT49" i="9"/>
  <c r="GQ49" i="9"/>
  <c r="GP49" i="9"/>
  <c r="GO49" i="9"/>
  <c r="GN49" i="9"/>
  <c r="GM49" i="9"/>
  <c r="GJ49" i="9"/>
  <c r="GI49" i="9"/>
  <c r="GH49" i="9"/>
  <c r="GG49" i="9"/>
  <c r="GF49" i="9"/>
  <c r="GC49" i="9"/>
  <c r="GB49" i="9"/>
  <c r="GA49" i="9"/>
  <c r="FZ49" i="9"/>
  <c r="FY49" i="9"/>
  <c r="FV49" i="9"/>
  <c r="FU49" i="9"/>
  <c r="FT49" i="9"/>
  <c r="FS49" i="9"/>
  <c r="FR49" i="9"/>
  <c r="FO49" i="9"/>
  <c r="FN49" i="9"/>
  <c r="FM49" i="9"/>
  <c r="FL49" i="9"/>
  <c r="FK49" i="9"/>
  <c r="FH49" i="9"/>
  <c r="FG49" i="9"/>
  <c r="FF49" i="9"/>
  <c r="FE49" i="9"/>
  <c r="FD49" i="9"/>
  <c r="FA49" i="9"/>
  <c r="EZ49" i="9"/>
  <c r="EY49" i="9"/>
  <c r="EX49" i="9"/>
  <c r="EW49" i="9"/>
  <c r="ET49" i="9"/>
  <c r="ES49" i="9"/>
  <c r="ER49" i="9"/>
  <c r="EQ49" i="9"/>
  <c r="EP49" i="9"/>
  <c r="EM49" i="9"/>
  <c r="EL49" i="9"/>
  <c r="EK49" i="9"/>
  <c r="EJ49" i="9"/>
  <c r="EI49" i="9"/>
  <c r="EF49" i="9"/>
  <c r="EE49" i="9"/>
  <c r="ED49" i="9"/>
  <c r="EC49" i="9"/>
  <c r="EB49" i="9"/>
  <c r="DY49" i="9"/>
  <c r="DX49" i="9"/>
  <c r="DW49" i="9"/>
  <c r="DV49" i="9"/>
  <c r="DU49" i="9"/>
  <c r="DR49" i="9"/>
  <c r="DQ49" i="9"/>
  <c r="DP49" i="9"/>
  <c r="DO49" i="9"/>
  <c r="DN49" i="9"/>
  <c r="DK49" i="9"/>
  <c r="DJ49" i="9"/>
  <c r="DI49" i="9"/>
  <c r="DH49" i="9"/>
  <c r="DG49" i="9"/>
  <c r="DD49" i="9"/>
  <c r="DC49" i="9"/>
  <c r="DB49" i="9"/>
  <c r="DA49" i="9"/>
  <c r="CZ49" i="9"/>
  <c r="CW49" i="9"/>
  <c r="CV49" i="9"/>
  <c r="CU49" i="9"/>
  <c r="CT49" i="9"/>
  <c r="CS49" i="9"/>
  <c r="CP49" i="9"/>
  <c r="CO49" i="9"/>
  <c r="CN49" i="9"/>
  <c r="CM49" i="9"/>
  <c r="CL49" i="9"/>
  <c r="CI49" i="9"/>
  <c r="CH49" i="9"/>
  <c r="CG49" i="9"/>
  <c r="CF49" i="9"/>
  <c r="CE49" i="9"/>
  <c r="CB49" i="9"/>
  <c r="CA49" i="9"/>
  <c r="BZ49" i="9"/>
  <c r="BY49" i="9"/>
  <c r="BX49" i="9"/>
  <c r="BE49" i="9"/>
  <c r="BD49" i="9"/>
  <c r="BC49" i="9"/>
  <c r="AZ49" i="9"/>
  <c r="AY49" i="9"/>
  <c r="AX49" i="9"/>
  <c r="AW49" i="9"/>
  <c r="AV49" i="9"/>
  <c r="AS49" i="9"/>
  <c r="AR49" i="9"/>
  <c r="AQ49" i="9"/>
  <c r="AP49" i="9"/>
  <c r="AO49" i="9"/>
  <c r="AL49" i="9"/>
  <c r="AK49" i="9"/>
  <c r="AJ49" i="9"/>
  <c r="AI49" i="9"/>
  <c r="AH49" i="9"/>
  <c r="AE49" i="9"/>
  <c r="AD49" i="9"/>
  <c r="AC49" i="9"/>
  <c r="AB49" i="9"/>
  <c r="AA49" i="9"/>
  <c r="X49" i="9"/>
  <c r="W49" i="9"/>
  <c r="V49" i="9"/>
  <c r="U49" i="9"/>
  <c r="T49" i="9"/>
  <c r="Q49" i="9"/>
  <c r="P49" i="9"/>
  <c r="O49" i="9"/>
  <c r="N49" i="9"/>
  <c r="M49" i="9"/>
  <c r="J49" i="9"/>
  <c r="I49" i="9"/>
  <c r="H49" i="9"/>
  <c r="G49" i="9"/>
  <c r="F49" i="9"/>
  <c r="GY47" i="9"/>
  <c r="GR47" i="9"/>
  <c r="GK47" i="9"/>
  <c r="GD47" i="9"/>
  <c r="FW47" i="9"/>
  <c r="FP47" i="9"/>
  <c r="FI47" i="9"/>
  <c r="FB47" i="9"/>
  <c r="EU47" i="9"/>
  <c r="EN47" i="9"/>
  <c r="EG47" i="9"/>
  <c r="DZ47" i="9"/>
  <c r="DS47" i="9"/>
  <c r="DL47" i="9"/>
  <c r="DE47" i="9"/>
  <c r="CX47" i="9"/>
  <c r="CQ47" i="9"/>
  <c r="CJ47" i="9"/>
  <c r="CC47" i="9"/>
  <c r="BV47" i="9"/>
  <c r="BH47" i="9"/>
  <c r="BA47" i="9"/>
  <c r="AT47" i="9"/>
  <c r="AM47" i="9"/>
  <c r="AF47" i="9"/>
  <c r="Y47" i="9"/>
  <c r="R47" i="9"/>
  <c r="K47" i="9"/>
  <c r="GX46" i="9"/>
  <c r="GW46" i="9"/>
  <c r="GV46" i="9"/>
  <c r="GU46" i="9"/>
  <c r="GT46" i="9"/>
  <c r="GQ46" i="9"/>
  <c r="GP46" i="9"/>
  <c r="GO46" i="9"/>
  <c r="GN46" i="9"/>
  <c r="GM46" i="9"/>
  <c r="GJ46" i="9"/>
  <c r="GI46" i="9"/>
  <c r="GH46" i="9"/>
  <c r="GG46" i="9"/>
  <c r="GF46" i="9"/>
  <c r="GC46" i="9"/>
  <c r="GB46" i="9"/>
  <c r="GA46" i="9"/>
  <c r="FZ46" i="9"/>
  <c r="FY46" i="9"/>
  <c r="FV46" i="9"/>
  <c r="FU46" i="9"/>
  <c r="FT46" i="9"/>
  <c r="FS46" i="9"/>
  <c r="FR46" i="9"/>
  <c r="FO46" i="9"/>
  <c r="FN46" i="9"/>
  <c r="FM46" i="9"/>
  <c r="FL46" i="9"/>
  <c r="FK46" i="9"/>
  <c r="FH46" i="9"/>
  <c r="FG46" i="9"/>
  <c r="FF46" i="9"/>
  <c r="FE46" i="9"/>
  <c r="FD46" i="9"/>
  <c r="FA46" i="9"/>
  <c r="EZ46" i="9"/>
  <c r="EY46" i="9"/>
  <c r="EX46" i="9"/>
  <c r="EW46" i="9"/>
  <c r="ET46" i="9"/>
  <c r="ES46" i="9"/>
  <c r="ER46" i="9"/>
  <c r="EQ46" i="9"/>
  <c r="EP46" i="9"/>
  <c r="EM46" i="9"/>
  <c r="EL46" i="9"/>
  <c r="EK46" i="9"/>
  <c r="EJ46" i="9"/>
  <c r="EI46" i="9"/>
  <c r="EF46" i="9"/>
  <c r="EE46" i="9"/>
  <c r="ED46" i="9"/>
  <c r="EC46" i="9"/>
  <c r="EB46" i="9"/>
  <c r="DY46" i="9"/>
  <c r="DX46" i="9"/>
  <c r="DW46" i="9"/>
  <c r="DV46" i="9"/>
  <c r="DU46" i="9"/>
  <c r="DR46" i="9"/>
  <c r="DQ46" i="9"/>
  <c r="DP46" i="9"/>
  <c r="DO46" i="9"/>
  <c r="DN46" i="9"/>
  <c r="DK46" i="9"/>
  <c r="DJ46" i="9"/>
  <c r="DI46" i="9"/>
  <c r="DH46" i="9"/>
  <c r="DG46" i="9"/>
  <c r="GY44" i="9"/>
  <c r="GR44" i="9"/>
  <c r="GK44" i="9"/>
  <c r="GD44" i="9"/>
  <c r="FW44" i="9"/>
  <c r="FP44" i="9"/>
  <c r="FI44" i="9"/>
  <c r="FB44" i="9"/>
  <c r="EU44" i="9"/>
  <c r="EN44" i="9"/>
  <c r="EG44" i="9"/>
  <c r="DZ44" i="9"/>
  <c r="DS44" i="9"/>
  <c r="DL44" i="9"/>
  <c r="DE44" i="9"/>
  <c r="CX44" i="9"/>
  <c r="CQ44" i="9"/>
  <c r="CJ44" i="9"/>
  <c r="CC44" i="9"/>
  <c r="BV44" i="9"/>
  <c r="BO44" i="9"/>
  <c r="BH44" i="9"/>
  <c r="BA44" i="9"/>
  <c r="AT44" i="9"/>
  <c r="AM44" i="9"/>
  <c r="AF44" i="9"/>
  <c r="Y44" i="9"/>
  <c r="R44" i="9"/>
  <c r="K44" i="9"/>
  <c r="GX43" i="9"/>
  <c r="GW43" i="9"/>
  <c r="GV43" i="9"/>
  <c r="GU43" i="9"/>
  <c r="GT43" i="9"/>
  <c r="GQ43" i="9"/>
  <c r="GP43" i="9"/>
  <c r="GO43" i="9"/>
  <c r="GN43" i="9"/>
  <c r="GM43" i="9"/>
  <c r="GJ43" i="9"/>
  <c r="GI43" i="9"/>
  <c r="GH43" i="9"/>
  <c r="GG43" i="9"/>
  <c r="GF43" i="9"/>
  <c r="GC43" i="9"/>
  <c r="GB43" i="9"/>
  <c r="GA43" i="9"/>
  <c r="FZ43" i="9"/>
  <c r="FY43" i="9"/>
  <c r="FV43" i="9"/>
  <c r="FU43" i="9"/>
  <c r="FT43" i="9"/>
  <c r="FS43" i="9"/>
  <c r="FR43" i="9"/>
  <c r="FO43" i="9"/>
  <c r="FN43" i="9"/>
  <c r="FM43" i="9"/>
  <c r="FL43" i="9"/>
  <c r="FK43" i="9"/>
  <c r="FH43" i="9"/>
  <c r="FG43" i="9"/>
  <c r="FF43" i="9"/>
  <c r="FE43" i="9"/>
  <c r="FD43" i="9"/>
  <c r="FA43" i="9"/>
  <c r="EZ43" i="9"/>
  <c r="EY43" i="9"/>
  <c r="EX43" i="9"/>
  <c r="EW43" i="9"/>
  <c r="ET43" i="9"/>
  <c r="ES43" i="9"/>
  <c r="ER43" i="9"/>
  <c r="EQ43" i="9"/>
  <c r="EP43" i="9"/>
  <c r="EM43" i="9"/>
  <c r="EL43" i="9"/>
  <c r="EK43" i="9"/>
  <c r="EJ43" i="9"/>
  <c r="EI43" i="9"/>
  <c r="EF43" i="9"/>
  <c r="EE43" i="9"/>
  <c r="ED43" i="9"/>
  <c r="EC43" i="9"/>
  <c r="EB43" i="9"/>
  <c r="DY43" i="9"/>
  <c r="DX43" i="9"/>
  <c r="DW43" i="9"/>
  <c r="DV43" i="9"/>
  <c r="DU43" i="9"/>
  <c r="DR43" i="9"/>
  <c r="DQ43" i="9"/>
  <c r="DP43" i="9"/>
  <c r="DO43" i="9"/>
  <c r="DN43" i="9"/>
  <c r="DK43" i="9"/>
  <c r="DJ43" i="9"/>
  <c r="DI43" i="9"/>
  <c r="DH43" i="9"/>
  <c r="DG43" i="9"/>
  <c r="DD43" i="9"/>
  <c r="DC43" i="9"/>
  <c r="DB43" i="9"/>
  <c r="DA43" i="9"/>
  <c r="CZ43" i="9"/>
  <c r="CW43" i="9"/>
  <c r="CV43" i="9"/>
  <c r="CU43" i="9"/>
  <c r="CT43" i="9"/>
  <c r="CS43" i="9"/>
  <c r="CP43" i="9"/>
  <c r="CO43" i="9"/>
  <c r="CN43" i="9"/>
  <c r="CM43" i="9"/>
  <c r="CL43" i="9"/>
  <c r="CI43" i="9"/>
  <c r="CH43" i="9"/>
  <c r="CG43" i="9"/>
  <c r="CF43" i="9"/>
  <c r="CE43" i="9"/>
  <c r="CB43" i="9"/>
  <c r="CA43" i="9"/>
  <c r="BZ43" i="9"/>
  <c r="BY43" i="9"/>
  <c r="BX43" i="9"/>
  <c r="BU43" i="9"/>
  <c r="BT43" i="9"/>
  <c r="BS43" i="9"/>
  <c r="BR43" i="9"/>
  <c r="BQ43" i="9"/>
  <c r="BN43" i="9"/>
  <c r="BM43" i="9"/>
  <c r="BL43" i="9"/>
  <c r="BK43" i="9"/>
  <c r="BJ43" i="9"/>
  <c r="BG43" i="9"/>
  <c r="BF43" i="9"/>
  <c r="BE43" i="9"/>
  <c r="BD43" i="9"/>
  <c r="BC43" i="9"/>
  <c r="AZ43" i="9"/>
  <c r="AY43" i="9"/>
  <c r="AX43" i="9"/>
  <c r="AW43" i="9"/>
  <c r="AV43" i="9"/>
  <c r="AS43" i="9"/>
  <c r="AR43" i="9"/>
  <c r="AQ43" i="9"/>
  <c r="AP43" i="9"/>
  <c r="AO43" i="9"/>
  <c r="Q43" i="9"/>
  <c r="P43" i="9"/>
  <c r="O43" i="9"/>
  <c r="N43" i="9"/>
  <c r="M43" i="9"/>
  <c r="GY41" i="9"/>
  <c r="GR41" i="9"/>
  <c r="GK41" i="9"/>
  <c r="GD41" i="9"/>
  <c r="FW41" i="9"/>
  <c r="FP41" i="9"/>
  <c r="FI41" i="9"/>
  <c r="FB41" i="9"/>
  <c r="EU41" i="9"/>
  <c r="EN41" i="9"/>
  <c r="EG41" i="9"/>
  <c r="DZ41" i="9"/>
  <c r="DS41" i="9"/>
  <c r="DL41" i="9"/>
  <c r="DE41" i="9"/>
  <c r="CX41" i="9"/>
  <c r="CQ41" i="9"/>
  <c r="CJ41" i="9"/>
  <c r="CC41" i="9"/>
  <c r="BV41" i="9"/>
  <c r="BO41" i="9"/>
  <c r="BH41" i="9"/>
  <c r="BA41" i="9"/>
  <c r="AT41" i="9"/>
  <c r="AM41" i="9"/>
  <c r="AF41" i="9"/>
  <c r="Y41" i="9"/>
  <c r="R41" i="9"/>
  <c r="K41" i="9"/>
  <c r="GX40" i="9"/>
  <c r="GW40" i="9"/>
  <c r="GV40" i="9"/>
  <c r="GU40" i="9"/>
  <c r="GT40" i="9"/>
  <c r="GQ40" i="9"/>
  <c r="GP40" i="9"/>
  <c r="GO40" i="9"/>
  <c r="GN40" i="9"/>
  <c r="GM40" i="9"/>
  <c r="GJ40" i="9"/>
  <c r="GI40" i="9"/>
  <c r="GH40" i="9"/>
  <c r="GG40" i="9"/>
  <c r="GF40" i="9"/>
  <c r="GC40" i="9"/>
  <c r="GB40" i="9"/>
  <c r="GA40" i="9"/>
  <c r="FZ40" i="9"/>
  <c r="FY40" i="9"/>
  <c r="FV40" i="9"/>
  <c r="FU40" i="9"/>
  <c r="FT40" i="9"/>
  <c r="FS40" i="9"/>
  <c r="FR40" i="9"/>
  <c r="FO40" i="9"/>
  <c r="FN40" i="9"/>
  <c r="FM40" i="9"/>
  <c r="FL40" i="9"/>
  <c r="FK40" i="9"/>
  <c r="FH40" i="9"/>
  <c r="FG40" i="9"/>
  <c r="FF40" i="9"/>
  <c r="FE40" i="9"/>
  <c r="FD40" i="9"/>
  <c r="FA40" i="9"/>
  <c r="EZ40" i="9"/>
  <c r="EY40" i="9"/>
  <c r="EX40" i="9"/>
  <c r="EW40" i="9"/>
  <c r="ET40" i="9"/>
  <c r="ES40" i="9"/>
  <c r="ER40" i="9"/>
  <c r="EQ40" i="9"/>
  <c r="EP40" i="9"/>
  <c r="EM40" i="9"/>
  <c r="EL40" i="9"/>
  <c r="EK40" i="9"/>
  <c r="EJ40" i="9"/>
  <c r="EI40" i="9"/>
  <c r="EF40" i="9"/>
  <c r="EE40" i="9"/>
  <c r="ED40" i="9"/>
  <c r="EC40" i="9"/>
  <c r="EB40" i="9"/>
  <c r="DY40" i="9"/>
  <c r="DX40" i="9"/>
  <c r="DW40" i="9"/>
  <c r="DV40" i="9"/>
  <c r="DU40" i="9"/>
  <c r="DR40" i="9"/>
  <c r="DQ40" i="9"/>
  <c r="DP40" i="9"/>
  <c r="DO40" i="9"/>
  <c r="DN40" i="9"/>
  <c r="DK40" i="9"/>
  <c r="DJ40" i="9"/>
  <c r="DI40" i="9"/>
  <c r="DH40" i="9"/>
  <c r="DG40" i="9"/>
  <c r="DD40" i="9"/>
  <c r="DC40" i="9"/>
  <c r="DB40" i="9"/>
  <c r="DA40" i="9"/>
  <c r="CZ40" i="9"/>
  <c r="CW40" i="9"/>
  <c r="CV40" i="9"/>
  <c r="CU40" i="9"/>
  <c r="CT40" i="9"/>
  <c r="CS40" i="9"/>
  <c r="CP40" i="9"/>
  <c r="CO40" i="9"/>
  <c r="CN40" i="9"/>
  <c r="CM40" i="9"/>
  <c r="CL40" i="9"/>
  <c r="CI40" i="9"/>
  <c r="CH40" i="9"/>
  <c r="CG40" i="9"/>
  <c r="CF40" i="9"/>
  <c r="CE40" i="9"/>
  <c r="CB40" i="9"/>
  <c r="CA40" i="9"/>
  <c r="BZ40" i="9"/>
  <c r="BY40" i="9"/>
  <c r="BX40" i="9"/>
  <c r="BU40" i="9"/>
  <c r="BT40" i="9"/>
  <c r="BS40" i="9"/>
  <c r="BR40" i="9"/>
  <c r="BQ40" i="9"/>
  <c r="BN40" i="9"/>
  <c r="BM40" i="9"/>
  <c r="BL40" i="9"/>
  <c r="BK40" i="9"/>
  <c r="BJ40" i="9"/>
  <c r="BG40" i="9"/>
  <c r="BF40" i="9"/>
  <c r="BE40" i="9"/>
  <c r="BD40" i="9"/>
  <c r="BC40" i="9"/>
  <c r="AZ40" i="9"/>
  <c r="AY40" i="9"/>
  <c r="AX40" i="9"/>
  <c r="AW40" i="9"/>
  <c r="AV40" i="9"/>
  <c r="AS40" i="9"/>
  <c r="AR40" i="9"/>
  <c r="AQ40" i="9"/>
  <c r="AP40" i="9"/>
  <c r="AO40" i="9"/>
  <c r="Q40" i="9"/>
  <c r="P40" i="9"/>
  <c r="O40" i="9"/>
  <c r="N40" i="9"/>
  <c r="M40" i="9"/>
  <c r="H40" i="9"/>
  <c r="GY38" i="9"/>
  <c r="GR38" i="9"/>
  <c r="GK38" i="9"/>
  <c r="GD38" i="9"/>
  <c r="FW38" i="9"/>
  <c r="FP38" i="9"/>
  <c r="FI38" i="9"/>
  <c r="FB38" i="9"/>
  <c r="EU38" i="9"/>
  <c r="EN38" i="9"/>
  <c r="EG38" i="9"/>
  <c r="DZ38" i="9"/>
  <c r="DS38" i="9"/>
  <c r="DL38" i="9"/>
  <c r="DE38" i="9"/>
  <c r="CX38" i="9"/>
  <c r="CQ38" i="9"/>
  <c r="CJ38" i="9"/>
  <c r="CC38" i="9"/>
  <c r="BV38" i="9"/>
  <c r="BO38" i="9"/>
  <c r="BH38" i="9"/>
  <c r="BA38" i="9"/>
  <c r="AT38" i="9"/>
  <c r="AM38" i="9"/>
  <c r="AF38" i="9"/>
  <c r="Y38" i="9"/>
  <c r="R38" i="9"/>
  <c r="K38" i="9"/>
  <c r="GX37" i="9"/>
  <c r="GW37" i="9"/>
  <c r="GV37" i="9"/>
  <c r="GU37" i="9"/>
  <c r="GT37" i="9"/>
  <c r="GQ37" i="9"/>
  <c r="GP37" i="9"/>
  <c r="GO37" i="9"/>
  <c r="GN37" i="9"/>
  <c r="GM37" i="9"/>
  <c r="GJ37" i="9"/>
  <c r="GI37" i="9"/>
  <c r="GH37" i="9"/>
  <c r="GG37" i="9"/>
  <c r="GF37" i="9"/>
  <c r="GC37" i="9"/>
  <c r="GB37" i="9"/>
  <c r="GA37" i="9"/>
  <c r="FZ37" i="9"/>
  <c r="FY37" i="9"/>
  <c r="FV37" i="9"/>
  <c r="FU37" i="9"/>
  <c r="FT37" i="9"/>
  <c r="FS37" i="9"/>
  <c r="FR37" i="9"/>
  <c r="FO37" i="9"/>
  <c r="FN37" i="9"/>
  <c r="FM37" i="9"/>
  <c r="FL37" i="9"/>
  <c r="FK37" i="9"/>
  <c r="FH37" i="9"/>
  <c r="FG37" i="9"/>
  <c r="FF37" i="9"/>
  <c r="FE37" i="9"/>
  <c r="FD37" i="9"/>
  <c r="FA37" i="9"/>
  <c r="EZ37" i="9"/>
  <c r="EY37" i="9"/>
  <c r="EX37" i="9"/>
  <c r="EW37" i="9"/>
  <c r="ET37" i="9"/>
  <c r="ES37" i="9"/>
  <c r="ER37" i="9"/>
  <c r="EQ37" i="9"/>
  <c r="EP37" i="9"/>
  <c r="EM37" i="9"/>
  <c r="EL37" i="9"/>
  <c r="EK37" i="9"/>
  <c r="EJ37" i="9"/>
  <c r="EI37" i="9"/>
  <c r="EF37" i="9"/>
  <c r="EE37" i="9"/>
  <c r="ED37" i="9"/>
  <c r="EC37" i="9"/>
  <c r="EB37" i="9"/>
  <c r="DY37" i="9"/>
  <c r="DX37" i="9"/>
  <c r="DW37" i="9"/>
  <c r="DV37" i="9"/>
  <c r="DU37" i="9"/>
  <c r="DR37" i="9"/>
  <c r="DQ37" i="9"/>
  <c r="DP37" i="9"/>
  <c r="DO37" i="9"/>
  <c r="DN37" i="9"/>
  <c r="DK37" i="9"/>
  <c r="DJ37" i="9"/>
  <c r="DI37" i="9"/>
  <c r="DH37" i="9"/>
  <c r="DG37" i="9"/>
  <c r="DD37" i="9"/>
  <c r="DC37" i="9"/>
  <c r="DB37" i="9"/>
  <c r="DA37" i="9"/>
  <c r="CZ37" i="9"/>
  <c r="CW37" i="9"/>
  <c r="CV37" i="9"/>
  <c r="CU37" i="9"/>
  <c r="CT37" i="9"/>
  <c r="CS37" i="9"/>
  <c r="CP37" i="9"/>
  <c r="CO37" i="9"/>
  <c r="CN37" i="9"/>
  <c r="CM37" i="9"/>
  <c r="CL37" i="9"/>
  <c r="CI37" i="9"/>
  <c r="CH37" i="9"/>
  <c r="CG37" i="9"/>
  <c r="CF37" i="9"/>
  <c r="CE37" i="9"/>
  <c r="CB37" i="9"/>
  <c r="CA37" i="9"/>
  <c r="BZ37" i="9"/>
  <c r="BY37" i="9"/>
  <c r="BX37" i="9"/>
  <c r="BU37" i="9"/>
  <c r="BT37" i="9"/>
  <c r="BS37" i="9"/>
  <c r="BR37" i="9"/>
  <c r="BQ37" i="9"/>
  <c r="BN37" i="9"/>
  <c r="BM37" i="9"/>
  <c r="BL37" i="9"/>
  <c r="BK37" i="9"/>
  <c r="BJ37" i="9"/>
  <c r="BG37" i="9"/>
  <c r="BF37" i="9"/>
  <c r="BE37" i="9"/>
  <c r="BD37" i="9"/>
  <c r="BC37" i="9"/>
  <c r="AZ37" i="9"/>
  <c r="AY37" i="9"/>
  <c r="AX37" i="9"/>
  <c r="AW37" i="9"/>
  <c r="AV37" i="9"/>
  <c r="AS37" i="9"/>
  <c r="AR37" i="9"/>
  <c r="AQ37" i="9"/>
  <c r="AP37" i="9"/>
  <c r="AO37" i="9"/>
  <c r="Q37" i="9"/>
  <c r="P37" i="9"/>
  <c r="O37" i="9"/>
  <c r="N37" i="9"/>
  <c r="M37" i="9"/>
  <c r="GY35" i="9"/>
  <c r="GR35" i="9"/>
  <c r="GK35" i="9"/>
  <c r="GD35" i="9"/>
  <c r="FW35" i="9"/>
  <c r="FP35" i="9"/>
  <c r="FI35" i="9"/>
  <c r="FB35" i="9"/>
  <c r="EU35" i="9"/>
  <c r="EN35" i="9"/>
  <c r="EG35" i="9"/>
  <c r="DZ35" i="9"/>
  <c r="DS35" i="9"/>
  <c r="DL35" i="9"/>
  <c r="DE35" i="9"/>
  <c r="CX35" i="9"/>
  <c r="CQ35" i="9"/>
  <c r="CJ35" i="9"/>
  <c r="CC35" i="9"/>
  <c r="BV35" i="9"/>
  <c r="BO35" i="9"/>
  <c r="BH35" i="9"/>
  <c r="BA35" i="9"/>
  <c r="AT35" i="9"/>
  <c r="AM35" i="9"/>
  <c r="AF35" i="9"/>
  <c r="Y35" i="9"/>
  <c r="R35" i="9"/>
  <c r="K35" i="9"/>
  <c r="GX34" i="9"/>
  <c r="GW34" i="9"/>
  <c r="GV34" i="9"/>
  <c r="GU34" i="9"/>
  <c r="GT34" i="9"/>
  <c r="GQ34" i="9"/>
  <c r="GP34" i="9"/>
  <c r="GO34" i="9"/>
  <c r="GN34" i="9"/>
  <c r="GM34" i="9"/>
  <c r="GJ34" i="9"/>
  <c r="GI34" i="9"/>
  <c r="GH34" i="9"/>
  <c r="GG34" i="9"/>
  <c r="GF34" i="9"/>
  <c r="GC34" i="9"/>
  <c r="GB34" i="9"/>
  <c r="GA34" i="9"/>
  <c r="FZ34" i="9"/>
  <c r="FY34" i="9"/>
  <c r="FV34" i="9"/>
  <c r="FU34" i="9"/>
  <c r="FT34" i="9"/>
  <c r="FS34" i="9"/>
  <c r="FR34" i="9"/>
  <c r="FO34" i="9"/>
  <c r="FN34" i="9"/>
  <c r="FM34" i="9"/>
  <c r="FL34" i="9"/>
  <c r="FK34" i="9"/>
  <c r="FH34" i="9"/>
  <c r="FG34" i="9"/>
  <c r="FF34" i="9"/>
  <c r="FE34" i="9"/>
  <c r="FD34" i="9"/>
  <c r="FA34" i="9"/>
  <c r="EZ34" i="9"/>
  <c r="EY34" i="9"/>
  <c r="EX34" i="9"/>
  <c r="EW34" i="9"/>
  <c r="ET34" i="9"/>
  <c r="ES34" i="9"/>
  <c r="ER34" i="9"/>
  <c r="EQ34" i="9"/>
  <c r="EP34" i="9"/>
  <c r="EM34" i="9"/>
  <c r="EL34" i="9"/>
  <c r="EK34" i="9"/>
  <c r="EJ34" i="9"/>
  <c r="EI34" i="9"/>
  <c r="EF34" i="9"/>
  <c r="EE34" i="9"/>
  <c r="ED34" i="9"/>
  <c r="EC34" i="9"/>
  <c r="EB34" i="9"/>
  <c r="DY34" i="9"/>
  <c r="DX34" i="9"/>
  <c r="DW34" i="9"/>
  <c r="DV34" i="9"/>
  <c r="DU34" i="9"/>
  <c r="DR34" i="9"/>
  <c r="DQ34" i="9"/>
  <c r="DP34" i="9"/>
  <c r="DO34" i="9"/>
  <c r="DN34" i="9"/>
  <c r="DK34" i="9"/>
  <c r="DJ34" i="9"/>
  <c r="DI34" i="9"/>
  <c r="DH34" i="9"/>
  <c r="DG34" i="9"/>
  <c r="DD34" i="9"/>
  <c r="DC34" i="9"/>
  <c r="DB34" i="9"/>
  <c r="DA34" i="9"/>
  <c r="CZ34" i="9"/>
  <c r="CW34" i="9"/>
  <c r="CV34" i="9"/>
  <c r="CU34" i="9"/>
  <c r="CT34" i="9"/>
  <c r="CS34" i="9"/>
  <c r="CP34" i="9"/>
  <c r="CO34" i="9"/>
  <c r="CN34" i="9"/>
  <c r="CM34" i="9"/>
  <c r="CL34" i="9"/>
  <c r="CI34" i="9"/>
  <c r="CH34" i="9"/>
  <c r="CG34" i="9"/>
  <c r="CF34" i="9"/>
  <c r="CE34" i="9"/>
  <c r="CB34" i="9"/>
  <c r="CA34" i="9"/>
  <c r="BZ34" i="9"/>
  <c r="BY34" i="9"/>
  <c r="BX34" i="9"/>
  <c r="BU34" i="9"/>
  <c r="BT34" i="9"/>
  <c r="BS34" i="9"/>
  <c r="BR34" i="9"/>
  <c r="BQ34" i="9"/>
  <c r="BN34" i="9"/>
  <c r="BM34" i="9"/>
  <c r="BL34" i="9"/>
  <c r="BK34" i="9"/>
  <c r="BJ34" i="9"/>
  <c r="BG34" i="9"/>
  <c r="BF34" i="9"/>
  <c r="BE34" i="9"/>
  <c r="BD34" i="9"/>
  <c r="BC34" i="9"/>
  <c r="AZ34" i="9"/>
  <c r="AY34" i="9"/>
  <c r="AX34" i="9"/>
  <c r="AW34" i="9"/>
  <c r="AV34" i="9"/>
  <c r="AS34" i="9"/>
  <c r="AR34" i="9"/>
  <c r="AQ34" i="9"/>
  <c r="AP34" i="9"/>
  <c r="AO34" i="9"/>
  <c r="AL34" i="9"/>
  <c r="AK34" i="9"/>
  <c r="AJ34" i="9"/>
  <c r="AI34" i="9"/>
  <c r="AH34" i="9"/>
  <c r="AE34" i="9"/>
  <c r="AD34" i="9"/>
  <c r="AC34" i="9"/>
  <c r="AB34" i="9"/>
  <c r="AA34" i="9"/>
  <c r="X34" i="9"/>
  <c r="W34" i="9"/>
  <c r="V34" i="9"/>
  <c r="U34" i="9"/>
  <c r="T34" i="9"/>
  <c r="Q34" i="9"/>
  <c r="P34" i="9"/>
  <c r="O34" i="9"/>
  <c r="N34" i="9"/>
  <c r="M34" i="9"/>
  <c r="J34" i="9"/>
  <c r="I34" i="9"/>
  <c r="H34" i="9"/>
  <c r="G34" i="9"/>
  <c r="F34" i="9"/>
  <c r="GT32" i="9"/>
  <c r="GM32" i="9"/>
  <c r="GF32" i="9"/>
  <c r="FY32" i="9"/>
  <c r="FR32" i="9"/>
  <c r="FK32" i="9"/>
  <c r="FD32" i="9"/>
  <c r="EW32" i="9"/>
  <c r="EP32" i="9"/>
  <c r="EI32" i="9"/>
  <c r="EB32" i="9"/>
  <c r="DU32" i="9"/>
  <c r="DN32" i="9"/>
  <c r="DG32" i="9"/>
  <c r="CZ32" i="9"/>
  <c r="CS32" i="9"/>
  <c r="CL32" i="9"/>
  <c r="CE32" i="9"/>
  <c r="BX32" i="9"/>
  <c r="BQ32" i="9"/>
  <c r="BJ32" i="9"/>
  <c r="BC32" i="9"/>
  <c r="AV32" i="9"/>
  <c r="AO32" i="9"/>
  <c r="AH32" i="9"/>
  <c r="AA32" i="9"/>
  <c r="T32" i="9"/>
  <c r="M32" i="9"/>
  <c r="G28" i="9"/>
  <c r="G21" i="9"/>
  <c r="G9" i="9"/>
  <c r="AH2" i="9"/>
  <c r="AA2" i="9"/>
  <c r="T2" i="9"/>
  <c r="M2" i="9"/>
  <c r="CZ5" i="4"/>
  <c r="CZ10" i="4"/>
  <c r="CS5" i="4"/>
  <c r="CS10" i="4"/>
  <c r="CL5" i="4"/>
  <c r="CL10" i="4"/>
  <c r="CE5" i="4"/>
  <c r="CE10" i="4"/>
  <c r="BX5" i="4"/>
  <c r="BX10" i="4"/>
  <c r="BQ5" i="4"/>
  <c r="BQ10" i="4"/>
  <c r="BJ5" i="4"/>
  <c r="BJ10" i="4"/>
  <c r="BC5" i="4"/>
  <c r="BC10" i="4"/>
  <c r="AV5" i="4"/>
  <c r="AV10" i="4"/>
  <c r="AO5" i="4"/>
  <c r="AO10" i="4"/>
  <c r="AH5" i="4"/>
  <c r="AH15" i="4"/>
  <c r="AH10" i="4"/>
  <c r="GX42" i="4" l="1"/>
  <c r="GX39" i="4"/>
  <c r="GX36" i="4"/>
  <c r="GX33" i="4"/>
  <c r="GX30" i="4"/>
  <c r="GX27" i="4"/>
  <c r="GQ42" i="4"/>
  <c r="GQ39" i="4"/>
  <c r="GQ36" i="4"/>
  <c r="GQ33" i="4"/>
  <c r="GQ30" i="4"/>
  <c r="GQ27" i="4"/>
  <c r="GJ42" i="4"/>
  <c r="GJ39" i="4"/>
  <c r="GJ36" i="4"/>
  <c r="GJ33" i="4"/>
  <c r="GJ30" i="4"/>
  <c r="GJ27" i="4"/>
  <c r="GC42" i="4"/>
  <c r="GC39" i="4"/>
  <c r="GC36" i="4"/>
  <c r="GC33" i="4"/>
  <c r="GC30" i="4"/>
  <c r="GC27" i="4"/>
  <c r="FV42" i="4"/>
  <c r="FV39" i="4"/>
  <c r="FV36" i="4"/>
  <c r="FV33" i="4"/>
  <c r="FV30" i="4"/>
  <c r="FV27" i="4"/>
  <c r="FO42" i="4"/>
  <c r="FO39" i="4"/>
  <c r="FO36" i="4"/>
  <c r="FO33" i="4"/>
  <c r="FO30" i="4"/>
  <c r="FO27" i="4"/>
  <c r="FH42" i="4"/>
  <c r="FH39" i="4"/>
  <c r="FH36" i="4"/>
  <c r="FH33" i="4"/>
  <c r="FH30" i="4"/>
  <c r="FH27" i="4"/>
  <c r="FA42" i="4"/>
  <c r="FA39" i="4"/>
  <c r="FA36" i="4"/>
  <c r="FA33" i="4"/>
  <c r="FA30" i="4"/>
  <c r="FA27" i="4"/>
  <c r="ET42" i="4"/>
  <c r="ET39" i="4"/>
  <c r="ET36" i="4"/>
  <c r="ET33" i="4"/>
  <c r="ET30" i="4"/>
  <c r="ET27" i="4"/>
  <c r="EM42" i="4"/>
  <c r="EM39" i="4"/>
  <c r="EM36" i="4"/>
  <c r="EM33" i="4"/>
  <c r="EM30" i="4"/>
  <c r="EM27" i="4"/>
  <c r="EF42" i="4"/>
  <c r="EF39" i="4"/>
  <c r="EF36" i="4"/>
  <c r="EF33" i="4"/>
  <c r="EF30" i="4"/>
  <c r="EF27" i="4"/>
  <c r="DY42" i="4"/>
  <c r="DY39" i="4"/>
  <c r="DY36" i="4"/>
  <c r="DY33" i="4"/>
  <c r="DY30" i="4"/>
  <c r="DY27" i="4"/>
  <c r="DR42" i="4"/>
  <c r="DR39" i="4"/>
  <c r="DR36" i="4"/>
  <c r="DR33" i="4"/>
  <c r="DR30" i="4"/>
  <c r="DR27" i="4"/>
  <c r="DK42" i="4"/>
  <c r="DK39" i="4"/>
  <c r="DK36" i="4"/>
  <c r="DK33" i="4"/>
  <c r="DK30" i="4"/>
  <c r="DK27" i="4"/>
  <c r="DD42" i="4"/>
  <c r="DD39" i="4"/>
  <c r="DD36" i="4"/>
  <c r="DD33" i="4"/>
  <c r="DD30" i="4"/>
  <c r="DD27" i="4"/>
  <c r="CW42" i="4"/>
  <c r="CW39" i="4"/>
  <c r="CW36" i="4"/>
  <c r="CW33" i="4"/>
  <c r="CW30" i="4"/>
  <c r="CW27" i="4"/>
  <c r="CP42" i="4"/>
  <c r="CP39" i="4"/>
  <c r="CP36" i="4"/>
  <c r="CP33" i="4"/>
  <c r="CP30" i="4"/>
  <c r="CP27" i="4"/>
  <c r="CI42" i="4"/>
  <c r="CI39" i="4"/>
  <c r="CI36" i="4"/>
  <c r="CI33" i="4"/>
  <c r="CI30" i="4"/>
  <c r="CI27" i="4"/>
  <c r="CB42" i="4"/>
  <c r="CB39" i="4"/>
  <c r="CB36" i="4"/>
  <c r="CB33" i="4"/>
  <c r="CB30" i="4"/>
  <c r="CB27" i="4"/>
  <c r="BU42" i="4"/>
  <c r="BU39" i="4"/>
  <c r="BU36" i="4"/>
  <c r="BU33" i="4"/>
  <c r="BU30" i="4"/>
  <c r="BU27" i="4"/>
  <c r="BN42" i="4"/>
  <c r="BN39" i="4"/>
  <c r="BN36" i="4"/>
  <c r="BN33" i="4"/>
  <c r="BN30" i="4"/>
  <c r="BN27" i="4"/>
  <c r="BG42" i="4"/>
  <c r="BG39" i="4"/>
  <c r="BG36" i="4"/>
  <c r="BG33" i="4"/>
  <c r="BG30" i="4"/>
  <c r="BG27" i="4"/>
  <c r="AZ42" i="4"/>
  <c r="AZ39" i="4"/>
  <c r="AZ36" i="4"/>
  <c r="AZ33" i="4"/>
  <c r="AZ30" i="4"/>
  <c r="AZ27" i="4"/>
  <c r="AS42" i="4"/>
  <c r="AS39" i="4"/>
  <c r="AS36" i="4"/>
  <c r="AS33" i="4"/>
  <c r="AS30" i="4"/>
  <c r="AS27" i="4"/>
  <c r="AL42" i="4"/>
  <c r="AL39" i="4"/>
  <c r="AL36" i="4"/>
  <c r="AL33" i="4"/>
  <c r="AL30" i="4"/>
  <c r="AL27" i="4"/>
  <c r="AE42" i="4"/>
  <c r="AE39" i="4"/>
  <c r="AE36" i="4"/>
  <c r="AE33" i="4"/>
  <c r="AE30" i="4"/>
  <c r="AE27" i="4"/>
  <c r="X42" i="4"/>
  <c r="X39" i="4"/>
  <c r="X36" i="4"/>
  <c r="X33" i="4"/>
  <c r="X30" i="4"/>
  <c r="X27" i="4"/>
  <c r="GX22" i="4"/>
  <c r="GQ22" i="4"/>
  <c r="GX20" i="4"/>
  <c r="GT20" i="4"/>
  <c r="GQ20" i="4"/>
  <c r="GM20" i="4"/>
  <c r="GX17" i="4"/>
  <c r="GQ17" i="4"/>
  <c r="GT15" i="4"/>
  <c r="GX15" i="4" s="1"/>
  <c r="GM15" i="4"/>
  <c r="GQ15" i="4" s="1"/>
  <c r="GX12" i="4"/>
  <c r="GQ12" i="4"/>
  <c r="GX10" i="4"/>
  <c r="GQ10" i="4"/>
  <c r="GX7" i="4"/>
  <c r="GQ7" i="4"/>
  <c r="GX5" i="4"/>
  <c r="GQ5" i="4"/>
  <c r="GJ22" i="4"/>
  <c r="GC22" i="4"/>
  <c r="FV22" i="4"/>
  <c r="GF20" i="4"/>
  <c r="GJ20" i="4" s="1"/>
  <c r="FY20" i="4"/>
  <c r="GC20" i="4" s="1"/>
  <c r="FV20" i="4"/>
  <c r="FR20" i="4"/>
  <c r="GJ17" i="4"/>
  <c r="GC17" i="4"/>
  <c r="FV17" i="4"/>
  <c r="GF15" i="4"/>
  <c r="GJ15" i="4" s="1"/>
  <c r="GC15" i="4"/>
  <c r="FY15" i="4"/>
  <c r="FR15" i="4"/>
  <c r="FV15" i="4" s="1"/>
  <c r="GJ12" i="4"/>
  <c r="GC12" i="4"/>
  <c r="FV12" i="4"/>
  <c r="GJ10" i="4"/>
  <c r="GC10" i="4"/>
  <c r="FV10" i="4"/>
  <c r="GJ7" i="4"/>
  <c r="GC7" i="4"/>
  <c r="FV7" i="4"/>
  <c r="GJ5" i="4"/>
  <c r="GC5" i="4"/>
  <c r="FV5" i="4"/>
  <c r="FO22" i="4"/>
  <c r="FH22" i="4"/>
  <c r="FA22" i="4"/>
  <c r="FK20" i="4"/>
  <c r="FO20" i="4" s="1"/>
  <c r="FD20" i="4"/>
  <c r="FH20" i="4" s="1"/>
  <c r="FA20" i="4"/>
  <c r="EW20" i="4"/>
  <c r="FO17" i="4"/>
  <c r="FH17" i="4"/>
  <c r="FA17" i="4"/>
  <c r="FK15" i="4"/>
  <c r="FO15" i="4" s="1"/>
  <c r="FD15" i="4"/>
  <c r="FH15" i="4" s="1"/>
  <c r="EW15" i="4"/>
  <c r="FA15" i="4" s="1"/>
  <c r="FO12" i="4"/>
  <c r="FH12" i="4"/>
  <c r="FA12" i="4"/>
  <c r="FO10" i="4"/>
  <c r="FH10" i="4"/>
  <c r="FA10" i="4"/>
  <c r="FO7" i="4"/>
  <c r="FH7" i="4"/>
  <c r="FA7" i="4"/>
  <c r="FO5" i="4"/>
  <c r="FH5" i="4"/>
  <c r="FA5" i="4"/>
  <c r="ET22" i="4"/>
  <c r="EM22" i="4"/>
  <c r="EF22" i="4"/>
  <c r="EP20" i="4"/>
  <c r="ET20" i="4" s="1"/>
  <c r="EI20" i="4"/>
  <c r="EM20" i="4" s="1"/>
  <c r="EF20" i="4"/>
  <c r="EB20" i="4"/>
  <c r="ET17" i="4"/>
  <c r="EM17" i="4"/>
  <c r="EF17" i="4"/>
  <c r="EP15" i="4"/>
  <c r="ET15" i="4" s="1"/>
  <c r="EM15" i="4"/>
  <c r="EI15" i="4"/>
  <c r="EB15" i="4"/>
  <c r="EF15" i="4" s="1"/>
  <c r="ET12" i="4"/>
  <c r="EM12" i="4"/>
  <c r="EF12" i="4"/>
  <c r="ET10" i="4"/>
  <c r="EM10" i="4"/>
  <c r="EF10" i="4"/>
  <c r="ET7" i="4"/>
  <c r="EM7" i="4"/>
  <c r="EF7" i="4"/>
  <c r="ET5" i="4"/>
  <c r="EM5" i="4"/>
  <c r="EF5" i="4"/>
  <c r="DY22" i="4"/>
  <c r="DR22" i="4"/>
  <c r="DK22" i="4"/>
  <c r="DU20" i="4"/>
  <c r="DY20" i="4" s="1"/>
  <c r="DN20" i="4"/>
  <c r="DR20" i="4" s="1"/>
  <c r="DK20" i="4"/>
  <c r="DG20" i="4"/>
  <c r="DY17" i="4"/>
  <c r="DR17" i="4"/>
  <c r="DK17" i="4"/>
  <c r="DU15" i="4"/>
  <c r="DY15" i="4" s="1"/>
  <c r="DN15" i="4"/>
  <c r="DR15" i="4" s="1"/>
  <c r="DG15" i="4"/>
  <c r="DK15" i="4" s="1"/>
  <c r="DY12" i="4"/>
  <c r="DR12" i="4"/>
  <c r="DK12" i="4"/>
  <c r="DY10" i="4"/>
  <c r="DR10" i="4"/>
  <c r="DK10" i="4"/>
  <c r="DY7" i="4"/>
  <c r="DR7" i="4"/>
  <c r="DK7" i="4"/>
  <c r="DY5" i="4"/>
  <c r="DR5" i="4"/>
  <c r="DK5" i="4"/>
  <c r="DD22" i="4"/>
  <c r="CW22" i="4"/>
  <c r="CP22" i="4"/>
  <c r="CZ20" i="4"/>
  <c r="DD20" i="4" s="1"/>
  <c r="CS20" i="4"/>
  <c r="CW20" i="4" s="1"/>
  <c r="CP20" i="4"/>
  <c r="CL20" i="4"/>
  <c r="DD17" i="4"/>
  <c r="CW17" i="4"/>
  <c r="CP17" i="4"/>
  <c r="CZ15" i="4"/>
  <c r="DD15" i="4" s="1"/>
  <c r="CW15" i="4"/>
  <c r="CS15" i="4"/>
  <c r="CL15" i="4"/>
  <c r="CP15" i="4" s="1"/>
  <c r="DD12" i="4"/>
  <c r="CW12" i="4"/>
  <c r="CP12" i="4"/>
  <c r="DD10" i="4"/>
  <c r="CW10" i="4"/>
  <c r="CP10" i="4"/>
  <c r="DD7" i="4"/>
  <c r="CW7" i="4"/>
  <c r="CP7" i="4"/>
  <c r="DD5" i="4"/>
  <c r="CW5" i="4"/>
  <c r="CP5" i="4"/>
  <c r="CI22" i="4"/>
  <c r="CB22" i="4"/>
  <c r="BU22" i="4"/>
  <c r="CE20" i="4"/>
  <c r="CI20" i="4" s="1"/>
  <c r="CB20" i="4"/>
  <c r="BX20" i="4"/>
  <c r="BU20" i="4"/>
  <c r="BQ20" i="4"/>
  <c r="CI17" i="4"/>
  <c r="CB17" i="4"/>
  <c r="BU17" i="4"/>
  <c r="CE15" i="4"/>
  <c r="CI15" i="4" s="1"/>
  <c r="BX15" i="4"/>
  <c r="CB15" i="4" s="1"/>
  <c r="BQ15" i="4"/>
  <c r="BU15" i="4" s="1"/>
  <c r="CI12" i="4"/>
  <c r="CB12" i="4"/>
  <c r="BU12" i="4"/>
  <c r="CI10" i="4"/>
  <c r="CB10" i="4"/>
  <c r="BU10" i="4"/>
  <c r="CI7" i="4"/>
  <c r="CB7" i="4"/>
  <c r="BU7" i="4"/>
  <c r="CI5" i="4"/>
  <c r="CB5" i="4"/>
  <c r="BU5" i="4"/>
  <c r="BN22" i="4"/>
  <c r="BJ20" i="4"/>
  <c r="BN20" i="4" s="1"/>
  <c r="BN17" i="4"/>
  <c r="BJ15" i="4"/>
  <c r="BN15" i="4" s="1"/>
  <c r="BN12" i="4"/>
  <c r="BN10" i="4"/>
  <c r="BN7" i="4"/>
  <c r="BN5" i="4"/>
  <c r="BG22" i="4"/>
  <c r="BC20" i="4"/>
  <c r="BG20" i="4" s="1"/>
  <c r="BG17" i="4"/>
  <c r="BC15" i="4"/>
  <c r="BG15" i="4" s="1"/>
  <c r="BG12" i="4"/>
  <c r="BG10" i="4"/>
  <c r="BG7" i="4"/>
  <c r="BG5" i="4"/>
  <c r="AZ22" i="4"/>
  <c r="AV20" i="4"/>
  <c r="AZ20" i="4" s="1"/>
  <c r="AZ17" i="4"/>
  <c r="AZ15" i="4"/>
  <c r="AV15" i="4"/>
  <c r="AZ12" i="4"/>
  <c r="AZ10" i="4"/>
  <c r="AZ7" i="4"/>
  <c r="AZ5" i="4"/>
  <c r="AS22" i="4"/>
  <c r="AO20" i="4"/>
  <c r="AS20" i="4" s="1"/>
  <c r="AS17" i="4"/>
  <c r="AO15" i="4"/>
  <c r="AS15" i="4" s="1"/>
  <c r="AS12" i="4"/>
  <c r="AS10" i="4"/>
  <c r="AS7" i="4"/>
  <c r="AS5" i="4"/>
  <c r="Q15" i="4"/>
  <c r="Q17" i="4"/>
  <c r="Q20" i="4"/>
  <c r="Q22" i="4"/>
  <c r="AA7" i="4"/>
  <c r="AA10" i="4"/>
  <c r="AL10" i="4"/>
  <c r="AA15" i="4"/>
  <c r="AL15" i="4"/>
  <c r="AL17" i="4"/>
  <c r="AA20" i="4"/>
  <c r="AH20" i="4"/>
  <c r="AL20" i="4" s="1"/>
  <c r="AL22" i="4"/>
  <c r="AA5" i="4" l="1"/>
  <c r="X22" i="4"/>
  <c r="T20" i="4"/>
  <c r="X20" i="4" s="1"/>
  <c r="X17" i="4"/>
  <c r="T15" i="4"/>
  <c r="X15" i="4" s="1"/>
  <c r="T10" i="4"/>
  <c r="T7" i="4"/>
  <c r="I42" i="6"/>
  <c r="J42" i="6"/>
  <c r="K42" i="6"/>
  <c r="L42" i="6"/>
  <c r="M42" i="6"/>
  <c r="I43" i="6"/>
  <c r="I45" i="6" s="1"/>
  <c r="J43" i="6"/>
  <c r="K43" i="6"/>
  <c r="K45" i="6" s="1"/>
  <c r="L43" i="6"/>
  <c r="L45" i="6" s="1"/>
  <c r="M43" i="6"/>
  <c r="M45" i="6" s="1"/>
  <c r="I44" i="6"/>
  <c r="J44" i="6"/>
  <c r="K44" i="6"/>
  <c r="L44" i="6"/>
  <c r="M44" i="6"/>
  <c r="GW44" i="4"/>
  <c r="GV44" i="4"/>
  <c r="GU44" i="4"/>
  <c r="GT44" i="4"/>
  <c r="GS44" i="4"/>
  <c r="GP44" i="4"/>
  <c r="GO44" i="4"/>
  <c r="GN44" i="4"/>
  <c r="GM44" i="4"/>
  <c r="GL44" i="4"/>
  <c r="GI44" i="4"/>
  <c r="GH44" i="4"/>
  <c r="GG44" i="4"/>
  <c r="GF44" i="4"/>
  <c r="GE44" i="4"/>
  <c r="GB44" i="4"/>
  <c r="GA44" i="4"/>
  <c r="FZ44" i="4"/>
  <c r="FY44" i="4"/>
  <c r="FX44" i="4"/>
  <c r="FU44" i="4"/>
  <c r="FT44" i="4"/>
  <c r="FS44" i="4"/>
  <c r="FR44" i="4"/>
  <c r="FQ44" i="4"/>
  <c r="FN44" i="4"/>
  <c r="FM44" i="4"/>
  <c r="FL44" i="4"/>
  <c r="FK44" i="4"/>
  <c r="FJ44" i="4"/>
  <c r="FG44" i="4"/>
  <c r="FF44" i="4"/>
  <c r="FE44" i="4"/>
  <c r="FD44" i="4"/>
  <c r="FC44" i="4"/>
  <c r="EZ44" i="4"/>
  <c r="EY44" i="4"/>
  <c r="EX44" i="4"/>
  <c r="EW44" i="4"/>
  <c r="EV44" i="4"/>
  <c r="ES44" i="4"/>
  <c r="ER44" i="4"/>
  <c r="EQ44" i="4"/>
  <c r="EP44" i="4"/>
  <c r="EO44" i="4"/>
  <c r="EL44" i="4"/>
  <c r="EK44" i="4"/>
  <c r="EJ44" i="4"/>
  <c r="EI44" i="4"/>
  <c r="EH44" i="4"/>
  <c r="EE44" i="4"/>
  <c r="ED44" i="4"/>
  <c r="EC44" i="4"/>
  <c r="EB44" i="4"/>
  <c r="EA44" i="4"/>
  <c r="DX44" i="4"/>
  <c r="DW44" i="4"/>
  <c r="DV44" i="4"/>
  <c r="DU44" i="4"/>
  <c r="DT44" i="4"/>
  <c r="DQ44" i="4"/>
  <c r="DP44" i="4"/>
  <c r="DO44" i="4"/>
  <c r="DN44" i="4"/>
  <c r="DM44" i="4"/>
  <c r="DJ44" i="4"/>
  <c r="DI44" i="4"/>
  <c r="DH44" i="4"/>
  <c r="DG44" i="4"/>
  <c r="DF44" i="4"/>
  <c r="DC44" i="4"/>
  <c r="DB44" i="4"/>
  <c r="DA44" i="4"/>
  <c r="CZ44" i="4"/>
  <c r="CY44" i="4"/>
  <c r="CV44" i="4"/>
  <c r="CU44" i="4"/>
  <c r="CT44" i="4"/>
  <c r="CS44" i="4"/>
  <c r="CR44" i="4"/>
  <c r="P44" i="4"/>
  <c r="O44" i="4"/>
  <c r="N44" i="4"/>
  <c r="M44" i="4"/>
  <c r="L44" i="4"/>
  <c r="Q42" i="4"/>
  <c r="J42" i="4"/>
  <c r="I44" i="4"/>
  <c r="H44" i="4"/>
  <c r="G44" i="4"/>
  <c r="E44" i="4"/>
  <c r="N43" i="6" l="1"/>
  <c r="N44" i="6"/>
  <c r="N42" i="6"/>
  <c r="AQ10" i="4"/>
  <c r="AQ12" i="4" s="1"/>
  <c r="J45" i="6"/>
  <c r="N45" i="6" s="1"/>
  <c r="AQ47" i="8"/>
  <c r="AR47" i="8"/>
  <c r="AS47" i="8"/>
  <c r="AT47" i="8"/>
  <c r="AU47" i="8"/>
  <c r="AV47" i="8"/>
  <c r="AX47" i="8"/>
  <c r="AY47" i="8"/>
  <c r="AZ47" i="8"/>
  <c r="BA47" i="8"/>
  <c r="BB47" i="8"/>
  <c r="BC47" i="8"/>
  <c r="BE47" i="8"/>
  <c r="BF47" i="8"/>
  <c r="BG47" i="8"/>
  <c r="BH47" i="8"/>
  <c r="BI47" i="8"/>
  <c r="BJ47" i="8"/>
  <c r="BL47" i="8"/>
  <c r="BM47" i="8"/>
  <c r="BN47" i="8"/>
  <c r="BO47" i="8"/>
  <c r="BP47" i="8"/>
  <c r="BQ47" i="8"/>
  <c r="BS47" i="8"/>
  <c r="BT47" i="8"/>
  <c r="BU47" i="8"/>
  <c r="BV47" i="8"/>
  <c r="BW47" i="8"/>
  <c r="BX47" i="8"/>
  <c r="BZ47" i="8"/>
  <c r="CA47" i="8"/>
  <c r="CB47" i="8"/>
  <c r="CC47" i="8"/>
  <c r="CD47" i="8"/>
  <c r="CE47" i="8"/>
  <c r="CG47" i="8"/>
  <c r="CH47" i="8"/>
  <c r="CI47" i="8"/>
  <c r="CJ47" i="8"/>
  <c r="CK47" i="8"/>
  <c r="CL47" i="8"/>
  <c r="CN47" i="8"/>
  <c r="CO47" i="8"/>
  <c r="CP47" i="8"/>
  <c r="CQ47" i="8"/>
  <c r="CR47" i="8"/>
  <c r="CS47" i="8"/>
  <c r="CU47" i="8"/>
  <c r="CV47" i="8"/>
  <c r="CW47" i="8"/>
  <c r="CX47" i="8"/>
  <c r="CY47" i="8"/>
  <c r="CZ47" i="8"/>
  <c r="DB47" i="8"/>
  <c r="DC47" i="8"/>
  <c r="DD47" i="8"/>
  <c r="DE47" i="8"/>
  <c r="DF47" i="8"/>
  <c r="DG47" i="8"/>
  <c r="DI47" i="8"/>
  <c r="DJ47" i="8"/>
  <c r="DK47" i="8"/>
  <c r="DL47" i="8"/>
  <c r="DM47" i="8"/>
  <c r="DN47" i="8"/>
  <c r="DP47" i="8"/>
  <c r="DQ47" i="8"/>
  <c r="DR47" i="8"/>
  <c r="DS47" i="8"/>
  <c r="DT47" i="8"/>
  <c r="DU47" i="8"/>
  <c r="DW47" i="8"/>
  <c r="DX47" i="8"/>
  <c r="DY47" i="8"/>
  <c r="DZ47" i="8"/>
  <c r="EA47" i="8"/>
  <c r="EB47" i="8"/>
  <c r="ED47" i="8"/>
  <c r="EE47" i="8"/>
  <c r="EF47" i="8"/>
  <c r="EG47" i="8"/>
  <c r="EH47" i="8"/>
  <c r="EI47" i="8"/>
  <c r="EK47" i="8"/>
  <c r="EL47" i="8"/>
  <c r="EM47" i="8"/>
  <c r="EN47" i="8"/>
  <c r="EO47" i="8"/>
  <c r="EP47" i="8"/>
  <c r="ER47" i="8"/>
  <c r="ES47" i="8"/>
  <c r="ET47" i="8"/>
  <c r="EU47" i="8"/>
  <c r="EV47" i="8"/>
  <c r="EW47" i="8"/>
  <c r="EY47" i="8"/>
  <c r="EZ47" i="8"/>
  <c r="FA47" i="8"/>
  <c r="FB47" i="8"/>
  <c r="FC47" i="8"/>
  <c r="FD47" i="8"/>
  <c r="FF47" i="8"/>
  <c r="FG47" i="8"/>
  <c r="FH47" i="8"/>
  <c r="FI47" i="8"/>
  <c r="FJ47" i="8"/>
  <c r="FK47" i="8"/>
  <c r="FM47" i="8"/>
  <c r="FN47" i="8"/>
  <c r="FO47" i="8"/>
  <c r="FP47" i="8"/>
  <c r="FQ47" i="8"/>
  <c r="FR47" i="8"/>
  <c r="FT47" i="8"/>
  <c r="FU47" i="8"/>
  <c r="FV47" i="8"/>
  <c r="FW47" i="8"/>
  <c r="FX47" i="8"/>
  <c r="FY47" i="8"/>
  <c r="GA47" i="8"/>
  <c r="GB47" i="8"/>
  <c r="GC47" i="8"/>
  <c r="GD47" i="8"/>
  <c r="GE47" i="8"/>
  <c r="GF47" i="8"/>
  <c r="GH47" i="8"/>
  <c r="GI47" i="8"/>
  <c r="GJ47" i="8"/>
  <c r="GK47" i="8"/>
  <c r="GL47" i="8"/>
  <c r="GM47" i="8"/>
  <c r="GO47" i="8"/>
  <c r="GP47" i="8"/>
  <c r="GQ47" i="8"/>
  <c r="GR47" i="8"/>
  <c r="GS47" i="8"/>
  <c r="GT47" i="8"/>
  <c r="GV47" i="8"/>
  <c r="GW47" i="8"/>
  <c r="GX47" i="8"/>
  <c r="GY47" i="8"/>
  <c r="GZ47" i="8"/>
  <c r="HA47" i="8"/>
  <c r="J47" i="8"/>
  <c r="K47" i="8"/>
  <c r="L47" i="8"/>
  <c r="M47" i="8"/>
  <c r="O47" i="8"/>
  <c r="P47" i="8"/>
  <c r="Q47" i="8"/>
  <c r="R47" i="8"/>
  <c r="S47" i="8"/>
  <c r="T47" i="8"/>
  <c r="V47" i="8"/>
  <c r="W47" i="8"/>
  <c r="X47" i="8"/>
  <c r="Y47" i="8"/>
  <c r="Z47" i="8"/>
  <c r="AA47" i="8"/>
  <c r="AC47" i="8"/>
  <c r="AD47" i="8"/>
  <c r="AE47" i="8"/>
  <c r="AF47" i="8"/>
  <c r="AG47" i="8"/>
  <c r="AH47" i="8"/>
  <c r="AJ47" i="8"/>
  <c r="AK47" i="8"/>
  <c r="AL47" i="8"/>
  <c r="AM47" i="8"/>
  <c r="AN47" i="8"/>
  <c r="AO47" i="8"/>
  <c r="I47" i="8"/>
  <c r="E17" i="4" l="1"/>
  <c r="I21" i="9"/>
  <c r="F21" i="9"/>
  <c r="AN12" i="4"/>
  <c r="AJ10" i="4"/>
  <c r="AJ12" i="4" s="1"/>
  <c r="AL12" i="4" s="1"/>
  <c r="AK14" i="9"/>
  <c r="AM14" i="9" s="1"/>
  <c r="AN14" i="9" s="1"/>
  <c r="AH14" i="9"/>
  <c r="Z12" i="4"/>
  <c r="AD14" i="9"/>
  <c r="AA14" i="9"/>
  <c r="AO14" i="9"/>
  <c r="BB43" i="4"/>
  <c r="BB44" i="4" s="1"/>
  <c r="BC51" i="9"/>
  <c r="BC52" i="9" s="1"/>
  <c r="E43" i="4"/>
  <c r="F51" i="9"/>
  <c r="F52" i="9" s="1"/>
  <c r="AC43" i="4"/>
  <c r="AC44" i="4" s="1"/>
  <c r="AD51" i="9"/>
  <c r="AD52" i="9" s="1"/>
  <c r="T43" i="4"/>
  <c r="T44" i="4" s="1"/>
  <c r="U51" i="9"/>
  <c r="U52" i="9" s="1"/>
  <c r="GT43" i="4"/>
  <c r="GU51" i="9"/>
  <c r="GA43" i="4"/>
  <c r="GB51" i="9"/>
  <c r="FR43" i="4"/>
  <c r="FS51" i="9"/>
  <c r="EY43" i="4"/>
  <c r="EZ51" i="9"/>
  <c r="EP43" i="4"/>
  <c r="EQ51" i="9"/>
  <c r="DW43" i="4"/>
  <c r="DX51" i="9"/>
  <c r="DN43" i="4"/>
  <c r="DO51" i="9"/>
  <c r="CU43" i="4"/>
  <c r="CV51" i="9"/>
  <c r="CL43" i="4"/>
  <c r="CL44" i="4" s="1"/>
  <c r="CM51" i="9"/>
  <c r="CM52" i="9" s="1"/>
  <c r="BS43" i="4"/>
  <c r="BS44" i="4" s="1"/>
  <c r="BT51" i="9"/>
  <c r="BT52" i="9" s="1"/>
  <c r="BJ43" i="4"/>
  <c r="BJ44" i="4" s="1"/>
  <c r="BK51" i="9"/>
  <c r="BK52" i="9" s="1"/>
  <c r="AQ43" i="4"/>
  <c r="AQ44" i="4" s="1"/>
  <c r="AR51" i="9"/>
  <c r="AR52" i="9" s="1"/>
  <c r="GL43" i="4"/>
  <c r="GM51" i="9"/>
  <c r="EQ43" i="4"/>
  <c r="ER51" i="9"/>
  <c r="DF43" i="4"/>
  <c r="DG51" i="9"/>
  <c r="BK43" i="4"/>
  <c r="BK44" i="4" s="1"/>
  <c r="BL51" i="9"/>
  <c r="BL52" i="9" s="1"/>
  <c r="EX43" i="4"/>
  <c r="EY51" i="9"/>
  <c r="DC43" i="4"/>
  <c r="DD51" i="9"/>
  <c r="AY43" i="4"/>
  <c r="AY44" i="4" s="1"/>
  <c r="AZ51" i="9"/>
  <c r="AZ52" i="9" s="1"/>
  <c r="AJ43" i="4"/>
  <c r="AJ44" i="4" s="1"/>
  <c r="AK51" i="9"/>
  <c r="AK52" i="9" s="1"/>
  <c r="AA43" i="4"/>
  <c r="AA44" i="4" s="1"/>
  <c r="AB51" i="9"/>
  <c r="AB52" i="9" s="1"/>
  <c r="H43" i="4"/>
  <c r="I51" i="9"/>
  <c r="I52" i="9" s="1"/>
  <c r="GH43" i="4"/>
  <c r="GI51" i="9"/>
  <c r="FY43" i="4"/>
  <c r="FZ51" i="9"/>
  <c r="FF43" i="4"/>
  <c r="FG51" i="9"/>
  <c r="EW43" i="4"/>
  <c r="EX51" i="9"/>
  <c r="ED43" i="4"/>
  <c r="EE51" i="9"/>
  <c r="DU43" i="4"/>
  <c r="DV51" i="9"/>
  <c r="DB43" i="4"/>
  <c r="DC51" i="9"/>
  <c r="CS43" i="4"/>
  <c r="CT51" i="9"/>
  <c r="BZ43" i="4"/>
  <c r="BZ44" i="4" s="1"/>
  <c r="CA51" i="9"/>
  <c r="CA52" i="9" s="1"/>
  <c r="BQ43" i="4"/>
  <c r="BQ44" i="4" s="1"/>
  <c r="BR51" i="9"/>
  <c r="BR52" i="9" s="1"/>
  <c r="AX43" i="4"/>
  <c r="AX44" i="4" s="1"/>
  <c r="AY51" i="9"/>
  <c r="AY52" i="9" s="1"/>
  <c r="AO43" i="4"/>
  <c r="AO44" i="4" s="1"/>
  <c r="AP51" i="9"/>
  <c r="AP52" i="9" s="1"/>
  <c r="AD43" i="4"/>
  <c r="AD44" i="4" s="1"/>
  <c r="AE51" i="9"/>
  <c r="AE52" i="9" s="1"/>
  <c r="FJ43" i="4"/>
  <c r="FK51" i="9"/>
  <c r="DO43" i="4"/>
  <c r="DP51" i="9"/>
  <c r="CM43" i="4"/>
  <c r="CM44" i="4" s="1"/>
  <c r="CN51" i="9"/>
  <c r="CN52" i="9" s="1"/>
  <c r="AK43" i="4"/>
  <c r="AK44" i="4" s="1"/>
  <c r="AL51" i="9"/>
  <c r="AL52" i="9" s="1"/>
  <c r="GI43" i="4"/>
  <c r="GJ51" i="9"/>
  <c r="FG43" i="4"/>
  <c r="FH51" i="9"/>
  <c r="DV43" i="4"/>
  <c r="DW51" i="9"/>
  <c r="BR43" i="4"/>
  <c r="BR44" i="4" s="1"/>
  <c r="BS51" i="9"/>
  <c r="BS52" i="9" s="1"/>
  <c r="AI43" i="4"/>
  <c r="AI44" i="4" s="1"/>
  <c r="AJ51" i="9"/>
  <c r="AJ52" i="9" s="1"/>
  <c r="Z43" i="4"/>
  <c r="Z44" i="4" s="1"/>
  <c r="AA51" i="9"/>
  <c r="AA52" i="9" s="1"/>
  <c r="P43" i="4"/>
  <c r="Q51" i="9"/>
  <c r="G43" i="4"/>
  <c r="H51" i="9"/>
  <c r="H52" i="9" s="1"/>
  <c r="GP43" i="4"/>
  <c r="GQ51" i="9"/>
  <c r="GG43" i="4"/>
  <c r="GH51" i="9"/>
  <c r="FX43" i="4"/>
  <c r="FY51" i="9"/>
  <c r="FN43" i="4"/>
  <c r="FO51" i="9"/>
  <c r="FE43" i="4"/>
  <c r="FF51" i="9"/>
  <c r="EV43" i="4"/>
  <c r="EW51" i="9"/>
  <c r="EL43" i="4"/>
  <c r="EM51" i="9"/>
  <c r="EC43" i="4"/>
  <c r="ED51" i="9"/>
  <c r="DT43" i="4"/>
  <c r="DU51" i="9"/>
  <c r="DJ43" i="4"/>
  <c r="DK51" i="9"/>
  <c r="DA43" i="4"/>
  <c r="DB51" i="9"/>
  <c r="CR43" i="4"/>
  <c r="CS51" i="9"/>
  <c r="CH43" i="4"/>
  <c r="CH44" i="4" s="1"/>
  <c r="CI51" i="9"/>
  <c r="CI52" i="9" s="1"/>
  <c r="BY43" i="4"/>
  <c r="BY44" i="4" s="1"/>
  <c r="BZ51" i="9"/>
  <c r="BZ52" i="9" s="1"/>
  <c r="BP43" i="4"/>
  <c r="BP44" i="4" s="1"/>
  <c r="BQ51" i="9"/>
  <c r="BQ52" i="9" s="1"/>
  <c r="BF43" i="4"/>
  <c r="BF44" i="4" s="1"/>
  <c r="BG51" i="9"/>
  <c r="BG52" i="9" s="1"/>
  <c r="AW43" i="4"/>
  <c r="AW44" i="4" s="1"/>
  <c r="AX51" i="9"/>
  <c r="AX52" i="9" s="1"/>
  <c r="AN43" i="4"/>
  <c r="AN44" i="4" s="1"/>
  <c r="AO51" i="9"/>
  <c r="AO52" i="9" s="1"/>
  <c r="L43" i="4"/>
  <c r="M51" i="9"/>
  <c r="GB43" i="4"/>
  <c r="GC51" i="9"/>
  <c r="EH43" i="4"/>
  <c r="EI51" i="9"/>
  <c r="BT43" i="4"/>
  <c r="BT44" i="4" s="1"/>
  <c r="BU51" i="9"/>
  <c r="BU52" i="9" s="1"/>
  <c r="S43" i="4"/>
  <c r="S44" i="4" s="1"/>
  <c r="T51" i="9"/>
  <c r="T52" i="9" s="1"/>
  <c r="FZ43" i="4"/>
  <c r="GA51" i="9"/>
  <c r="EE43" i="4"/>
  <c r="EF51" i="9"/>
  <c r="DM43" i="4"/>
  <c r="DN51" i="9"/>
  <c r="CA43" i="4"/>
  <c r="CA44" i="4" s="1"/>
  <c r="CB51" i="9"/>
  <c r="CB52" i="9" s="1"/>
  <c r="AH43" i="4"/>
  <c r="AH44" i="4" s="1"/>
  <c r="AI51" i="9"/>
  <c r="AI52" i="9" s="1"/>
  <c r="O43" i="4"/>
  <c r="P51" i="9"/>
  <c r="F43" i="4"/>
  <c r="F44" i="4" s="1"/>
  <c r="G51" i="9"/>
  <c r="G52" i="9" s="1"/>
  <c r="GO43" i="4"/>
  <c r="GP51" i="9"/>
  <c r="GF43" i="4"/>
  <c r="GG51" i="9"/>
  <c r="FM43" i="4"/>
  <c r="FN51" i="9"/>
  <c r="FD43" i="4"/>
  <c r="FE51" i="9"/>
  <c r="EK43" i="4"/>
  <c r="EL51" i="9"/>
  <c r="EB43" i="4"/>
  <c r="EC51" i="9"/>
  <c r="DI43" i="4"/>
  <c r="DJ51" i="9"/>
  <c r="CZ43" i="4"/>
  <c r="DA51" i="9"/>
  <c r="CG43" i="4"/>
  <c r="CG44" i="4" s="1"/>
  <c r="CH51" i="9"/>
  <c r="CH52" i="9" s="1"/>
  <c r="BX43" i="4"/>
  <c r="BX44" i="4" s="1"/>
  <c r="BY51" i="9"/>
  <c r="BY52" i="9" s="1"/>
  <c r="BE43" i="4"/>
  <c r="BE44" i="4" s="1"/>
  <c r="BF51" i="9"/>
  <c r="BF52" i="9" s="1"/>
  <c r="AV43" i="4"/>
  <c r="AV44" i="4" s="1"/>
  <c r="AW51" i="9"/>
  <c r="AW52" i="9" s="1"/>
  <c r="GU43" i="4"/>
  <c r="GV51" i="9"/>
  <c r="EZ43" i="4"/>
  <c r="FA51" i="9"/>
  <c r="CV43" i="4"/>
  <c r="CW51" i="9"/>
  <c r="AR43" i="4"/>
  <c r="AR44" i="4" s="1"/>
  <c r="AS51" i="9"/>
  <c r="AS52" i="9" s="1"/>
  <c r="I43" i="4"/>
  <c r="J51" i="9"/>
  <c r="J52" i="9" s="1"/>
  <c r="FQ43" i="4"/>
  <c r="FR51" i="9"/>
  <c r="CT43" i="4"/>
  <c r="CU51" i="9"/>
  <c r="BI43" i="4"/>
  <c r="BI44" i="4" s="1"/>
  <c r="BJ51" i="9"/>
  <c r="BJ52" i="9" s="1"/>
  <c r="AG43" i="4"/>
  <c r="AG44" i="4" s="1"/>
  <c r="AH51" i="9"/>
  <c r="AH52" i="9" s="1"/>
  <c r="W43" i="4"/>
  <c r="W44" i="4" s="1"/>
  <c r="X51" i="9"/>
  <c r="X52" i="9" s="1"/>
  <c r="N43" i="4"/>
  <c r="O51" i="9"/>
  <c r="GW43" i="4"/>
  <c r="GX51" i="9"/>
  <c r="GN43" i="4"/>
  <c r="GO51" i="9"/>
  <c r="GE43" i="4"/>
  <c r="GF51" i="9"/>
  <c r="FU43" i="4"/>
  <c r="FV51" i="9"/>
  <c r="FL43" i="4"/>
  <c r="FM51" i="9"/>
  <c r="FC43" i="4"/>
  <c r="FD51" i="9"/>
  <c r="ES43" i="4"/>
  <c r="ET51" i="9"/>
  <c r="EJ43" i="4"/>
  <c r="EK51" i="9"/>
  <c r="EA43" i="4"/>
  <c r="EB51" i="9"/>
  <c r="DQ43" i="4"/>
  <c r="DR51" i="9"/>
  <c r="DH43" i="4"/>
  <c r="DI51" i="9"/>
  <c r="CY43" i="4"/>
  <c r="CZ51" i="9"/>
  <c r="CO43" i="4"/>
  <c r="CO44" i="4" s="1"/>
  <c r="CP51" i="9"/>
  <c r="CP52" i="9" s="1"/>
  <c r="CF43" i="4"/>
  <c r="CF44" i="4" s="1"/>
  <c r="CG51" i="9"/>
  <c r="CG52" i="9" s="1"/>
  <c r="BW43" i="4"/>
  <c r="BW44" i="4" s="1"/>
  <c r="BX51" i="9"/>
  <c r="BX52" i="9" s="1"/>
  <c r="BM43" i="4"/>
  <c r="BM44" i="4" s="1"/>
  <c r="BN51" i="9"/>
  <c r="BN52" i="9" s="1"/>
  <c r="BD43" i="4"/>
  <c r="BD44" i="4" s="1"/>
  <c r="BE51" i="9"/>
  <c r="BE52" i="9" s="1"/>
  <c r="AU43" i="4"/>
  <c r="AU44" i="4" s="1"/>
  <c r="AV51" i="9"/>
  <c r="AV52" i="9" s="1"/>
  <c r="U43" i="4"/>
  <c r="U44" i="4" s="1"/>
  <c r="V51" i="9"/>
  <c r="V52" i="9" s="1"/>
  <c r="FS43" i="4"/>
  <c r="FT51" i="9"/>
  <c r="DX43" i="4"/>
  <c r="DY51" i="9"/>
  <c r="CD43" i="4"/>
  <c r="CD44" i="4" s="1"/>
  <c r="CE51" i="9"/>
  <c r="CE52" i="9" s="1"/>
  <c r="AB43" i="4"/>
  <c r="AB44" i="4" s="1"/>
  <c r="AC51" i="9"/>
  <c r="AC52" i="9" s="1"/>
  <c r="GS43" i="4"/>
  <c r="GT51" i="9"/>
  <c r="EO43" i="4"/>
  <c r="EP51" i="9"/>
  <c r="CK43" i="4"/>
  <c r="CK44" i="4" s="1"/>
  <c r="CL51" i="9"/>
  <c r="CL52" i="9" s="1"/>
  <c r="AP43" i="4"/>
  <c r="AP44" i="4" s="1"/>
  <c r="AQ51" i="9"/>
  <c r="AQ52" i="9" s="1"/>
  <c r="V43" i="4"/>
  <c r="V44" i="4" s="1"/>
  <c r="W51" i="9"/>
  <c r="W52" i="9" s="1"/>
  <c r="M43" i="4"/>
  <c r="N51" i="9"/>
  <c r="GV43" i="4"/>
  <c r="GW51" i="9"/>
  <c r="GM43" i="4"/>
  <c r="GN51" i="9"/>
  <c r="FT43" i="4"/>
  <c r="FU51" i="9"/>
  <c r="FK43" i="4"/>
  <c r="FL51" i="9"/>
  <c r="ER43" i="4"/>
  <c r="ES51" i="9"/>
  <c r="EI43" i="4"/>
  <c r="EJ51" i="9"/>
  <c r="DP43" i="4"/>
  <c r="DQ51" i="9"/>
  <c r="DG43" i="4"/>
  <c r="DH51" i="9"/>
  <c r="CN43" i="4"/>
  <c r="CN44" i="4" s="1"/>
  <c r="CO51" i="9"/>
  <c r="CO52" i="9" s="1"/>
  <c r="CE43" i="4"/>
  <c r="CE44" i="4" s="1"/>
  <c r="CF51" i="9"/>
  <c r="CF52" i="9" s="1"/>
  <c r="BL43" i="4"/>
  <c r="BL44" i="4" s="1"/>
  <c r="BM51" i="9"/>
  <c r="BM52" i="9" s="1"/>
  <c r="BC43" i="4"/>
  <c r="BC44" i="4" s="1"/>
  <c r="BD51" i="9"/>
  <c r="BD52" i="9" s="1"/>
  <c r="AC10" i="4"/>
  <c r="AC12" i="4" s="1"/>
  <c r="AE12" i="4" s="1"/>
  <c r="AG12" i="4"/>
  <c r="FL47" i="8"/>
  <c r="EC47" i="8"/>
  <c r="EJ47" i="8"/>
  <c r="EQ47" i="8"/>
  <c r="FS47" i="8"/>
  <c r="U47" i="8"/>
  <c r="EX47" i="8"/>
  <c r="FZ47" i="8"/>
  <c r="AB47" i="8"/>
  <c r="GG47" i="8"/>
  <c r="DH47" i="8"/>
  <c r="GN47" i="8"/>
  <c r="DO47" i="8"/>
  <c r="FE47" i="8"/>
  <c r="GU47" i="8"/>
  <c r="DV47" i="8"/>
  <c r="HB47" i="8"/>
  <c r="DA47" i="8"/>
  <c r="CT47" i="8"/>
  <c r="CM47" i="8"/>
  <c r="CF47" i="8"/>
  <c r="BY47" i="8"/>
  <c r="BR47" i="8"/>
  <c r="BK47" i="8"/>
  <c r="BD47" i="8"/>
  <c r="AW47" i="8"/>
  <c r="AP47" i="8"/>
  <c r="AI47" i="8"/>
  <c r="N47" i="8"/>
  <c r="M20" i="4"/>
  <c r="M15" i="4"/>
  <c r="M10" i="4"/>
  <c r="F20" i="4"/>
  <c r="F15" i="4"/>
  <c r="F10" i="4"/>
  <c r="GW41" i="4"/>
  <c r="GV41" i="4"/>
  <c r="GU41" i="4"/>
  <c r="GT41" i="4"/>
  <c r="GS41" i="4"/>
  <c r="GP41" i="4"/>
  <c r="GO41" i="4"/>
  <c r="GN41" i="4"/>
  <c r="GM41" i="4"/>
  <c r="GL41" i="4"/>
  <c r="GI41" i="4"/>
  <c r="GH41" i="4"/>
  <c r="GG41" i="4"/>
  <c r="GF41" i="4"/>
  <c r="GE41" i="4"/>
  <c r="GB41" i="4"/>
  <c r="GA41" i="4"/>
  <c r="FZ41" i="4"/>
  <c r="FY41" i="4"/>
  <c r="FX41" i="4"/>
  <c r="FU41" i="4"/>
  <c r="FT41" i="4"/>
  <c r="FS41" i="4"/>
  <c r="FR41" i="4"/>
  <c r="FQ41" i="4"/>
  <c r="GW38" i="4"/>
  <c r="GV38" i="4"/>
  <c r="GU38" i="4"/>
  <c r="GT38" i="4"/>
  <c r="GS38" i="4"/>
  <c r="GP38" i="4"/>
  <c r="GO38" i="4"/>
  <c r="GN38" i="4"/>
  <c r="GM38" i="4"/>
  <c r="GL38" i="4"/>
  <c r="GI38" i="4"/>
  <c r="GH38" i="4"/>
  <c r="GG38" i="4"/>
  <c r="GF38" i="4"/>
  <c r="GE38" i="4"/>
  <c r="GB38" i="4"/>
  <c r="GA38" i="4"/>
  <c r="FZ38" i="4"/>
  <c r="FY38" i="4"/>
  <c r="FX38" i="4"/>
  <c r="FU38" i="4"/>
  <c r="FT38" i="4"/>
  <c r="FS38" i="4"/>
  <c r="FR38" i="4"/>
  <c r="FQ38" i="4"/>
  <c r="GW35" i="4"/>
  <c r="GV35" i="4"/>
  <c r="GU35" i="4"/>
  <c r="GT35" i="4"/>
  <c r="GS35" i="4"/>
  <c r="GP35" i="4"/>
  <c r="GO35" i="4"/>
  <c r="GN35" i="4"/>
  <c r="GM35" i="4"/>
  <c r="GL35" i="4"/>
  <c r="GI35" i="4"/>
  <c r="GH35" i="4"/>
  <c r="GG35" i="4"/>
  <c r="GF35" i="4"/>
  <c r="GE35" i="4"/>
  <c r="GB35" i="4"/>
  <c r="GA35" i="4"/>
  <c r="FZ35" i="4"/>
  <c r="FY35" i="4"/>
  <c r="FX35" i="4"/>
  <c r="FU35" i="4"/>
  <c r="FT35" i="4"/>
  <c r="FS35" i="4"/>
  <c r="FR35" i="4"/>
  <c r="FQ35" i="4"/>
  <c r="GW32" i="4"/>
  <c r="GV32" i="4"/>
  <c r="GU32" i="4"/>
  <c r="GT32" i="4"/>
  <c r="GS32" i="4"/>
  <c r="GP32" i="4"/>
  <c r="GO32" i="4"/>
  <c r="GN32" i="4"/>
  <c r="GM32" i="4"/>
  <c r="GL32" i="4"/>
  <c r="GI32" i="4"/>
  <c r="GH32" i="4"/>
  <c r="GG32" i="4"/>
  <c r="GF32" i="4"/>
  <c r="GE32" i="4"/>
  <c r="GB32" i="4"/>
  <c r="GA32" i="4"/>
  <c r="FZ32" i="4"/>
  <c r="FY32" i="4"/>
  <c r="FX32" i="4"/>
  <c r="FU32" i="4"/>
  <c r="FT32" i="4"/>
  <c r="FS32" i="4"/>
  <c r="FR32" i="4"/>
  <c r="FQ32" i="4"/>
  <c r="GW29" i="4"/>
  <c r="GV29" i="4"/>
  <c r="GU29" i="4"/>
  <c r="GT29" i="4"/>
  <c r="GS29" i="4"/>
  <c r="GP29" i="4"/>
  <c r="GO29" i="4"/>
  <c r="GN29" i="4"/>
  <c r="GM29" i="4"/>
  <c r="GL29" i="4"/>
  <c r="GI29" i="4"/>
  <c r="GH29" i="4"/>
  <c r="GG29" i="4"/>
  <c r="GF29" i="4"/>
  <c r="GE29" i="4"/>
  <c r="GB29" i="4"/>
  <c r="GA29" i="4"/>
  <c r="FZ29" i="4"/>
  <c r="FY29" i="4"/>
  <c r="FX29" i="4"/>
  <c r="FU29" i="4"/>
  <c r="FT29" i="4"/>
  <c r="FS29" i="4"/>
  <c r="FR29" i="4"/>
  <c r="FQ29" i="4"/>
  <c r="GW26" i="4"/>
  <c r="GV26" i="4"/>
  <c r="GU26" i="4"/>
  <c r="GT26" i="4"/>
  <c r="GS26" i="4"/>
  <c r="GP26" i="4"/>
  <c r="GO26" i="4"/>
  <c r="GN26" i="4"/>
  <c r="GM26" i="4"/>
  <c r="GL26" i="4"/>
  <c r="GI26" i="4"/>
  <c r="GH26" i="4"/>
  <c r="GG26" i="4"/>
  <c r="GF26" i="4"/>
  <c r="GE26" i="4"/>
  <c r="GB26" i="4"/>
  <c r="GA26" i="4"/>
  <c r="FZ26" i="4"/>
  <c r="FY26" i="4"/>
  <c r="FX26" i="4"/>
  <c r="FU26" i="4"/>
  <c r="FT26" i="4"/>
  <c r="FS26" i="4"/>
  <c r="FR26" i="4"/>
  <c r="FQ26" i="4"/>
  <c r="FN41" i="4"/>
  <c r="FM41" i="4"/>
  <c r="FL41" i="4"/>
  <c r="FK41" i="4"/>
  <c r="FJ41" i="4"/>
  <c r="FG41" i="4"/>
  <c r="FF41" i="4"/>
  <c r="FE41" i="4"/>
  <c r="FD41" i="4"/>
  <c r="FC41" i="4"/>
  <c r="EZ41" i="4"/>
  <c r="EY41" i="4"/>
  <c r="EX41" i="4"/>
  <c r="EW41" i="4"/>
  <c r="EV41" i="4"/>
  <c r="FN38" i="4"/>
  <c r="FM38" i="4"/>
  <c r="FL38" i="4"/>
  <c r="FK38" i="4"/>
  <c r="FJ38" i="4"/>
  <c r="FG38" i="4"/>
  <c r="FF38" i="4"/>
  <c r="FE38" i="4"/>
  <c r="FD38" i="4"/>
  <c r="FC38" i="4"/>
  <c r="EZ38" i="4"/>
  <c r="EY38" i="4"/>
  <c r="EX38" i="4"/>
  <c r="EW38" i="4"/>
  <c r="EV38" i="4"/>
  <c r="FN35" i="4"/>
  <c r="FM35" i="4"/>
  <c r="FL35" i="4"/>
  <c r="FK35" i="4"/>
  <c r="FJ35" i="4"/>
  <c r="FG35" i="4"/>
  <c r="FF35" i="4"/>
  <c r="FE35" i="4"/>
  <c r="FD35" i="4"/>
  <c r="FC35" i="4"/>
  <c r="EZ35" i="4"/>
  <c r="EY35" i="4"/>
  <c r="EX35" i="4"/>
  <c r="EW35" i="4"/>
  <c r="EV35" i="4"/>
  <c r="FN32" i="4"/>
  <c r="FM32" i="4"/>
  <c r="FL32" i="4"/>
  <c r="FK32" i="4"/>
  <c r="FJ32" i="4"/>
  <c r="FG32" i="4"/>
  <c r="FF32" i="4"/>
  <c r="FE32" i="4"/>
  <c r="FD32" i="4"/>
  <c r="FC32" i="4"/>
  <c r="EZ32" i="4"/>
  <c r="EY32" i="4"/>
  <c r="EX32" i="4"/>
  <c r="EW32" i="4"/>
  <c r="EV32" i="4"/>
  <c r="FN29" i="4"/>
  <c r="FM29" i="4"/>
  <c r="FL29" i="4"/>
  <c r="FK29" i="4"/>
  <c r="FJ29" i="4"/>
  <c r="FG29" i="4"/>
  <c r="FF29" i="4"/>
  <c r="FE29" i="4"/>
  <c r="FD29" i="4"/>
  <c r="FC29" i="4"/>
  <c r="EZ29" i="4"/>
  <c r="EY29" i="4"/>
  <c r="EX29" i="4"/>
  <c r="EW29" i="4"/>
  <c r="EV29" i="4"/>
  <c r="FN26" i="4"/>
  <c r="FM26" i="4"/>
  <c r="FL26" i="4"/>
  <c r="FK26" i="4"/>
  <c r="FJ26" i="4"/>
  <c r="FG26" i="4"/>
  <c r="FF26" i="4"/>
  <c r="FE26" i="4"/>
  <c r="FD26" i="4"/>
  <c r="FC26" i="4"/>
  <c r="EZ26" i="4"/>
  <c r="EY26" i="4"/>
  <c r="EX26" i="4"/>
  <c r="EW26" i="4"/>
  <c r="EV26" i="4"/>
  <c r="ES41" i="4"/>
  <c r="ER41" i="4"/>
  <c r="EQ41" i="4"/>
  <c r="EP41" i="4"/>
  <c r="EO41" i="4"/>
  <c r="EL41" i="4"/>
  <c r="EK41" i="4"/>
  <c r="EJ41" i="4"/>
  <c r="EI41" i="4"/>
  <c r="EH41" i="4"/>
  <c r="EE41" i="4"/>
  <c r="ED41" i="4"/>
  <c r="EC41" i="4"/>
  <c r="EB41" i="4"/>
  <c r="EA41" i="4"/>
  <c r="DX41" i="4"/>
  <c r="DW41" i="4"/>
  <c r="DV41" i="4"/>
  <c r="DU41" i="4"/>
  <c r="DT41" i="4"/>
  <c r="DQ41" i="4"/>
  <c r="DP41" i="4"/>
  <c r="DO41" i="4"/>
  <c r="DN41" i="4"/>
  <c r="DM41" i="4"/>
  <c r="ES38" i="4"/>
  <c r="ER38" i="4"/>
  <c r="EQ38" i="4"/>
  <c r="EP38" i="4"/>
  <c r="EO38" i="4"/>
  <c r="EL38" i="4"/>
  <c r="EK38" i="4"/>
  <c r="EJ38" i="4"/>
  <c r="EI38" i="4"/>
  <c r="EH38" i="4"/>
  <c r="EE38" i="4"/>
  <c r="ED38" i="4"/>
  <c r="EC38" i="4"/>
  <c r="EB38" i="4"/>
  <c r="EA38" i="4"/>
  <c r="DX38" i="4"/>
  <c r="DW38" i="4"/>
  <c r="DV38" i="4"/>
  <c r="DU38" i="4"/>
  <c r="DT38" i="4"/>
  <c r="DQ38" i="4"/>
  <c r="DP38" i="4"/>
  <c r="DO38" i="4"/>
  <c r="DN38" i="4"/>
  <c r="DM38" i="4"/>
  <c r="ES35" i="4"/>
  <c r="ER35" i="4"/>
  <c r="EQ35" i="4"/>
  <c r="EP35" i="4"/>
  <c r="EO35" i="4"/>
  <c r="EL35" i="4"/>
  <c r="EK35" i="4"/>
  <c r="EJ35" i="4"/>
  <c r="EI35" i="4"/>
  <c r="EH35" i="4"/>
  <c r="EE35" i="4"/>
  <c r="ED35" i="4"/>
  <c r="EC35" i="4"/>
  <c r="EB35" i="4"/>
  <c r="EA35" i="4"/>
  <c r="DX35" i="4"/>
  <c r="DW35" i="4"/>
  <c r="DV35" i="4"/>
  <c r="DU35" i="4"/>
  <c r="DT35" i="4"/>
  <c r="DQ35" i="4"/>
  <c r="DP35" i="4"/>
  <c r="DO35" i="4"/>
  <c r="DN35" i="4"/>
  <c r="DM35" i="4"/>
  <c r="ES32" i="4"/>
  <c r="ER32" i="4"/>
  <c r="EQ32" i="4"/>
  <c r="EP32" i="4"/>
  <c r="EO32" i="4"/>
  <c r="EL32" i="4"/>
  <c r="EK32" i="4"/>
  <c r="EJ32" i="4"/>
  <c r="EI32" i="4"/>
  <c r="EH32" i="4"/>
  <c r="EE32" i="4"/>
  <c r="ED32" i="4"/>
  <c r="EC32" i="4"/>
  <c r="EB32" i="4"/>
  <c r="EA32" i="4"/>
  <c r="DX32" i="4"/>
  <c r="DW32" i="4"/>
  <c r="DV32" i="4"/>
  <c r="DU32" i="4"/>
  <c r="DT32" i="4"/>
  <c r="DQ32" i="4"/>
  <c r="DP32" i="4"/>
  <c r="DO32" i="4"/>
  <c r="DN32" i="4"/>
  <c r="DM32" i="4"/>
  <c r="ES29" i="4"/>
  <c r="ER29" i="4"/>
  <c r="EQ29" i="4"/>
  <c r="EP29" i="4"/>
  <c r="EO29" i="4"/>
  <c r="EL29" i="4"/>
  <c r="EK29" i="4"/>
  <c r="EJ29" i="4"/>
  <c r="EI29" i="4"/>
  <c r="EH29" i="4"/>
  <c r="EE29" i="4"/>
  <c r="ED29" i="4"/>
  <c r="EC29" i="4"/>
  <c r="EB29" i="4"/>
  <c r="EA29" i="4"/>
  <c r="DX29" i="4"/>
  <c r="DW29" i="4"/>
  <c r="DV29" i="4"/>
  <c r="DU29" i="4"/>
  <c r="DT29" i="4"/>
  <c r="DQ29" i="4"/>
  <c r="DP29" i="4"/>
  <c r="DO29" i="4"/>
  <c r="DN29" i="4"/>
  <c r="DM29" i="4"/>
  <c r="ES26" i="4"/>
  <c r="ER26" i="4"/>
  <c r="EQ26" i="4"/>
  <c r="EP26" i="4"/>
  <c r="EO26" i="4"/>
  <c r="EL26" i="4"/>
  <c r="EK26" i="4"/>
  <c r="EJ26" i="4"/>
  <c r="EI26" i="4"/>
  <c r="EH26" i="4"/>
  <c r="EE26" i="4"/>
  <c r="ED26" i="4"/>
  <c r="EC26" i="4"/>
  <c r="EB26" i="4"/>
  <c r="EA26" i="4"/>
  <c r="DX26" i="4"/>
  <c r="DW26" i="4"/>
  <c r="DV26" i="4"/>
  <c r="DU26" i="4"/>
  <c r="DT26" i="4"/>
  <c r="DQ26" i="4"/>
  <c r="DP26" i="4"/>
  <c r="DO26" i="4"/>
  <c r="DN26" i="4"/>
  <c r="DM26" i="4"/>
  <c r="DJ41" i="4"/>
  <c r="DI41" i="4"/>
  <c r="DH41" i="4"/>
  <c r="DG41" i="4"/>
  <c r="DF41" i="4"/>
  <c r="DC41" i="4"/>
  <c r="DB41" i="4"/>
  <c r="DA41" i="4"/>
  <c r="CZ41" i="4"/>
  <c r="CY41" i="4"/>
  <c r="CV41" i="4"/>
  <c r="CU41" i="4"/>
  <c r="CT41" i="4"/>
  <c r="CS41" i="4"/>
  <c r="CR41" i="4"/>
  <c r="CO41" i="4"/>
  <c r="CN41" i="4"/>
  <c r="CM41" i="4"/>
  <c r="CL41" i="4"/>
  <c r="CK41" i="4"/>
  <c r="CH41" i="4"/>
  <c r="CG41" i="4"/>
  <c r="CF41" i="4"/>
  <c r="CE41" i="4"/>
  <c r="CD41" i="4"/>
  <c r="DJ38" i="4"/>
  <c r="DI38" i="4"/>
  <c r="DH38" i="4"/>
  <c r="DG38" i="4"/>
  <c r="DF38" i="4"/>
  <c r="DJ35" i="4"/>
  <c r="DI35" i="4"/>
  <c r="DH35" i="4"/>
  <c r="DG35" i="4"/>
  <c r="DF35" i="4"/>
  <c r="DC35" i="4"/>
  <c r="DB35" i="4"/>
  <c r="DA35" i="4"/>
  <c r="CZ35" i="4"/>
  <c r="CY35" i="4"/>
  <c r="CV35" i="4"/>
  <c r="CU35" i="4"/>
  <c r="CT35" i="4"/>
  <c r="CS35" i="4"/>
  <c r="CR35" i="4"/>
  <c r="CO35" i="4"/>
  <c r="CN35" i="4"/>
  <c r="CM35" i="4"/>
  <c r="CL35" i="4"/>
  <c r="CK35" i="4"/>
  <c r="CH35" i="4"/>
  <c r="CG35" i="4"/>
  <c r="CF35" i="4"/>
  <c r="CE35" i="4"/>
  <c r="CD35" i="4"/>
  <c r="DJ32" i="4"/>
  <c r="DI32" i="4"/>
  <c r="DH32" i="4"/>
  <c r="DG32" i="4"/>
  <c r="DF32" i="4"/>
  <c r="DC32" i="4"/>
  <c r="DB32" i="4"/>
  <c r="DA32" i="4"/>
  <c r="CZ32" i="4"/>
  <c r="CY32" i="4"/>
  <c r="CV32" i="4"/>
  <c r="CU32" i="4"/>
  <c r="CT32" i="4"/>
  <c r="CS32" i="4"/>
  <c r="CR32" i="4"/>
  <c r="CO32" i="4"/>
  <c r="CN32" i="4"/>
  <c r="CM32" i="4"/>
  <c r="CL32" i="4"/>
  <c r="CK32" i="4"/>
  <c r="CH32" i="4"/>
  <c r="CG32" i="4"/>
  <c r="CF32" i="4"/>
  <c r="CE32" i="4"/>
  <c r="CD32" i="4"/>
  <c r="DJ29" i="4"/>
  <c r="DI29" i="4"/>
  <c r="DH29" i="4"/>
  <c r="DG29" i="4"/>
  <c r="DF29" i="4"/>
  <c r="DC29" i="4"/>
  <c r="DB29" i="4"/>
  <c r="DA29" i="4"/>
  <c r="CZ29" i="4"/>
  <c r="CY29" i="4"/>
  <c r="CV29" i="4"/>
  <c r="CU29" i="4"/>
  <c r="CT29" i="4"/>
  <c r="CS29" i="4"/>
  <c r="CR29" i="4"/>
  <c r="CO29" i="4"/>
  <c r="CN29" i="4"/>
  <c r="CM29" i="4"/>
  <c r="CL29" i="4"/>
  <c r="CK29" i="4"/>
  <c r="CH29" i="4"/>
  <c r="CG29" i="4"/>
  <c r="CF29" i="4"/>
  <c r="CE29" i="4"/>
  <c r="CD29" i="4"/>
  <c r="DJ26" i="4"/>
  <c r="DI26" i="4"/>
  <c r="DH26" i="4"/>
  <c r="DG26" i="4"/>
  <c r="DF26" i="4"/>
  <c r="DC26" i="4"/>
  <c r="DB26" i="4"/>
  <c r="DA26" i="4"/>
  <c r="CZ26" i="4"/>
  <c r="CY26" i="4"/>
  <c r="CV26" i="4"/>
  <c r="CU26" i="4"/>
  <c r="CT26" i="4"/>
  <c r="CS26" i="4"/>
  <c r="CR26" i="4"/>
  <c r="CO26" i="4"/>
  <c r="CN26" i="4"/>
  <c r="CM26" i="4"/>
  <c r="CL26" i="4"/>
  <c r="CK26" i="4"/>
  <c r="CH26" i="4"/>
  <c r="CG26" i="4"/>
  <c r="CF26" i="4"/>
  <c r="CE26" i="4"/>
  <c r="CD26" i="4"/>
  <c r="CA41" i="4"/>
  <c r="BZ41" i="4"/>
  <c r="BY41" i="4"/>
  <c r="BX41" i="4"/>
  <c r="BW41" i="4"/>
  <c r="BT41" i="4"/>
  <c r="BS41" i="4"/>
  <c r="BR41" i="4"/>
  <c r="BQ41" i="4"/>
  <c r="BP41" i="4"/>
  <c r="BM41" i="4"/>
  <c r="BL41" i="4"/>
  <c r="BK41" i="4"/>
  <c r="BJ41" i="4"/>
  <c r="BI41" i="4"/>
  <c r="BF41" i="4"/>
  <c r="BE41" i="4"/>
  <c r="BD41" i="4"/>
  <c r="BC41" i="4"/>
  <c r="BB41" i="4"/>
  <c r="AY41" i="4"/>
  <c r="AX41" i="4"/>
  <c r="AW41" i="4"/>
  <c r="AV41" i="4"/>
  <c r="AU41" i="4"/>
  <c r="CA35" i="4"/>
  <c r="BZ35" i="4"/>
  <c r="BY35" i="4"/>
  <c r="BX35" i="4"/>
  <c r="BW35" i="4"/>
  <c r="BT35" i="4"/>
  <c r="BS35" i="4"/>
  <c r="BR35" i="4"/>
  <c r="BQ35" i="4"/>
  <c r="BP35" i="4"/>
  <c r="BM35" i="4"/>
  <c r="BL35" i="4"/>
  <c r="BK35" i="4"/>
  <c r="BJ35" i="4"/>
  <c r="BI35" i="4"/>
  <c r="BF35" i="4"/>
  <c r="BE35" i="4"/>
  <c r="BD35" i="4"/>
  <c r="BC35" i="4"/>
  <c r="BB35" i="4"/>
  <c r="AY35" i="4"/>
  <c r="AX35" i="4"/>
  <c r="AW35" i="4"/>
  <c r="AV35" i="4"/>
  <c r="AU35" i="4"/>
  <c r="CA32" i="4"/>
  <c r="BZ32" i="4"/>
  <c r="BY32" i="4"/>
  <c r="BX32" i="4"/>
  <c r="BW32" i="4"/>
  <c r="BT32" i="4"/>
  <c r="BS32" i="4"/>
  <c r="BR32" i="4"/>
  <c r="BQ32" i="4"/>
  <c r="BP32" i="4"/>
  <c r="BM32" i="4"/>
  <c r="BL32" i="4"/>
  <c r="BK32" i="4"/>
  <c r="BJ32" i="4"/>
  <c r="BI32" i="4"/>
  <c r="BF32" i="4"/>
  <c r="BE32" i="4"/>
  <c r="BD32" i="4"/>
  <c r="BC32" i="4"/>
  <c r="BB32" i="4"/>
  <c r="AY32" i="4"/>
  <c r="AX32" i="4"/>
  <c r="AW32" i="4"/>
  <c r="AV32" i="4"/>
  <c r="AU32" i="4"/>
  <c r="CA29" i="4"/>
  <c r="BZ29" i="4"/>
  <c r="BY29" i="4"/>
  <c r="BX29" i="4"/>
  <c r="BW29" i="4"/>
  <c r="BT29" i="4"/>
  <c r="BS29" i="4"/>
  <c r="BR29" i="4"/>
  <c r="BQ29" i="4"/>
  <c r="BP29" i="4"/>
  <c r="BM29" i="4"/>
  <c r="BL29" i="4"/>
  <c r="BK29" i="4"/>
  <c r="BJ29" i="4"/>
  <c r="BI29" i="4"/>
  <c r="BF29" i="4"/>
  <c r="BE29" i="4"/>
  <c r="BD29" i="4"/>
  <c r="BC29" i="4"/>
  <c r="BB29" i="4"/>
  <c r="AY29" i="4"/>
  <c r="AX29" i="4"/>
  <c r="AW29" i="4"/>
  <c r="AV29" i="4"/>
  <c r="AU29" i="4"/>
  <c r="CA26" i="4"/>
  <c r="BZ26" i="4"/>
  <c r="BY26" i="4"/>
  <c r="BX26" i="4"/>
  <c r="BW26" i="4"/>
  <c r="BT26" i="4"/>
  <c r="BS26" i="4"/>
  <c r="BR26" i="4"/>
  <c r="BQ26" i="4"/>
  <c r="BP26" i="4"/>
  <c r="BM26" i="4"/>
  <c r="BL26" i="4"/>
  <c r="BK26" i="4"/>
  <c r="BJ26" i="4"/>
  <c r="BI26" i="4"/>
  <c r="BF26" i="4"/>
  <c r="BE26" i="4"/>
  <c r="BD26" i="4"/>
  <c r="BC26" i="4"/>
  <c r="BB26" i="4"/>
  <c r="AY26" i="4"/>
  <c r="AX26" i="4"/>
  <c r="AW26" i="4"/>
  <c r="AV26" i="4"/>
  <c r="AU26" i="4"/>
  <c r="AR41" i="4"/>
  <c r="AQ41" i="4"/>
  <c r="AP41" i="4"/>
  <c r="AO41" i="4"/>
  <c r="AN41" i="4"/>
  <c r="AR35" i="4"/>
  <c r="AQ35" i="4"/>
  <c r="AP35" i="4"/>
  <c r="AO35" i="4"/>
  <c r="AN35" i="4"/>
  <c r="AR32" i="4"/>
  <c r="AQ32" i="4"/>
  <c r="AP32" i="4"/>
  <c r="AO32" i="4"/>
  <c r="AN32" i="4"/>
  <c r="AR29" i="4"/>
  <c r="AQ29" i="4"/>
  <c r="AP29" i="4"/>
  <c r="AO29" i="4"/>
  <c r="AN29" i="4"/>
  <c r="AR26" i="4"/>
  <c r="AQ26" i="4"/>
  <c r="AP26" i="4"/>
  <c r="AO26" i="4"/>
  <c r="AN26" i="4"/>
  <c r="AK41" i="4"/>
  <c r="AJ41" i="4"/>
  <c r="AI41" i="4"/>
  <c r="AH41" i="4"/>
  <c r="AG41" i="4"/>
  <c r="AK26" i="4"/>
  <c r="AJ26" i="4"/>
  <c r="AI26" i="4"/>
  <c r="AH26" i="4"/>
  <c r="AG26" i="4"/>
  <c r="AD41" i="4"/>
  <c r="AC41" i="4"/>
  <c r="AB41" i="4"/>
  <c r="AA41" i="4"/>
  <c r="Z41" i="4"/>
  <c r="AD26" i="4"/>
  <c r="AC26" i="4"/>
  <c r="AB26" i="4"/>
  <c r="AA26" i="4"/>
  <c r="Z26" i="4"/>
  <c r="W41" i="4"/>
  <c r="V41" i="4"/>
  <c r="U41" i="4"/>
  <c r="T41" i="4"/>
  <c r="S41" i="4"/>
  <c r="W26" i="4"/>
  <c r="V26" i="4"/>
  <c r="U26" i="4"/>
  <c r="T26" i="4"/>
  <c r="S26" i="4"/>
  <c r="P41" i="4"/>
  <c r="O41" i="4"/>
  <c r="N41" i="4"/>
  <c r="M41" i="4"/>
  <c r="L41" i="4"/>
  <c r="Q39" i="4"/>
  <c r="Q36" i="4"/>
  <c r="P35" i="4"/>
  <c r="O35" i="4"/>
  <c r="N35" i="4"/>
  <c r="M35" i="4"/>
  <c r="L35" i="4"/>
  <c r="Q33" i="4"/>
  <c r="P32" i="4"/>
  <c r="O32" i="4"/>
  <c r="N32" i="4"/>
  <c r="M32" i="4"/>
  <c r="L32" i="4"/>
  <c r="Q30" i="4"/>
  <c r="P29" i="4"/>
  <c r="N29" i="4"/>
  <c r="M29" i="4"/>
  <c r="Q27" i="4"/>
  <c r="I41" i="4"/>
  <c r="H41" i="4"/>
  <c r="G41" i="4"/>
  <c r="F41" i="4"/>
  <c r="E41" i="4"/>
  <c r="I38" i="4"/>
  <c r="H38" i="4"/>
  <c r="G38" i="4"/>
  <c r="F38" i="4"/>
  <c r="E38" i="4"/>
  <c r="I35" i="4"/>
  <c r="H35" i="4"/>
  <c r="G35" i="4"/>
  <c r="F35" i="4"/>
  <c r="E35" i="4"/>
  <c r="I32" i="4"/>
  <c r="H32" i="4"/>
  <c r="G32" i="4"/>
  <c r="F32" i="4"/>
  <c r="E32" i="4"/>
  <c r="P26" i="4"/>
  <c r="O26" i="4"/>
  <c r="N26" i="4"/>
  <c r="M26" i="4"/>
  <c r="L26" i="4"/>
  <c r="J39" i="4"/>
  <c r="J36" i="4"/>
  <c r="J33" i="4"/>
  <c r="J30" i="4"/>
  <c r="J27" i="4"/>
  <c r="O48" i="8"/>
  <c r="P48" i="8"/>
  <c r="Q48" i="8"/>
  <c r="R48" i="8"/>
  <c r="S48" i="8"/>
  <c r="T48" i="8"/>
  <c r="V48" i="8"/>
  <c r="W48" i="8"/>
  <c r="X48" i="8"/>
  <c r="Y48" i="8"/>
  <c r="Z48" i="8"/>
  <c r="AA48" i="8"/>
  <c r="AC48" i="8"/>
  <c r="AD48" i="8"/>
  <c r="AE48" i="8"/>
  <c r="AF48" i="8"/>
  <c r="AG48" i="8"/>
  <c r="AH48" i="8"/>
  <c r="AJ48" i="8"/>
  <c r="AK48" i="8"/>
  <c r="AL48" i="8"/>
  <c r="AM48" i="8"/>
  <c r="AN48" i="8"/>
  <c r="AO48" i="8"/>
  <c r="AQ48" i="8"/>
  <c r="AR48" i="8"/>
  <c r="AS48" i="8"/>
  <c r="AT48" i="8"/>
  <c r="AU48" i="8"/>
  <c r="AV48" i="8"/>
  <c r="AX48" i="8"/>
  <c r="AY48" i="8"/>
  <c r="AZ48" i="8"/>
  <c r="BA48" i="8"/>
  <c r="BB48" i="8"/>
  <c r="BC48" i="8"/>
  <c r="BE48" i="8"/>
  <c r="BF48" i="8"/>
  <c r="BG48" i="8"/>
  <c r="BH48" i="8"/>
  <c r="BI48" i="8"/>
  <c r="BJ48" i="8"/>
  <c r="BL48" i="8"/>
  <c r="BM48" i="8"/>
  <c r="BN48" i="8"/>
  <c r="BO48" i="8"/>
  <c r="BP48" i="8"/>
  <c r="BQ48" i="8"/>
  <c r="BS48" i="8"/>
  <c r="BT48" i="8"/>
  <c r="BU48" i="8"/>
  <c r="BV48" i="8"/>
  <c r="BW48" i="8"/>
  <c r="BX48" i="8"/>
  <c r="BZ48" i="8"/>
  <c r="CA48" i="8"/>
  <c r="CB48" i="8"/>
  <c r="CC48" i="8"/>
  <c r="CD48" i="8"/>
  <c r="CE48" i="8"/>
  <c r="CG48" i="8"/>
  <c r="CH48" i="8"/>
  <c r="CI48" i="8"/>
  <c r="CJ48" i="8"/>
  <c r="CK48" i="8"/>
  <c r="CL48" i="8"/>
  <c r="CN48" i="8"/>
  <c r="CO48" i="8"/>
  <c r="CP48" i="8"/>
  <c r="CQ48" i="8"/>
  <c r="CR48" i="8"/>
  <c r="CS48" i="8"/>
  <c r="CU48" i="8"/>
  <c r="CV48" i="8"/>
  <c r="CW48" i="8"/>
  <c r="CX48" i="8"/>
  <c r="CY48" i="8"/>
  <c r="CZ48" i="8"/>
  <c r="DB48" i="8"/>
  <c r="DC48" i="8"/>
  <c r="DD48" i="8"/>
  <c r="DE48" i="8"/>
  <c r="DF48" i="8"/>
  <c r="DG48" i="8"/>
  <c r="DI48" i="8"/>
  <c r="DJ48" i="8"/>
  <c r="DK48" i="8"/>
  <c r="DL48" i="8"/>
  <c r="DM48" i="8"/>
  <c r="DN48" i="8"/>
  <c r="DP48" i="8"/>
  <c r="DQ48" i="8"/>
  <c r="DR48" i="8"/>
  <c r="DS48" i="8"/>
  <c r="DT48" i="8"/>
  <c r="DU48" i="8"/>
  <c r="DW48" i="8"/>
  <c r="DX48" i="8"/>
  <c r="DY48" i="8"/>
  <c r="DZ48" i="8"/>
  <c r="EA48" i="8"/>
  <c r="EB48" i="8"/>
  <c r="ED48" i="8"/>
  <c r="EE48" i="8"/>
  <c r="EF48" i="8"/>
  <c r="EG48" i="8"/>
  <c r="EH48" i="8"/>
  <c r="EI48" i="8"/>
  <c r="EK48" i="8"/>
  <c r="EL48" i="8"/>
  <c r="EM48" i="8"/>
  <c r="EN48" i="8"/>
  <c r="EO48" i="8"/>
  <c r="EP48" i="8"/>
  <c r="ER48" i="8"/>
  <c r="ES48" i="8"/>
  <c r="ET48" i="8"/>
  <c r="EU48" i="8"/>
  <c r="EV48" i="8"/>
  <c r="EW48" i="8"/>
  <c r="EY48" i="8"/>
  <c r="EZ48" i="8"/>
  <c r="FA48" i="8"/>
  <c r="FB48" i="8"/>
  <c r="FC48" i="8"/>
  <c r="FD48" i="8"/>
  <c r="FF48" i="8"/>
  <c r="FG48" i="8"/>
  <c r="FH48" i="8"/>
  <c r="FI48" i="8"/>
  <c r="FJ48" i="8"/>
  <c r="FK48" i="8"/>
  <c r="FM48" i="8"/>
  <c r="FN48" i="8"/>
  <c r="FO48" i="8"/>
  <c r="FP48" i="8"/>
  <c r="FQ48" i="8"/>
  <c r="FR48" i="8"/>
  <c r="FT48" i="8"/>
  <c r="FU48" i="8"/>
  <c r="FV48" i="8"/>
  <c r="FW48" i="8"/>
  <c r="FX48" i="8"/>
  <c r="FY48" i="8"/>
  <c r="GA48" i="8"/>
  <c r="GB48" i="8"/>
  <c r="GC48" i="8"/>
  <c r="GD48" i="8"/>
  <c r="GE48" i="8"/>
  <c r="GF48" i="8"/>
  <c r="GH48" i="8"/>
  <c r="GI48" i="8"/>
  <c r="GJ48" i="8"/>
  <c r="GK48" i="8"/>
  <c r="GL48" i="8"/>
  <c r="GM48" i="8"/>
  <c r="GO48" i="8"/>
  <c r="GP48" i="8"/>
  <c r="GQ48" i="8"/>
  <c r="GR48" i="8"/>
  <c r="GS48" i="8"/>
  <c r="GT48" i="8"/>
  <c r="GV48" i="8"/>
  <c r="GW48" i="8"/>
  <c r="GX48" i="8"/>
  <c r="GY48" i="8"/>
  <c r="GZ48" i="8"/>
  <c r="HA48" i="8"/>
  <c r="J48" i="8"/>
  <c r="K48" i="8"/>
  <c r="L48" i="8"/>
  <c r="M48" i="8"/>
  <c r="I48" i="8"/>
  <c r="O44" i="6"/>
  <c r="P44" i="6"/>
  <c r="Q44" i="6"/>
  <c r="R44" i="6"/>
  <c r="S44" i="6"/>
  <c r="T44" i="6"/>
  <c r="V44" i="6"/>
  <c r="W44" i="6"/>
  <c r="X44" i="6"/>
  <c r="Y44" i="6"/>
  <c r="Z44" i="6"/>
  <c r="AA44" i="6"/>
  <c r="AC44" i="6"/>
  <c r="AD44" i="6"/>
  <c r="AE44" i="6"/>
  <c r="AF44" i="6"/>
  <c r="AG44" i="6"/>
  <c r="AH44" i="6"/>
  <c r="AJ44" i="6"/>
  <c r="AK44" i="6"/>
  <c r="AL44" i="6"/>
  <c r="AM44" i="6"/>
  <c r="AN44" i="6"/>
  <c r="AO44" i="6"/>
  <c r="AQ44" i="6"/>
  <c r="AR44" i="6"/>
  <c r="AS44" i="6"/>
  <c r="AT44" i="6"/>
  <c r="AU44" i="6"/>
  <c r="AV44" i="6"/>
  <c r="AX44" i="6"/>
  <c r="AY44" i="6"/>
  <c r="AZ44" i="6"/>
  <c r="BA44" i="6"/>
  <c r="BB44" i="6"/>
  <c r="BC44" i="6"/>
  <c r="BE44" i="6"/>
  <c r="BF44" i="6"/>
  <c r="BG44" i="6"/>
  <c r="BH44" i="6"/>
  <c r="BI44" i="6"/>
  <c r="BJ44" i="6"/>
  <c r="BL44" i="6"/>
  <c r="BM44" i="6"/>
  <c r="BN44" i="6"/>
  <c r="BO44" i="6"/>
  <c r="BP44" i="6"/>
  <c r="BQ44" i="6"/>
  <c r="BS44" i="6"/>
  <c r="BT44" i="6"/>
  <c r="BU44" i="6"/>
  <c r="BV44" i="6"/>
  <c r="BW44" i="6"/>
  <c r="BX44" i="6"/>
  <c r="BZ44" i="6"/>
  <c r="CA44" i="6"/>
  <c r="CB44" i="6"/>
  <c r="CC44" i="6"/>
  <c r="CD44" i="6"/>
  <c r="CE44" i="6"/>
  <c r="CG44" i="6"/>
  <c r="CH44" i="6"/>
  <c r="CI44" i="6"/>
  <c r="CJ44" i="6"/>
  <c r="CK44" i="6"/>
  <c r="CL44" i="6"/>
  <c r="CN44" i="6"/>
  <c r="CO44" i="6"/>
  <c r="CP44" i="6"/>
  <c r="CQ44" i="6"/>
  <c r="CR44" i="6"/>
  <c r="CS44" i="6"/>
  <c r="CU44" i="6"/>
  <c r="CV44" i="6"/>
  <c r="CW44" i="6"/>
  <c r="CX44" i="6"/>
  <c r="CY44" i="6"/>
  <c r="CZ44" i="6"/>
  <c r="DB44" i="6"/>
  <c r="DC44" i="6"/>
  <c r="DD44" i="6"/>
  <c r="DE44" i="6"/>
  <c r="DF44" i="6"/>
  <c r="DG44" i="6"/>
  <c r="DI44" i="6"/>
  <c r="DJ44" i="6"/>
  <c r="DK44" i="6"/>
  <c r="DL44" i="6"/>
  <c r="DM44" i="6"/>
  <c r="DN44" i="6"/>
  <c r="DP44" i="6"/>
  <c r="DQ44" i="6"/>
  <c r="DR44" i="6"/>
  <c r="DS44" i="6"/>
  <c r="DT44" i="6"/>
  <c r="DU44" i="6"/>
  <c r="DW44" i="6"/>
  <c r="DX44" i="6"/>
  <c r="DY44" i="6"/>
  <c r="DZ44" i="6"/>
  <c r="EA44" i="6"/>
  <c r="EB44" i="6"/>
  <c r="ED44" i="6"/>
  <c r="EE44" i="6"/>
  <c r="EF44" i="6"/>
  <c r="EG44" i="6"/>
  <c r="EH44" i="6"/>
  <c r="EI44" i="6"/>
  <c r="EK44" i="6"/>
  <c r="EL44" i="6"/>
  <c r="EM44" i="6"/>
  <c r="EN44" i="6"/>
  <c r="EO44" i="6"/>
  <c r="EP44" i="6"/>
  <c r="ER44" i="6"/>
  <c r="ES44" i="6"/>
  <c r="ET44" i="6"/>
  <c r="EU44" i="6"/>
  <c r="EV44" i="6"/>
  <c r="EW44" i="6"/>
  <c r="EY44" i="6"/>
  <c r="EZ44" i="6"/>
  <c r="FA44" i="6"/>
  <c r="FB44" i="6"/>
  <c r="FC44" i="6"/>
  <c r="FD44" i="6"/>
  <c r="FF44" i="6"/>
  <c r="FG44" i="6"/>
  <c r="FH44" i="6"/>
  <c r="FI44" i="6"/>
  <c r="FJ44" i="6"/>
  <c r="FK44" i="6"/>
  <c r="FM44" i="6"/>
  <c r="FN44" i="6"/>
  <c r="FO44" i="6"/>
  <c r="FP44" i="6"/>
  <c r="FQ44" i="6"/>
  <c r="FR44" i="6"/>
  <c r="FT44" i="6"/>
  <c r="FU44" i="6"/>
  <c r="FV44" i="6"/>
  <c r="FW44" i="6"/>
  <c r="FX44" i="6"/>
  <c r="FY44" i="6"/>
  <c r="GA44" i="6"/>
  <c r="GB44" i="6"/>
  <c r="GC44" i="6"/>
  <c r="GD44" i="6"/>
  <c r="GE44" i="6"/>
  <c r="GF44" i="6"/>
  <c r="GH44" i="6"/>
  <c r="GI44" i="6"/>
  <c r="GJ44" i="6"/>
  <c r="GK44" i="6"/>
  <c r="GL44" i="6"/>
  <c r="GM44" i="6"/>
  <c r="GO44" i="6"/>
  <c r="GP44" i="6"/>
  <c r="GQ44" i="6"/>
  <c r="GR44" i="6"/>
  <c r="GS44" i="6"/>
  <c r="GT44" i="6"/>
  <c r="GV44" i="6"/>
  <c r="GW44" i="6"/>
  <c r="GX44" i="6"/>
  <c r="GY44" i="6"/>
  <c r="S48" i="5"/>
  <c r="T48" i="5"/>
  <c r="V48" i="5"/>
  <c r="W48" i="5"/>
  <c r="X48" i="5"/>
  <c r="O48" i="5"/>
  <c r="P48" i="5"/>
  <c r="Q48" i="5"/>
  <c r="R48" i="5"/>
  <c r="J48" i="5"/>
  <c r="K48" i="5"/>
  <c r="L48" i="5"/>
  <c r="M48" i="5"/>
  <c r="I48" i="5"/>
  <c r="HB44" i="6" l="1"/>
  <c r="AB48" i="5"/>
  <c r="EQ37" i="4"/>
  <c r="DX37" i="4"/>
  <c r="DO37" i="4"/>
  <c r="GU44" i="6"/>
  <c r="FS44" i="6"/>
  <c r="EQ44" i="6"/>
  <c r="GF37" i="4"/>
  <c r="FM37" i="4"/>
  <c r="EB37" i="4"/>
  <c r="DI37" i="4"/>
  <c r="CZ37" i="4"/>
  <c r="CZ38" i="4" s="1"/>
  <c r="GO37" i="4"/>
  <c r="EK37" i="4"/>
  <c r="FD37" i="4"/>
  <c r="AQ45" i="9"/>
  <c r="AQ46" i="9" s="1"/>
  <c r="AH45" i="9"/>
  <c r="AH46" i="9" s="1"/>
  <c r="AP45" i="9"/>
  <c r="AP46" i="9" s="1"/>
  <c r="AO45" i="9"/>
  <c r="AO46" i="9" s="1"/>
  <c r="AE45" i="9"/>
  <c r="AE46" i="9" s="1"/>
  <c r="AD45" i="9"/>
  <c r="AD46" i="9" s="1"/>
  <c r="AL45" i="9"/>
  <c r="AL46" i="9" s="1"/>
  <c r="AC45" i="9"/>
  <c r="AC46" i="9" s="1"/>
  <c r="AK45" i="9"/>
  <c r="AK46" i="9" s="1"/>
  <c r="AB45" i="9"/>
  <c r="AB46" i="9" s="1"/>
  <c r="AS45" i="9"/>
  <c r="AS46" i="9" s="1"/>
  <c r="AJ45" i="9"/>
  <c r="AJ46" i="9" s="1"/>
  <c r="AA45" i="9"/>
  <c r="AA46" i="9" s="1"/>
  <c r="I23" i="9"/>
  <c r="K23" i="9" s="1"/>
  <c r="K21" i="9"/>
  <c r="L21" i="9" s="1"/>
  <c r="AR45" i="9"/>
  <c r="AR46" i="9" s="1"/>
  <c r="AI45" i="9"/>
  <c r="AI46" i="9" s="1"/>
  <c r="AR16" i="9"/>
  <c r="AT16" i="9" s="1"/>
  <c r="AT14" i="9"/>
  <c r="AU14" i="9" s="1"/>
  <c r="AE10" i="4"/>
  <c r="GV45" i="9"/>
  <c r="GM45" i="9"/>
  <c r="GC45" i="9"/>
  <c r="FT45" i="9"/>
  <c r="FK45" i="9"/>
  <c r="FA45" i="9"/>
  <c r="ER45" i="9"/>
  <c r="EI45" i="9"/>
  <c r="DY45" i="9"/>
  <c r="DP45" i="9"/>
  <c r="DG45" i="9"/>
  <c r="CW45" i="9"/>
  <c r="CW46" i="9" s="1"/>
  <c r="CN45" i="9"/>
  <c r="CN46" i="9" s="1"/>
  <c r="CE45" i="9"/>
  <c r="CE46" i="9" s="1"/>
  <c r="BU45" i="9"/>
  <c r="BU46" i="9" s="1"/>
  <c r="BL45" i="9"/>
  <c r="BL46" i="9" s="1"/>
  <c r="BC45" i="9"/>
  <c r="BC46" i="9" s="1"/>
  <c r="Q45" i="9"/>
  <c r="Q46" i="9" s="1"/>
  <c r="F45" i="9"/>
  <c r="F46" i="9" s="1"/>
  <c r="GU45" i="9"/>
  <c r="GB45" i="9"/>
  <c r="FS45" i="9"/>
  <c r="EZ45" i="9"/>
  <c r="EQ45" i="9"/>
  <c r="DX45" i="9"/>
  <c r="DO45" i="9"/>
  <c r="CV45" i="9"/>
  <c r="CV46" i="9" s="1"/>
  <c r="CM45" i="9"/>
  <c r="CM46" i="9" s="1"/>
  <c r="BT45" i="9"/>
  <c r="BT46" i="9" s="1"/>
  <c r="BK45" i="9"/>
  <c r="BK46" i="9" s="1"/>
  <c r="P45" i="9"/>
  <c r="P46" i="9" s="1"/>
  <c r="J45" i="9"/>
  <c r="J46" i="9" s="1"/>
  <c r="GT45" i="9"/>
  <c r="GJ45" i="9"/>
  <c r="GA45" i="9"/>
  <c r="FR45" i="9"/>
  <c r="FH45" i="9"/>
  <c r="EY45" i="9"/>
  <c r="EP45" i="9"/>
  <c r="EF45" i="9"/>
  <c r="DW45" i="9"/>
  <c r="DN45" i="9"/>
  <c r="DD45" i="9"/>
  <c r="DD46" i="9" s="1"/>
  <c r="CU45" i="9"/>
  <c r="CU46" i="9" s="1"/>
  <c r="CL45" i="9"/>
  <c r="CL46" i="9" s="1"/>
  <c r="CB45" i="9"/>
  <c r="CB46" i="9" s="1"/>
  <c r="BS45" i="9"/>
  <c r="BS46" i="9" s="1"/>
  <c r="BJ45" i="9"/>
  <c r="BJ46" i="9" s="1"/>
  <c r="AZ45" i="9"/>
  <c r="AZ46" i="9" s="1"/>
  <c r="X45" i="9"/>
  <c r="X46" i="9" s="1"/>
  <c r="O45" i="9"/>
  <c r="O46" i="9" s="1"/>
  <c r="I45" i="9"/>
  <c r="I46" i="9" s="1"/>
  <c r="GI45" i="9"/>
  <c r="FZ45" i="9"/>
  <c r="FG45" i="9"/>
  <c r="EX45" i="9"/>
  <c r="EE45" i="9"/>
  <c r="DV45" i="9"/>
  <c r="DC45" i="9"/>
  <c r="DC46" i="9" s="1"/>
  <c r="CT45" i="9"/>
  <c r="CT46" i="9" s="1"/>
  <c r="CA45" i="9"/>
  <c r="CA46" i="9" s="1"/>
  <c r="BR45" i="9"/>
  <c r="BR46" i="9" s="1"/>
  <c r="AY45" i="9"/>
  <c r="AY46" i="9" s="1"/>
  <c r="W45" i="9"/>
  <c r="W46" i="9" s="1"/>
  <c r="N45" i="9"/>
  <c r="N46" i="9" s="1"/>
  <c r="AD16" i="9"/>
  <c r="AF14" i="9"/>
  <c r="AG14" i="9" s="1"/>
  <c r="H45" i="9"/>
  <c r="H46" i="9" s="1"/>
  <c r="GQ45" i="9"/>
  <c r="GH45" i="9"/>
  <c r="FY45" i="9"/>
  <c r="FO45" i="9"/>
  <c r="FF45" i="9"/>
  <c r="EW45" i="9"/>
  <c r="EM45" i="9"/>
  <c r="ED45" i="9"/>
  <c r="DU45" i="9"/>
  <c r="DK45" i="9"/>
  <c r="DB45" i="9"/>
  <c r="DB46" i="9" s="1"/>
  <c r="CS45" i="9"/>
  <c r="CS46" i="9" s="1"/>
  <c r="CI45" i="9"/>
  <c r="CI46" i="9" s="1"/>
  <c r="BZ45" i="9"/>
  <c r="BZ46" i="9" s="1"/>
  <c r="BQ45" i="9"/>
  <c r="BQ46" i="9" s="1"/>
  <c r="BG45" i="9"/>
  <c r="BG46" i="9" s="1"/>
  <c r="AX45" i="9"/>
  <c r="AX46" i="9" s="1"/>
  <c r="V45" i="9"/>
  <c r="V46" i="9" s="1"/>
  <c r="M45" i="9"/>
  <c r="M46" i="9" s="1"/>
  <c r="G45" i="9"/>
  <c r="G46" i="9" s="1"/>
  <c r="GP45" i="9"/>
  <c r="GG45" i="9"/>
  <c r="FN45" i="9"/>
  <c r="FE45" i="9"/>
  <c r="EL45" i="9"/>
  <c r="EC45" i="9"/>
  <c r="DJ45" i="9"/>
  <c r="DA45" i="9"/>
  <c r="DA46" i="9" s="1"/>
  <c r="CH45" i="9"/>
  <c r="CH46" i="9" s="1"/>
  <c r="BY45" i="9"/>
  <c r="BY46" i="9" s="1"/>
  <c r="BF45" i="9"/>
  <c r="BF46" i="9" s="1"/>
  <c r="AW45" i="9"/>
  <c r="AW46" i="9" s="1"/>
  <c r="U45" i="9"/>
  <c r="U46" i="9" s="1"/>
  <c r="GX45" i="9"/>
  <c r="GO45" i="9"/>
  <c r="GF45" i="9"/>
  <c r="FV45" i="9"/>
  <c r="FM45" i="9"/>
  <c r="FD45" i="9"/>
  <c r="ET45" i="9"/>
  <c r="EK45" i="9"/>
  <c r="EB45" i="9"/>
  <c r="DR45" i="9"/>
  <c r="DI45" i="9"/>
  <c r="CZ45" i="9"/>
  <c r="CZ46" i="9" s="1"/>
  <c r="CP45" i="9"/>
  <c r="CP46" i="9" s="1"/>
  <c r="CG45" i="9"/>
  <c r="CG46" i="9" s="1"/>
  <c r="BX45" i="9"/>
  <c r="BX46" i="9" s="1"/>
  <c r="BN45" i="9"/>
  <c r="BN46" i="9" s="1"/>
  <c r="BE45" i="9"/>
  <c r="BE46" i="9" s="1"/>
  <c r="AV45" i="9"/>
  <c r="AV46" i="9" s="1"/>
  <c r="T45" i="9"/>
  <c r="T46" i="9" s="1"/>
  <c r="AK16" i="9"/>
  <c r="AM16" i="9" s="1"/>
  <c r="GW45" i="9"/>
  <c r="GN45" i="9"/>
  <c r="FU45" i="9"/>
  <c r="FL45" i="9"/>
  <c r="ES45" i="9"/>
  <c r="EJ45" i="9"/>
  <c r="DQ45" i="9"/>
  <c r="DH45" i="9"/>
  <c r="CO45" i="9"/>
  <c r="CO46" i="9" s="1"/>
  <c r="CF45" i="9"/>
  <c r="CF46" i="9" s="1"/>
  <c r="BM45" i="9"/>
  <c r="BM46" i="9" s="1"/>
  <c r="BD45" i="9"/>
  <c r="BD46" i="9" s="1"/>
  <c r="AT51" i="9"/>
  <c r="AT52" i="9" s="1"/>
  <c r="AS43" i="4"/>
  <c r="AS44" i="4" s="1"/>
  <c r="CX51" i="9"/>
  <c r="CX52" i="9" s="1"/>
  <c r="CW43" i="4"/>
  <c r="CW44" i="4" s="1"/>
  <c r="GD51" i="9"/>
  <c r="GD52" i="9" s="1"/>
  <c r="GC43" i="4"/>
  <c r="GC44" i="4" s="1"/>
  <c r="DZ51" i="9"/>
  <c r="DZ52" i="9" s="1"/>
  <c r="DY43" i="4"/>
  <c r="DY44" i="4" s="1"/>
  <c r="BA51" i="9"/>
  <c r="BA52" i="9" s="1"/>
  <c r="AZ43" i="4"/>
  <c r="AZ44" i="4" s="1"/>
  <c r="GY51" i="9"/>
  <c r="GY52" i="9" s="1"/>
  <c r="GX43" i="4"/>
  <c r="GX44" i="4" s="1"/>
  <c r="Y51" i="9"/>
  <c r="Y52" i="9" s="1"/>
  <c r="X43" i="4"/>
  <c r="X44" i="4" s="1"/>
  <c r="FI51" i="9"/>
  <c r="FI52" i="9" s="1"/>
  <c r="FH43" i="4"/>
  <c r="FH44" i="4" s="1"/>
  <c r="DS51" i="9"/>
  <c r="DS52" i="9" s="1"/>
  <c r="DR43" i="4"/>
  <c r="DR44" i="4" s="1"/>
  <c r="BO51" i="9"/>
  <c r="BO52" i="9" s="1"/>
  <c r="BN43" i="4"/>
  <c r="BN44" i="4" s="1"/>
  <c r="GR51" i="9"/>
  <c r="GR52" i="9" s="1"/>
  <c r="GQ43" i="4"/>
  <c r="GQ44" i="4" s="1"/>
  <c r="EU51" i="9"/>
  <c r="EU52" i="9" s="1"/>
  <c r="ET43" i="4"/>
  <c r="ET44" i="4" s="1"/>
  <c r="BH51" i="9"/>
  <c r="BH52" i="9" s="1"/>
  <c r="BG43" i="4"/>
  <c r="BG44" i="4" s="1"/>
  <c r="BV51" i="9"/>
  <c r="BV52" i="9" s="1"/>
  <c r="BU43" i="4"/>
  <c r="BU44" i="4" s="1"/>
  <c r="FB51" i="9"/>
  <c r="FB52" i="9" s="1"/>
  <c r="FA43" i="4"/>
  <c r="FA44" i="4" s="1"/>
  <c r="Q43" i="4"/>
  <c r="Q44" i="4" s="1"/>
  <c r="R51" i="9"/>
  <c r="R52" i="9" s="1"/>
  <c r="J43" i="4"/>
  <c r="J44" i="4" s="1"/>
  <c r="K51" i="9"/>
  <c r="K52" i="9" s="1"/>
  <c r="CC51" i="9"/>
  <c r="CC52" i="9" s="1"/>
  <c r="CB43" i="4"/>
  <c r="CB44" i="4" s="1"/>
  <c r="DL51" i="9"/>
  <c r="DL52" i="9" s="1"/>
  <c r="DK43" i="4"/>
  <c r="DK44" i="4" s="1"/>
  <c r="FP51" i="9"/>
  <c r="FP52" i="9" s="1"/>
  <c r="FO43" i="4"/>
  <c r="FO44" i="4" s="1"/>
  <c r="AF51" i="9"/>
  <c r="AF52" i="9" s="1"/>
  <c r="AE43" i="4"/>
  <c r="AE44" i="4" s="1"/>
  <c r="CJ51" i="9"/>
  <c r="CJ52" i="9" s="1"/>
  <c r="CI43" i="4"/>
  <c r="CI44" i="4" s="1"/>
  <c r="GK51" i="9"/>
  <c r="GK52" i="9" s="1"/>
  <c r="GJ43" i="4"/>
  <c r="GJ44" i="4" s="1"/>
  <c r="EN51" i="9"/>
  <c r="EN52" i="9" s="1"/>
  <c r="EM43" i="4"/>
  <c r="EM44" i="4" s="1"/>
  <c r="FW51" i="9"/>
  <c r="FW52" i="9" s="1"/>
  <c r="FV43" i="4"/>
  <c r="FV44" i="4" s="1"/>
  <c r="AM51" i="9"/>
  <c r="AM52" i="9" s="1"/>
  <c r="AL43" i="4"/>
  <c r="AL44" i="4" s="1"/>
  <c r="CQ51" i="9"/>
  <c r="CQ52" i="9" s="1"/>
  <c r="CP43" i="4"/>
  <c r="CP44" i="4" s="1"/>
  <c r="DE51" i="9"/>
  <c r="DE52" i="9" s="1"/>
  <c r="DD43" i="4"/>
  <c r="DD44" i="4" s="1"/>
  <c r="EG51" i="9"/>
  <c r="EG52" i="9" s="1"/>
  <c r="EF43" i="4"/>
  <c r="EF44" i="4" s="1"/>
  <c r="U48" i="5"/>
  <c r="DO44" i="6"/>
  <c r="GG44" i="6"/>
  <c r="FE44" i="6"/>
  <c r="EC44" i="6"/>
  <c r="DA44" i="6"/>
  <c r="BY44" i="6"/>
  <c r="AW44" i="6"/>
  <c r="U44" i="6"/>
  <c r="GN44" i="6"/>
  <c r="FL44" i="6"/>
  <c r="EJ44" i="6"/>
  <c r="DH44" i="6"/>
  <c r="CF44" i="6"/>
  <c r="BD44" i="6"/>
  <c r="AB44" i="6"/>
  <c r="CT44" i="6"/>
  <c r="GH37" i="4"/>
  <c r="FY37" i="4"/>
  <c r="FF37" i="4"/>
  <c r="EW37" i="4"/>
  <c r="ED37" i="4"/>
  <c r="DU37" i="4"/>
  <c r="DB37" i="4"/>
  <c r="DB38" i="4" s="1"/>
  <c r="CM44" i="6"/>
  <c r="BK44" i="6"/>
  <c r="AI44" i="6"/>
  <c r="FZ44" i="6"/>
  <c r="EX44" i="6"/>
  <c r="DV44" i="6"/>
  <c r="BR44" i="6"/>
  <c r="AP44" i="6"/>
  <c r="N48" i="5"/>
  <c r="EH37" i="4"/>
  <c r="DF37" i="4"/>
  <c r="N37" i="4"/>
  <c r="N38" i="4" s="1"/>
  <c r="P37" i="4"/>
  <c r="P38" i="4" s="1"/>
  <c r="L37" i="4"/>
  <c r="L38" i="4" s="1"/>
  <c r="GV37" i="4"/>
  <c r="FT37" i="4"/>
  <c r="EI37" i="4"/>
  <c r="DP37" i="4"/>
  <c r="DG37" i="4"/>
  <c r="FK37" i="4"/>
  <c r="GM37" i="4"/>
  <c r="ER37" i="4"/>
  <c r="GT37" i="4"/>
  <c r="GA37" i="4"/>
  <c r="FR37" i="4"/>
  <c r="EY37" i="4"/>
  <c r="EP37" i="4"/>
  <c r="DW37" i="4"/>
  <c r="DN37" i="4"/>
  <c r="GW37" i="4"/>
  <c r="GN37" i="4"/>
  <c r="FU37" i="4"/>
  <c r="FL37" i="4"/>
  <c r="FC37" i="4"/>
  <c r="ES37" i="4"/>
  <c r="EJ37" i="4"/>
  <c r="EA37" i="4"/>
  <c r="DQ37" i="4"/>
  <c r="DH37" i="4"/>
  <c r="CY37" i="4"/>
  <c r="CY38" i="4" s="1"/>
  <c r="GU37" i="4"/>
  <c r="GB37" i="4"/>
  <c r="FS37" i="4"/>
  <c r="FJ37" i="4"/>
  <c r="EZ37" i="4"/>
  <c r="CV37" i="4"/>
  <c r="CV38" i="4" s="1"/>
  <c r="CH37" i="4"/>
  <c r="CH38" i="4" s="1"/>
  <c r="CT37" i="4"/>
  <c r="CT38" i="4" s="1"/>
  <c r="DA48" i="8"/>
  <c r="CR37" i="4"/>
  <c r="CR38" i="4" s="1"/>
  <c r="CO37" i="4"/>
  <c r="CO38" i="4" s="1"/>
  <c r="CN37" i="4"/>
  <c r="CN38" i="4" s="1"/>
  <c r="CG37" i="4"/>
  <c r="CG38" i="4" s="1"/>
  <c r="CE37" i="4"/>
  <c r="CE38" i="4" s="1"/>
  <c r="CA37" i="4"/>
  <c r="CA38" i="4" s="1"/>
  <c r="BX37" i="4"/>
  <c r="BX38" i="4" s="1"/>
  <c r="BT37" i="4"/>
  <c r="BT38" i="4" s="1"/>
  <c r="BM37" i="4"/>
  <c r="BM38" i="4" s="1"/>
  <c r="BL37" i="4"/>
  <c r="BL38" i="4" s="1"/>
  <c r="BI37" i="4"/>
  <c r="BI38" i="4" s="1"/>
  <c r="BF37" i="4"/>
  <c r="BF38" i="4" s="1"/>
  <c r="BE37" i="4"/>
  <c r="BE38" i="4" s="1"/>
  <c r="BC37" i="4"/>
  <c r="BC38" i="4" s="1"/>
  <c r="BB37" i="4"/>
  <c r="BB38" i="4" s="1"/>
  <c r="AY37" i="4"/>
  <c r="AY38" i="4" s="1"/>
  <c r="AV37" i="4"/>
  <c r="AV38" i="4" s="1"/>
  <c r="AR37" i="4"/>
  <c r="AR38" i="4" s="1"/>
  <c r="AN37" i="4"/>
  <c r="AN38" i="4" s="1"/>
  <c r="AK37" i="4"/>
  <c r="AK38" i="4" s="1"/>
  <c r="AD37" i="4"/>
  <c r="AD38" i="4" s="1"/>
  <c r="AC37" i="4"/>
  <c r="AC38" i="4" s="1"/>
  <c r="U48" i="8"/>
  <c r="CU37" i="4"/>
  <c r="CU38" i="4" s="1"/>
  <c r="CL37" i="4"/>
  <c r="CL38" i="4" s="1"/>
  <c r="BS37" i="4"/>
  <c r="BS38" i="4" s="1"/>
  <c r="BJ37" i="4"/>
  <c r="BJ38" i="4" s="1"/>
  <c r="O37" i="4"/>
  <c r="O38" i="4" s="1"/>
  <c r="GN48" i="8"/>
  <c r="FL48" i="8"/>
  <c r="EJ48" i="8"/>
  <c r="DH48" i="8"/>
  <c r="GS37" i="4"/>
  <c r="FQ37" i="4"/>
  <c r="EX37" i="4"/>
  <c r="EE37" i="4"/>
  <c r="DV37" i="4"/>
  <c r="DM37" i="4"/>
  <c r="DC37" i="4"/>
  <c r="DC38" i="4" s="1"/>
  <c r="GI37" i="4"/>
  <c r="FZ37" i="4"/>
  <c r="FG37" i="4"/>
  <c r="M37" i="4"/>
  <c r="M38" i="4" s="1"/>
  <c r="CS37" i="4"/>
  <c r="CS38" i="4" s="1"/>
  <c r="BZ37" i="4"/>
  <c r="BZ38" i="4" s="1"/>
  <c r="BQ37" i="4"/>
  <c r="BQ38" i="4" s="1"/>
  <c r="AX37" i="4"/>
  <c r="AX38" i="4" s="1"/>
  <c r="AO37" i="4"/>
  <c r="AO38" i="4" s="1"/>
  <c r="GP37" i="4"/>
  <c r="GG37" i="4"/>
  <c r="FN37" i="4"/>
  <c r="FE37" i="4"/>
  <c r="EV37" i="4"/>
  <c r="EL37" i="4"/>
  <c r="EC37" i="4"/>
  <c r="DJ37" i="4"/>
  <c r="DA37" i="4"/>
  <c r="DA38" i="4" s="1"/>
  <c r="Z37" i="4"/>
  <c r="Z38" i="4" s="1"/>
  <c r="AJ37" i="4"/>
  <c r="AJ38" i="4" s="1"/>
  <c r="AA37" i="4"/>
  <c r="AA38" i="4" s="1"/>
  <c r="AH37" i="4"/>
  <c r="AH38" i="4" s="1"/>
  <c r="AQ37" i="4"/>
  <c r="AQ38" i="4" s="1"/>
  <c r="CT48" i="8"/>
  <c r="CM37" i="4"/>
  <c r="CM38" i="4" s="1"/>
  <c r="CF37" i="4"/>
  <c r="CF38" i="4" s="1"/>
  <c r="BY37" i="4"/>
  <c r="BY38" i="4" s="1"/>
  <c r="BY48" i="8"/>
  <c r="BR37" i="4"/>
  <c r="BR38" i="4" s="1"/>
  <c r="BR48" i="8"/>
  <c r="BK37" i="4"/>
  <c r="BK38" i="4" s="1"/>
  <c r="BD37" i="4"/>
  <c r="BD38" i="4" s="1"/>
  <c r="AW37" i="4"/>
  <c r="AW38" i="4" s="1"/>
  <c r="AP37" i="4"/>
  <c r="AP38" i="4" s="1"/>
  <c r="AP48" i="8"/>
  <c r="AI37" i="4"/>
  <c r="AI38" i="4" s="1"/>
  <c r="AB37" i="4"/>
  <c r="AB38" i="4" s="1"/>
  <c r="AW48" i="8"/>
  <c r="CF48" i="8"/>
  <c r="BD48" i="8"/>
  <c r="GU48" i="8"/>
  <c r="FS48" i="8"/>
  <c r="EQ48" i="8"/>
  <c r="DO48" i="8"/>
  <c r="CM48" i="8"/>
  <c r="BK48" i="8"/>
  <c r="AI48" i="8"/>
  <c r="FZ48" i="8"/>
  <c r="EX48" i="8"/>
  <c r="DV48" i="8"/>
  <c r="GG48" i="8"/>
  <c r="FE48" i="8"/>
  <c r="EC48" i="8"/>
  <c r="W37" i="4"/>
  <c r="W38" i="4" s="1"/>
  <c r="V37" i="4"/>
  <c r="V38" i="4" s="1"/>
  <c r="U37" i="4"/>
  <c r="U38" i="4" s="1"/>
  <c r="AB48" i="8"/>
  <c r="T37" i="4"/>
  <c r="T38" i="4" s="1"/>
  <c r="E37" i="4"/>
  <c r="CK37" i="4"/>
  <c r="CK38" i="4" s="1"/>
  <c r="GL37" i="4"/>
  <c r="AG37" i="4"/>
  <c r="AG38" i="4" s="1"/>
  <c r="AU37" i="4"/>
  <c r="AU38" i="4" s="1"/>
  <c r="BW37" i="4"/>
  <c r="BW38" i="4" s="1"/>
  <c r="DT37" i="4"/>
  <c r="H37" i="4"/>
  <c r="CD37" i="4"/>
  <c r="CD38" i="4" s="1"/>
  <c r="GE37" i="4"/>
  <c r="G37" i="4"/>
  <c r="BP37" i="4"/>
  <c r="BP38" i="4" s="1"/>
  <c r="EO37" i="4"/>
  <c r="F37" i="4"/>
  <c r="FX37" i="4"/>
  <c r="I37" i="4"/>
  <c r="S37" i="4"/>
  <c r="S38" i="4" s="1"/>
  <c r="N48" i="8"/>
  <c r="HB48" i="8"/>
  <c r="GS24" i="4"/>
  <c r="GL24" i="4"/>
  <c r="GE24" i="4"/>
  <c r="GS2" i="4"/>
  <c r="GL2" i="4"/>
  <c r="GE2" i="4"/>
  <c r="FX2" i="4"/>
  <c r="FQ2" i="4"/>
  <c r="FJ2" i="4"/>
  <c r="FC2" i="4"/>
  <c r="EV2" i="4"/>
  <c r="EO2" i="4"/>
  <c r="EH2" i="4"/>
  <c r="EA2" i="4"/>
  <c r="DT2" i="4"/>
  <c r="DM2" i="4"/>
  <c r="DF2" i="4"/>
  <c r="CY2" i="4"/>
  <c r="CR2" i="4"/>
  <c r="CK2" i="4"/>
  <c r="CD2" i="4"/>
  <c r="BW2" i="4"/>
  <c r="BP2" i="4"/>
  <c r="BI2" i="4"/>
  <c r="BB2" i="4"/>
  <c r="AU2" i="4"/>
  <c r="AN2" i="4"/>
  <c r="AG2" i="4"/>
  <c r="Z2" i="4"/>
  <c r="S2" i="4"/>
  <c r="L2" i="4"/>
  <c r="E2" i="4"/>
  <c r="I26" i="4"/>
  <c r="H26" i="4"/>
  <c r="G26" i="4"/>
  <c r="F26" i="4"/>
  <c r="E26" i="4"/>
  <c r="FX24" i="4"/>
  <c r="FQ24" i="4"/>
  <c r="FJ24" i="4"/>
  <c r="FC24" i="4"/>
  <c r="EV24" i="4"/>
  <c r="EO24" i="4"/>
  <c r="EH24" i="4"/>
  <c r="EA24" i="4"/>
  <c r="DT24" i="4"/>
  <c r="DM24" i="4"/>
  <c r="DF24" i="4"/>
  <c r="CY24" i="4"/>
  <c r="CR24" i="4"/>
  <c r="CK24" i="4"/>
  <c r="CD24" i="4"/>
  <c r="BW24" i="4"/>
  <c r="BP24" i="4"/>
  <c r="BI24" i="4"/>
  <c r="BB24" i="4"/>
  <c r="AU24" i="4"/>
  <c r="AN24" i="4"/>
  <c r="AG24" i="4"/>
  <c r="Z24" i="4"/>
  <c r="S24" i="4"/>
  <c r="L24" i="4"/>
  <c r="E24" i="4"/>
  <c r="M7" i="4"/>
  <c r="F5" i="4"/>
  <c r="F7" i="4"/>
  <c r="AF45" i="9" l="1"/>
  <c r="AF46" i="9" s="1"/>
  <c r="AT45" i="9"/>
  <c r="AT46" i="9" s="1"/>
  <c r="R45" i="9"/>
  <c r="R46" i="9" s="1"/>
  <c r="GD45" i="9"/>
  <c r="GD46" i="9" s="1"/>
  <c r="EN45" i="9"/>
  <c r="EN46" i="9" s="1"/>
  <c r="FI45" i="9"/>
  <c r="FI46" i="9" s="1"/>
  <c r="DS45" i="9"/>
  <c r="DS46" i="9" s="1"/>
  <c r="BA45" i="9"/>
  <c r="BA46" i="9" s="1"/>
  <c r="CC45" i="9"/>
  <c r="CC46" i="9" s="1"/>
  <c r="AM45" i="9"/>
  <c r="AM46" i="9" s="1"/>
  <c r="FW45" i="9"/>
  <c r="FW46" i="9" s="1"/>
  <c r="DK37" i="4"/>
  <c r="DK38" i="4" s="1"/>
  <c r="DD37" i="4"/>
  <c r="DD38" i="4" s="1"/>
  <c r="CQ45" i="9"/>
  <c r="CQ46" i="9" s="1"/>
  <c r="EG45" i="9"/>
  <c r="EG46" i="9" s="1"/>
  <c r="BO45" i="9"/>
  <c r="BO46" i="9" s="1"/>
  <c r="DZ45" i="9"/>
  <c r="DZ46" i="9" s="1"/>
  <c r="DL45" i="9"/>
  <c r="DL46" i="9" s="1"/>
  <c r="CX45" i="9"/>
  <c r="CX46" i="9" s="1"/>
  <c r="CJ45" i="9"/>
  <c r="CJ46" i="9" s="1"/>
  <c r="K45" i="9"/>
  <c r="K46" i="9" s="1"/>
  <c r="FB45" i="9"/>
  <c r="FB46" i="9" s="1"/>
  <c r="GY45" i="9"/>
  <c r="GY46" i="9" s="1"/>
  <c r="GR45" i="9"/>
  <c r="GR46" i="9" s="1"/>
  <c r="FP45" i="9"/>
  <c r="FP46" i="9" s="1"/>
  <c r="Y45" i="9"/>
  <c r="Y46" i="9" s="1"/>
  <c r="EU45" i="9"/>
  <c r="EU46" i="9" s="1"/>
  <c r="BH45" i="9"/>
  <c r="BH46" i="9" s="1"/>
  <c r="GK45" i="9"/>
  <c r="GK46" i="9" s="1"/>
  <c r="BV45" i="9"/>
  <c r="BV46" i="9" s="1"/>
  <c r="DE45" i="9"/>
  <c r="DE46" i="9" s="1"/>
  <c r="AF16" i="9"/>
  <c r="AL37" i="4"/>
  <c r="AL38" i="4" s="1"/>
  <c r="BG37" i="4"/>
  <c r="BG38" i="4" s="1"/>
  <c r="AS37" i="4"/>
  <c r="AS38" i="4" s="1"/>
  <c r="DY37" i="4"/>
  <c r="DY38" i="4" s="1"/>
  <c r="FA37" i="4"/>
  <c r="FA38" i="4" s="1"/>
  <c r="EM37" i="4"/>
  <c r="EM38" i="4" s="1"/>
  <c r="FH37" i="4"/>
  <c r="FH38" i="4" s="1"/>
  <c r="GC37" i="4"/>
  <c r="GC38" i="4" s="1"/>
  <c r="ET37" i="4"/>
  <c r="ET38" i="4" s="1"/>
  <c r="GJ37" i="4"/>
  <c r="GJ38" i="4" s="1"/>
  <c r="FV37" i="4"/>
  <c r="FV38" i="4" s="1"/>
  <c r="FO37" i="4"/>
  <c r="FO38" i="4" s="1"/>
  <c r="X37" i="4"/>
  <c r="X38" i="4" s="1"/>
  <c r="AE37" i="4"/>
  <c r="AE38" i="4" s="1"/>
  <c r="GX37" i="4"/>
  <c r="GX38" i="4" s="1"/>
  <c r="GQ37" i="4"/>
  <c r="GQ38" i="4" s="1"/>
  <c r="Q37" i="4"/>
  <c r="Q38" i="4" s="1"/>
  <c r="BU37" i="4"/>
  <c r="BU38" i="4" s="1"/>
  <c r="CW37" i="4"/>
  <c r="CW38" i="4" s="1"/>
  <c r="CI37" i="4"/>
  <c r="CI38" i="4" s="1"/>
  <c r="CB37" i="4"/>
  <c r="CB38" i="4" s="1"/>
  <c r="AZ37" i="4"/>
  <c r="AZ38" i="4" s="1"/>
  <c r="BN37" i="4"/>
  <c r="BN38" i="4" s="1"/>
  <c r="CP37" i="4"/>
  <c r="CP38" i="4" s="1"/>
  <c r="DR37" i="4"/>
  <c r="DR38" i="4" s="1"/>
  <c r="EF37" i="4"/>
  <c r="EF38" i="4" s="1"/>
  <c r="J37" i="4"/>
  <c r="J38" i="4" s="1"/>
  <c r="CS43" i="8" l="1"/>
  <c r="O43" i="8"/>
  <c r="P43" i="8"/>
  <c r="Q43" i="8"/>
  <c r="R43" i="8"/>
  <c r="S43" i="8"/>
  <c r="T43" i="8"/>
  <c r="V43" i="8"/>
  <c r="W43" i="8"/>
  <c r="X43" i="8"/>
  <c r="Y43" i="8"/>
  <c r="Z43" i="8"/>
  <c r="AA43" i="8"/>
  <c r="AC43" i="8"/>
  <c r="AD43" i="8"/>
  <c r="AE43" i="8"/>
  <c r="AF43" i="8"/>
  <c r="AG43" i="8"/>
  <c r="AH43" i="8"/>
  <c r="AJ43" i="8"/>
  <c r="AK43" i="8"/>
  <c r="AL43" i="8"/>
  <c r="AM43" i="8"/>
  <c r="AN43" i="8"/>
  <c r="AO43" i="8"/>
  <c r="AQ43" i="8"/>
  <c r="AR43" i="8"/>
  <c r="AS43" i="8"/>
  <c r="AT43" i="8"/>
  <c r="AU43" i="8"/>
  <c r="AV43" i="8"/>
  <c r="AX43" i="8"/>
  <c r="AY43" i="8"/>
  <c r="AZ43" i="8"/>
  <c r="BA43" i="8"/>
  <c r="BB43" i="8"/>
  <c r="BC43" i="8"/>
  <c r="BE43" i="8"/>
  <c r="BF43" i="8"/>
  <c r="BG43" i="8"/>
  <c r="BH43" i="8"/>
  <c r="BI43" i="8"/>
  <c r="BJ43" i="8"/>
  <c r="BL43" i="8"/>
  <c r="BM43" i="8"/>
  <c r="BN43" i="8"/>
  <c r="BO43" i="8"/>
  <c r="BP43" i="8"/>
  <c r="BQ43" i="8"/>
  <c r="BS43" i="8"/>
  <c r="BT43" i="8"/>
  <c r="BU43" i="8"/>
  <c r="BV43" i="8"/>
  <c r="BW43" i="8"/>
  <c r="BX43" i="8"/>
  <c r="BZ43" i="8"/>
  <c r="CA43" i="8"/>
  <c r="CB43" i="8"/>
  <c r="CC43" i="8"/>
  <c r="CD43" i="8"/>
  <c r="CE43" i="8"/>
  <c r="CG43" i="8"/>
  <c r="CH43" i="8"/>
  <c r="CI43" i="8"/>
  <c r="CJ43" i="8"/>
  <c r="CK43" i="8"/>
  <c r="CL43" i="8"/>
  <c r="CN43" i="8"/>
  <c r="CO43" i="8"/>
  <c r="CP43" i="8"/>
  <c r="CQ43" i="8"/>
  <c r="CR43" i="8"/>
  <c r="CU43" i="8"/>
  <c r="CV43" i="8"/>
  <c r="CW43" i="8"/>
  <c r="CX43" i="8"/>
  <c r="CY43" i="8"/>
  <c r="CZ43" i="8"/>
  <c r="DB43" i="8"/>
  <c r="DC43" i="8"/>
  <c r="DD43" i="8"/>
  <c r="DE43" i="8"/>
  <c r="DF43" i="8"/>
  <c r="DG43" i="8"/>
  <c r="DI43" i="8"/>
  <c r="DJ43" i="8"/>
  <c r="DK43" i="8"/>
  <c r="DL43" i="8"/>
  <c r="DM43" i="8"/>
  <c r="DN43" i="8"/>
  <c r="DP43" i="8"/>
  <c r="DQ43" i="8"/>
  <c r="DR43" i="8"/>
  <c r="DS43" i="8"/>
  <c r="DT43" i="8"/>
  <c r="DU43" i="8"/>
  <c r="DW43" i="8"/>
  <c r="DX43" i="8"/>
  <c r="DY43" i="8"/>
  <c r="DZ43" i="8"/>
  <c r="EA43" i="8"/>
  <c r="EB43" i="8"/>
  <c r="ED43" i="8"/>
  <c r="EE43" i="8"/>
  <c r="EF43" i="8"/>
  <c r="EG43" i="8"/>
  <c r="EH43" i="8"/>
  <c r="EI43" i="8"/>
  <c r="EK43" i="8"/>
  <c r="EL43" i="8"/>
  <c r="EM43" i="8"/>
  <c r="EN43" i="8"/>
  <c r="EO43" i="8"/>
  <c r="EP43" i="8"/>
  <c r="ER43" i="8"/>
  <c r="ES43" i="8"/>
  <c r="ET43" i="8"/>
  <c r="EU43" i="8"/>
  <c r="EV43" i="8"/>
  <c r="EW43" i="8"/>
  <c r="EY43" i="8"/>
  <c r="EZ43" i="8"/>
  <c r="FA43" i="8"/>
  <c r="FB43" i="8"/>
  <c r="FC43" i="8"/>
  <c r="FD43" i="8"/>
  <c r="FF43" i="8"/>
  <c r="FG43" i="8"/>
  <c r="FH43" i="8"/>
  <c r="FI43" i="8"/>
  <c r="FJ43" i="8"/>
  <c r="FK43" i="8"/>
  <c r="FM43" i="8"/>
  <c r="FN43" i="8"/>
  <c r="FO43" i="8"/>
  <c r="FP43" i="8"/>
  <c r="FQ43" i="8"/>
  <c r="FR43" i="8"/>
  <c r="FT43" i="8"/>
  <c r="FU43" i="8"/>
  <c r="FV43" i="8"/>
  <c r="FW43" i="8"/>
  <c r="FX43" i="8"/>
  <c r="FY43" i="8"/>
  <c r="GA43" i="8"/>
  <c r="GB43" i="8"/>
  <c r="GC43" i="8"/>
  <c r="GD43" i="8"/>
  <c r="GE43" i="8"/>
  <c r="GF43" i="8"/>
  <c r="GH43" i="8"/>
  <c r="GI43" i="8"/>
  <c r="GJ43" i="8"/>
  <c r="GK43" i="8"/>
  <c r="GL43" i="8"/>
  <c r="GM43" i="8"/>
  <c r="GO43" i="8"/>
  <c r="GP43" i="8"/>
  <c r="GQ43" i="8"/>
  <c r="GR43" i="8"/>
  <c r="GS43" i="8"/>
  <c r="GT43" i="8"/>
  <c r="GV43" i="8"/>
  <c r="GW43" i="8"/>
  <c r="GX43" i="8"/>
  <c r="GY43" i="8"/>
  <c r="GZ43" i="8"/>
  <c r="HA43" i="8"/>
  <c r="J43" i="8"/>
  <c r="K43" i="8"/>
  <c r="L43" i="8"/>
  <c r="M43" i="8"/>
  <c r="I43" i="8"/>
  <c r="J45" i="8"/>
  <c r="K45" i="8"/>
  <c r="H39" i="9" s="1"/>
  <c r="L45" i="8"/>
  <c r="M45" i="8"/>
  <c r="O45" i="8"/>
  <c r="P45" i="8"/>
  <c r="Q45" i="8"/>
  <c r="R45" i="8"/>
  <c r="S45" i="8"/>
  <c r="T45" i="8"/>
  <c r="V45" i="8"/>
  <c r="W45" i="8"/>
  <c r="X45" i="8"/>
  <c r="Y45" i="8"/>
  <c r="Z45" i="8"/>
  <c r="AA45" i="8"/>
  <c r="AC45" i="8"/>
  <c r="AD45" i="8"/>
  <c r="AE45" i="8"/>
  <c r="AF45" i="8"/>
  <c r="AG45" i="8"/>
  <c r="AH45" i="8"/>
  <c r="AJ45" i="8"/>
  <c r="AK45" i="8"/>
  <c r="AL45" i="8"/>
  <c r="AM45" i="8"/>
  <c r="AN45" i="8"/>
  <c r="AO45" i="8"/>
  <c r="AQ45" i="8"/>
  <c r="AR45" i="8"/>
  <c r="AS45" i="8"/>
  <c r="AT45" i="8"/>
  <c r="AU45" i="8"/>
  <c r="AV45" i="8"/>
  <c r="AX45" i="8"/>
  <c r="AY45" i="8"/>
  <c r="AZ45" i="8"/>
  <c r="BA45" i="8"/>
  <c r="BB45" i="8"/>
  <c r="BC45" i="8"/>
  <c r="BE45" i="8"/>
  <c r="BF45" i="8"/>
  <c r="BG45" i="8"/>
  <c r="BH45" i="8"/>
  <c r="BI45" i="8"/>
  <c r="BJ45" i="8"/>
  <c r="BL45" i="8"/>
  <c r="BM45" i="8"/>
  <c r="BN45" i="8"/>
  <c r="BO45" i="8"/>
  <c r="BP45" i="8"/>
  <c r="BQ45" i="8"/>
  <c r="BS45" i="8"/>
  <c r="BT45" i="8"/>
  <c r="BU45" i="8"/>
  <c r="BV45" i="8"/>
  <c r="BW45" i="8"/>
  <c r="BX45" i="8"/>
  <c r="BZ45" i="8"/>
  <c r="CA45" i="8"/>
  <c r="CB45" i="8"/>
  <c r="CC45" i="8"/>
  <c r="CD45" i="8"/>
  <c r="CE45" i="8"/>
  <c r="CG45" i="8"/>
  <c r="CH45" i="8"/>
  <c r="CI45" i="8"/>
  <c r="CJ45" i="8"/>
  <c r="CK45" i="8"/>
  <c r="CL45" i="8"/>
  <c r="CN45" i="8"/>
  <c r="CO45" i="8"/>
  <c r="CP45" i="8"/>
  <c r="CQ45" i="8"/>
  <c r="CR45" i="8"/>
  <c r="CS45" i="8"/>
  <c r="CU45" i="8"/>
  <c r="CV45" i="8"/>
  <c r="CW45" i="8"/>
  <c r="CX45" i="8"/>
  <c r="CY45" i="8"/>
  <c r="CZ45" i="8"/>
  <c r="DB45" i="8"/>
  <c r="DC45" i="8"/>
  <c r="DD45" i="8"/>
  <c r="DE45" i="8"/>
  <c r="DF45" i="8"/>
  <c r="DG45" i="8"/>
  <c r="DI45" i="8"/>
  <c r="DJ45" i="8"/>
  <c r="DK45" i="8"/>
  <c r="DL45" i="8"/>
  <c r="DM45" i="8"/>
  <c r="DN45" i="8"/>
  <c r="DP45" i="8"/>
  <c r="DQ45" i="8"/>
  <c r="DR45" i="8"/>
  <c r="DS45" i="8"/>
  <c r="DT45" i="8"/>
  <c r="DU45" i="8"/>
  <c r="DW45" i="8"/>
  <c r="DX45" i="8"/>
  <c r="DY45" i="8"/>
  <c r="DZ45" i="8"/>
  <c r="EA45" i="8"/>
  <c r="EB45" i="8"/>
  <c r="ED45" i="8"/>
  <c r="EE45" i="8"/>
  <c r="EF45" i="8"/>
  <c r="EG45" i="8"/>
  <c r="EH45" i="8"/>
  <c r="EI45" i="8"/>
  <c r="EK45" i="8"/>
  <c r="EL45" i="8"/>
  <c r="EM45" i="8"/>
  <c r="EN45" i="8"/>
  <c r="EO45" i="8"/>
  <c r="EP45" i="8"/>
  <c r="ER45" i="8"/>
  <c r="ES45" i="8"/>
  <c r="ET45" i="8"/>
  <c r="EU45" i="8"/>
  <c r="EV45" i="8"/>
  <c r="EW45" i="8"/>
  <c r="EY45" i="8"/>
  <c r="EZ45" i="8"/>
  <c r="FA45" i="8"/>
  <c r="FB45" i="8"/>
  <c r="FC45" i="8"/>
  <c r="FD45" i="8"/>
  <c r="FF45" i="8"/>
  <c r="FG45" i="8"/>
  <c r="FH45" i="8"/>
  <c r="FI45" i="8"/>
  <c r="FJ45" i="8"/>
  <c r="FK45" i="8"/>
  <c r="FM45" i="8"/>
  <c r="FN45" i="8"/>
  <c r="FO45" i="8"/>
  <c r="FP45" i="8"/>
  <c r="FQ45" i="8"/>
  <c r="FR45" i="8"/>
  <c r="FT45" i="8"/>
  <c r="FU45" i="8"/>
  <c r="FV45" i="8"/>
  <c r="FW45" i="8"/>
  <c r="FX45" i="8"/>
  <c r="FY45" i="8"/>
  <c r="GA45" i="8"/>
  <c r="GB45" i="8"/>
  <c r="GC45" i="8"/>
  <c r="GD45" i="8"/>
  <c r="GE45" i="8"/>
  <c r="GF45" i="8"/>
  <c r="GH45" i="8"/>
  <c r="GI45" i="8"/>
  <c r="GJ45" i="8"/>
  <c r="GK45" i="8"/>
  <c r="GL45" i="8"/>
  <c r="GM45" i="8"/>
  <c r="GO45" i="8"/>
  <c r="GP45" i="8"/>
  <c r="GQ45" i="8"/>
  <c r="GR45" i="8"/>
  <c r="GS45" i="8"/>
  <c r="GT45" i="8"/>
  <c r="GV45" i="8"/>
  <c r="GW45" i="8"/>
  <c r="GX45" i="8"/>
  <c r="GY45" i="8"/>
  <c r="GZ45" i="8"/>
  <c r="HA45" i="8"/>
  <c r="J46" i="8"/>
  <c r="K46" i="8"/>
  <c r="L46" i="8"/>
  <c r="M46" i="8"/>
  <c r="O46" i="8"/>
  <c r="P46" i="8"/>
  <c r="Q46" i="8"/>
  <c r="R46" i="8"/>
  <c r="S46" i="8"/>
  <c r="T46" i="8"/>
  <c r="V46" i="8"/>
  <c r="W46" i="8"/>
  <c r="X46" i="8"/>
  <c r="Y46" i="8"/>
  <c r="Z46" i="8"/>
  <c r="AA46" i="8"/>
  <c r="AC46" i="8"/>
  <c r="AD46" i="8"/>
  <c r="AE46" i="8"/>
  <c r="AF46" i="8"/>
  <c r="AG46" i="8"/>
  <c r="AH46" i="8"/>
  <c r="AJ46" i="8"/>
  <c r="AK46" i="8"/>
  <c r="AL46" i="8"/>
  <c r="AM46" i="8"/>
  <c r="AN46" i="8"/>
  <c r="AO46" i="8"/>
  <c r="AQ46" i="8"/>
  <c r="AR46" i="8"/>
  <c r="AS46" i="8"/>
  <c r="AT46" i="8"/>
  <c r="AU46" i="8"/>
  <c r="AV46" i="8"/>
  <c r="AX46" i="8"/>
  <c r="AY46" i="8"/>
  <c r="AZ46" i="8"/>
  <c r="BA46" i="8"/>
  <c r="BB46" i="8"/>
  <c r="BC46" i="8"/>
  <c r="BE46" i="8"/>
  <c r="BF46" i="8"/>
  <c r="BG46" i="8"/>
  <c r="BH46" i="8"/>
  <c r="BI46" i="8"/>
  <c r="BJ46" i="8"/>
  <c r="BL46" i="8"/>
  <c r="BM46" i="8"/>
  <c r="BN46" i="8"/>
  <c r="BO46" i="8"/>
  <c r="BP46" i="8"/>
  <c r="BQ46" i="8"/>
  <c r="BS46" i="8"/>
  <c r="BT46" i="8"/>
  <c r="BU46" i="8"/>
  <c r="BV46" i="8"/>
  <c r="BW46" i="8"/>
  <c r="BX46" i="8"/>
  <c r="BZ46" i="8"/>
  <c r="CA46" i="8"/>
  <c r="CB46" i="8"/>
  <c r="CC46" i="8"/>
  <c r="CD46" i="8"/>
  <c r="CE46" i="8"/>
  <c r="CG46" i="8"/>
  <c r="CH46" i="8"/>
  <c r="CI46" i="8"/>
  <c r="CJ46" i="8"/>
  <c r="CK46" i="8"/>
  <c r="CL46" i="8"/>
  <c r="CN46" i="8"/>
  <c r="CO46" i="8"/>
  <c r="CP46" i="8"/>
  <c r="CQ46" i="8"/>
  <c r="CR46" i="8"/>
  <c r="CS46" i="8"/>
  <c r="CU46" i="8"/>
  <c r="CV46" i="8"/>
  <c r="CW46" i="8"/>
  <c r="CX46" i="8"/>
  <c r="CY46" i="8"/>
  <c r="CZ46" i="8"/>
  <c r="DB46" i="8"/>
  <c r="DC46" i="8"/>
  <c r="DD46" i="8"/>
  <c r="DE46" i="8"/>
  <c r="DF46" i="8"/>
  <c r="DG46" i="8"/>
  <c r="DI46" i="8"/>
  <c r="DJ46" i="8"/>
  <c r="DK46" i="8"/>
  <c r="DL46" i="8"/>
  <c r="DM46" i="8"/>
  <c r="DN46" i="8"/>
  <c r="DP46" i="8"/>
  <c r="DQ46" i="8"/>
  <c r="DR46" i="8"/>
  <c r="DS46" i="8"/>
  <c r="DT46" i="8"/>
  <c r="DU46" i="8"/>
  <c r="DW46" i="8"/>
  <c r="DX46" i="8"/>
  <c r="DY46" i="8"/>
  <c r="DZ46" i="8"/>
  <c r="EA46" i="8"/>
  <c r="EB46" i="8"/>
  <c r="ED46" i="8"/>
  <c r="EE46" i="8"/>
  <c r="EF46" i="8"/>
  <c r="EG46" i="8"/>
  <c r="EH46" i="8"/>
  <c r="EI46" i="8"/>
  <c r="EK46" i="8"/>
  <c r="EL46" i="8"/>
  <c r="EM46" i="8"/>
  <c r="EN46" i="8"/>
  <c r="EO46" i="8"/>
  <c r="EP46" i="8"/>
  <c r="ER46" i="8"/>
  <c r="ES46" i="8"/>
  <c r="ET46" i="8"/>
  <c r="EU46" i="8"/>
  <c r="EV46" i="8"/>
  <c r="EW46" i="8"/>
  <c r="EY46" i="8"/>
  <c r="EZ46" i="8"/>
  <c r="FA46" i="8"/>
  <c r="FB46" i="8"/>
  <c r="FC46" i="8"/>
  <c r="FD46" i="8"/>
  <c r="FF46" i="8"/>
  <c r="FG46" i="8"/>
  <c r="FH46" i="8"/>
  <c r="FI46" i="8"/>
  <c r="FJ46" i="8"/>
  <c r="FK46" i="8"/>
  <c r="FM46" i="8"/>
  <c r="FN46" i="8"/>
  <c r="FO46" i="8"/>
  <c r="FP46" i="8"/>
  <c r="FQ46" i="8"/>
  <c r="FR46" i="8"/>
  <c r="FT46" i="8"/>
  <c r="FU46" i="8"/>
  <c r="FV46" i="8"/>
  <c r="FW46" i="8"/>
  <c r="FX46" i="8"/>
  <c r="FY46" i="8"/>
  <c r="GA46" i="8"/>
  <c r="GB46" i="8"/>
  <c r="GC46" i="8"/>
  <c r="GD46" i="8"/>
  <c r="GE46" i="8"/>
  <c r="GF46" i="8"/>
  <c r="GH46" i="8"/>
  <c r="GI46" i="8"/>
  <c r="GJ46" i="8"/>
  <c r="GK46" i="8"/>
  <c r="GL46" i="8"/>
  <c r="GM46" i="8"/>
  <c r="GO46" i="8"/>
  <c r="GP46" i="8"/>
  <c r="GQ46" i="8"/>
  <c r="GR46" i="8"/>
  <c r="GS46" i="8"/>
  <c r="GT46" i="8"/>
  <c r="GV46" i="8"/>
  <c r="GW46" i="8"/>
  <c r="GX46" i="8"/>
  <c r="GY46" i="8"/>
  <c r="GZ46" i="8"/>
  <c r="HA46" i="8"/>
  <c r="I46" i="8"/>
  <c r="I45" i="8"/>
  <c r="S44" i="8"/>
  <c r="T44" i="8"/>
  <c r="V44" i="8"/>
  <c r="W44" i="8"/>
  <c r="X44" i="8"/>
  <c r="Y44" i="8"/>
  <c r="Z44" i="8"/>
  <c r="AA44" i="8"/>
  <c r="AC44" i="8"/>
  <c r="AD44" i="8"/>
  <c r="AE44" i="8"/>
  <c r="AF44" i="8"/>
  <c r="AG44" i="8"/>
  <c r="AH44" i="8"/>
  <c r="AJ44" i="8"/>
  <c r="AK44" i="8"/>
  <c r="AL44" i="8"/>
  <c r="AM44" i="8"/>
  <c r="AN44" i="8"/>
  <c r="AO44" i="8"/>
  <c r="AQ44" i="8"/>
  <c r="AR44" i="8"/>
  <c r="AS44" i="8"/>
  <c r="AT44" i="8"/>
  <c r="AU44" i="8"/>
  <c r="AV44" i="8"/>
  <c r="AX44" i="8"/>
  <c r="AY44" i="8"/>
  <c r="AZ44" i="8"/>
  <c r="BA44" i="8"/>
  <c r="BB44" i="8"/>
  <c r="BC44" i="8"/>
  <c r="BE44" i="8"/>
  <c r="BF44" i="8"/>
  <c r="BG44" i="8"/>
  <c r="BH44" i="8"/>
  <c r="BI44" i="8"/>
  <c r="BJ44" i="8"/>
  <c r="BL44" i="8"/>
  <c r="BM44" i="8"/>
  <c r="BN44" i="8"/>
  <c r="BO44" i="8"/>
  <c r="BP44" i="8"/>
  <c r="BQ44" i="8"/>
  <c r="BS44" i="8"/>
  <c r="BT44" i="8"/>
  <c r="BU44" i="8"/>
  <c r="BV44" i="8"/>
  <c r="BW44" i="8"/>
  <c r="BX44" i="8"/>
  <c r="BZ44" i="8"/>
  <c r="CA44" i="8"/>
  <c r="CB44" i="8"/>
  <c r="CC44" i="8"/>
  <c r="CD44" i="8"/>
  <c r="CE44" i="8"/>
  <c r="CG44" i="8"/>
  <c r="CH44" i="8"/>
  <c r="CI44" i="8"/>
  <c r="CJ44" i="8"/>
  <c r="CK44" i="8"/>
  <c r="CL44" i="8"/>
  <c r="CN44" i="8"/>
  <c r="CO44" i="8"/>
  <c r="CP44" i="8"/>
  <c r="CQ44" i="8"/>
  <c r="CR44" i="8"/>
  <c r="CS44" i="8"/>
  <c r="CU44" i="8"/>
  <c r="CV44" i="8"/>
  <c r="CW44" i="8"/>
  <c r="CX44" i="8"/>
  <c r="CY44" i="8"/>
  <c r="CZ44" i="8"/>
  <c r="DB44" i="8"/>
  <c r="DC44" i="8"/>
  <c r="DD44" i="8"/>
  <c r="DE44" i="8"/>
  <c r="DF44" i="8"/>
  <c r="DG44" i="8"/>
  <c r="DI44" i="8"/>
  <c r="DJ44" i="8"/>
  <c r="DK44" i="8"/>
  <c r="DL44" i="8"/>
  <c r="DM44" i="8"/>
  <c r="DN44" i="8"/>
  <c r="DP44" i="8"/>
  <c r="DQ44" i="8"/>
  <c r="DR44" i="8"/>
  <c r="DS44" i="8"/>
  <c r="DT44" i="8"/>
  <c r="DU44" i="8"/>
  <c r="DW44" i="8"/>
  <c r="DX44" i="8"/>
  <c r="DY44" i="8"/>
  <c r="DZ44" i="8"/>
  <c r="EA44" i="8"/>
  <c r="EB44" i="8"/>
  <c r="ED44" i="8"/>
  <c r="EE44" i="8"/>
  <c r="EF44" i="8"/>
  <c r="EG44" i="8"/>
  <c r="EH44" i="8"/>
  <c r="EI44" i="8"/>
  <c r="EK44" i="8"/>
  <c r="EL44" i="8"/>
  <c r="EM44" i="8"/>
  <c r="EN44" i="8"/>
  <c r="EO44" i="8"/>
  <c r="EP44" i="8"/>
  <c r="ER44" i="8"/>
  <c r="ES44" i="8"/>
  <c r="ET44" i="8"/>
  <c r="EU44" i="8"/>
  <c r="EV44" i="8"/>
  <c r="EW44" i="8"/>
  <c r="EY44" i="8"/>
  <c r="EZ44" i="8"/>
  <c r="FA44" i="8"/>
  <c r="FB44" i="8"/>
  <c r="FC44" i="8"/>
  <c r="FD44" i="8"/>
  <c r="FF44" i="8"/>
  <c r="FG44" i="8"/>
  <c r="FH44" i="8"/>
  <c r="FI44" i="8"/>
  <c r="FJ44" i="8"/>
  <c r="FK44" i="8"/>
  <c r="FM44" i="8"/>
  <c r="FN44" i="8"/>
  <c r="FO44" i="8"/>
  <c r="FP44" i="8"/>
  <c r="FQ44" i="8"/>
  <c r="FR44" i="8"/>
  <c r="FT44" i="8"/>
  <c r="FU44" i="8"/>
  <c r="FV44" i="8"/>
  <c r="FW44" i="8"/>
  <c r="FX44" i="8"/>
  <c r="FY44" i="8"/>
  <c r="GA44" i="8"/>
  <c r="GB44" i="8"/>
  <c r="GC44" i="8"/>
  <c r="GD44" i="8"/>
  <c r="GE44" i="8"/>
  <c r="GF44" i="8"/>
  <c r="GH44" i="8"/>
  <c r="GI44" i="8"/>
  <c r="GJ44" i="8"/>
  <c r="GK44" i="8"/>
  <c r="GL44" i="8"/>
  <c r="GM44" i="8"/>
  <c r="GO44" i="8"/>
  <c r="GP44" i="8"/>
  <c r="GQ44" i="8"/>
  <c r="GR44" i="8"/>
  <c r="GS44" i="8"/>
  <c r="GT44" i="8"/>
  <c r="GV44" i="8"/>
  <c r="GW44" i="8"/>
  <c r="GX44" i="8"/>
  <c r="GY44" i="8"/>
  <c r="GZ44" i="8"/>
  <c r="HA44" i="8"/>
  <c r="O44" i="8"/>
  <c r="P44" i="8"/>
  <c r="Q44" i="8"/>
  <c r="R44" i="8"/>
  <c r="J44" i="8"/>
  <c r="K44" i="8"/>
  <c r="L44" i="8"/>
  <c r="M44" i="8"/>
  <c r="I44" i="8"/>
  <c r="HA42" i="8"/>
  <c r="GZ42" i="8"/>
  <c r="GY42" i="8"/>
  <c r="GX42" i="8"/>
  <c r="GW42" i="8"/>
  <c r="GV42" i="8"/>
  <c r="GT42" i="8"/>
  <c r="GS42" i="8"/>
  <c r="GR42" i="8"/>
  <c r="GQ42" i="8"/>
  <c r="GP42" i="8"/>
  <c r="GO42" i="8"/>
  <c r="GM42" i="8"/>
  <c r="GL42" i="8"/>
  <c r="GK42" i="8"/>
  <c r="GJ42" i="8"/>
  <c r="GI42" i="8"/>
  <c r="GH42" i="8"/>
  <c r="GF42" i="8"/>
  <c r="GE42" i="8"/>
  <c r="GD42" i="8"/>
  <c r="GC42" i="8"/>
  <c r="GB42" i="8"/>
  <c r="GA42" i="8"/>
  <c r="FY42" i="8"/>
  <c r="FX42" i="8"/>
  <c r="FW42" i="8"/>
  <c r="FV42" i="8"/>
  <c r="FU42" i="8"/>
  <c r="FT42" i="8"/>
  <c r="FR42" i="8"/>
  <c r="FQ42" i="8"/>
  <c r="FP42" i="8"/>
  <c r="FO42" i="8"/>
  <c r="FN42" i="8"/>
  <c r="FM42" i="8"/>
  <c r="FK42" i="8"/>
  <c r="FJ42" i="8"/>
  <c r="FI42" i="8"/>
  <c r="FH42" i="8"/>
  <c r="FG42" i="8"/>
  <c r="FF42" i="8"/>
  <c r="FD42" i="8"/>
  <c r="FC42" i="8"/>
  <c r="FB42" i="8"/>
  <c r="FA42" i="8"/>
  <c r="EZ42" i="8"/>
  <c r="EY42" i="8"/>
  <c r="EW42" i="8"/>
  <c r="EV42" i="8"/>
  <c r="EU42" i="8"/>
  <c r="ET42" i="8"/>
  <c r="ES42" i="8"/>
  <c r="ER42" i="8"/>
  <c r="EP42" i="8"/>
  <c r="EO42" i="8"/>
  <c r="EN42" i="8"/>
  <c r="EM42" i="8"/>
  <c r="EL42" i="8"/>
  <c r="EK42" i="8"/>
  <c r="EI42" i="8"/>
  <c r="EH42" i="8"/>
  <c r="EG42" i="8"/>
  <c r="EF42" i="8"/>
  <c r="EE42" i="8"/>
  <c r="ED42" i="8"/>
  <c r="EB42" i="8"/>
  <c r="EA42" i="8"/>
  <c r="DZ42" i="8"/>
  <c r="DY42" i="8"/>
  <c r="DX42" i="8"/>
  <c r="DW42" i="8"/>
  <c r="DU42" i="8"/>
  <c r="DT42" i="8"/>
  <c r="DS42" i="8"/>
  <c r="DR42" i="8"/>
  <c r="DQ42" i="8"/>
  <c r="DP42" i="8"/>
  <c r="DN42" i="8"/>
  <c r="DM42" i="8"/>
  <c r="DL42" i="8"/>
  <c r="DK42" i="8"/>
  <c r="DJ42" i="8"/>
  <c r="DI42" i="8"/>
  <c r="DG42" i="8"/>
  <c r="DF42" i="8"/>
  <c r="DE42" i="8"/>
  <c r="DD42" i="8"/>
  <c r="DC42" i="8"/>
  <c r="DB42" i="8"/>
  <c r="CZ42" i="8"/>
  <c r="CY42" i="8"/>
  <c r="CX42" i="8"/>
  <c r="CW42" i="8"/>
  <c r="CV42" i="8"/>
  <c r="CU42" i="8"/>
  <c r="CS42" i="8"/>
  <c r="CR42" i="8"/>
  <c r="CQ42" i="8"/>
  <c r="CP42" i="8"/>
  <c r="CO42" i="8"/>
  <c r="CN42" i="8"/>
  <c r="CL42" i="8"/>
  <c r="CK42" i="8"/>
  <c r="CJ42" i="8"/>
  <c r="CI42" i="8"/>
  <c r="CH42" i="8"/>
  <c r="CG42" i="8"/>
  <c r="CE42" i="8"/>
  <c r="CD42" i="8"/>
  <c r="CC42" i="8"/>
  <c r="CB42" i="8"/>
  <c r="CA42" i="8"/>
  <c r="BZ42" i="8"/>
  <c r="BX42" i="8"/>
  <c r="BW42" i="8"/>
  <c r="BV42" i="8"/>
  <c r="BU42" i="8"/>
  <c r="BT42" i="8"/>
  <c r="BS42" i="8"/>
  <c r="BQ42" i="8"/>
  <c r="BP42" i="8"/>
  <c r="BO42" i="8"/>
  <c r="BN42" i="8"/>
  <c r="BM42" i="8"/>
  <c r="BL42" i="8"/>
  <c r="BJ42" i="8"/>
  <c r="BI42" i="8"/>
  <c r="BH42" i="8"/>
  <c r="BG42" i="8"/>
  <c r="BF42" i="8"/>
  <c r="BE42" i="8"/>
  <c r="BC42" i="8"/>
  <c r="BB42" i="8"/>
  <c r="BA42" i="8"/>
  <c r="AZ42" i="8"/>
  <c r="AY42" i="8"/>
  <c r="AX42" i="8"/>
  <c r="AV42" i="8"/>
  <c r="AU42" i="8"/>
  <c r="AT42" i="8"/>
  <c r="AS42" i="8"/>
  <c r="AR42" i="8"/>
  <c r="AQ42" i="8"/>
  <c r="AO42" i="8"/>
  <c r="AN42" i="8"/>
  <c r="AM42" i="8"/>
  <c r="AL42" i="8"/>
  <c r="AK42" i="8"/>
  <c r="AJ42" i="8"/>
  <c r="AH42" i="8"/>
  <c r="AG42" i="8"/>
  <c r="AF42" i="8"/>
  <c r="AE42" i="8"/>
  <c r="AD42" i="8"/>
  <c r="AC42" i="8"/>
  <c r="AA42" i="8"/>
  <c r="Z42" i="8"/>
  <c r="Y42" i="8"/>
  <c r="X42" i="8"/>
  <c r="W42" i="8"/>
  <c r="V42" i="8"/>
  <c r="T42" i="8"/>
  <c r="S42" i="8"/>
  <c r="R42" i="8"/>
  <c r="Q42" i="8"/>
  <c r="P42" i="8"/>
  <c r="O42" i="8"/>
  <c r="M42" i="8"/>
  <c r="L42" i="8"/>
  <c r="K42" i="8"/>
  <c r="J42" i="8"/>
  <c r="I42" i="8"/>
  <c r="GW2" i="8"/>
  <c r="HB41" i="8" s="1"/>
  <c r="GP2" i="8"/>
  <c r="GU41" i="8" s="1"/>
  <c r="GI2" i="8"/>
  <c r="GN41" i="8" s="1"/>
  <c r="GB2" i="8"/>
  <c r="GG41" i="8" s="1"/>
  <c r="FU2" i="8"/>
  <c r="FZ41" i="8" s="1"/>
  <c r="FN2" i="8"/>
  <c r="FS41" i="8" s="1"/>
  <c r="FG2" i="8"/>
  <c r="FL41" i="8" s="1"/>
  <c r="EZ2" i="8"/>
  <c r="FE41" i="8" s="1"/>
  <c r="ES2" i="8"/>
  <c r="EX41" i="8" s="1"/>
  <c r="EL2" i="8"/>
  <c r="EQ41" i="8" s="1"/>
  <c r="EE2" i="8"/>
  <c r="EJ41" i="8" s="1"/>
  <c r="DX2" i="8"/>
  <c r="EC41" i="8" s="1"/>
  <c r="DQ2" i="8"/>
  <c r="DV41" i="8" s="1"/>
  <c r="DJ2" i="8"/>
  <c r="DO41" i="8" s="1"/>
  <c r="DC2" i="8"/>
  <c r="DH41" i="8" s="1"/>
  <c r="CV2" i="8"/>
  <c r="DA41" i="8" s="1"/>
  <c r="CO2" i="8"/>
  <c r="CT41" i="8" s="1"/>
  <c r="CH2" i="8"/>
  <c r="CM41" i="8" s="1"/>
  <c r="CA2" i="8"/>
  <c r="CF41" i="8" s="1"/>
  <c r="BT2" i="8"/>
  <c r="BY41" i="8" s="1"/>
  <c r="BM2" i="8"/>
  <c r="BR41" i="8" s="1"/>
  <c r="BF2" i="8"/>
  <c r="BK41" i="8" s="1"/>
  <c r="AY2" i="8"/>
  <c r="BD41" i="8" s="1"/>
  <c r="AR2" i="8"/>
  <c r="AW41" i="8" s="1"/>
  <c r="AK2" i="8"/>
  <c r="AP41" i="8" s="1"/>
  <c r="AD2" i="8"/>
  <c r="AI41" i="8" s="1"/>
  <c r="W2" i="8"/>
  <c r="AB41" i="8" s="1"/>
  <c r="P2" i="8"/>
  <c r="U41" i="8" s="1"/>
  <c r="I2" i="8"/>
  <c r="N41" i="8" s="1"/>
  <c r="O42" i="6"/>
  <c r="P42" i="6"/>
  <c r="Q42" i="6"/>
  <c r="R42" i="6"/>
  <c r="S42" i="6"/>
  <c r="T42" i="6"/>
  <c r="V42" i="6"/>
  <c r="W42" i="6"/>
  <c r="X42" i="6"/>
  <c r="Y42" i="6"/>
  <c r="Z42" i="6"/>
  <c r="AA42" i="6"/>
  <c r="AC42" i="6"/>
  <c r="AD42" i="6"/>
  <c r="AE42" i="6"/>
  <c r="AF42" i="6"/>
  <c r="AG42" i="6"/>
  <c r="AH42" i="6"/>
  <c r="AJ42" i="6"/>
  <c r="AK42" i="6"/>
  <c r="AL42" i="6"/>
  <c r="AM42" i="6"/>
  <c r="AN42" i="6"/>
  <c r="AO42" i="6"/>
  <c r="AQ42" i="6"/>
  <c r="AR42" i="6"/>
  <c r="AS42" i="6"/>
  <c r="AT42" i="6"/>
  <c r="AU42" i="6"/>
  <c r="AV42" i="6"/>
  <c r="AX42" i="6"/>
  <c r="AY42" i="6"/>
  <c r="AZ42" i="6"/>
  <c r="BA42" i="6"/>
  <c r="BB42" i="6"/>
  <c r="BC42" i="6"/>
  <c r="BE42" i="6"/>
  <c r="BF42" i="6"/>
  <c r="BG42" i="6"/>
  <c r="BH42" i="6"/>
  <c r="BI42" i="6"/>
  <c r="BJ42" i="6"/>
  <c r="BL42" i="6"/>
  <c r="BM42" i="6"/>
  <c r="BN42" i="6"/>
  <c r="BO42" i="6"/>
  <c r="BP42" i="6"/>
  <c r="BQ42" i="6"/>
  <c r="BS42" i="6"/>
  <c r="BT42" i="6"/>
  <c r="BU42" i="6"/>
  <c r="BV42" i="6"/>
  <c r="BW42" i="6"/>
  <c r="BX42" i="6"/>
  <c r="BZ42" i="6"/>
  <c r="CA42" i="6"/>
  <c r="CB42" i="6"/>
  <c r="CC42" i="6"/>
  <c r="CD42" i="6"/>
  <c r="CE42" i="6"/>
  <c r="CG42" i="6"/>
  <c r="CH42" i="6"/>
  <c r="CI42" i="6"/>
  <c r="CJ42" i="6"/>
  <c r="CK42" i="6"/>
  <c r="CL42" i="6"/>
  <c r="CN42" i="6"/>
  <c r="CO42" i="6"/>
  <c r="CP42" i="6"/>
  <c r="CQ42" i="6"/>
  <c r="CR42" i="6"/>
  <c r="CS42" i="6"/>
  <c r="CU42" i="6"/>
  <c r="CV42" i="6"/>
  <c r="CW42" i="6"/>
  <c r="CX42" i="6"/>
  <c r="CY42" i="6"/>
  <c r="CZ42" i="6"/>
  <c r="DB42" i="6"/>
  <c r="DC42" i="6"/>
  <c r="DD42" i="6"/>
  <c r="DE42" i="6"/>
  <c r="DF42" i="6"/>
  <c r="DG42" i="6"/>
  <c r="DI42" i="6"/>
  <c r="DJ42" i="6"/>
  <c r="DK42" i="6"/>
  <c r="DL42" i="6"/>
  <c r="DM42" i="6"/>
  <c r="DN42" i="6"/>
  <c r="DP42" i="6"/>
  <c r="DQ42" i="6"/>
  <c r="DR42" i="6"/>
  <c r="DS42" i="6"/>
  <c r="DT42" i="6"/>
  <c r="DU42" i="6"/>
  <c r="DW42" i="6"/>
  <c r="DX42" i="6"/>
  <c r="DY42" i="6"/>
  <c r="DZ42" i="6"/>
  <c r="EA42" i="6"/>
  <c r="EB42" i="6"/>
  <c r="ED42" i="6"/>
  <c r="EE42" i="6"/>
  <c r="EF42" i="6"/>
  <c r="EG42" i="6"/>
  <c r="EH42" i="6"/>
  <c r="EI42" i="6"/>
  <c r="EK42" i="6"/>
  <c r="EL42" i="6"/>
  <c r="EM42" i="6"/>
  <c r="EN42" i="6"/>
  <c r="EO42" i="6"/>
  <c r="EP42" i="6"/>
  <c r="ER42" i="6"/>
  <c r="ES42" i="6"/>
  <c r="ET42" i="6"/>
  <c r="EU42" i="6"/>
  <c r="EV42" i="6"/>
  <c r="EW42" i="6"/>
  <c r="EY42" i="6"/>
  <c r="EZ42" i="6"/>
  <c r="FA42" i="6"/>
  <c r="FB42" i="6"/>
  <c r="FC42" i="6"/>
  <c r="FD42" i="6"/>
  <c r="FF42" i="6"/>
  <c r="FG42" i="6"/>
  <c r="FH42" i="6"/>
  <c r="FI42" i="6"/>
  <c r="FJ42" i="6"/>
  <c r="FK42" i="6"/>
  <c r="FM42" i="6"/>
  <c r="FN42" i="6"/>
  <c r="FO42" i="6"/>
  <c r="FP42" i="6"/>
  <c r="FQ42" i="6"/>
  <c r="FR42" i="6"/>
  <c r="FT42" i="6"/>
  <c r="FU42" i="6"/>
  <c r="FV42" i="6"/>
  <c r="FW42" i="6"/>
  <c r="FX42" i="6"/>
  <c r="FY42" i="6"/>
  <c r="GA42" i="6"/>
  <c r="GB42" i="6"/>
  <c r="GC42" i="6"/>
  <c r="GD42" i="6"/>
  <c r="GE42" i="6"/>
  <c r="GF42" i="6"/>
  <c r="GH42" i="6"/>
  <c r="GI42" i="6"/>
  <c r="GJ42" i="6"/>
  <c r="GK42" i="6"/>
  <c r="GL42" i="6"/>
  <c r="GM42" i="6"/>
  <c r="GO42" i="6"/>
  <c r="GP42" i="6"/>
  <c r="GQ42" i="6"/>
  <c r="GR42" i="6"/>
  <c r="GS42" i="6"/>
  <c r="GT42" i="6"/>
  <c r="GV42" i="6"/>
  <c r="GW42" i="6"/>
  <c r="GX42" i="6"/>
  <c r="GY42" i="6"/>
  <c r="R43" i="7"/>
  <c r="S43" i="7"/>
  <c r="T43" i="7"/>
  <c r="V43" i="7"/>
  <c r="W43" i="7"/>
  <c r="X43" i="7"/>
  <c r="Y43" i="7"/>
  <c r="Z43" i="7"/>
  <c r="AA43" i="7"/>
  <c r="AC43" i="7"/>
  <c r="AD43" i="7"/>
  <c r="AE43" i="7"/>
  <c r="AF43" i="7"/>
  <c r="AG43" i="7"/>
  <c r="AH43" i="7"/>
  <c r="AJ43" i="7"/>
  <c r="AK43" i="7"/>
  <c r="AL43" i="7"/>
  <c r="AM43" i="7"/>
  <c r="AN43" i="7"/>
  <c r="AO43" i="7"/>
  <c r="AQ43" i="7"/>
  <c r="AR43" i="7"/>
  <c r="AS43" i="7"/>
  <c r="AT43" i="7"/>
  <c r="AU43" i="7"/>
  <c r="AV43" i="7"/>
  <c r="AX43" i="7"/>
  <c r="AY43" i="7"/>
  <c r="AZ43" i="7"/>
  <c r="BA43" i="7"/>
  <c r="BB43" i="7"/>
  <c r="BC43" i="7"/>
  <c r="BE43" i="7"/>
  <c r="BF43" i="7"/>
  <c r="BG43" i="7"/>
  <c r="BH43" i="7"/>
  <c r="BI43" i="7"/>
  <c r="BJ43" i="7"/>
  <c r="AO43" i="6"/>
  <c r="AO45" i="6" s="1"/>
  <c r="AQ43" i="6"/>
  <c r="AQ45" i="6" s="1"/>
  <c r="AR43" i="6"/>
  <c r="AR45" i="6" s="1"/>
  <c r="AS43" i="6"/>
  <c r="AS45" i="6" s="1"/>
  <c r="AT43" i="6"/>
  <c r="AT45" i="6" s="1"/>
  <c r="AU43" i="6"/>
  <c r="AU45" i="6" s="1"/>
  <c r="AV43" i="6"/>
  <c r="AV45" i="6" s="1"/>
  <c r="AX43" i="6"/>
  <c r="AX45" i="6" s="1"/>
  <c r="AY43" i="6"/>
  <c r="AZ43" i="6"/>
  <c r="AZ45" i="6" s="1"/>
  <c r="BA43" i="6"/>
  <c r="BA45" i="6" s="1"/>
  <c r="BB43" i="6"/>
  <c r="BB45" i="6" s="1"/>
  <c r="BC43" i="6"/>
  <c r="BC45" i="6" s="1"/>
  <c r="BE43" i="6"/>
  <c r="BE45" i="6" s="1"/>
  <c r="BF43" i="6"/>
  <c r="BG43" i="6"/>
  <c r="BG45" i="6" s="1"/>
  <c r="BH43" i="6"/>
  <c r="BH45" i="6" s="1"/>
  <c r="BI43" i="6"/>
  <c r="BI45" i="6" s="1"/>
  <c r="BJ43" i="6"/>
  <c r="BJ45" i="6" s="1"/>
  <c r="BL43" i="6"/>
  <c r="BL45" i="6" s="1"/>
  <c r="BM43" i="6"/>
  <c r="BN43" i="6"/>
  <c r="BN45" i="6" s="1"/>
  <c r="BO43" i="6"/>
  <c r="BO45" i="6" s="1"/>
  <c r="BP43" i="6"/>
  <c r="BP45" i="6" s="1"/>
  <c r="BQ43" i="6"/>
  <c r="BQ45" i="6" s="1"/>
  <c r="BS43" i="6"/>
  <c r="BS45" i="6" s="1"/>
  <c r="BT43" i="6"/>
  <c r="BU43" i="6"/>
  <c r="BU45" i="6" s="1"/>
  <c r="BV43" i="6"/>
  <c r="BV45" i="6" s="1"/>
  <c r="BW43" i="6"/>
  <c r="BW45" i="6" s="1"/>
  <c r="BX43" i="6"/>
  <c r="BX45" i="6" s="1"/>
  <c r="BZ43" i="6"/>
  <c r="BZ45" i="6" s="1"/>
  <c r="CA43" i="6"/>
  <c r="CA45" i="6" s="1"/>
  <c r="CB43" i="6"/>
  <c r="CB45" i="6" s="1"/>
  <c r="CC43" i="6"/>
  <c r="CC45" i="6" s="1"/>
  <c r="CD43" i="6"/>
  <c r="CD45" i="6" s="1"/>
  <c r="CE43" i="6"/>
  <c r="CE45" i="6" s="1"/>
  <c r="CG43" i="6"/>
  <c r="CG45" i="6" s="1"/>
  <c r="CH43" i="6"/>
  <c r="BX21" i="9" s="1"/>
  <c r="CI43" i="6"/>
  <c r="CI45" i="6" s="1"/>
  <c r="CJ43" i="6"/>
  <c r="CJ45" i="6" s="1"/>
  <c r="CK43" i="6"/>
  <c r="CK45" i="6" s="1"/>
  <c r="CL43" i="6"/>
  <c r="CL45" i="6" s="1"/>
  <c r="CN43" i="6"/>
  <c r="CN45" i="6" s="1"/>
  <c r="CO43" i="6"/>
  <c r="CP43" i="6"/>
  <c r="CP45" i="6" s="1"/>
  <c r="CQ43" i="6"/>
  <c r="CQ45" i="6" s="1"/>
  <c r="CR43" i="6"/>
  <c r="CS43" i="6"/>
  <c r="CS45" i="6" s="1"/>
  <c r="CU43" i="6"/>
  <c r="CU45" i="6" s="1"/>
  <c r="CV43" i="6"/>
  <c r="CW43" i="6"/>
  <c r="CW45" i="6" s="1"/>
  <c r="CX43" i="6"/>
  <c r="CX45" i="6" s="1"/>
  <c r="CY43" i="6"/>
  <c r="CY45" i="6" s="1"/>
  <c r="CZ43" i="6"/>
  <c r="CZ45" i="6" s="1"/>
  <c r="DB43" i="6"/>
  <c r="DB45" i="6" s="1"/>
  <c r="DC43" i="6"/>
  <c r="DC45" i="6" s="1"/>
  <c r="DD43" i="6"/>
  <c r="DD45" i="6" s="1"/>
  <c r="DE43" i="6"/>
  <c r="DE45" i="6" s="1"/>
  <c r="DF43" i="6"/>
  <c r="DF45" i="6" s="1"/>
  <c r="DG43" i="6"/>
  <c r="DG45" i="6" s="1"/>
  <c r="DI43" i="6"/>
  <c r="DI45" i="6" s="1"/>
  <c r="DJ43" i="6"/>
  <c r="DJ45" i="6" s="1"/>
  <c r="DK43" i="6"/>
  <c r="DK45" i="6" s="1"/>
  <c r="DL43" i="6"/>
  <c r="DL45" i="6" s="1"/>
  <c r="DM43" i="6"/>
  <c r="DM45" i="6" s="1"/>
  <c r="DN43" i="6"/>
  <c r="DN45" i="6" s="1"/>
  <c r="DP43" i="6"/>
  <c r="DP45" i="6" s="1"/>
  <c r="DQ43" i="6"/>
  <c r="DR43" i="6"/>
  <c r="DR45" i="6" s="1"/>
  <c r="DS43" i="6"/>
  <c r="DS45" i="6" s="1"/>
  <c r="DT43" i="6"/>
  <c r="DT45" i="6" s="1"/>
  <c r="DU43" i="6"/>
  <c r="DU45" i="6" s="1"/>
  <c r="DW43" i="6"/>
  <c r="DW45" i="6" s="1"/>
  <c r="DX43" i="6"/>
  <c r="DY43" i="6"/>
  <c r="DY45" i="6" s="1"/>
  <c r="DZ43" i="6"/>
  <c r="DZ45" i="6" s="1"/>
  <c r="EA43" i="6"/>
  <c r="EA45" i="6" s="1"/>
  <c r="EB43" i="6"/>
  <c r="EB45" i="6" s="1"/>
  <c r="ED43" i="6"/>
  <c r="ED45" i="6" s="1"/>
  <c r="EE43" i="6"/>
  <c r="EE45" i="6" s="1"/>
  <c r="EF43" i="6"/>
  <c r="EF45" i="6" s="1"/>
  <c r="EG43" i="6"/>
  <c r="EG45" i="6" s="1"/>
  <c r="EH43" i="6"/>
  <c r="EH45" i="6" s="1"/>
  <c r="EI43" i="6"/>
  <c r="EI45" i="6" s="1"/>
  <c r="EK43" i="6"/>
  <c r="EK45" i="6" s="1"/>
  <c r="EL43" i="6"/>
  <c r="EM43" i="6"/>
  <c r="EM45" i="6" s="1"/>
  <c r="EN43" i="6"/>
  <c r="EN45" i="6" s="1"/>
  <c r="EO43" i="6"/>
  <c r="EO45" i="6" s="1"/>
  <c r="EP43" i="6"/>
  <c r="EP45" i="6" s="1"/>
  <c r="ER43" i="6"/>
  <c r="ER45" i="6" s="1"/>
  <c r="ES43" i="6"/>
  <c r="ET43" i="6"/>
  <c r="ET45" i="6" s="1"/>
  <c r="EU43" i="6"/>
  <c r="EU45" i="6" s="1"/>
  <c r="EV43" i="6"/>
  <c r="EV45" i="6" s="1"/>
  <c r="EW43" i="6"/>
  <c r="EW45" i="6" s="1"/>
  <c r="EY43" i="6"/>
  <c r="EY45" i="6" s="1"/>
  <c r="EZ43" i="6"/>
  <c r="FA43" i="6"/>
  <c r="FA45" i="6" s="1"/>
  <c r="FB43" i="6"/>
  <c r="FB45" i="6" s="1"/>
  <c r="FC43" i="6"/>
  <c r="FC45" i="6" s="1"/>
  <c r="FD43" i="6"/>
  <c r="FD45" i="6" s="1"/>
  <c r="FF43" i="6"/>
  <c r="FF45" i="6" s="1"/>
  <c r="FG43" i="6"/>
  <c r="FG45" i="6" s="1"/>
  <c r="FH43" i="6"/>
  <c r="FH45" i="6" s="1"/>
  <c r="FI43" i="6"/>
  <c r="FI45" i="6" s="1"/>
  <c r="FJ43" i="6"/>
  <c r="FJ45" i="6" s="1"/>
  <c r="FK43" i="6"/>
  <c r="FK45" i="6" s="1"/>
  <c r="FM43" i="6"/>
  <c r="FM45" i="6" s="1"/>
  <c r="FN43" i="6"/>
  <c r="FN45" i="6" s="1"/>
  <c r="FO43" i="6"/>
  <c r="FO45" i="6" s="1"/>
  <c r="FP43" i="6"/>
  <c r="FP45" i="6" s="1"/>
  <c r="FQ43" i="6"/>
  <c r="FQ45" i="6" s="1"/>
  <c r="FR43" i="6"/>
  <c r="FR45" i="6" s="1"/>
  <c r="FT43" i="6"/>
  <c r="FT45" i="6" s="1"/>
  <c r="FU43" i="6"/>
  <c r="FV43" i="6"/>
  <c r="FV45" i="6" s="1"/>
  <c r="FW43" i="6"/>
  <c r="FW45" i="6" s="1"/>
  <c r="FX43" i="6"/>
  <c r="FX45" i="6" s="1"/>
  <c r="FY43" i="6"/>
  <c r="FY45" i="6" s="1"/>
  <c r="GA43" i="6"/>
  <c r="GA45" i="6" s="1"/>
  <c r="GB43" i="6"/>
  <c r="GC43" i="6"/>
  <c r="GC45" i="6" s="1"/>
  <c r="GD43" i="6"/>
  <c r="GD45" i="6" s="1"/>
  <c r="GE43" i="6"/>
  <c r="GE45" i="6" s="1"/>
  <c r="GF43" i="6"/>
  <c r="GF45" i="6" s="1"/>
  <c r="GH43" i="6"/>
  <c r="GH45" i="6" s="1"/>
  <c r="GI43" i="6"/>
  <c r="GI45" i="6" s="1"/>
  <c r="GJ43" i="6"/>
  <c r="GK43" i="6"/>
  <c r="GK45" i="6" s="1"/>
  <c r="GL43" i="6"/>
  <c r="GL45" i="6" s="1"/>
  <c r="GM43" i="6"/>
  <c r="GM45" i="6" s="1"/>
  <c r="GO43" i="6"/>
  <c r="GO45" i="6" s="1"/>
  <c r="GP43" i="6"/>
  <c r="GQ43" i="6"/>
  <c r="GQ45" i="6" s="1"/>
  <c r="GR43" i="6"/>
  <c r="GR45" i="6" s="1"/>
  <c r="GS43" i="6"/>
  <c r="GS45" i="6" s="1"/>
  <c r="GT43" i="6"/>
  <c r="GT45" i="6" s="1"/>
  <c r="GV43" i="6"/>
  <c r="GV45" i="6" s="1"/>
  <c r="GW43" i="6"/>
  <c r="GX43" i="6"/>
  <c r="GX45" i="6" s="1"/>
  <c r="GY43" i="6"/>
  <c r="GY45" i="6" s="1"/>
  <c r="AH43" i="6"/>
  <c r="AH45" i="6" s="1"/>
  <c r="AJ43" i="6"/>
  <c r="AJ45" i="6" s="1"/>
  <c r="AK43" i="6"/>
  <c r="AL43" i="6"/>
  <c r="AL45" i="6" s="1"/>
  <c r="AM43" i="6"/>
  <c r="AM45" i="6" s="1"/>
  <c r="AN43" i="6"/>
  <c r="AN45" i="6" s="1"/>
  <c r="X43" i="6"/>
  <c r="Y43" i="6"/>
  <c r="Y45" i="6" s="1"/>
  <c r="Z43" i="6"/>
  <c r="Z45" i="6" s="1"/>
  <c r="AA43" i="6"/>
  <c r="AA45" i="6" s="1"/>
  <c r="AC43" i="6"/>
  <c r="AC45" i="6" s="1"/>
  <c r="AD43" i="6"/>
  <c r="AE43" i="6"/>
  <c r="AE45" i="6" s="1"/>
  <c r="AF43" i="6"/>
  <c r="AF45" i="6" s="1"/>
  <c r="AG43" i="6"/>
  <c r="AG45" i="6" s="1"/>
  <c r="V43" i="6"/>
  <c r="V45" i="6" s="1"/>
  <c r="W43" i="6"/>
  <c r="O43" i="6"/>
  <c r="O45" i="6" s="1"/>
  <c r="P43" i="6"/>
  <c r="Q43" i="6"/>
  <c r="Q45" i="6" s="1"/>
  <c r="R43" i="6"/>
  <c r="R45" i="6" s="1"/>
  <c r="S43" i="6"/>
  <c r="S45" i="6" s="1"/>
  <c r="T43" i="6"/>
  <c r="T45" i="6" s="1"/>
  <c r="O43" i="7"/>
  <c r="P43" i="7"/>
  <c r="Q43" i="7"/>
  <c r="J43" i="7"/>
  <c r="K43" i="7"/>
  <c r="L43" i="7"/>
  <c r="M43" i="7"/>
  <c r="I43" i="7"/>
  <c r="GU41" i="6"/>
  <c r="GN41" i="6"/>
  <c r="GG41" i="6"/>
  <c r="FZ41" i="6"/>
  <c r="FS41" i="6"/>
  <c r="FL41" i="6"/>
  <c r="FE41" i="6"/>
  <c r="EX41" i="6"/>
  <c r="EQ41" i="6"/>
  <c r="EJ41" i="6"/>
  <c r="EC41" i="6"/>
  <c r="DV41" i="6"/>
  <c r="DO41" i="6"/>
  <c r="DH41" i="6"/>
  <c r="DA41" i="6"/>
  <c r="CT41" i="6"/>
  <c r="CM41" i="6"/>
  <c r="CF41" i="6"/>
  <c r="BY41" i="6"/>
  <c r="BR41" i="6"/>
  <c r="BK41" i="6"/>
  <c r="BD41" i="6"/>
  <c r="AW41" i="6"/>
  <c r="AP41" i="6"/>
  <c r="AI41" i="6"/>
  <c r="AB41" i="6"/>
  <c r="U41" i="6"/>
  <c r="N41" i="6"/>
  <c r="J47" i="5"/>
  <c r="K47" i="5"/>
  <c r="L47" i="5"/>
  <c r="M47" i="5"/>
  <c r="O47" i="5"/>
  <c r="P47" i="5"/>
  <c r="Q47" i="5"/>
  <c r="R47" i="5"/>
  <c r="S47" i="5"/>
  <c r="T47" i="5"/>
  <c r="V47" i="5"/>
  <c r="W47" i="5"/>
  <c r="X47" i="5"/>
  <c r="I47" i="5"/>
  <c r="HB42" i="6" l="1"/>
  <c r="HB43" i="6"/>
  <c r="BK43" i="7"/>
  <c r="BF28" i="9" s="1"/>
  <c r="AB47" i="5"/>
  <c r="W14" i="9" s="1"/>
  <c r="FL43" i="8"/>
  <c r="DG28" i="9"/>
  <c r="CH28" i="9"/>
  <c r="GP28" i="9"/>
  <c r="FK28" i="9"/>
  <c r="EL28" i="9"/>
  <c r="N43" i="7"/>
  <c r="H20" i="4" s="1"/>
  <c r="H22" i="4" s="1"/>
  <c r="J22" i="4" s="1"/>
  <c r="EJ45" i="6"/>
  <c r="GT28" i="4"/>
  <c r="GU36" i="9"/>
  <c r="GA28" i="4"/>
  <c r="GB36" i="9"/>
  <c r="EY28" i="4"/>
  <c r="EZ36" i="9"/>
  <c r="EP28" i="4"/>
  <c r="EQ36" i="9"/>
  <c r="CL28" i="4"/>
  <c r="CM36" i="9"/>
  <c r="BJ28" i="4"/>
  <c r="BK36" i="9"/>
  <c r="AQ28" i="4"/>
  <c r="AR36" i="9"/>
  <c r="FZ42" i="9"/>
  <c r="FG42" i="9"/>
  <c r="DV42" i="9"/>
  <c r="DC42" i="9"/>
  <c r="BR49" i="9"/>
  <c r="BR42" i="9"/>
  <c r="AP42" i="9"/>
  <c r="W42" i="9"/>
  <c r="W43" i="9" s="1"/>
  <c r="N42" i="9"/>
  <c r="GM31" i="4"/>
  <c r="GN39" i="9"/>
  <c r="FT31" i="4"/>
  <c r="FU39" i="9"/>
  <c r="EI31" i="4"/>
  <c r="EJ39" i="9"/>
  <c r="DP31" i="4"/>
  <c r="DQ39" i="9"/>
  <c r="CE31" i="4"/>
  <c r="CF39" i="9"/>
  <c r="BC31" i="4"/>
  <c r="BD39" i="9"/>
  <c r="AJ31" i="4"/>
  <c r="AJ32" i="4" s="1"/>
  <c r="AK39" i="9"/>
  <c r="AK40" i="9" s="1"/>
  <c r="N28" i="4"/>
  <c r="O36" i="9"/>
  <c r="GS28" i="4"/>
  <c r="GT36" i="9"/>
  <c r="GI28" i="4"/>
  <c r="GJ36" i="9"/>
  <c r="FZ28" i="4"/>
  <c r="GA36" i="9"/>
  <c r="FQ28" i="4"/>
  <c r="FR36" i="9"/>
  <c r="FG28" i="4"/>
  <c r="FH36" i="9"/>
  <c r="EX28" i="4"/>
  <c r="EY36" i="9"/>
  <c r="EO28" i="4"/>
  <c r="EP36" i="9"/>
  <c r="EE28" i="4"/>
  <c r="EF36" i="9"/>
  <c r="DV28" i="4"/>
  <c r="DW36" i="9"/>
  <c r="DM28" i="4"/>
  <c r="DN36" i="9"/>
  <c r="DC28" i="4"/>
  <c r="DD36" i="9"/>
  <c r="CT28" i="4"/>
  <c r="CU36" i="9"/>
  <c r="CK28" i="4"/>
  <c r="CL36" i="9"/>
  <c r="CA28" i="4"/>
  <c r="CB36" i="9"/>
  <c r="BR28" i="4"/>
  <c r="BS36" i="9"/>
  <c r="BI28" i="4"/>
  <c r="BJ36" i="9"/>
  <c r="AY28" i="4"/>
  <c r="AZ36" i="9"/>
  <c r="AP28" i="4"/>
  <c r="AQ36" i="9"/>
  <c r="AG28" i="4"/>
  <c r="AG29" i="4" s="1"/>
  <c r="AH36" i="9"/>
  <c r="AH37" i="9" s="1"/>
  <c r="W28" i="4"/>
  <c r="W29" i="4" s="1"/>
  <c r="X36" i="9"/>
  <c r="X37" i="9" s="1"/>
  <c r="E31" i="4"/>
  <c r="F39" i="9"/>
  <c r="F40" i="9" s="1"/>
  <c r="GQ42" i="9"/>
  <c r="GH42" i="9"/>
  <c r="FY42" i="9"/>
  <c r="FO42" i="9"/>
  <c r="FF42" i="9"/>
  <c r="EW42" i="9"/>
  <c r="EM42" i="9"/>
  <c r="ED42" i="9"/>
  <c r="DU42" i="9"/>
  <c r="DK42" i="9"/>
  <c r="DB42" i="9"/>
  <c r="CS42" i="9"/>
  <c r="CI42" i="9"/>
  <c r="BZ42" i="9"/>
  <c r="BQ49" i="9"/>
  <c r="BQ42" i="9"/>
  <c r="BG49" i="9"/>
  <c r="BG42" i="9"/>
  <c r="AX42" i="9"/>
  <c r="AO42" i="9"/>
  <c r="AE42" i="9"/>
  <c r="AE43" i="9" s="1"/>
  <c r="V42" i="9"/>
  <c r="V43" i="9" s="1"/>
  <c r="M42" i="9"/>
  <c r="GU31" i="4"/>
  <c r="GV39" i="9"/>
  <c r="GL31" i="4"/>
  <c r="GM39" i="9"/>
  <c r="GB31" i="4"/>
  <c r="GC39" i="9"/>
  <c r="FS31" i="4"/>
  <c r="FT39" i="9"/>
  <c r="FJ31" i="4"/>
  <c r="FK39" i="9"/>
  <c r="EZ31" i="4"/>
  <c r="FA39" i="9"/>
  <c r="EQ31" i="4"/>
  <c r="ER39" i="9"/>
  <c r="EH31" i="4"/>
  <c r="EI39" i="9"/>
  <c r="DX31" i="4"/>
  <c r="DY39" i="9"/>
  <c r="DO31" i="4"/>
  <c r="DP39" i="9"/>
  <c r="DF31" i="4"/>
  <c r="DG39" i="9"/>
  <c r="CV31" i="4"/>
  <c r="CW39" i="9"/>
  <c r="CM31" i="4"/>
  <c r="CN39" i="9"/>
  <c r="CD31" i="4"/>
  <c r="CE39" i="9"/>
  <c r="BT31" i="4"/>
  <c r="BU39" i="9"/>
  <c r="BK31" i="4"/>
  <c r="BL39" i="9"/>
  <c r="BB31" i="4"/>
  <c r="BC39" i="9"/>
  <c r="AR31" i="4"/>
  <c r="AS39" i="9"/>
  <c r="AI31" i="4"/>
  <c r="AI32" i="4" s="1"/>
  <c r="AJ39" i="9"/>
  <c r="AJ40" i="9" s="1"/>
  <c r="Z31" i="4"/>
  <c r="Z32" i="4" s="1"/>
  <c r="AA39" i="9"/>
  <c r="AA40" i="9" s="1"/>
  <c r="P31" i="4"/>
  <c r="Q39" i="9"/>
  <c r="F28" i="4"/>
  <c r="F29" i="4" s="1"/>
  <c r="G36" i="9"/>
  <c r="G37" i="9" s="1"/>
  <c r="FR28" i="4"/>
  <c r="FS36" i="9"/>
  <c r="DW28" i="4"/>
  <c r="DX36" i="9"/>
  <c r="DN28" i="4"/>
  <c r="DO36" i="9"/>
  <c r="CU28" i="4"/>
  <c r="CV36" i="9"/>
  <c r="BS28" i="4"/>
  <c r="BT36" i="9"/>
  <c r="AH28" i="4"/>
  <c r="AH29" i="4" s="1"/>
  <c r="AI36" i="9"/>
  <c r="AI37" i="9" s="1"/>
  <c r="O28" i="4"/>
  <c r="O29" i="4" s="1"/>
  <c r="P36" i="9"/>
  <c r="GI42" i="9"/>
  <c r="EX42" i="9"/>
  <c r="EE42" i="9"/>
  <c r="CT42" i="9"/>
  <c r="CA42" i="9"/>
  <c r="AY42" i="9"/>
  <c r="GV31" i="4"/>
  <c r="GW39" i="9"/>
  <c r="FK31" i="4"/>
  <c r="FL39" i="9"/>
  <c r="ER31" i="4"/>
  <c r="ES39" i="9"/>
  <c r="DG31" i="4"/>
  <c r="DH39" i="9"/>
  <c r="CN31" i="4"/>
  <c r="CO39" i="9"/>
  <c r="BL31" i="4"/>
  <c r="BM39" i="9"/>
  <c r="AA31" i="4"/>
  <c r="AA32" i="4" s="1"/>
  <c r="AB39" i="9"/>
  <c r="AB40" i="9" s="1"/>
  <c r="E40" i="4"/>
  <c r="F42" i="9"/>
  <c r="F43" i="9" s="1"/>
  <c r="DJ42" i="9"/>
  <c r="U42" i="9"/>
  <c r="U43" i="9" s="1"/>
  <c r="DW31" i="4"/>
  <c r="DX39" i="9"/>
  <c r="CL31" i="4"/>
  <c r="CM39" i="9"/>
  <c r="AH31" i="4"/>
  <c r="AH32" i="4" s="1"/>
  <c r="AI39" i="9"/>
  <c r="AI40" i="9" s="1"/>
  <c r="L28" i="4"/>
  <c r="L29" i="4" s="1"/>
  <c r="M36" i="9"/>
  <c r="GP28" i="4"/>
  <c r="GQ36" i="9"/>
  <c r="GG28" i="4"/>
  <c r="GH36" i="9"/>
  <c r="FX28" i="4"/>
  <c r="FY36" i="9"/>
  <c r="FN28" i="4"/>
  <c r="FO36" i="9"/>
  <c r="FE28" i="4"/>
  <c r="FF36" i="9"/>
  <c r="EV28" i="4"/>
  <c r="EW36" i="9"/>
  <c r="EL28" i="4"/>
  <c r="EM36" i="9"/>
  <c r="EC28" i="4"/>
  <c r="ED36" i="9"/>
  <c r="DT28" i="4"/>
  <c r="DU36" i="9"/>
  <c r="DJ28" i="4"/>
  <c r="DK36" i="9"/>
  <c r="DA28" i="4"/>
  <c r="DB36" i="9"/>
  <c r="CR28" i="4"/>
  <c r="CS36" i="9"/>
  <c r="CH28" i="4"/>
  <c r="CI36" i="9"/>
  <c r="BY28" i="4"/>
  <c r="BZ36" i="9"/>
  <c r="BP28" i="4"/>
  <c r="BQ36" i="9"/>
  <c r="BF28" i="4"/>
  <c r="BG36" i="9"/>
  <c r="AW28" i="4"/>
  <c r="AX36" i="9"/>
  <c r="AN28" i="4"/>
  <c r="AO36" i="9"/>
  <c r="AD28" i="4"/>
  <c r="AD29" i="4" s="1"/>
  <c r="AE36" i="9"/>
  <c r="AE37" i="9" s="1"/>
  <c r="U28" i="4"/>
  <c r="U29" i="4" s="1"/>
  <c r="V36" i="9"/>
  <c r="V37" i="9" s="1"/>
  <c r="GX42" i="9"/>
  <c r="GO42" i="9"/>
  <c r="GF42" i="9"/>
  <c r="FV42" i="9"/>
  <c r="FM42" i="9"/>
  <c r="FD42" i="9"/>
  <c r="ET42" i="9"/>
  <c r="EK42" i="9"/>
  <c r="EB42" i="9"/>
  <c r="DR42" i="9"/>
  <c r="DI42" i="9"/>
  <c r="CZ42" i="9"/>
  <c r="CP42" i="9"/>
  <c r="CG42" i="9"/>
  <c r="BX42" i="9"/>
  <c r="BN42" i="9"/>
  <c r="BN49" i="9"/>
  <c r="BE42" i="9"/>
  <c r="AV42" i="9"/>
  <c r="AL42" i="9"/>
  <c r="AL43" i="9" s="1"/>
  <c r="AC42" i="9"/>
  <c r="AC43" i="9" s="1"/>
  <c r="T42" i="9"/>
  <c r="T43" i="9" s="1"/>
  <c r="I40" i="4"/>
  <c r="J42" i="9"/>
  <c r="J43" i="9" s="1"/>
  <c r="GS31" i="4"/>
  <c r="GT39" i="9"/>
  <c r="GI31" i="4"/>
  <c r="GJ39" i="9"/>
  <c r="FZ31" i="4"/>
  <c r="GA39" i="9"/>
  <c r="FQ31" i="4"/>
  <c r="FR39" i="9"/>
  <c r="FG31" i="4"/>
  <c r="FH39" i="9"/>
  <c r="EX31" i="4"/>
  <c r="EY39" i="9"/>
  <c r="EO31" i="4"/>
  <c r="EP39" i="9"/>
  <c r="EE31" i="4"/>
  <c r="EF39" i="9"/>
  <c r="DV31" i="4"/>
  <c r="DW39" i="9"/>
  <c r="DM31" i="4"/>
  <c r="DN39" i="9"/>
  <c r="DC31" i="4"/>
  <c r="DD39" i="9"/>
  <c r="CT31" i="4"/>
  <c r="CU39" i="9"/>
  <c r="CK31" i="4"/>
  <c r="CL39" i="9"/>
  <c r="CA31" i="4"/>
  <c r="CB39" i="9"/>
  <c r="BR31" i="4"/>
  <c r="BS39" i="9"/>
  <c r="BI31" i="4"/>
  <c r="BJ39" i="9"/>
  <c r="AY31" i="4"/>
  <c r="AZ39" i="9"/>
  <c r="AP31" i="4"/>
  <c r="AQ39" i="9"/>
  <c r="AG31" i="4"/>
  <c r="AG32" i="4" s="1"/>
  <c r="AH39" i="9"/>
  <c r="AH40" i="9" s="1"/>
  <c r="W31" i="4"/>
  <c r="W32" i="4" s="1"/>
  <c r="X39" i="9"/>
  <c r="X40" i="9" s="1"/>
  <c r="N31" i="4"/>
  <c r="O39" i="9"/>
  <c r="GG42" i="9"/>
  <c r="EC42" i="9"/>
  <c r="CH42" i="9"/>
  <c r="AD42" i="9"/>
  <c r="AD43" i="9" s="1"/>
  <c r="GA31" i="4"/>
  <c r="GB39" i="9"/>
  <c r="EP31" i="4"/>
  <c r="EQ39" i="9"/>
  <c r="CU31" i="4"/>
  <c r="CV39" i="9"/>
  <c r="AQ31" i="4"/>
  <c r="AR39" i="9"/>
  <c r="E28" i="4"/>
  <c r="E29" i="4" s="1"/>
  <c r="F36" i="9"/>
  <c r="F37" i="9" s="1"/>
  <c r="GO28" i="4"/>
  <c r="GP36" i="9"/>
  <c r="GF28" i="4"/>
  <c r="GG36" i="9"/>
  <c r="FM28" i="4"/>
  <c r="FN36" i="9"/>
  <c r="FD28" i="4"/>
  <c r="FE36" i="9"/>
  <c r="EK28" i="4"/>
  <c r="EL36" i="9"/>
  <c r="EB28" i="4"/>
  <c r="EC36" i="9"/>
  <c r="DI28" i="4"/>
  <c r="DJ36" i="9"/>
  <c r="CZ28" i="4"/>
  <c r="DA36" i="9"/>
  <c r="CG28" i="4"/>
  <c r="CH36" i="9"/>
  <c r="BX28" i="4"/>
  <c r="BY36" i="9"/>
  <c r="BE28" i="4"/>
  <c r="BF36" i="9"/>
  <c r="AV28" i="4"/>
  <c r="AW36" i="9"/>
  <c r="AC28" i="4"/>
  <c r="AC29" i="4" s="1"/>
  <c r="AD36" i="9"/>
  <c r="AD37" i="9" s="1"/>
  <c r="T28" i="4"/>
  <c r="T29" i="4" s="1"/>
  <c r="U36" i="9"/>
  <c r="U37" i="9" s="1"/>
  <c r="GW42" i="9"/>
  <c r="GN42" i="9"/>
  <c r="FU42" i="9"/>
  <c r="FL42" i="9"/>
  <c r="ES42" i="9"/>
  <c r="EJ42" i="9"/>
  <c r="DQ42" i="9"/>
  <c r="DH42" i="9"/>
  <c r="CO42" i="9"/>
  <c r="CF42" i="9"/>
  <c r="BM42" i="9"/>
  <c r="BM49" i="9"/>
  <c r="BD42" i="9"/>
  <c r="AK42" i="9"/>
  <c r="AK43" i="9" s="1"/>
  <c r="AB42" i="9"/>
  <c r="AB43" i="9" s="1"/>
  <c r="H40" i="4"/>
  <c r="I42" i="9"/>
  <c r="I43" i="9" s="1"/>
  <c r="GH31" i="4"/>
  <c r="GI39" i="9"/>
  <c r="FY31" i="4"/>
  <c r="FZ39" i="9"/>
  <c r="FF31" i="4"/>
  <c r="FG39" i="9"/>
  <c r="EW31" i="4"/>
  <c r="EX39" i="9"/>
  <c r="ED31" i="4"/>
  <c r="EE39" i="9"/>
  <c r="DU31" i="4"/>
  <c r="DV39" i="9"/>
  <c r="DB31" i="4"/>
  <c r="DC39" i="9"/>
  <c r="CS31" i="4"/>
  <c r="CT39" i="9"/>
  <c r="BZ31" i="4"/>
  <c r="CA39" i="9"/>
  <c r="BQ31" i="4"/>
  <c r="BR39" i="9"/>
  <c r="AX31" i="4"/>
  <c r="AY39" i="9"/>
  <c r="AO31" i="4"/>
  <c r="AP39" i="9"/>
  <c r="V31" i="4"/>
  <c r="V32" i="4" s="1"/>
  <c r="W39" i="9"/>
  <c r="W40" i="9" s="1"/>
  <c r="M31" i="4"/>
  <c r="N39" i="9"/>
  <c r="M28" i="4"/>
  <c r="N36" i="9"/>
  <c r="FY28" i="4"/>
  <c r="FZ36" i="9"/>
  <c r="EW28" i="4"/>
  <c r="EX36" i="9"/>
  <c r="DU28" i="4"/>
  <c r="DV36" i="9"/>
  <c r="CS28" i="4"/>
  <c r="CT36" i="9"/>
  <c r="AX28" i="4"/>
  <c r="AY36" i="9"/>
  <c r="EL42" i="9"/>
  <c r="BY42" i="9"/>
  <c r="EY31" i="4"/>
  <c r="EZ39" i="9"/>
  <c r="DN31" i="4"/>
  <c r="DO39" i="9"/>
  <c r="F31" i="4"/>
  <c r="G39" i="9"/>
  <c r="G40" i="9" s="1"/>
  <c r="I28" i="4"/>
  <c r="I29" i="4" s="1"/>
  <c r="J36" i="9"/>
  <c r="J37" i="9" s="1"/>
  <c r="GW28" i="4"/>
  <c r="GX36" i="9"/>
  <c r="GN28" i="4"/>
  <c r="GO36" i="9"/>
  <c r="GE28" i="4"/>
  <c r="GF36" i="9"/>
  <c r="FU28" i="4"/>
  <c r="FV36" i="9"/>
  <c r="FL28" i="4"/>
  <c r="FM36" i="9"/>
  <c r="FC28" i="4"/>
  <c r="FD36" i="9"/>
  <c r="ES28" i="4"/>
  <c r="ET36" i="9"/>
  <c r="EJ28" i="4"/>
  <c r="EK36" i="9"/>
  <c r="EA28" i="4"/>
  <c r="EB36" i="9"/>
  <c r="DQ28" i="4"/>
  <c r="DR36" i="9"/>
  <c r="DH28" i="4"/>
  <c r="DI36" i="9"/>
  <c r="CY28" i="4"/>
  <c r="CZ36" i="9"/>
  <c r="CO28" i="4"/>
  <c r="CP36" i="9"/>
  <c r="CF28" i="4"/>
  <c r="CG36" i="9"/>
  <c r="BW28" i="4"/>
  <c r="BX36" i="9"/>
  <c r="BM28" i="4"/>
  <c r="BN36" i="9"/>
  <c r="BD28" i="4"/>
  <c r="BE36" i="9"/>
  <c r="AU28" i="4"/>
  <c r="AV36" i="9"/>
  <c r="AK28" i="4"/>
  <c r="AK29" i="4" s="1"/>
  <c r="AL36" i="9"/>
  <c r="AL37" i="9" s="1"/>
  <c r="AB28" i="4"/>
  <c r="AB29" i="4" s="1"/>
  <c r="AC36" i="9"/>
  <c r="AC37" i="9" s="1"/>
  <c r="S28" i="4"/>
  <c r="S29" i="4" s="1"/>
  <c r="T36" i="9"/>
  <c r="T37" i="9" s="1"/>
  <c r="GV42" i="9"/>
  <c r="GM42" i="9"/>
  <c r="GC42" i="9"/>
  <c r="FT42" i="9"/>
  <c r="FK42" i="9"/>
  <c r="FA42" i="9"/>
  <c r="ER42" i="9"/>
  <c r="EI42" i="9"/>
  <c r="DY42" i="9"/>
  <c r="DP42" i="9"/>
  <c r="DG42" i="9"/>
  <c r="CW42" i="9"/>
  <c r="CN42" i="9"/>
  <c r="CE42" i="9"/>
  <c r="BU49" i="9"/>
  <c r="BU42" i="9"/>
  <c r="BL49" i="9"/>
  <c r="BL42" i="9"/>
  <c r="BC42" i="9"/>
  <c r="AS42" i="9"/>
  <c r="AJ42" i="9"/>
  <c r="AJ43" i="9" s="1"/>
  <c r="AA42" i="9"/>
  <c r="AA43" i="9" s="1"/>
  <c r="Q42" i="9"/>
  <c r="G34" i="4"/>
  <c r="H42" i="9"/>
  <c r="H43" i="9" s="1"/>
  <c r="GP31" i="4"/>
  <c r="GQ39" i="9"/>
  <c r="GG31" i="4"/>
  <c r="GH39" i="9"/>
  <c r="FX31" i="4"/>
  <c r="FY39" i="9"/>
  <c r="FN31" i="4"/>
  <c r="FO39" i="9"/>
  <c r="FE31" i="4"/>
  <c r="FF39" i="9"/>
  <c r="EV31" i="4"/>
  <c r="EW39" i="9"/>
  <c r="EL31" i="4"/>
  <c r="EM39" i="9"/>
  <c r="EC31" i="4"/>
  <c r="ED39" i="9"/>
  <c r="DT31" i="4"/>
  <c r="DU39" i="9"/>
  <c r="DJ31" i="4"/>
  <c r="DK39" i="9"/>
  <c r="DA31" i="4"/>
  <c r="DB39" i="9"/>
  <c r="CR31" i="4"/>
  <c r="CS39" i="9"/>
  <c r="CH31" i="4"/>
  <c r="CI39" i="9"/>
  <c r="BY31" i="4"/>
  <c r="BZ39" i="9"/>
  <c r="BP31" i="4"/>
  <c r="BQ39" i="9"/>
  <c r="BF31" i="4"/>
  <c r="BG39" i="9"/>
  <c r="AW31" i="4"/>
  <c r="AX39" i="9"/>
  <c r="AN31" i="4"/>
  <c r="AO39" i="9"/>
  <c r="AD31" i="4"/>
  <c r="AD32" i="4" s="1"/>
  <c r="AE39" i="9"/>
  <c r="AE40" i="9" s="1"/>
  <c r="U31" i="4"/>
  <c r="U32" i="4" s="1"/>
  <c r="V39" i="9"/>
  <c r="V40" i="9" s="1"/>
  <c r="L31" i="4"/>
  <c r="M39" i="9"/>
  <c r="DB28" i="4"/>
  <c r="DC36" i="9"/>
  <c r="BZ28" i="4"/>
  <c r="CA36" i="9"/>
  <c r="V28" i="4"/>
  <c r="V29" i="4" s="1"/>
  <c r="W36" i="9"/>
  <c r="W37" i="9" s="1"/>
  <c r="FN42" i="9"/>
  <c r="AW42" i="9"/>
  <c r="GT31" i="4"/>
  <c r="GU39" i="9"/>
  <c r="BS31" i="4"/>
  <c r="BT39" i="9"/>
  <c r="H28" i="4"/>
  <c r="H29" i="4" s="1"/>
  <c r="I36" i="9"/>
  <c r="I37" i="9" s="1"/>
  <c r="GV28" i="4"/>
  <c r="GW36" i="9"/>
  <c r="GM28" i="4"/>
  <c r="GN36" i="9"/>
  <c r="FT28" i="4"/>
  <c r="FU36" i="9"/>
  <c r="FK28" i="4"/>
  <c r="FL36" i="9"/>
  <c r="ER28" i="4"/>
  <c r="ES36" i="9"/>
  <c r="EI28" i="4"/>
  <c r="EJ36" i="9"/>
  <c r="DP28" i="4"/>
  <c r="DQ36" i="9"/>
  <c r="DG28" i="4"/>
  <c r="DH36" i="9"/>
  <c r="CN28" i="4"/>
  <c r="CO36" i="9"/>
  <c r="CE28" i="4"/>
  <c r="CF36" i="9"/>
  <c r="BL28" i="4"/>
  <c r="BM36" i="9"/>
  <c r="BC28" i="4"/>
  <c r="BD36" i="9"/>
  <c r="AJ28" i="4"/>
  <c r="AJ29" i="4" s="1"/>
  <c r="AK36" i="9"/>
  <c r="AK37" i="9" s="1"/>
  <c r="AA28" i="4"/>
  <c r="AA29" i="4" s="1"/>
  <c r="AB36" i="9"/>
  <c r="AB37" i="9" s="1"/>
  <c r="GU42" i="9"/>
  <c r="GB42" i="9"/>
  <c r="FS42" i="9"/>
  <c r="EZ42" i="9"/>
  <c r="EQ42" i="9"/>
  <c r="DX42" i="9"/>
  <c r="DO42" i="9"/>
  <c r="CV42" i="9"/>
  <c r="CM42" i="9"/>
  <c r="BT49" i="9"/>
  <c r="BT42" i="9"/>
  <c r="BK49" i="9"/>
  <c r="BK42" i="9"/>
  <c r="AR42" i="9"/>
  <c r="AI42" i="9"/>
  <c r="AI43" i="9" s="1"/>
  <c r="P42" i="9"/>
  <c r="F40" i="4"/>
  <c r="G42" i="9"/>
  <c r="G43" i="9" s="1"/>
  <c r="GO31" i="4"/>
  <c r="GP39" i="9"/>
  <c r="GF31" i="4"/>
  <c r="GG39" i="9"/>
  <c r="FM31" i="4"/>
  <c r="FN39" i="9"/>
  <c r="FD31" i="4"/>
  <c r="FE39" i="9"/>
  <c r="EK31" i="4"/>
  <c r="EL39" i="9"/>
  <c r="EB31" i="4"/>
  <c r="EC39" i="9"/>
  <c r="DI31" i="4"/>
  <c r="DJ39" i="9"/>
  <c r="CZ31" i="4"/>
  <c r="DA39" i="9"/>
  <c r="CG31" i="4"/>
  <c r="CH39" i="9"/>
  <c r="BX31" i="4"/>
  <c r="BY39" i="9"/>
  <c r="BE31" i="4"/>
  <c r="BF39" i="9"/>
  <c r="AV31" i="4"/>
  <c r="AW39" i="9"/>
  <c r="AC31" i="4"/>
  <c r="AC32" i="4" s="1"/>
  <c r="AD39" i="9"/>
  <c r="AD40" i="9" s="1"/>
  <c r="T31" i="4"/>
  <c r="T32" i="4" s="1"/>
  <c r="U39" i="9"/>
  <c r="U40" i="9" s="1"/>
  <c r="H31" i="4"/>
  <c r="I39" i="9"/>
  <c r="I40" i="9" s="1"/>
  <c r="GH28" i="4"/>
  <c r="GI36" i="9"/>
  <c r="FF28" i="4"/>
  <c r="FG36" i="9"/>
  <c r="ED28" i="4"/>
  <c r="EE36" i="9"/>
  <c r="BQ28" i="4"/>
  <c r="BR36" i="9"/>
  <c r="AO28" i="4"/>
  <c r="AP36" i="9"/>
  <c r="GP42" i="9"/>
  <c r="FE42" i="9"/>
  <c r="DA42" i="9"/>
  <c r="BF49" i="9"/>
  <c r="BF42" i="9"/>
  <c r="FR31" i="4"/>
  <c r="FS39" i="9"/>
  <c r="BJ31" i="4"/>
  <c r="BK39" i="9"/>
  <c r="O31" i="4"/>
  <c r="P39" i="9"/>
  <c r="G28" i="4"/>
  <c r="G29" i="4" s="1"/>
  <c r="H36" i="9"/>
  <c r="H37" i="9" s="1"/>
  <c r="GU28" i="4"/>
  <c r="GV36" i="9"/>
  <c r="GL28" i="4"/>
  <c r="GM36" i="9"/>
  <c r="GB28" i="4"/>
  <c r="GC36" i="9"/>
  <c r="FS28" i="4"/>
  <c r="FT36" i="9"/>
  <c r="FJ28" i="4"/>
  <c r="FK36" i="9"/>
  <c r="EZ28" i="4"/>
  <c r="FA36" i="9"/>
  <c r="EQ28" i="4"/>
  <c r="ER36" i="9"/>
  <c r="EH28" i="4"/>
  <c r="EI36" i="9"/>
  <c r="DX28" i="4"/>
  <c r="DY36" i="9"/>
  <c r="DO28" i="4"/>
  <c r="DP36" i="9"/>
  <c r="DF28" i="4"/>
  <c r="DG36" i="9"/>
  <c r="CV28" i="4"/>
  <c r="CW36" i="9"/>
  <c r="CM28" i="4"/>
  <c r="CN36" i="9"/>
  <c r="CD28" i="4"/>
  <c r="CE36" i="9"/>
  <c r="BT28" i="4"/>
  <c r="BU36" i="9"/>
  <c r="BK28" i="4"/>
  <c r="BL36" i="9"/>
  <c r="BB28" i="4"/>
  <c r="BC36" i="9"/>
  <c r="AR28" i="4"/>
  <c r="AS36" i="9"/>
  <c r="AI28" i="4"/>
  <c r="AI29" i="4" s="1"/>
  <c r="AJ36" i="9"/>
  <c r="AJ37" i="9" s="1"/>
  <c r="Z28" i="4"/>
  <c r="Z29" i="4" s="1"/>
  <c r="AA36" i="9"/>
  <c r="AA37" i="9" s="1"/>
  <c r="P28" i="4"/>
  <c r="Q36" i="9"/>
  <c r="GT42" i="9"/>
  <c r="GJ42" i="9"/>
  <c r="GA42" i="9"/>
  <c r="FR42" i="9"/>
  <c r="FH42" i="9"/>
  <c r="EY42" i="9"/>
  <c r="EP42" i="9"/>
  <c r="EF42" i="9"/>
  <c r="DW42" i="9"/>
  <c r="DN42" i="9"/>
  <c r="DD42" i="9"/>
  <c r="CU42" i="9"/>
  <c r="CL42" i="9"/>
  <c r="CB42" i="9"/>
  <c r="BS49" i="9"/>
  <c r="BS42" i="9"/>
  <c r="BJ49" i="9"/>
  <c r="BJ42" i="9"/>
  <c r="AZ42" i="9"/>
  <c r="AQ42" i="9"/>
  <c r="AH42" i="9"/>
  <c r="AH43" i="9" s="1"/>
  <c r="X42" i="9"/>
  <c r="X43" i="9" s="1"/>
  <c r="O42" i="9"/>
  <c r="GW31" i="4"/>
  <c r="GX39" i="9"/>
  <c r="GN31" i="4"/>
  <c r="GO39" i="9"/>
  <c r="GE31" i="4"/>
  <c r="GF39" i="9"/>
  <c r="FU31" i="4"/>
  <c r="FV39" i="9"/>
  <c r="FL31" i="4"/>
  <c r="FM39" i="9"/>
  <c r="FC31" i="4"/>
  <c r="FD39" i="9"/>
  <c r="ES31" i="4"/>
  <c r="ET39" i="9"/>
  <c r="EJ31" i="4"/>
  <c r="EK39" i="9"/>
  <c r="EA31" i="4"/>
  <c r="EB39" i="9"/>
  <c r="DQ31" i="4"/>
  <c r="DR39" i="9"/>
  <c r="DH31" i="4"/>
  <c r="DI39" i="9"/>
  <c r="CY31" i="4"/>
  <c r="CZ39" i="9"/>
  <c r="CO31" i="4"/>
  <c r="CP39" i="9"/>
  <c r="CF31" i="4"/>
  <c r="CG39" i="9"/>
  <c r="BW31" i="4"/>
  <c r="BX39" i="9"/>
  <c r="BM31" i="4"/>
  <c r="BN39" i="9"/>
  <c r="BD31" i="4"/>
  <c r="BE39" i="9"/>
  <c r="AU31" i="4"/>
  <c r="AV39" i="9"/>
  <c r="AK31" i="4"/>
  <c r="AK32" i="4" s="1"/>
  <c r="AL39" i="9"/>
  <c r="AL40" i="9" s="1"/>
  <c r="AB31" i="4"/>
  <c r="AB32" i="4" s="1"/>
  <c r="AC39" i="9"/>
  <c r="AC40" i="9" s="1"/>
  <c r="S31" i="4"/>
  <c r="S32" i="4" s="1"/>
  <c r="T39" i="9"/>
  <c r="T40" i="9" s="1"/>
  <c r="I31" i="4"/>
  <c r="J39" i="9"/>
  <c r="J40" i="9" s="1"/>
  <c r="FQ12" i="4"/>
  <c r="ER10" i="4"/>
  <c r="ER12" i="4" s="1"/>
  <c r="DP10" i="4"/>
  <c r="DP12" i="4" s="1"/>
  <c r="N47" i="5"/>
  <c r="DH45" i="6"/>
  <c r="AW43" i="6"/>
  <c r="U43" i="6"/>
  <c r="FL45" i="6"/>
  <c r="FU45" i="6"/>
  <c r="FZ45" i="6" s="1"/>
  <c r="FZ43" i="6"/>
  <c r="EX43" i="6"/>
  <c r="DQ45" i="6"/>
  <c r="DV45" i="6" s="1"/>
  <c r="DV43" i="6"/>
  <c r="BM45" i="6"/>
  <c r="BR45" i="6" s="1"/>
  <c r="BR43" i="6"/>
  <c r="GG42" i="6"/>
  <c r="FE42" i="6"/>
  <c r="EC42" i="6"/>
  <c r="DA42" i="6"/>
  <c r="BY42" i="6"/>
  <c r="AW42" i="6"/>
  <c r="U42" i="6"/>
  <c r="AI43" i="6"/>
  <c r="DO45" i="6"/>
  <c r="AP43" i="6"/>
  <c r="GG43" i="6"/>
  <c r="EZ45" i="6"/>
  <c r="FE45" i="6" s="1"/>
  <c r="FE43" i="6"/>
  <c r="EC43" i="6"/>
  <c r="CV45" i="6"/>
  <c r="DA45" i="6" s="1"/>
  <c r="DA43" i="6"/>
  <c r="BT45" i="6"/>
  <c r="BY45" i="6" s="1"/>
  <c r="BY43" i="6"/>
  <c r="GN42" i="6"/>
  <c r="FL42" i="6"/>
  <c r="EJ42" i="6"/>
  <c r="DH42" i="6"/>
  <c r="CF42" i="6"/>
  <c r="BD42" i="6"/>
  <c r="AB42" i="6"/>
  <c r="FS45" i="6"/>
  <c r="AB43" i="6"/>
  <c r="W21" i="9" s="1"/>
  <c r="CT42" i="6"/>
  <c r="GN43" i="6"/>
  <c r="FL43" i="6"/>
  <c r="EJ43" i="6"/>
  <c r="DH43" i="6"/>
  <c r="CF43" i="6"/>
  <c r="AY45" i="6"/>
  <c r="BD45" i="6" s="1"/>
  <c r="BD43" i="6"/>
  <c r="AY21" i="9" s="1"/>
  <c r="GU42" i="6"/>
  <c r="FS42" i="6"/>
  <c r="EQ42" i="6"/>
  <c r="DO42" i="6"/>
  <c r="CM42" i="6"/>
  <c r="BK42" i="6"/>
  <c r="AI42" i="6"/>
  <c r="GU43" i="6"/>
  <c r="FS43" i="6"/>
  <c r="FN21" i="9" s="1"/>
  <c r="EQ43" i="6"/>
  <c r="DO43" i="6"/>
  <c r="CM43" i="6"/>
  <c r="BF45" i="6"/>
  <c r="BK45" i="6" s="1"/>
  <c r="BK43" i="6"/>
  <c r="FZ42" i="6"/>
  <c r="EX42" i="6"/>
  <c r="DV42" i="6"/>
  <c r="BR42" i="6"/>
  <c r="AP42" i="6"/>
  <c r="CF45" i="6"/>
  <c r="AW45" i="6"/>
  <c r="U47" i="5"/>
  <c r="AI43" i="7"/>
  <c r="U43" i="7"/>
  <c r="AP43" i="7"/>
  <c r="BD43" i="7"/>
  <c r="AY28" i="9" s="1"/>
  <c r="AB43" i="7"/>
  <c r="W28" i="9" s="1"/>
  <c r="AW43" i="7"/>
  <c r="AR28" i="9" s="1"/>
  <c r="CR45" i="6"/>
  <c r="CT43" i="6"/>
  <c r="FS43" i="8"/>
  <c r="EX43" i="8"/>
  <c r="FE43" i="8"/>
  <c r="DV43" i="8"/>
  <c r="CT43" i="8"/>
  <c r="BY43" i="8"/>
  <c r="BR43" i="8"/>
  <c r="AP43" i="8"/>
  <c r="GV40" i="4"/>
  <c r="GV34" i="4"/>
  <c r="GM40" i="4"/>
  <c r="GM34" i="4"/>
  <c r="FT40" i="4"/>
  <c r="FT34" i="4"/>
  <c r="FK40" i="4"/>
  <c r="FK34" i="4"/>
  <c r="ER40" i="4"/>
  <c r="ER34" i="4"/>
  <c r="EI40" i="4"/>
  <c r="EI34" i="4"/>
  <c r="DP40" i="4"/>
  <c r="DP34" i="4"/>
  <c r="DG34" i="4"/>
  <c r="DG40" i="4"/>
  <c r="CN34" i="4"/>
  <c r="CN40" i="4"/>
  <c r="CE34" i="4"/>
  <c r="CE40" i="4"/>
  <c r="BL40" i="4"/>
  <c r="BL34" i="4"/>
  <c r="BC40" i="4"/>
  <c r="BC34" i="4"/>
  <c r="AJ40" i="4"/>
  <c r="AJ34" i="4"/>
  <c r="AJ35" i="4" s="1"/>
  <c r="AA40" i="4"/>
  <c r="AA34" i="4"/>
  <c r="AA35" i="4" s="1"/>
  <c r="EX44" i="8"/>
  <c r="GG43" i="8"/>
  <c r="EQ43" i="8"/>
  <c r="DO43" i="8"/>
  <c r="GU40" i="4"/>
  <c r="GU34" i="4"/>
  <c r="GL40" i="4"/>
  <c r="GL34" i="4"/>
  <c r="GB40" i="4"/>
  <c r="GB34" i="4"/>
  <c r="FS40" i="4"/>
  <c r="FS34" i="4"/>
  <c r="FS46" i="8"/>
  <c r="FJ34" i="4"/>
  <c r="FJ40" i="4"/>
  <c r="EZ34" i="4"/>
  <c r="EZ40" i="4"/>
  <c r="EQ40" i="4"/>
  <c r="EQ34" i="4"/>
  <c r="EH40" i="4"/>
  <c r="EH34" i="4"/>
  <c r="DX40" i="4"/>
  <c r="DX34" i="4"/>
  <c r="DO40" i="4"/>
  <c r="DO34" i="4"/>
  <c r="DO46" i="8"/>
  <c r="DF40" i="4"/>
  <c r="DF34" i="4"/>
  <c r="CV40" i="4"/>
  <c r="CV34" i="4"/>
  <c r="CM40" i="4"/>
  <c r="CM34" i="4"/>
  <c r="CD40" i="4"/>
  <c r="CD34" i="4"/>
  <c r="BT40" i="4"/>
  <c r="BT34" i="4"/>
  <c r="BK40" i="4"/>
  <c r="BK34" i="4"/>
  <c r="BK46" i="8"/>
  <c r="BB40" i="4"/>
  <c r="BB34" i="4"/>
  <c r="AR40" i="4"/>
  <c r="AR34" i="4"/>
  <c r="AI40" i="4"/>
  <c r="AI34" i="4"/>
  <c r="AI35" i="4" s="1"/>
  <c r="Z40" i="4"/>
  <c r="Z34" i="4"/>
  <c r="Z35" i="4" s="1"/>
  <c r="P34" i="4"/>
  <c r="P40" i="4"/>
  <c r="DO45" i="8"/>
  <c r="GT40" i="4"/>
  <c r="GT34" i="4"/>
  <c r="GA40" i="4"/>
  <c r="GA34" i="4"/>
  <c r="FR40" i="4"/>
  <c r="FR34" i="4"/>
  <c r="EY34" i="4"/>
  <c r="EY40" i="4"/>
  <c r="EP34" i="4"/>
  <c r="EP40" i="4"/>
  <c r="DW40" i="4"/>
  <c r="DW34" i="4"/>
  <c r="DN34" i="4"/>
  <c r="DN40" i="4"/>
  <c r="CU40" i="4"/>
  <c r="CU34" i="4"/>
  <c r="CL40" i="4"/>
  <c r="CL34" i="4"/>
  <c r="BS34" i="4"/>
  <c r="BS40" i="4"/>
  <c r="BJ40" i="4"/>
  <c r="BJ34" i="4"/>
  <c r="AQ40" i="4"/>
  <c r="AQ34" i="4"/>
  <c r="AH40" i="4"/>
  <c r="AH34" i="4"/>
  <c r="AH35" i="4" s="1"/>
  <c r="O34" i="4"/>
  <c r="O40" i="4"/>
  <c r="CT44" i="8"/>
  <c r="GN43" i="8"/>
  <c r="GS40" i="4"/>
  <c r="GS34" i="4"/>
  <c r="GI40" i="4"/>
  <c r="GI34" i="4"/>
  <c r="FZ40" i="4"/>
  <c r="FZ34" i="4"/>
  <c r="FQ40" i="4"/>
  <c r="FQ34" i="4"/>
  <c r="FG34" i="4"/>
  <c r="FG40" i="4"/>
  <c r="EX34" i="4"/>
  <c r="EX40" i="4"/>
  <c r="EX46" i="8"/>
  <c r="EO34" i="4"/>
  <c r="EO40" i="4"/>
  <c r="EE34" i="4"/>
  <c r="EE40" i="4"/>
  <c r="DV34" i="4"/>
  <c r="DV40" i="4"/>
  <c r="DM34" i="4"/>
  <c r="DM40" i="4"/>
  <c r="DC40" i="4"/>
  <c r="DC34" i="4"/>
  <c r="CT40" i="4"/>
  <c r="CT34" i="4"/>
  <c r="CT46" i="8"/>
  <c r="CK40" i="4"/>
  <c r="CK34" i="4"/>
  <c r="CA34" i="4"/>
  <c r="CA40" i="4"/>
  <c r="BR34" i="4"/>
  <c r="BR40" i="4"/>
  <c r="BI34" i="4"/>
  <c r="BI40" i="4"/>
  <c r="AY34" i="4"/>
  <c r="AY40" i="4"/>
  <c r="AP34" i="4"/>
  <c r="AP40" i="4"/>
  <c r="AP46" i="8"/>
  <c r="AG40" i="4"/>
  <c r="AG34" i="4"/>
  <c r="AG35" i="4" s="1"/>
  <c r="N40" i="4"/>
  <c r="N34" i="4"/>
  <c r="BK45" i="8"/>
  <c r="AW43" i="8"/>
  <c r="GH40" i="4"/>
  <c r="GH34" i="4"/>
  <c r="FY40" i="4"/>
  <c r="FY34" i="4"/>
  <c r="FF34" i="4"/>
  <c r="FF40" i="4"/>
  <c r="EW34" i="4"/>
  <c r="EW40" i="4"/>
  <c r="ED34" i="4"/>
  <c r="ED40" i="4"/>
  <c r="DU34" i="4"/>
  <c r="DU40" i="4"/>
  <c r="DB40" i="4"/>
  <c r="DB34" i="4"/>
  <c r="CS40" i="4"/>
  <c r="CS34" i="4"/>
  <c r="BZ34" i="4"/>
  <c r="BZ40" i="4"/>
  <c r="BQ34" i="4"/>
  <c r="BQ40" i="4"/>
  <c r="AX34" i="4"/>
  <c r="AX40" i="4"/>
  <c r="AO34" i="4"/>
  <c r="AO40" i="4"/>
  <c r="M40" i="4"/>
  <c r="M34" i="4"/>
  <c r="AP44" i="8"/>
  <c r="GU43" i="8"/>
  <c r="EC43" i="8"/>
  <c r="DA43" i="8"/>
  <c r="GP34" i="4"/>
  <c r="GP40" i="4"/>
  <c r="GG34" i="4"/>
  <c r="GG40" i="4"/>
  <c r="GG46" i="8"/>
  <c r="FX34" i="4"/>
  <c r="FX40" i="4"/>
  <c r="FN34" i="4"/>
  <c r="FN40" i="4"/>
  <c r="FE34" i="4"/>
  <c r="FE40" i="4"/>
  <c r="EV34" i="4"/>
  <c r="EV40" i="4"/>
  <c r="EL40" i="4"/>
  <c r="EL34" i="4"/>
  <c r="EC40" i="4"/>
  <c r="EC34" i="4"/>
  <c r="EC46" i="8"/>
  <c r="DT40" i="4"/>
  <c r="DT34" i="4"/>
  <c r="DJ40" i="4"/>
  <c r="DJ34" i="4"/>
  <c r="DA40" i="4"/>
  <c r="DA34" i="4"/>
  <c r="CR40" i="4"/>
  <c r="CR34" i="4"/>
  <c r="CH40" i="4"/>
  <c r="CH34" i="4"/>
  <c r="BY34" i="4"/>
  <c r="BY40" i="4"/>
  <c r="BY46" i="8"/>
  <c r="BP34" i="4"/>
  <c r="BP40" i="4"/>
  <c r="BF34" i="4"/>
  <c r="BF40" i="4"/>
  <c r="AW34" i="4"/>
  <c r="AW40" i="4"/>
  <c r="AN40" i="4"/>
  <c r="AN34" i="4"/>
  <c r="AD34" i="4"/>
  <c r="AD35" i="4" s="1"/>
  <c r="AD40" i="4"/>
  <c r="L40" i="4"/>
  <c r="L34" i="4"/>
  <c r="CF43" i="8"/>
  <c r="BD43" i="8"/>
  <c r="GO34" i="4"/>
  <c r="GO40" i="4"/>
  <c r="GF34" i="4"/>
  <c r="GF40" i="4"/>
  <c r="FM34" i="4"/>
  <c r="FM40" i="4"/>
  <c r="FD34" i="4"/>
  <c r="FD40" i="4"/>
  <c r="EK40" i="4"/>
  <c r="EK34" i="4"/>
  <c r="EB40" i="4"/>
  <c r="EB34" i="4"/>
  <c r="DI34" i="4"/>
  <c r="DI40" i="4"/>
  <c r="CZ34" i="4"/>
  <c r="CZ40" i="4"/>
  <c r="CG34" i="4"/>
  <c r="CG40" i="4"/>
  <c r="BX40" i="4"/>
  <c r="BX34" i="4"/>
  <c r="BE40" i="4"/>
  <c r="BE34" i="4"/>
  <c r="AV40" i="4"/>
  <c r="AV34" i="4"/>
  <c r="AC34" i="4"/>
  <c r="AC35" i="4" s="1"/>
  <c r="AC40" i="4"/>
  <c r="FZ43" i="8"/>
  <c r="EJ43" i="8"/>
  <c r="DH43" i="8"/>
  <c r="GW40" i="4"/>
  <c r="GW34" i="4"/>
  <c r="GN40" i="4"/>
  <c r="GN34" i="4"/>
  <c r="GE40" i="4"/>
  <c r="GE34" i="4"/>
  <c r="FU40" i="4"/>
  <c r="FU34" i="4"/>
  <c r="FL40" i="4"/>
  <c r="FL34" i="4"/>
  <c r="FL46" i="8"/>
  <c r="FC40" i="4"/>
  <c r="FC34" i="4"/>
  <c r="ES40" i="4"/>
  <c r="ES34" i="4"/>
  <c r="EJ40" i="4"/>
  <c r="EJ34" i="4"/>
  <c r="EA40" i="4"/>
  <c r="EA34" i="4"/>
  <c r="DQ40" i="4"/>
  <c r="DQ34" i="4"/>
  <c r="DH34" i="4"/>
  <c r="DH40" i="4"/>
  <c r="CY34" i="4"/>
  <c r="CY40" i="4"/>
  <c r="CO34" i="4"/>
  <c r="CO40" i="4"/>
  <c r="CF34" i="4"/>
  <c r="CF40" i="4"/>
  <c r="CF46" i="8"/>
  <c r="BW40" i="4"/>
  <c r="BW34" i="4"/>
  <c r="BM40" i="4"/>
  <c r="BM34" i="4"/>
  <c r="BD40" i="4"/>
  <c r="BD34" i="4"/>
  <c r="AU40" i="4"/>
  <c r="AU34" i="4"/>
  <c r="AK40" i="4"/>
  <c r="AK34" i="4"/>
  <c r="AK35" i="4" s="1"/>
  <c r="AB40" i="4"/>
  <c r="AB34" i="4"/>
  <c r="AB35" i="4" s="1"/>
  <c r="FS45" i="8"/>
  <c r="CM43" i="8"/>
  <c r="BK43" i="8"/>
  <c r="AI43" i="8"/>
  <c r="W40" i="4"/>
  <c r="W34" i="4"/>
  <c r="W35" i="4" s="1"/>
  <c r="V34" i="4"/>
  <c r="V35" i="4" s="1"/>
  <c r="V40" i="4"/>
  <c r="U34" i="4"/>
  <c r="U35" i="4" s="1"/>
  <c r="U40" i="4"/>
  <c r="AB43" i="8"/>
  <c r="T40" i="4"/>
  <c r="T34" i="4"/>
  <c r="T35" i="4" s="1"/>
  <c r="S40" i="4"/>
  <c r="S34" i="4"/>
  <c r="S35" i="4" s="1"/>
  <c r="HB45" i="8"/>
  <c r="GG44" i="8"/>
  <c r="EX45" i="8"/>
  <c r="EC44" i="8"/>
  <c r="CT45" i="8"/>
  <c r="BY44" i="8"/>
  <c r="AP45" i="8"/>
  <c r="HB44" i="8"/>
  <c r="GG45" i="8"/>
  <c r="FL44" i="8"/>
  <c r="EC45" i="8"/>
  <c r="DH44" i="8"/>
  <c r="BY45" i="8"/>
  <c r="BD44" i="8"/>
  <c r="GU44" i="8"/>
  <c r="FL45" i="8"/>
  <c r="EQ44" i="8"/>
  <c r="DH45" i="8"/>
  <c r="CM44" i="8"/>
  <c r="BD45" i="8"/>
  <c r="AI44" i="8"/>
  <c r="GU45" i="8"/>
  <c r="FZ44" i="8"/>
  <c r="EQ45" i="8"/>
  <c r="DV44" i="8"/>
  <c r="DH46" i="8"/>
  <c r="CM45" i="8"/>
  <c r="BR44" i="8"/>
  <c r="BD46" i="8"/>
  <c r="AI45" i="8"/>
  <c r="GN46" i="8"/>
  <c r="EJ46" i="8"/>
  <c r="AB46" i="8"/>
  <c r="GU46" i="8"/>
  <c r="FZ45" i="8"/>
  <c r="FE44" i="8"/>
  <c r="EQ46" i="8"/>
  <c r="DV45" i="8"/>
  <c r="DA44" i="8"/>
  <c r="CM46" i="8"/>
  <c r="BR45" i="8"/>
  <c r="AW44" i="8"/>
  <c r="AI46" i="8"/>
  <c r="GN44" i="8"/>
  <c r="FZ46" i="8"/>
  <c r="FE45" i="8"/>
  <c r="EJ44" i="8"/>
  <c r="DV46" i="8"/>
  <c r="DA45" i="8"/>
  <c r="CF44" i="8"/>
  <c r="BR46" i="8"/>
  <c r="AW45" i="8"/>
  <c r="AB44" i="8"/>
  <c r="HB46" i="8"/>
  <c r="GN45" i="8"/>
  <c r="FS44" i="8"/>
  <c r="FE46" i="8"/>
  <c r="EJ45" i="8"/>
  <c r="DO44" i="8"/>
  <c r="DA46" i="8"/>
  <c r="CF45" i="8"/>
  <c r="BK44" i="8"/>
  <c r="AW46" i="8"/>
  <c r="AB45" i="8"/>
  <c r="E34" i="4"/>
  <c r="H15" i="4"/>
  <c r="U43" i="8"/>
  <c r="N45" i="8"/>
  <c r="N43" i="8"/>
  <c r="U44" i="8"/>
  <c r="I34" i="4"/>
  <c r="U46" i="8"/>
  <c r="H34" i="4"/>
  <c r="N44" i="8"/>
  <c r="F34" i="4"/>
  <c r="N46" i="8"/>
  <c r="G40" i="4"/>
  <c r="G31" i="4"/>
  <c r="U45" i="8"/>
  <c r="DH42" i="8"/>
  <c r="DV42" i="8"/>
  <c r="EX42" i="8"/>
  <c r="AI42" i="8"/>
  <c r="BK42" i="8"/>
  <c r="DO42" i="8"/>
  <c r="EQ42" i="8"/>
  <c r="FS42" i="8"/>
  <c r="BD42" i="8"/>
  <c r="CF42" i="8"/>
  <c r="FL42" i="8"/>
  <c r="GU42" i="8"/>
  <c r="EJ42" i="8"/>
  <c r="AW42" i="8"/>
  <c r="BY42" i="8"/>
  <c r="GN42" i="8"/>
  <c r="FE42" i="8"/>
  <c r="N42" i="8"/>
  <c r="AP42" i="8"/>
  <c r="EC42" i="8"/>
  <c r="BR42" i="8"/>
  <c r="CT42" i="8"/>
  <c r="GG42" i="8"/>
  <c r="CM42" i="8"/>
  <c r="DA42" i="8"/>
  <c r="FZ42" i="8"/>
  <c r="HB42" i="8"/>
  <c r="HB43" i="8"/>
  <c r="AB42" i="8"/>
  <c r="U42" i="8"/>
  <c r="W45" i="6"/>
  <c r="X45" i="6"/>
  <c r="GB45" i="6"/>
  <c r="GG45" i="6" s="1"/>
  <c r="P45" i="6"/>
  <c r="U45" i="6" s="1"/>
  <c r="DX45" i="6"/>
  <c r="EC45" i="6" s="1"/>
  <c r="GJ45" i="6"/>
  <c r="GN45" i="6" s="1"/>
  <c r="AK45" i="6"/>
  <c r="AP45" i="6" s="1"/>
  <c r="CO45" i="6"/>
  <c r="ES45" i="6"/>
  <c r="EX45" i="6" s="1"/>
  <c r="GW45" i="6"/>
  <c r="HB45" i="6" s="1"/>
  <c r="AD45" i="6"/>
  <c r="AI45" i="6" s="1"/>
  <c r="CH45" i="6"/>
  <c r="CM45" i="6" s="1"/>
  <c r="EL45" i="6"/>
  <c r="EQ45" i="6" s="1"/>
  <c r="GP45" i="6"/>
  <c r="GU45" i="6" s="1"/>
  <c r="BI44" i="7"/>
  <c r="AC44" i="7"/>
  <c r="BH44" i="7"/>
  <c r="BG44" i="7"/>
  <c r="BF44" i="7"/>
  <c r="BE44" i="7"/>
  <c r="BC44" i="7"/>
  <c r="BB44" i="7"/>
  <c r="BA44" i="7"/>
  <c r="AZ44" i="7"/>
  <c r="AY44" i="7"/>
  <c r="AX44" i="7"/>
  <c r="AV44" i="7"/>
  <c r="AU44" i="7"/>
  <c r="AT44" i="7"/>
  <c r="AS44" i="7"/>
  <c r="AQ44" i="7"/>
  <c r="AO44" i="7"/>
  <c r="AN44" i="7"/>
  <c r="AM44" i="7"/>
  <c r="AL44" i="7"/>
  <c r="AK44" i="7"/>
  <c r="AJ44" i="7"/>
  <c r="AH44" i="7"/>
  <c r="AG44" i="7"/>
  <c r="AF44" i="7"/>
  <c r="AE44" i="7"/>
  <c r="AA44" i="7"/>
  <c r="Z44" i="7"/>
  <c r="Y44" i="7"/>
  <c r="X44" i="7"/>
  <c r="V44" i="7"/>
  <c r="T44" i="7"/>
  <c r="S44" i="7"/>
  <c r="R44" i="7"/>
  <c r="Q44" i="7"/>
  <c r="O44" i="7"/>
  <c r="M44" i="7"/>
  <c r="L44" i="7"/>
  <c r="K44" i="7"/>
  <c r="I44" i="7"/>
  <c r="BJ42" i="7"/>
  <c r="BI42" i="7"/>
  <c r="BH42" i="7"/>
  <c r="BG42" i="7"/>
  <c r="BF42" i="7"/>
  <c r="BE42" i="7"/>
  <c r="BC42" i="7"/>
  <c r="BB42" i="7"/>
  <c r="BA42" i="7"/>
  <c r="AZ42" i="7"/>
  <c r="AY42" i="7"/>
  <c r="AX42" i="7"/>
  <c r="AV42" i="7"/>
  <c r="AU42" i="7"/>
  <c r="AT42" i="7"/>
  <c r="AS42" i="7"/>
  <c r="AR42" i="7"/>
  <c r="AQ42" i="7"/>
  <c r="AO42" i="7"/>
  <c r="AN42" i="7"/>
  <c r="AM42" i="7"/>
  <c r="AL42" i="7"/>
  <c r="AK42" i="7"/>
  <c r="AJ42" i="7"/>
  <c r="AH42" i="7"/>
  <c r="AG42" i="7"/>
  <c r="AF42" i="7"/>
  <c r="AE42" i="7"/>
  <c r="AD42" i="7"/>
  <c r="AC42" i="7"/>
  <c r="AA42" i="7"/>
  <c r="Z42" i="7"/>
  <c r="Y42" i="7"/>
  <c r="X42" i="7"/>
  <c r="W42" i="7"/>
  <c r="V42" i="7"/>
  <c r="T42" i="7"/>
  <c r="S42" i="7"/>
  <c r="R42" i="7"/>
  <c r="Q42" i="7"/>
  <c r="P42" i="7"/>
  <c r="O42" i="7"/>
  <c r="M42" i="7"/>
  <c r="L42" i="7"/>
  <c r="K42" i="7"/>
  <c r="J42" i="7"/>
  <c r="I42" i="7"/>
  <c r="GW2" i="7"/>
  <c r="HB41" i="7" s="1"/>
  <c r="GP2" i="7"/>
  <c r="GU41" i="7" s="1"/>
  <c r="GI2" i="7"/>
  <c r="GN41" i="7" s="1"/>
  <c r="GB2" i="7"/>
  <c r="GG41" i="7" s="1"/>
  <c r="FU2" i="7"/>
  <c r="FZ41" i="7" s="1"/>
  <c r="FN2" i="7"/>
  <c r="FS41" i="7" s="1"/>
  <c r="FG2" i="7"/>
  <c r="FL41" i="7" s="1"/>
  <c r="EZ2" i="7"/>
  <c r="FE41" i="7" s="1"/>
  <c r="ES2" i="7"/>
  <c r="EX41" i="7" s="1"/>
  <c r="EL2" i="7"/>
  <c r="EQ41" i="7" s="1"/>
  <c r="EE2" i="7"/>
  <c r="EJ41" i="7" s="1"/>
  <c r="DX2" i="7"/>
  <c r="EC41" i="7" s="1"/>
  <c r="DQ2" i="7"/>
  <c r="DV41" i="7" s="1"/>
  <c r="DJ2" i="7"/>
  <c r="DO41" i="7" s="1"/>
  <c r="DC2" i="7"/>
  <c r="DH41" i="7" s="1"/>
  <c r="CV2" i="7"/>
  <c r="DA41" i="7" s="1"/>
  <c r="CO2" i="7"/>
  <c r="CT41" i="7" s="1"/>
  <c r="CH2" i="7"/>
  <c r="CM41" i="7" s="1"/>
  <c r="CA2" i="7"/>
  <c r="CF41" i="7" s="1"/>
  <c r="BT2" i="7"/>
  <c r="BY41" i="7" s="1"/>
  <c r="BM2" i="7"/>
  <c r="BR41" i="7" s="1"/>
  <c r="BF2" i="7"/>
  <c r="BK41" i="7" s="1"/>
  <c r="AY2" i="7"/>
  <c r="BD41" i="7" s="1"/>
  <c r="AR2" i="7"/>
  <c r="AW41" i="7" s="1"/>
  <c r="AK2" i="7"/>
  <c r="AP41" i="7" s="1"/>
  <c r="AD2" i="7"/>
  <c r="AI41" i="7" s="1"/>
  <c r="W2" i="7"/>
  <c r="AB41" i="7" s="1"/>
  <c r="P2" i="7"/>
  <c r="U41" i="7" s="1"/>
  <c r="I2" i="7"/>
  <c r="N41" i="7" s="1"/>
  <c r="GW2" i="6"/>
  <c r="GP2" i="6"/>
  <c r="GI2" i="6"/>
  <c r="GB2" i="6"/>
  <c r="FU2" i="6"/>
  <c r="FN2" i="6"/>
  <c r="FG2" i="6"/>
  <c r="EZ2" i="6"/>
  <c r="ES2" i="6"/>
  <c r="EL2" i="6"/>
  <c r="EE2" i="6"/>
  <c r="DX2" i="6"/>
  <c r="DQ2" i="6"/>
  <c r="DJ2" i="6"/>
  <c r="DC2" i="6"/>
  <c r="CV2" i="6"/>
  <c r="CO2" i="6"/>
  <c r="CH2" i="6"/>
  <c r="CA2" i="6"/>
  <c r="BT2" i="6"/>
  <c r="BM2" i="6"/>
  <c r="BF2" i="6"/>
  <c r="AY2" i="6"/>
  <c r="AR2" i="6"/>
  <c r="AK2" i="6"/>
  <c r="AD2" i="6"/>
  <c r="W2" i="6"/>
  <c r="P2" i="6"/>
  <c r="I2" i="6"/>
  <c r="Q49" i="5"/>
  <c r="V49" i="5"/>
  <c r="W49" i="5"/>
  <c r="X49" i="5"/>
  <c r="J46" i="5"/>
  <c r="K46" i="5"/>
  <c r="L46" i="5"/>
  <c r="M46" i="5"/>
  <c r="O46" i="5"/>
  <c r="P46" i="5"/>
  <c r="Q46" i="5"/>
  <c r="R46" i="5"/>
  <c r="S46" i="5"/>
  <c r="T46" i="5"/>
  <c r="V46" i="5"/>
  <c r="W46" i="5"/>
  <c r="X46" i="5"/>
  <c r="J49" i="5"/>
  <c r="K49" i="5"/>
  <c r="L49" i="5"/>
  <c r="M49" i="5"/>
  <c r="O49" i="5"/>
  <c r="T59" i="3"/>
  <c r="S59" i="3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K4" i="1"/>
  <c r="I49" i="5"/>
  <c r="GW2" i="5"/>
  <c r="HB45" i="5" s="1"/>
  <c r="GP2" i="5"/>
  <c r="GU45" i="5" s="1"/>
  <c r="GI2" i="5"/>
  <c r="GN45" i="5" s="1"/>
  <c r="GB2" i="5"/>
  <c r="GG45" i="5" s="1"/>
  <c r="FU2" i="5"/>
  <c r="FZ45" i="5" s="1"/>
  <c r="FN2" i="5"/>
  <c r="FS45" i="5" s="1"/>
  <c r="FG2" i="5"/>
  <c r="FL45" i="5" s="1"/>
  <c r="EZ2" i="5"/>
  <c r="FE45" i="5" s="1"/>
  <c r="ES2" i="5"/>
  <c r="EX45" i="5" s="1"/>
  <c r="EL2" i="5"/>
  <c r="EQ45" i="5" s="1"/>
  <c r="EE2" i="5"/>
  <c r="EJ45" i="5" s="1"/>
  <c r="DX2" i="5"/>
  <c r="EC45" i="5" s="1"/>
  <c r="DQ2" i="5"/>
  <c r="DV45" i="5" s="1"/>
  <c r="DJ2" i="5"/>
  <c r="DO45" i="5" s="1"/>
  <c r="DC2" i="5"/>
  <c r="DH45" i="5" s="1"/>
  <c r="CV2" i="5"/>
  <c r="DA45" i="5" s="1"/>
  <c r="CO2" i="5"/>
  <c r="CT45" i="5" s="1"/>
  <c r="CH2" i="5"/>
  <c r="CM45" i="5" s="1"/>
  <c r="CA2" i="5"/>
  <c r="CF45" i="5" s="1"/>
  <c r="BT2" i="5"/>
  <c r="BY45" i="5" s="1"/>
  <c r="BM2" i="5"/>
  <c r="BF2" i="5"/>
  <c r="BD45" i="5" s="1"/>
  <c r="AY2" i="5"/>
  <c r="AW45" i="5" s="1"/>
  <c r="AR2" i="5"/>
  <c r="AP45" i="5" s="1"/>
  <c r="AK2" i="5"/>
  <c r="AI45" i="5" s="1"/>
  <c r="AD2" i="5"/>
  <c r="AB45" i="5" s="1"/>
  <c r="W2" i="5"/>
  <c r="U45" i="5" s="1"/>
  <c r="P2" i="5"/>
  <c r="N45" i="5" s="1"/>
  <c r="GY2" i="1"/>
  <c r="GR2" i="1"/>
  <c r="GK2" i="1"/>
  <c r="GD2" i="1"/>
  <c r="FW2" i="1"/>
  <c r="FP2" i="1"/>
  <c r="FI2" i="1"/>
  <c r="FB2" i="1"/>
  <c r="EU2" i="1"/>
  <c r="EN2" i="1"/>
  <c r="EG2" i="1"/>
  <c r="R2" i="1"/>
  <c r="Y2" i="1"/>
  <c r="AF2" i="1"/>
  <c r="DZ2" i="1"/>
  <c r="DS2" i="1"/>
  <c r="DL2" i="1"/>
  <c r="DE2" i="1"/>
  <c r="CX2" i="1"/>
  <c r="CQ2" i="1"/>
  <c r="CJ2" i="1"/>
  <c r="CC2" i="1"/>
  <c r="BV2" i="1"/>
  <c r="BO2" i="1"/>
  <c r="BH2" i="1"/>
  <c r="BA2" i="1"/>
  <c r="AT2" i="1"/>
  <c r="AM2" i="1"/>
  <c r="E5" i="1"/>
  <c r="E6" i="1"/>
  <c r="BK42" i="7" l="1"/>
  <c r="DG21" i="9"/>
  <c r="DJ21" i="9"/>
  <c r="AN17" i="4"/>
  <c r="AR21" i="9"/>
  <c r="BR45" i="5"/>
  <c r="BK45" i="5"/>
  <c r="AB46" i="5"/>
  <c r="AB49" i="5"/>
  <c r="FM20" i="4"/>
  <c r="FM22" i="4" s="1"/>
  <c r="GO20" i="4"/>
  <c r="GO22" i="4" s="1"/>
  <c r="DF22" i="4"/>
  <c r="DI20" i="4"/>
  <c r="DI22" i="4" s="1"/>
  <c r="EK20" i="4"/>
  <c r="EK22" i="4" s="1"/>
  <c r="EH22" i="4"/>
  <c r="GL22" i="4"/>
  <c r="AQ15" i="4"/>
  <c r="AQ17" i="4" s="1"/>
  <c r="FT10" i="4"/>
  <c r="FT12" i="4" s="1"/>
  <c r="EO12" i="4"/>
  <c r="DJ28" i="9"/>
  <c r="DJ30" i="9" s="1"/>
  <c r="DL30" i="9" s="1"/>
  <c r="GM28" i="9"/>
  <c r="FJ22" i="4"/>
  <c r="GP30" i="9"/>
  <c r="GR30" i="9" s="1"/>
  <c r="GR28" i="9"/>
  <c r="GS28" i="9" s="1"/>
  <c r="EL30" i="9"/>
  <c r="EN30" i="9" s="1"/>
  <c r="EN28" i="9"/>
  <c r="EO28" i="9" s="1"/>
  <c r="CG20" i="4"/>
  <c r="CG22" i="4" s="1"/>
  <c r="CD22" i="4"/>
  <c r="CE28" i="9"/>
  <c r="CH30" i="9"/>
  <c r="CJ30" i="9" s="1"/>
  <c r="CJ28" i="9"/>
  <c r="CK28" i="9" s="1"/>
  <c r="EI28" i="9"/>
  <c r="CV28" i="9"/>
  <c r="CS28" i="9"/>
  <c r="W30" i="9"/>
  <c r="T28" i="9"/>
  <c r="FY28" i="9"/>
  <c r="GB28" i="9"/>
  <c r="CL28" i="9"/>
  <c r="CO28" i="9"/>
  <c r="DQ28" i="9"/>
  <c r="DN28" i="9"/>
  <c r="CA28" i="9"/>
  <c r="BX28" i="9"/>
  <c r="DU28" i="9"/>
  <c r="DX28" i="9"/>
  <c r="EP28" i="9"/>
  <c r="ES28" i="9"/>
  <c r="DC28" i="9"/>
  <c r="CZ28" i="9"/>
  <c r="EZ28" i="9"/>
  <c r="EW28" i="9"/>
  <c r="FU28" i="9"/>
  <c r="FR28" i="9"/>
  <c r="EE28" i="9"/>
  <c r="EB28" i="9"/>
  <c r="GW28" i="9"/>
  <c r="GT28" i="9"/>
  <c r="AC20" i="4"/>
  <c r="AE20" i="4" s="1"/>
  <c r="AD28" i="9"/>
  <c r="AA28" i="9"/>
  <c r="FG28" i="9"/>
  <c r="FD28" i="9"/>
  <c r="P28" i="9"/>
  <c r="P30" i="9" s="1"/>
  <c r="R30" i="9" s="1"/>
  <c r="M28" i="9"/>
  <c r="GI28" i="9"/>
  <c r="GF28" i="9"/>
  <c r="AK28" i="9"/>
  <c r="AH28" i="9"/>
  <c r="E22" i="4"/>
  <c r="I28" i="9"/>
  <c r="F28" i="9"/>
  <c r="CO21" i="9"/>
  <c r="CL21" i="9"/>
  <c r="BF21" i="9"/>
  <c r="BF23" i="9" s="1"/>
  <c r="BC21" i="9"/>
  <c r="CA21" i="9"/>
  <c r="GB21" i="9"/>
  <c r="FY21" i="9"/>
  <c r="FU21" i="9"/>
  <c r="FR21" i="9"/>
  <c r="CZ21" i="9"/>
  <c r="DC21" i="9"/>
  <c r="BT21" i="9"/>
  <c r="BQ21" i="9"/>
  <c r="AK21" i="9"/>
  <c r="AM21" i="9" s="1"/>
  <c r="AN21" i="9" s="1"/>
  <c r="AH21" i="9"/>
  <c r="CH21" i="9"/>
  <c r="CE21" i="9"/>
  <c r="EE21" i="9"/>
  <c r="EB21" i="9"/>
  <c r="GT21" i="9"/>
  <c r="GW21" i="9"/>
  <c r="FD21" i="9"/>
  <c r="FG21" i="9"/>
  <c r="CV21" i="9"/>
  <c r="CS21" i="9"/>
  <c r="AA21" i="9"/>
  <c r="AD21" i="9"/>
  <c r="BM21" i="9"/>
  <c r="BJ21" i="9"/>
  <c r="EI21" i="9"/>
  <c r="EL21" i="9"/>
  <c r="GI21" i="9"/>
  <c r="GF21" i="9"/>
  <c r="P21" i="9"/>
  <c r="P23" i="9" s="1"/>
  <c r="R23" i="9" s="1"/>
  <c r="M21" i="9"/>
  <c r="FK21" i="9"/>
  <c r="DX21" i="9"/>
  <c r="DU21" i="9"/>
  <c r="DQ21" i="9"/>
  <c r="DN21" i="9"/>
  <c r="AO21" i="9"/>
  <c r="GM21" i="9"/>
  <c r="GP21" i="9"/>
  <c r="AV21" i="9"/>
  <c r="T21" i="9"/>
  <c r="W23" i="9"/>
  <c r="EZ21" i="9"/>
  <c r="EW21" i="9"/>
  <c r="ES21" i="9"/>
  <c r="EP21" i="9"/>
  <c r="BF14" i="9"/>
  <c r="BF16" i="9" s="1"/>
  <c r="BC14" i="9"/>
  <c r="DC14" i="9"/>
  <c r="DE14" i="9" s="1"/>
  <c r="DF14" i="9" s="1"/>
  <c r="CZ14" i="9"/>
  <c r="BT14" i="9"/>
  <c r="BQ14" i="9"/>
  <c r="GV10" i="4"/>
  <c r="GV12" i="4" s="1"/>
  <c r="GT14" i="9"/>
  <c r="GW14" i="9"/>
  <c r="GY14" i="9" s="1"/>
  <c r="GZ14" i="9" s="1"/>
  <c r="CH14" i="9"/>
  <c r="CJ14" i="9" s="1"/>
  <c r="CK14" i="9" s="1"/>
  <c r="CE14" i="9"/>
  <c r="EE14" i="9"/>
  <c r="EG14" i="9" s="1"/>
  <c r="EH14" i="9" s="1"/>
  <c r="EB14" i="9"/>
  <c r="CS14" i="9"/>
  <c r="CV14" i="9"/>
  <c r="CX14" i="9" s="1"/>
  <c r="CY14" i="9" s="1"/>
  <c r="BL10" i="4"/>
  <c r="BL12" i="4" s="1"/>
  <c r="BJ14" i="9"/>
  <c r="BM14" i="9"/>
  <c r="DG14" i="9"/>
  <c r="DJ14" i="9"/>
  <c r="DL14" i="9" s="1"/>
  <c r="DM14" i="9" s="1"/>
  <c r="FG14" i="9"/>
  <c r="FI14" i="9" s="1"/>
  <c r="FJ14" i="9" s="1"/>
  <c r="FD14" i="9"/>
  <c r="DU14" i="9"/>
  <c r="DZ14" i="9"/>
  <c r="EA14" i="9" s="1"/>
  <c r="CN10" i="4"/>
  <c r="CN12" i="4" s="1"/>
  <c r="CO14" i="9"/>
  <c r="CQ14" i="9" s="1"/>
  <c r="CR14" i="9" s="1"/>
  <c r="CL14" i="9"/>
  <c r="EL14" i="9"/>
  <c r="EN14" i="9" s="1"/>
  <c r="EO14" i="9" s="1"/>
  <c r="EI14" i="9"/>
  <c r="GI14" i="9"/>
  <c r="GK14" i="9" s="1"/>
  <c r="GL14" i="9" s="1"/>
  <c r="GF14" i="9"/>
  <c r="EW14" i="9"/>
  <c r="EZ14" i="9"/>
  <c r="FB14" i="9" s="1"/>
  <c r="FC14" i="9" s="1"/>
  <c r="DM12" i="4"/>
  <c r="DQ14" i="9"/>
  <c r="DS14" i="9" s="1"/>
  <c r="DT14" i="9" s="1"/>
  <c r="DN14" i="9"/>
  <c r="FK14" i="9"/>
  <c r="FP14" i="9"/>
  <c r="FQ14" i="9" s="1"/>
  <c r="FY14" i="9"/>
  <c r="GB14" i="9"/>
  <c r="GD14" i="9" s="1"/>
  <c r="GE14" i="9" s="1"/>
  <c r="ES14" i="9"/>
  <c r="EU14" i="9" s="1"/>
  <c r="EV14" i="9" s="1"/>
  <c r="EP14" i="9"/>
  <c r="GP14" i="9"/>
  <c r="GR14" i="9" s="1"/>
  <c r="GS14" i="9" s="1"/>
  <c r="GM14" i="9"/>
  <c r="M14" i="9"/>
  <c r="P14" i="9"/>
  <c r="R14" i="9" s="1"/>
  <c r="S14" i="9" s="1"/>
  <c r="S7" i="9" s="1"/>
  <c r="FU14" i="9"/>
  <c r="FW14" i="9" s="1"/>
  <c r="FX14" i="9" s="1"/>
  <c r="FR14" i="9"/>
  <c r="AV14" i="9"/>
  <c r="BX14" i="9"/>
  <c r="CA14" i="9"/>
  <c r="CC14" i="9" s="1"/>
  <c r="CD14" i="9" s="1"/>
  <c r="T14" i="9"/>
  <c r="Y14" i="9"/>
  <c r="Z14" i="9" s="1"/>
  <c r="Z7" i="9" s="1"/>
  <c r="E12" i="4"/>
  <c r="I14" i="9"/>
  <c r="F14" i="9"/>
  <c r="BE20" i="4"/>
  <c r="BE22" i="4" s="1"/>
  <c r="BB22" i="4"/>
  <c r="BC28" i="9"/>
  <c r="BT28" i="9"/>
  <c r="BV28" i="9" s="1"/>
  <c r="BW28" i="9" s="1"/>
  <c r="BQ28" i="9"/>
  <c r="BJ28" i="9"/>
  <c r="BM28" i="9"/>
  <c r="BO28" i="9" s="1"/>
  <c r="BP28" i="9" s="1"/>
  <c r="BF30" i="9"/>
  <c r="AV28" i="9"/>
  <c r="BA28" i="9"/>
  <c r="BB28" i="9" s="1"/>
  <c r="AO28" i="9"/>
  <c r="CC36" i="9"/>
  <c r="CC37" i="9" s="1"/>
  <c r="CB28" i="4"/>
  <c r="CB29" i="4" s="1"/>
  <c r="DE49" i="9"/>
  <c r="DE42" i="9"/>
  <c r="DE43" i="9" s="1"/>
  <c r="DD40" i="4"/>
  <c r="DD41" i="4" s="1"/>
  <c r="DD34" i="4"/>
  <c r="DD35" i="4" s="1"/>
  <c r="GD36" i="9"/>
  <c r="GD37" i="9" s="1"/>
  <c r="GC28" i="4"/>
  <c r="GC29" i="4" s="1"/>
  <c r="AM36" i="9"/>
  <c r="AM37" i="9" s="1"/>
  <c r="AL28" i="4"/>
  <c r="AL29" i="4" s="1"/>
  <c r="BO39" i="9"/>
  <c r="BO40" i="9" s="1"/>
  <c r="BN31" i="4"/>
  <c r="BN32" i="4" s="1"/>
  <c r="GY39" i="9"/>
  <c r="GY40" i="9" s="1"/>
  <c r="GX31" i="4"/>
  <c r="GX32" i="4" s="1"/>
  <c r="Y39" i="9"/>
  <c r="Y40" i="9" s="1"/>
  <c r="X31" i="4"/>
  <c r="X32" i="4" s="1"/>
  <c r="Q31" i="4"/>
  <c r="Q32" i="4" s="1"/>
  <c r="R39" i="9"/>
  <c r="R40" i="9" s="1"/>
  <c r="AT49" i="9"/>
  <c r="AT42" i="9"/>
  <c r="AT43" i="9" s="1"/>
  <c r="AS34" i="4"/>
  <c r="AS35" i="4" s="1"/>
  <c r="AS40" i="4"/>
  <c r="AS41" i="4" s="1"/>
  <c r="GK39" i="9"/>
  <c r="GK40" i="9" s="1"/>
  <c r="GJ31" i="4"/>
  <c r="GJ32" i="4" s="1"/>
  <c r="EG36" i="9"/>
  <c r="EG37" i="9" s="1"/>
  <c r="EF28" i="4"/>
  <c r="EF29" i="4" s="1"/>
  <c r="CX36" i="9"/>
  <c r="CX37" i="9" s="1"/>
  <c r="CW28" i="4"/>
  <c r="CW29" i="4" s="1"/>
  <c r="GK49" i="9"/>
  <c r="GK42" i="9"/>
  <c r="GK43" i="9" s="1"/>
  <c r="GJ34" i="4"/>
  <c r="GJ35" i="4" s="1"/>
  <c r="GJ40" i="4"/>
  <c r="GJ41" i="4" s="1"/>
  <c r="FW36" i="9"/>
  <c r="FW37" i="9" s="1"/>
  <c r="FV28" i="4"/>
  <c r="FV29" i="4" s="1"/>
  <c r="GR36" i="9"/>
  <c r="GR37" i="9" s="1"/>
  <c r="GQ28" i="4"/>
  <c r="GQ29" i="4" s="1"/>
  <c r="AM39" i="9"/>
  <c r="AM40" i="9" s="1"/>
  <c r="AL31" i="4"/>
  <c r="AL32" i="4" s="1"/>
  <c r="DZ42" i="9"/>
  <c r="DZ43" i="9" s="1"/>
  <c r="DZ49" i="9"/>
  <c r="DY34" i="4"/>
  <c r="DY35" i="4" s="1"/>
  <c r="DY40" i="4"/>
  <c r="DY41" i="4" s="1"/>
  <c r="EU49" i="9"/>
  <c r="EU42" i="9"/>
  <c r="EU43" i="9" s="1"/>
  <c r="ET40" i="4"/>
  <c r="ET41" i="4" s="1"/>
  <c r="ET34" i="4"/>
  <c r="ET35" i="4" s="1"/>
  <c r="FP49" i="9"/>
  <c r="FP42" i="9"/>
  <c r="FP43" i="9" s="1"/>
  <c r="FO34" i="4"/>
  <c r="FO35" i="4" s="1"/>
  <c r="FO40" i="4"/>
  <c r="FO41" i="4" s="1"/>
  <c r="AT36" i="9"/>
  <c r="AT37" i="9" s="1"/>
  <c r="AS28" i="4"/>
  <c r="AS29" i="4" s="1"/>
  <c r="DE39" i="9"/>
  <c r="DE40" i="9" s="1"/>
  <c r="DD31" i="4"/>
  <c r="DD32" i="4" s="1"/>
  <c r="FP39" i="9"/>
  <c r="FP40" i="9" s="1"/>
  <c r="FO31" i="4"/>
  <c r="FO32" i="4" s="1"/>
  <c r="FI49" i="9"/>
  <c r="FI42" i="9"/>
  <c r="FI43" i="9" s="1"/>
  <c r="FH34" i="4"/>
  <c r="FH35" i="4" s="1"/>
  <c r="FH40" i="4"/>
  <c r="FH41" i="4" s="1"/>
  <c r="Y49" i="9"/>
  <c r="Y42" i="9"/>
  <c r="Y43" i="9" s="1"/>
  <c r="X40" i="4"/>
  <c r="X41" i="4" s="1"/>
  <c r="X34" i="4"/>
  <c r="X35" i="4" s="1"/>
  <c r="GD39" i="9"/>
  <c r="GD40" i="9" s="1"/>
  <c r="GC31" i="4"/>
  <c r="GC32" i="4" s="1"/>
  <c r="AM49" i="9"/>
  <c r="AM42" i="9"/>
  <c r="AM43" i="9" s="1"/>
  <c r="AL34" i="4"/>
  <c r="AL35" i="4" s="1"/>
  <c r="AL40" i="4"/>
  <c r="AL41" i="4" s="1"/>
  <c r="FP36" i="9"/>
  <c r="FP37" i="9" s="1"/>
  <c r="FO28" i="4"/>
  <c r="FO29" i="4" s="1"/>
  <c r="CJ49" i="9"/>
  <c r="CJ42" i="9"/>
  <c r="CJ43" i="9" s="1"/>
  <c r="CI40" i="4"/>
  <c r="CI41" i="4" s="1"/>
  <c r="CI34" i="4"/>
  <c r="CI35" i="4" s="1"/>
  <c r="EN39" i="9"/>
  <c r="EN40" i="9" s="1"/>
  <c r="EM31" i="4"/>
  <c r="EM32" i="4" s="1"/>
  <c r="GY36" i="9"/>
  <c r="GY37" i="9" s="1"/>
  <c r="GX28" i="4"/>
  <c r="GX29" i="4" s="1"/>
  <c r="Q28" i="4"/>
  <c r="Q29" i="4" s="1"/>
  <c r="R36" i="9"/>
  <c r="R37" i="9" s="1"/>
  <c r="BH36" i="9"/>
  <c r="BH37" i="9" s="1"/>
  <c r="BG28" i="4"/>
  <c r="BG29" i="4" s="1"/>
  <c r="GY49" i="9"/>
  <c r="GY42" i="9"/>
  <c r="GY43" i="9" s="1"/>
  <c r="GX34" i="4"/>
  <c r="GX35" i="4" s="1"/>
  <c r="GX40" i="4"/>
  <c r="GX41" i="4" s="1"/>
  <c r="FB39" i="9"/>
  <c r="FB40" i="9" s="1"/>
  <c r="FA31" i="4"/>
  <c r="FA32" i="4" s="1"/>
  <c r="DS39" i="9"/>
  <c r="DS40" i="9" s="1"/>
  <c r="DR31" i="4"/>
  <c r="DR32" i="4" s="1"/>
  <c r="AF39" i="9"/>
  <c r="AF40" i="9" s="1"/>
  <c r="AE31" i="4"/>
  <c r="AE32" i="4" s="1"/>
  <c r="GR39" i="9"/>
  <c r="GR40" i="9" s="1"/>
  <c r="GQ31" i="4"/>
  <c r="GQ32" i="4" s="1"/>
  <c r="BA36" i="9"/>
  <c r="BA37" i="9" s="1"/>
  <c r="AZ28" i="4"/>
  <c r="AZ29" i="4" s="1"/>
  <c r="BV36" i="9"/>
  <c r="BV37" i="9" s="1"/>
  <c r="BU28" i="4"/>
  <c r="BU29" i="4" s="1"/>
  <c r="BH39" i="9"/>
  <c r="BH40" i="9" s="1"/>
  <c r="BG31" i="4"/>
  <c r="BG32" i="4" s="1"/>
  <c r="FI39" i="9"/>
  <c r="FI40" i="9" s="1"/>
  <c r="FH31" i="4"/>
  <c r="FH32" i="4" s="1"/>
  <c r="Y36" i="9"/>
  <c r="Y37" i="9" s="1"/>
  <c r="X28" i="4"/>
  <c r="X29" i="4" s="1"/>
  <c r="BA49" i="9"/>
  <c r="BA42" i="9"/>
  <c r="BA43" i="9" s="1"/>
  <c r="AZ40" i="4"/>
  <c r="AZ41" i="4" s="1"/>
  <c r="AZ34" i="4"/>
  <c r="AZ35" i="4" s="1"/>
  <c r="CQ39" i="9"/>
  <c r="CQ40" i="9" s="1"/>
  <c r="CP31" i="4"/>
  <c r="CP32" i="4" s="1"/>
  <c r="CC49" i="9"/>
  <c r="CC42" i="9"/>
  <c r="CC43" i="9" s="1"/>
  <c r="CB34" i="4"/>
  <c r="CB35" i="4" s="1"/>
  <c r="CB40" i="4"/>
  <c r="CB41" i="4" s="1"/>
  <c r="J28" i="4"/>
  <c r="J29" i="4" s="1"/>
  <c r="K36" i="9"/>
  <c r="K37" i="9" s="1"/>
  <c r="GR49" i="9"/>
  <c r="GR42" i="9"/>
  <c r="GR43" i="9" s="1"/>
  <c r="GQ40" i="4"/>
  <c r="GQ41" i="4" s="1"/>
  <c r="GQ34" i="4"/>
  <c r="GQ35" i="4" s="1"/>
  <c r="FB42" i="9"/>
  <c r="FB43" i="9" s="1"/>
  <c r="FB49" i="9"/>
  <c r="FA34" i="4"/>
  <c r="FA35" i="4" s="1"/>
  <c r="FA40" i="4"/>
  <c r="FA41" i="4" s="1"/>
  <c r="DS36" i="9"/>
  <c r="DS37" i="9" s="1"/>
  <c r="DR28" i="4"/>
  <c r="DR29" i="4" s="1"/>
  <c r="CQ36" i="9"/>
  <c r="CQ37" i="9" s="1"/>
  <c r="CP28" i="4"/>
  <c r="CP29" i="4" s="1"/>
  <c r="BH49" i="9"/>
  <c r="BH42" i="9"/>
  <c r="BH43" i="9" s="1"/>
  <c r="BG40" i="4"/>
  <c r="BG41" i="4" s="1"/>
  <c r="BG34" i="4"/>
  <c r="BG35" i="4" s="1"/>
  <c r="R42" i="9"/>
  <c r="R43" i="9" s="1"/>
  <c r="R49" i="9"/>
  <c r="DS49" i="9"/>
  <c r="DS42" i="9"/>
  <c r="DS43" i="9" s="1"/>
  <c r="DR40" i="4"/>
  <c r="DR41" i="4" s="1"/>
  <c r="DR34" i="4"/>
  <c r="DR35" i="4" s="1"/>
  <c r="EG49" i="9"/>
  <c r="EG42" i="9"/>
  <c r="EG43" i="9" s="1"/>
  <c r="EF34" i="4"/>
  <c r="EF35" i="4" s="1"/>
  <c r="EF40" i="4"/>
  <c r="EF41" i="4" s="1"/>
  <c r="FW49" i="9"/>
  <c r="FW42" i="9"/>
  <c r="FW43" i="9" s="1"/>
  <c r="FV40" i="4"/>
  <c r="FV41" i="4" s="1"/>
  <c r="FV34" i="4"/>
  <c r="FV35" i="4" s="1"/>
  <c r="AF36" i="9"/>
  <c r="AF37" i="9" s="1"/>
  <c r="AE28" i="4"/>
  <c r="AE29" i="4" s="1"/>
  <c r="K49" i="9"/>
  <c r="K42" i="9"/>
  <c r="K43" i="9" s="1"/>
  <c r="J31" i="4"/>
  <c r="J32" i="4" s="1"/>
  <c r="K39" i="9"/>
  <c r="K40" i="9" s="1"/>
  <c r="CX42" i="9"/>
  <c r="CX43" i="9" s="1"/>
  <c r="CX49" i="9"/>
  <c r="CW34" i="4"/>
  <c r="CW35" i="4" s="1"/>
  <c r="CW40" i="4"/>
  <c r="CW41" i="4" s="1"/>
  <c r="AT39" i="9"/>
  <c r="AT40" i="9" s="1"/>
  <c r="AS31" i="4"/>
  <c r="AS32" i="4" s="1"/>
  <c r="GK36" i="9"/>
  <c r="GK37" i="9" s="1"/>
  <c r="GJ28" i="4"/>
  <c r="GJ29" i="4" s="1"/>
  <c r="FB36" i="9"/>
  <c r="FB37" i="9" s="1"/>
  <c r="FA28" i="4"/>
  <c r="FA29" i="4" s="1"/>
  <c r="BO36" i="9"/>
  <c r="BO37" i="9" s="1"/>
  <c r="BN28" i="4"/>
  <c r="BN29" i="4" s="1"/>
  <c r="BA39" i="9"/>
  <c r="BA40" i="9" s="1"/>
  <c r="AZ31" i="4"/>
  <c r="AZ32" i="4" s="1"/>
  <c r="DE36" i="9"/>
  <c r="DE37" i="9" s="1"/>
  <c r="DD28" i="4"/>
  <c r="DD29" i="4" s="1"/>
  <c r="DZ36" i="9"/>
  <c r="DZ37" i="9" s="1"/>
  <c r="DY28" i="4"/>
  <c r="DY29" i="4" s="1"/>
  <c r="BV42" i="9"/>
  <c r="BV43" i="9" s="1"/>
  <c r="BV49" i="9"/>
  <c r="BU34" i="4"/>
  <c r="BU35" i="4" s="1"/>
  <c r="BU40" i="4"/>
  <c r="BU41" i="4" s="1"/>
  <c r="CQ49" i="9"/>
  <c r="CQ42" i="9"/>
  <c r="CQ43" i="9" s="1"/>
  <c r="CP34" i="4"/>
  <c r="CP35" i="4" s="1"/>
  <c r="CP40" i="4"/>
  <c r="CP41" i="4" s="1"/>
  <c r="DL39" i="9"/>
  <c r="DL40" i="9" s="1"/>
  <c r="DK31" i="4"/>
  <c r="DK32" i="4" s="1"/>
  <c r="DL49" i="9"/>
  <c r="DL42" i="9"/>
  <c r="DL43" i="9" s="1"/>
  <c r="DK40" i="4"/>
  <c r="DK41" i="4" s="1"/>
  <c r="DK34" i="4"/>
  <c r="DK35" i="4" s="1"/>
  <c r="EG39" i="9"/>
  <c r="EG40" i="9" s="1"/>
  <c r="EF31" i="4"/>
  <c r="EF32" i="4" s="1"/>
  <c r="FI36" i="9"/>
  <c r="FI37" i="9" s="1"/>
  <c r="FH28" i="4"/>
  <c r="FH29" i="4" s="1"/>
  <c r="GD42" i="9"/>
  <c r="GD43" i="9" s="1"/>
  <c r="GD49" i="9"/>
  <c r="GC40" i="4"/>
  <c r="GC41" i="4" s="1"/>
  <c r="GC34" i="4"/>
  <c r="GC35" i="4" s="1"/>
  <c r="CX39" i="9"/>
  <c r="CX40" i="9" s="1"/>
  <c r="CW31" i="4"/>
  <c r="CW32" i="4" s="1"/>
  <c r="EN36" i="9"/>
  <c r="EN37" i="9" s="1"/>
  <c r="EM28" i="4"/>
  <c r="EM29" i="4" s="1"/>
  <c r="CC39" i="9"/>
  <c r="CC40" i="9" s="1"/>
  <c r="CB31" i="4"/>
  <c r="CB32" i="4" s="1"/>
  <c r="EN49" i="9"/>
  <c r="EN42" i="9"/>
  <c r="EN43" i="9" s="1"/>
  <c r="EM40" i="4"/>
  <c r="EM41" i="4" s="1"/>
  <c r="EM34" i="4"/>
  <c r="EM35" i="4" s="1"/>
  <c r="BV39" i="9"/>
  <c r="BV40" i="9" s="1"/>
  <c r="BU31" i="4"/>
  <c r="BU32" i="4" s="1"/>
  <c r="DL36" i="9"/>
  <c r="DL37" i="9" s="1"/>
  <c r="DK28" i="4"/>
  <c r="DK29" i="4" s="1"/>
  <c r="BO49" i="9"/>
  <c r="BO42" i="9"/>
  <c r="BO43" i="9" s="1"/>
  <c r="BN34" i="4"/>
  <c r="BN35" i="4" s="1"/>
  <c r="BN40" i="4"/>
  <c r="BN41" i="4" s="1"/>
  <c r="AF49" i="9"/>
  <c r="AF42" i="9"/>
  <c r="AF43" i="9" s="1"/>
  <c r="AE34" i="4"/>
  <c r="AE35" i="4" s="1"/>
  <c r="AE40" i="4"/>
  <c r="AE41" i="4" s="1"/>
  <c r="FW39" i="9"/>
  <c r="FW40" i="9" s="1"/>
  <c r="FV31" i="4"/>
  <c r="FV32" i="4" s="1"/>
  <c r="CJ39" i="9"/>
  <c r="CJ40" i="9" s="1"/>
  <c r="CI31" i="4"/>
  <c r="CI32" i="4" s="1"/>
  <c r="CJ36" i="9"/>
  <c r="CJ37" i="9" s="1"/>
  <c r="CI28" i="4"/>
  <c r="CI29" i="4" s="1"/>
  <c r="DZ39" i="9"/>
  <c r="DZ40" i="9" s="1"/>
  <c r="DY31" i="4"/>
  <c r="DY32" i="4" s="1"/>
  <c r="EU39" i="9"/>
  <c r="EU40" i="9" s="1"/>
  <c r="ET31" i="4"/>
  <c r="ET32" i="4" s="1"/>
  <c r="EU36" i="9"/>
  <c r="EU37" i="9" s="1"/>
  <c r="ET28" i="4"/>
  <c r="ET29" i="4" s="1"/>
  <c r="GS12" i="4"/>
  <c r="BI12" i="4"/>
  <c r="H10" i="4"/>
  <c r="J10" i="4" s="1"/>
  <c r="CK12" i="4"/>
  <c r="CR17" i="4"/>
  <c r="CU15" i="4"/>
  <c r="CU17" i="4" s="1"/>
  <c r="CT45" i="6"/>
  <c r="GL17" i="4"/>
  <c r="GO15" i="4"/>
  <c r="GO17" i="4" s="1"/>
  <c r="AU17" i="4"/>
  <c r="AX15" i="4"/>
  <c r="AX17" i="4" s="1"/>
  <c r="DW15" i="4"/>
  <c r="DW17" i="4" s="1"/>
  <c r="DT17" i="4"/>
  <c r="DM17" i="4"/>
  <c r="DP15" i="4"/>
  <c r="DP17" i="4" s="1"/>
  <c r="V15" i="4"/>
  <c r="V17" i="4" s="1"/>
  <c r="S17" i="4"/>
  <c r="EY15" i="4"/>
  <c r="EY17" i="4" s="1"/>
  <c r="EV17" i="4"/>
  <c r="EH17" i="4"/>
  <c r="EK15" i="4"/>
  <c r="EK17" i="4" s="1"/>
  <c r="BB17" i="4"/>
  <c r="BE15" i="4"/>
  <c r="BE17" i="4" s="1"/>
  <c r="BW17" i="4"/>
  <c r="BZ15" i="4"/>
  <c r="BZ17" i="4" s="1"/>
  <c r="ER15" i="4"/>
  <c r="ER17" i="4" s="1"/>
  <c r="EO17" i="4"/>
  <c r="GE17" i="4"/>
  <c r="GH15" i="4"/>
  <c r="GH17" i="4" s="1"/>
  <c r="DB15" i="4"/>
  <c r="DB17" i="4" s="1"/>
  <c r="CY17" i="4"/>
  <c r="GA15" i="4"/>
  <c r="GA17" i="4" s="1"/>
  <c r="FX17" i="4"/>
  <c r="FT15" i="4"/>
  <c r="FT17" i="4" s="1"/>
  <c r="FQ17" i="4"/>
  <c r="CG15" i="4"/>
  <c r="CG17" i="4" s="1"/>
  <c r="CD17" i="4"/>
  <c r="ED15" i="4"/>
  <c r="ED17" i="4" s="1"/>
  <c r="EA17" i="4"/>
  <c r="BS15" i="4"/>
  <c r="BS17" i="4" s="1"/>
  <c r="BP17" i="4"/>
  <c r="AG17" i="4"/>
  <c r="AJ15" i="4"/>
  <c r="AJ17" i="4" s="1"/>
  <c r="AB45" i="6"/>
  <c r="DI15" i="4"/>
  <c r="DI17" i="4" s="1"/>
  <c r="DF17" i="4"/>
  <c r="FC17" i="4"/>
  <c r="FF15" i="4"/>
  <c r="FF17" i="4" s="1"/>
  <c r="GS17" i="4"/>
  <c r="GV15" i="4"/>
  <c r="GV17" i="4" s="1"/>
  <c r="BI17" i="4"/>
  <c r="BL15" i="4"/>
  <c r="BL17" i="4" s="1"/>
  <c r="AC15" i="4"/>
  <c r="Z17" i="4"/>
  <c r="CN15" i="4"/>
  <c r="CN17" i="4" s="1"/>
  <c r="CK17" i="4"/>
  <c r="FJ17" i="4"/>
  <c r="FM15" i="4"/>
  <c r="FM17" i="4" s="1"/>
  <c r="O15" i="4"/>
  <c r="O17" i="4" s="1"/>
  <c r="L17" i="4"/>
  <c r="U42" i="7"/>
  <c r="BD44" i="7"/>
  <c r="AW42" i="7"/>
  <c r="GH10" i="4"/>
  <c r="GH12" i="4" s="1"/>
  <c r="GE12" i="4"/>
  <c r="EY10" i="4"/>
  <c r="EY12" i="4" s="1"/>
  <c r="EV12" i="4"/>
  <c r="FX12" i="4"/>
  <c r="GA10" i="4"/>
  <c r="GA12" i="4" s="1"/>
  <c r="DT12" i="4"/>
  <c r="DW10" i="4"/>
  <c r="DW12" i="4" s="1"/>
  <c r="BB12" i="4"/>
  <c r="BE10" i="4"/>
  <c r="BE12" i="4" s="1"/>
  <c r="AU12" i="4"/>
  <c r="AX10" i="4"/>
  <c r="AX12" i="4" s="1"/>
  <c r="O10" i="4"/>
  <c r="L12" i="4"/>
  <c r="GL12" i="4"/>
  <c r="GO10" i="4"/>
  <c r="GO12" i="4" s="1"/>
  <c r="CG10" i="4"/>
  <c r="CG12" i="4" s="1"/>
  <c r="CD12" i="4"/>
  <c r="BZ10" i="4"/>
  <c r="BZ12" i="4" s="1"/>
  <c r="BW12" i="4"/>
  <c r="DI10" i="4"/>
  <c r="DI12" i="4" s="1"/>
  <c r="DF12" i="4"/>
  <c r="DB10" i="4"/>
  <c r="DB12" i="4" s="1"/>
  <c r="CY12" i="4"/>
  <c r="S12" i="4"/>
  <c r="V10" i="4"/>
  <c r="EK10" i="4"/>
  <c r="EK12" i="4" s="1"/>
  <c r="EH12" i="4"/>
  <c r="ED10" i="4"/>
  <c r="ED12" i="4" s="1"/>
  <c r="EA12" i="4"/>
  <c r="BP12" i="4"/>
  <c r="BS10" i="4"/>
  <c r="BS12" i="4" s="1"/>
  <c r="FM10" i="4"/>
  <c r="FM12" i="4" s="1"/>
  <c r="FJ12" i="4"/>
  <c r="FF10" i="4"/>
  <c r="FF12" i="4" s="1"/>
  <c r="FC12" i="4"/>
  <c r="CR12" i="4"/>
  <c r="CU10" i="4"/>
  <c r="CU12" i="4" s="1"/>
  <c r="Z22" i="4"/>
  <c r="S22" i="4"/>
  <c r="V20" i="4"/>
  <c r="FX22" i="4"/>
  <c r="GA20" i="4"/>
  <c r="GV20" i="4"/>
  <c r="GS22" i="4"/>
  <c r="AB42" i="7"/>
  <c r="BD42" i="7"/>
  <c r="AU22" i="4"/>
  <c r="AX20" i="4"/>
  <c r="O20" i="4"/>
  <c r="L22" i="4"/>
  <c r="BZ20" i="4"/>
  <c r="BW22" i="4"/>
  <c r="AG22" i="4"/>
  <c r="AJ20" i="4"/>
  <c r="DB20" i="4"/>
  <c r="CY22" i="4"/>
  <c r="BS20" i="4"/>
  <c r="BP22" i="4"/>
  <c r="BI22" i="4"/>
  <c r="BL20" i="4"/>
  <c r="EA22" i="4"/>
  <c r="ED20" i="4"/>
  <c r="DW20" i="4"/>
  <c r="DT22" i="4"/>
  <c r="CK22" i="4"/>
  <c r="CN20" i="4"/>
  <c r="AP42" i="7"/>
  <c r="AP44" i="7"/>
  <c r="AN22" i="4"/>
  <c r="AQ20" i="4"/>
  <c r="FF20" i="4"/>
  <c r="FC22" i="4"/>
  <c r="EY20" i="4"/>
  <c r="EV22" i="4"/>
  <c r="DM22" i="4"/>
  <c r="DP20" i="4"/>
  <c r="GH20" i="4"/>
  <c r="GE22" i="4"/>
  <c r="EO22" i="4"/>
  <c r="ER20" i="4"/>
  <c r="AI42" i="7"/>
  <c r="CU20" i="4"/>
  <c r="CR22" i="4"/>
  <c r="FQ22" i="4"/>
  <c r="FT20" i="4"/>
  <c r="J20" i="4"/>
  <c r="N42" i="7"/>
  <c r="Q40" i="4"/>
  <c r="Q41" i="4" s="1"/>
  <c r="Q34" i="4"/>
  <c r="Q35" i="4" s="1"/>
  <c r="N46" i="5"/>
  <c r="J15" i="4"/>
  <c r="H17" i="4"/>
  <c r="J17" i="4" s="1"/>
  <c r="U46" i="5"/>
  <c r="J34" i="4"/>
  <c r="J35" i="4" s="1"/>
  <c r="J40" i="4"/>
  <c r="J41" i="4" s="1"/>
  <c r="P49" i="5"/>
  <c r="T49" i="5"/>
  <c r="S49" i="5"/>
  <c r="R49" i="5"/>
  <c r="N49" i="5"/>
  <c r="J44" i="7"/>
  <c r="N44" i="7" s="1"/>
  <c r="AR44" i="7"/>
  <c r="AW44" i="7" s="1"/>
  <c r="AD44" i="7"/>
  <c r="AI44" i="7" s="1"/>
  <c r="BJ44" i="7"/>
  <c r="BK44" i="7" s="1"/>
  <c r="W44" i="7"/>
  <c r="AB44" i="7" s="1"/>
  <c r="P44" i="7"/>
  <c r="U44" i="7" s="1"/>
  <c r="AN7" i="4" l="1"/>
  <c r="AC5" i="4"/>
  <c r="AE5" i="4" s="1"/>
  <c r="AK30" i="9"/>
  <c r="AM30" i="9" s="1"/>
  <c r="AM28" i="9"/>
  <c r="AN28" i="9" s="1"/>
  <c r="AO7" i="9"/>
  <c r="FQ7" i="4"/>
  <c r="DL28" i="9"/>
  <c r="DM28" i="9" s="1"/>
  <c r="AA7" i="9"/>
  <c r="EO7" i="4"/>
  <c r="GL7" i="4"/>
  <c r="DF7" i="4"/>
  <c r="GT7" i="9"/>
  <c r="DN7" i="9"/>
  <c r="EI7" i="9"/>
  <c r="FY7" i="9"/>
  <c r="FK7" i="9"/>
  <c r="GI23" i="9"/>
  <c r="GK23" i="9" s="1"/>
  <c r="GK21" i="9"/>
  <c r="GL21" i="9" s="1"/>
  <c r="DX23" i="9"/>
  <c r="DZ23" i="9" s="1"/>
  <c r="DZ21" i="9"/>
  <c r="EA21" i="9" s="1"/>
  <c r="FU23" i="9"/>
  <c r="FW23" i="9" s="1"/>
  <c r="FW21" i="9"/>
  <c r="FX21" i="9" s="1"/>
  <c r="DQ23" i="9"/>
  <c r="DS23" i="9" s="1"/>
  <c r="DS21" i="9"/>
  <c r="DT21" i="9" s="1"/>
  <c r="GP23" i="9"/>
  <c r="GR23" i="9" s="1"/>
  <c r="GR21" i="9"/>
  <c r="GS21" i="9" s="1"/>
  <c r="GS7" i="9" s="1"/>
  <c r="EL23" i="9"/>
  <c r="EN23" i="9" s="1"/>
  <c r="EN21" i="9"/>
  <c r="EO21" i="9" s="1"/>
  <c r="EO7" i="9" s="1"/>
  <c r="DU7" i="9"/>
  <c r="ES23" i="9"/>
  <c r="EU23" i="9" s="1"/>
  <c r="EU21" i="9"/>
  <c r="EV21" i="9" s="1"/>
  <c r="FN23" i="9"/>
  <c r="FP23" i="9" s="1"/>
  <c r="FP21" i="9"/>
  <c r="FQ21" i="9" s="1"/>
  <c r="DJ23" i="9"/>
  <c r="DL23" i="9" s="1"/>
  <c r="DL21" i="9"/>
  <c r="DM21" i="9" s="1"/>
  <c r="GB23" i="9"/>
  <c r="GD23" i="9" s="1"/>
  <c r="GD21" i="9"/>
  <c r="GE21" i="9" s="1"/>
  <c r="EE23" i="9"/>
  <c r="EG23" i="9" s="1"/>
  <c r="EG21" i="9"/>
  <c r="EH21" i="9" s="1"/>
  <c r="GW23" i="9"/>
  <c r="GY23" i="9" s="1"/>
  <c r="GY21" i="9"/>
  <c r="GZ21" i="9" s="1"/>
  <c r="T7" i="9"/>
  <c r="EZ23" i="9"/>
  <c r="FB23" i="9" s="1"/>
  <c r="FB21" i="9"/>
  <c r="FC21" i="9" s="1"/>
  <c r="FG23" i="9"/>
  <c r="FI23" i="9" s="1"/>
  <c r="FI21" i="9"/>
  <c r="FJ21" i="9" s="1"/>
  <c r="EK5" i="4"/>
  <c r="DC23" i="9"/>
  <c r="DE23" i="9" s="1"/>
  <c r="DE21" i="9"/>
  <c r="DF21" i="9" s="1"/>
  <c r="M7" i="9"/>
  <c r="GI30" i="9"/>
  <c r="GK30" i="9" s="1"/>
  <c r="GK28" i="9"/>
  <c r="GL28" i="9" s="1"/>
  <c r="FN30" i="9"/>
  <c r="FP30" i="9" s="1"/>
  <c r="FP28" i="9"/>
  <c r="FQ28" i="9" s="1"/>
  <c r="GW30" i="9"/>
  <c r="GY30" i="9" s="1"/>
  <c r="GY28" i="9"/>
  <c r="GZ28" i="9" s="1"/>
  <c r="DC30" i="9"/>
  <c r="DE30" i="9" s="1"/>
  <c r="DE28" i="9"/>
  <c r="DF28" i="9" s="1"/>
  <c r="DQ30" i="9"/>
  <c r="DS30" i="9" s="1"/>
  <c r="DS28" i="9"/>
  <c r="DT28" i="9" s="1"/>
  <c r="ES30" i="9"/>
  <c r="EU30" i="9" s="1"/>
  <c r="EU28" i="9"/>
  <c r="EV28" i="9" s="1"/>
  <c r="GF7" i="9"/>
  <c r="EE30" i="9"/>
  <c r="EG30" i="9" s="1"/>
  <c r="EG28" i="9"/>
  <c r="EH28" i="9" s="1"/>
  <c r="EZ30" i="9"/>
  <c r="FB30" i="9" s="1"/>
  <c r="FB28" i="9"/>
  <c r="FC28" i="9" s="1"/>
  <c r="AC22" i="4"/>
  <c r="AE22" i="4" s="1"/>
  <c r="FG30" i="9"/>
  <c r="FI30" i="9" s="1"/>
  <c r="FI28" i="9"/>
  <c r="FJ28" i="9" s="1"/>
  <c r="DX30" i="9"/>
  <c r="DZ30" i="9" s="1"/>
  <c r="DZ28" i="9"/>
  <c r="EA28" i="9" s="1"/>
  <c r="GB30" i="9"/>
  <c r="GD30" i="9" s="1"/>
  <c r="GD28" i="9"/>
  <c r="GE28" i="9" s="1"/>
  <c r="FU30" i="9"/>
  <c r="FW30" i="9" s="1"/>
  <c r="FW28" i="9"/>
  <c r="FX28" i="9" s="1"/>
  <c r="CZ7" i="9"/>
  <c r="BM16" i="9"/>
  <c r="BO16" i="9" s="1"/>
  <c r="BO14" i="9"/>
  <c r="BP14" i="9" s="1"/>
  <c r="CV30" i="9"/>
  <c r="CX30" i="9" s="1"/>
  <c r="CX28" i="9"/>
  <c r="CY28" i="9" s="1"/>
  <c r="CO30" i="9"/>
  <c r="CQ30" i="9" s="1"/>
  <c r="CQ28" i="9"/>
  <c r="CR28" i="9" s="1"/>
  <c r="CA30" i="9"/>
  <c r="CC30" i="9" s="1"/>
  <c r="CC28" i="9"/>
  <c r="CD28" i="9" s="1"/>
  <c r="BB7" i="4"/>
  <c r="CS7" i="9"/>
  <c r="CE7" i="9"/>
  <c r="BM23" i="9"/>
  <c r="BO23" i="9" s="1"/>
  <c r="BO21" i="9"/>
  <c r="BP21" i="9" s="1"/>
  <c r="CV23" i="9"/>
  <c r="CX23" i="9" s="1"/>
  <c r="CX21" i="9"/>
  <c r="CY21" i="9" s="1"/>
  <c r="CO23" i="9"/>
  <c r="CQ23" i="9" s="1"/>
  <c r="CQ21" i="9"/>
  <c r="CR21" i="9" s="1"/>
  <c r="CD7" i="4"/>
  <c r="CH23" i="9"/>
  <c r="CJ23" i="9" s="1"/>
  <c r="CJ21" i="9"/>
  <c r="CK21" i="9" s="1"/>
  <c r="CK7" i="9" s="1"/>
  <c r="CA23" i="9"/>
  <c r="CC23" i="9" s="1"/>
  <c r="CC21" i="9"/>
  <c r="CD21" i="9" s="1"/>
  <c r="BX7" i="9"/>
  <c r="BT23" i="9"/>
  <c r="BV23" i="9" s="1"/>
  <c r="BV21" i="9"/>
  <c r="BW21" i="9" s="1"/>
  <c r="BT16" i="9"/>
  <c r="BV16" i="9" s="1"/>
  <c r="BV14" i="9"/>
  <c r="BW14" i="9" s="1"/>
  <c r="FR7" i="9"/>
  <c r="EW7" i="9"/>
  <c r="FD7" i="9"/>
  <c r="CL7" i="9"/>
  <c r="AH7" i="9"/>
  <c r="EB7" i="9"/>
  <c r="I30" i="9"/>
  <c r="K30" i="9" s="1"/>
  <c r="K28" i="9"/>
  <c r="L28" i="9" s="1"/>
  <c r="AD30" i="9"/>
  <c r="AF30" i="9" s="1"/>
  <c r="AF28" i="9"/>
  <c r="AG28" i="9" s="1"/>
  <c r="F7" i="9"/>
  <c r="AK23" i="9"/>
  <c r="AK7" i="9"/>
  <c r="AD23" i="9"/>
  <c r="AF21" i="9"/>
  <c r="AG21" i="9" s="1"/>
  <c r="AD7" i="9"/>
  <c r="AR23" i="9"/>
  <c r="AT23" i="9" s="1"/>
  <c r="AT21" i="9"/>
  <c r="AU21" i="9" s="1"/>
  <c r="GM7" i="9"/>
  <c r="DG7" i="9"/>
  <c r="BH23" i="9"/>
  <c r="BD21" i="9"/>
  <c r="BH21" i="9" s="1"/>
  <c r="BI21" i="9" s="1"/>
  <c r="EP7" i="9"/>
  <c r="AY23" i="9"/>
  <c r="BA23" i="9" s="1"/>
  <c r="BA21" i="9"/>
  <c r="BB21" i="9" s="1"/>
  <c r="H12" i="4"/>
  <c r="J12" i="4" s="1"/>
  <c r="BF7" i="9"/>
  <c r="BF9" i="9"/>
  <c r="BD9" i="9"/>
  <c r="AY16" i="9"/>
  <c r="BA16" i="9" s="1"/>
  <c r="BA14" i="9"/>
  <c r="BB14" i="9" s="1"/>
  <c r="BH16" i="9"/>
  <c r="BD14" i="9"/>
  <c r="GO7" i="4"/>
  <c r="BJ7" i="9"/>
  <c r="BQ7" i="9"/>
  <c r="CO7" i="9"/>
  <c r="CO16" i="9"/>
  <c r="CH16" i="9"/>
  <c r="CH7" i="9"/>
  <c r="CJ5" i="9" s="1"/>
  <c r="I7" i="9"/>
  <c r="K14" i="9"/>
  <c r="L14" i="9" s="1"/>
  <c r="I16" i="9"/>
  <c r="GB7" i="9"/>
  <c r="GB16" i="9"/>
  <c r="DX16" i="9"/>
  <c r="DX7" i="9"/>
  <c r="DM7" i="4"/>
  <c r="FU7" i="9"/>
  <c r="FU16" i="9"/>
  <c r="CV16" i="9"/>
  <c r="CV7" i="9"/>
  <c r="W7" i="9"/>
  <c r="W16" i="9"/>
  <c r="W9" i="9" s="1"/>
  <c r="FG16" i="9"/>
  <c r="FG7" i="9"/>
  <c r="P7" i="9"/>
  <c r="P16" i="9"/>
  <c r="P9" i="9" s="1"/>
  <c r="R9" i="9" s="1"/>
  <c r="GI7" i="9"/>
  <c r="GI16" i="9"/>
  <c r="BC7" i="9"/>
  <c r="CA16" i="9"/>
  <c r="CC16" i="9" s="1"/>
  <c r="CA7" i="9"/>
  <c r="EL16" i="9"/>
  <c r="EL7" i="9"/>
  <c r="DJ16" i="9"/>
  <c r="DJ7" i="9"/>
  <c r="EE16" i="9"/>
  <c r="EE7" i="9"/>
  <c r="FN16" i="9"/>
  <c r="FN7" i="9"/>
  <c r="AV7" i="9"/>
  <c r="GP16" i="9"/>
  <c r="GP7" i="9"/>
  <c r="DQ16" i="9"/>
  <c r="DQ7" i="9"/>
  <c r="DC7" i="9"/>
  <c r="DC16" i="9"/>
  <c r="ES7" i="9"/>
  <c r="ES16" i="9"/>
  <c r="EZ16" i="9"/>
  <c r="EZ7" i="9"/>
  <c r="GW7" i="9"/>
  <c r="GW16" i="9"/>
  <c r="BT30" i="9"/>
  <c r="BV30" i="9" s="1"/>
  <c r="BT7" i="9"/>
  <c r="BM30" i="9"/>
  <c r="BO30" i="9" s="1"/>
  <c r="BM7" i="9"/>
  <c r="AY30" i="9"/>
  <c r="AY7" i="9"/>
  <c r="AR30" i="9"/>
  <c r="AR7" i="9"/>
  <c r="AT28" i="9"/>
  <c r="AU28" i="9" s="1"/>
  <c r="Z7" i="4"/>
  <c r="BI7" i="4"/>
  <c r="FC7" i="4"/>
  <c r="DT7" i="4"/>
  <c r="EK7" i="4"/>
  <c r="DI5" i="4"/>
  <c r="CK7" i="4"/>
  <c r="DI7" i="4"/>
  <c r="H5" i="4"/>
  <c r="J5" i="4" s="1"/>
  <c r="CR7" i="4"/>
  <c r="BE5" i="4"/>
  <c r="BW7" i="4"/>
  <c r="BE7" i="4"/>
  <c r="AG7" i="4"/>
  <c r="AU7" i="4"/>
  <c r="FX7" i="4"/>
  <c r="EH7" i="4"/>
  <c r="GS7" i="4"/>
  <c r="CG5" i="4"/>
  <c r="CG7" i="4"/>
  <c r="FJ7" i="4"/>
  <c r="AC17" i="4"/>
  <c r="AE17" i="4" s="1"/>
  <c r="AE15" i="4"/>
  <c r="CY7" i="4"/>
  <c r="GE7" i="4"/>
  <c r="Q10" i="4"/>
  <c r="O12" i="4"/>
  <c r="Q12" i="4" s="1"/>
  <c r="X10" i="4"/>
  <c r="V12" i="4"/>
  <c r="X12" i="4" s="1"/>
  <c r="FM5" i="4"/>
  <c r="L7" i="4"/>
  <c r="BP7" i="4"/>
  <c r="FM7" i="4"/>
  <c r="GO5" i="4"/>
  <c r="EA7" i="4"/>
  <c r="EV7" i="4"/>
  <c r="S7" i="4"/>
  <c r="BS22" i="4"/>
  <c r="BS7" i="4" s="1"/>
  <c r="BS5" i="4"/>
  <c r="BZ22" i="4"/>
  <c r="BZ7" i="4" s="1"/>
  <c r="BZ5" i="4"/>
  <c r="FF22" i="4"/>
  <c r="FF7" i="4" s="1"/>
  <c r="FF5" i="4"/>
  <c r="DW22" i="4"/>
  <c r="DW7" i="4" s="1"/>
  <c r="DW5" i="4"/>
  <c r="AX22" i="4"/>
  <c r="AX7" i="4" s="1"/>
  <c r="AX5" i="4"/>
  <c r="CU22" i="4"/>
  <c r="CU7" i="4" s="1"/>
  <c r="CU5" i="4"/>
  <c r="DB22" i="4"/>
  <c r="DB7" i="4" s="1"/>
  <c r="DB5" i="4"/>
  <c r="FT22" i="4"/>
  <c r="FT7" i="4" s="1"/>
  <c r="FT5" i="4"/>
  <c r="GV22" i="4"/>
  <c r="GV7" i="4" s="1"/>
  <c r="GV5" i="4"/>
  <c r="AQ22" i="4"/>
  <c r="AQ7" i="4" s="1"/>
  <c r="AQ5" i="4"/>
  <c r="ED5" i="4"/>
  <c r="ED22" i="4"/>
  <c r="ED7" i="4" s="1"/>
  <c r="ER22" i="4"/>
  <c r="ER7" i="4" s="1"/>
  <c r="ER5" i="4"/>
  <c r="DP22" i="4"/>
  <c r="DP7" i="4" s="1"/>
  <c r="DP5" i="4"/>
  <c r="O22" i="4"/>
  <c r="O5" i="4"/>
  <c r="Q5" i="4" s="1"/>
  <c r="GA22" i="4"/>
  <c r="GA7" i="4" s="1"/>
  <c r="GA5" i="4"/>
  <c r="BL22" i="4"/>
  <c r="BL7" i="4" s="1"/>
  <c r="BL5" i="4"/>
  <c r="AJ22" i="4"/>
  <c r="AJ7" i="4" s="1"/>
  <c r="AL7" i="4" s="1"/>
  <c r="AJ5" i="4"/>
  <c r="AL5" i="4" s="1"/>
  <c r="CN5" i="4"/>
  <c r="CN22" i="4"/>
  <c r="CN7" i="4" s="1"/>
  <c r="V22" i="4"/>
  <c r="V5" i="4"/>
  <c r="X5" i="4" s="1"/>
  <c r="GH22" i="4"/>
  <c r="GH7" i="4" s="1"/>
  <c r="GH5" i="4"/>
  <c r="EY22" i="4"/>
  <c r="EY7" i="4" s="1"/>
  <c r="EY5" i="4"/>
  <c r="E7" i="4"/>
  <c r="U49" i="5"/>
  <c r="K2" i="1"/>
  <c r="E214" i="3"/>
  <c r="E213" i="3"/>
  <c r="D213" i="3"/>
  <c r="E212" i="3"/>
  <c r="E211" i="3"/>
  <c r="E210" i="3"/>
  <c r="D209" i="3"/>
  <c r="E209" i="3" s="1"/>
  <c r="E208" i="3"/>
  <c r="E207" i="3"/>
  <c r="E206" i="3"/>
  <c r="E205" i="3"/>
  <c r="E204" i="3"/>
  <c r="D203" i="3"/>
  <c r="E203" i="3" s="1"/>
  <c r="E202" i="3"/>
  <c r="E201" i="3"/>
  <c r="E200" i="3"/>
  <c r="D200" i="3"/>
  <c r="E199" i="3"/>
  <c r="E198" i="3"/>
  <c r="E197" i="3"/>
  <c r="E196" i="3"/>
  <c r="E195" i="3"/>
  <c r="D195" i="3"/>
  <c r="E194" i="3"/>
  <c r="D193" i="3"/>
  <c r="E193" i="3" s="1"/>
  <c r="E192" i="3"/>
  <c r="E191" i="3"/>
  <c r="E190" i="3"/>
  <c r="E189" i="3"/>
  <c r="E188" i="3"/>
  <c r="E187" i="3"/>
  <c r="E186" i="3"/>
  <c r="D186" i="3"/>
  <c r="E185" i="3"/>
  <c r="D184" i="3"/>
  <c r="E184" i="3" s="1"/>
  <c r="E183" i="3"/>
  <c r="E182" i="3"/>
  <c r="E181" i="3"/>
  <c r="E180" i="3"/>
  <c r="D180" i="3"/>
  <c r="D179" i="3"/>
  <c r="E179" i="3" s="1"/>
  <c r="E178" i="3"/>
  <c r="E177" i="3"/>
  <c r="D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D122" i="3"/>
  <c r="E121" i="3"/>
  <c r="E120" i="3"/>
  <c r="D120" i="3"/>
  <c r="D119" i="3"/>
  <c r="E119" i="3" s="1"/>
  <c r="E118" i="3"/>
  <c r="D118" i="3"/>
  <c r="D117" i="3"/>
  <c r="E117" i="3" s="1"/>
  <c r="E116" i="3"/>
  <c r="D115" i="3"/>
  <c r="E115" i="3" s="1"/>
  <c r="D114" i="3"/>
  <c r="E114" i="3" s="1"/>
  <c r="D113" i="3"/>
  <c r="E113" i="3" s="1"/>
  <c r="D112" i="3"/>
  <c r="E112" i="3" s="1"/>
  <c r="D111" i="3"/>
  <c r="E111" i="3" s="1"/>
  <c r="D110" i="3"/>
  <c r="E110" i="3" s="1"/>
  <c r="E109" i="3"/>
  <c r="D109" i="3"/>
  <c r="D108" i="3"/>
  <c r="E108" i="3" s="1"/>
  <c r="D107" i="3"/>
  <c r="E107" i="3" s="1"/>
  <c r="D106" i="3"/>
  <c r="E106" i="3" s="1"/>
  <c r="E105" i="3"/>
  <c r="D105" i="3"/>
  <c r="D104" i="3"/>
  <c r="E104" i="3" s="1"/>
  <c r="E103" i="3"/>
  <c r="E102" i="3"/>
  <c r="D101" i="3"/>
  <c r="E101" i="3" s="1"/>
  <c r="E100" i="3"/>
  <c r="D100" i="3"/>
  <c r="D99" i="3"/>
  <c r="E99" i="3" s="1"/>
  <c r="D98" i="3"/>
  <c r="E98" i="3" s="1"/>
  <c r="D97" i="3"/>
  <c r="E97" i="3" s="1"/>
  <c r="E96" i="3"/>
  <c r="D96" i="3"/>
  <c r="D95" i="3"/>
  <c r="E95" i="3" s="1"/>
  <c r="D94" i="3"/>
  <c r="E94" i="3" s="1"/>
  <c r="D93" i="3"/>
  <c r="E93" i="3" s="1"/>
  <c r="E92" i="3"/>
  <c r="E91" i="3"/>
  <c r="E90" i="3"/>
  <c r="E89" i="3"/>
  <c r="D88" i="3"/>
  <c r="E88" i="3" s="1"/>
  <c r="E87" i="3"/>
  <c r="E86" i="3"/>
  <c r="E85" i="3"/>
  <c r="D85" i="3"/>
  <c r="D84" i="3"/>
  <c r="E84" i="3" s="1"/>
  <c r="E83" i="3"/>
  <c r="D82" i="3"/>
  <c r="E82" i="3" s="1"/>
  <c r="D81" i="3"/>
  <c r="E81" i="3" s="1"/>
  <c r="D80" i="3"/>
  <c r="E80" i="3" s="1"/>
  <c r="E79" i="3"/>
  <c r="D79" i="3"/>
  <c r="D78" i="3"/>
  <c r="E78" i="3" s="1"/>
  <c r="D77" i="3"/>
  <c r="E77" i="3" s="1"/>
  <c r="D76" i="3"/>
  <c r="E76" i="3" s="1"/>
  <c r="E75" i="3"/>
  <c r="D75" i="3"/>
  <c r="E74" i="3"/>
  <c r="D73" i="3"/>
  <c r="E73" i="3" s="1"/>
  <c r="E72" i="3"/>
  <c r="D72" i="3"/>
  <c r="E71" i="3"/>
  <c r="E70" i="3"/>
  <c r="D70" i="3"/>
  <c r="D69" i="3"/>
  <c r="E69" i="3" s="1"/>
  <c r="D68" i="3"/>
  <c r="E68" i="3" s="1"/>
  <c r="D67" i="3"/>
  <c r="E67" i="3" s="1"/>
  <c r="E66" i="3"/>
  <c r="D66" i="3"/>
  <c r="D65" i="3"/>
  <c r="E65" i="3" s="1"/>
  <c r="D64" i="3"/>
  <c r="E64" i="3" s="1"/>
  <c r="E63" i="3"/>
  <c r="E62" i="3"/>
  <c r="E61" i="3"/>
  <c r="E60" i="3"/>
  <c r="E59" i="3"/>
  <c r="E58" i="3"/>
  <c r="E57" i="3"/>
  <c r="E56" i="3"/>
  <c r="E55" i="3"/>
  <c r="E54" i="3"/>
  <c r="E53" i="3"/>
  <c r="D53" i="3"/>
  <c r="E52" i="3"/>
  <c r="D51" i="3"/>
  <c r="E51" i="3" s="1"/>
  <c r="E50" i="3"/>
  <c r="D50" i="3"/>
  <c r="D49" i="3"/>
  <c r="E49" i="3" s="1"/>
  <c r="D48" i="3"/>
  <c r="E48" i="3" s="1"/>
  <c r="D47" i="3"/>
  <c r="E47" i="3" s="1"/>
  <c r="E46" i="3"/>
  <c r="D46" i="3"/>
  <c r="D45" i="3"/>
  <c r="E45" i="3" s="1"/>
  <c r="E44" i="3"/>
  <c r="D43" i="3"/>
  <c r="E43" i="3" s="1"/>
  <c r="D42" i="3"/>
  <c r="E42" i="3" s="1"/>
  <c r="D41" i="3"/>
  <c r="E41" i="3" s="1"/>
  <c r="E40" i="3"/>
  <c r="D39" i="3"/>
  <c r="E39" i="3" s="1"/>
  <c r="D38" i="3"/>
  <c r="E38" i="3" s="1"/>
  <c r="E37" i="3"/>
  <c r="D37" i="3"/>
  <c r="D36" i="3"/>
  <c r="E36" i="3" s="1"/>
  <c r="D35" i="3"/>
  <c r="E35" i="3" s="1"/>
  <c r="D34" i="3"/>
  <c r="E34" i="3" s="1"/>
  <c r="E33" i="3"/>
  <c r="D33" i="3"/>
  <c r="E32" i="3"/>
  <c r="E31" i="3"/>
  <c r="E30" i="3"/>
  <c r="E29" i="3"/>
  <c r="E28" i="3"/>
  <c r="E27" i="3"/>
  <c r="E26" i="3"/>
  <c r="E25" i="3"/>
  <c r="E24" i="3"/>
  <c r="E23" i="3"/>
  <c r="E22" i="3"/>
  <c r="D22" i="3"/>
  <c r="D21" i="3"/>
  <c r="E21" i="3" s="1"/>
  <c r="E20" i="3"/>
  <c r="D20" i="3"/>
  <c r="D19" i="3"/>
  <c r="E19" i="3" s="1"/>
  <c r="E18" i="3"/>
  <c r="D18" i="3"/>
  <c r="D17" i="3"/>
  <c r="E17" i="3" s="1"/>
  <c r="E16" i="3"/>
  <c r="D16" i="3"/>
  <c r="D15" i="3"/>
  <c r="E15" i="3" s="1"/>
  <c r="E14" i="3"/>
  <c r="D14" i="3"/>
  <c r="D13" i="3"/>
  <c r="E13" i="3" s="1"/>
  <c r="E12" i="3"/>
  <c r="D12" i="3"/>
  <c r="D11" i="3"/>
  <c r="E11" i="3" s="1"/>
  <c r="E10" i="3"/>
  <c r="D10" i="3"/>
  <c r="D9" i="3"/>
  <c r="E9" i="3" s="1"/>
  <c r="E8" i="3"/>
  <c r="D8" i="3"/>
  <c r="D7" i="3"/>
  <c r="E7" i="3" s="1"/>
  <c r="E6" i="3"/>
  <c r="E5" i="3"/>
  <c r="E4" i="3"/>
  <c r="E33" i="1"/>
  <c r="D123" i="1"/>
  <c r="E123" i="1" s="1"/>
  <c r="D54" i="1"/>
  <c r="E54" i="1" s="1"/>
  <c r="D22" i="1"/>
  <c r="E22" i="1" s="1"/>
  <c r="E84" i="1"/>
  <c r="E53" i="1"/>
  <c r="D52" i="1"/>
  <c r="E52" i="1" s="1"/>
  <c r="D21" i="1"/>
  <c r="E21" i="1" s="1"/>
  <c r="D83" i="1"/>
  <c r="E83" i="1" s="1"/>
  <c r="E93" i="1"/>
  <c r="D82" i="1"/>
  <c r="E82" i="1" s="1"/>
  <c r="E92" i="1"/>
  <c r="E130" i="1"/>
  <c r="E91" i="1"/>
  <c r="E122" i="1"/>
  <c r="D51" i="1"/>
  <c r="E51" i="1" s="1"/>
  <c r="D121" i="1"/>
  <c r="E121" i="1" s="1"/>
  <c r="E64" i="1"/>
  <c r="D20" i="1"/>
  <c r="E20" i="1" s="1"/>
  <c r="D120" i="1"/>
  <c r="E120" i="1" s="1"/>
  <c r="E58" i="1"/>
  <c r="E32" i="1"/>
  <c r="D81" i="1"/>
  <c r="E81" i="1" s="1"/>
  <c r="E90" i="1"/>
  <c r="D119" i="1"/>
  <c r="E119" i="1" s="1"/>
  <c r="D23" i="1"/>
  <c r="E23" i="1" s="1"/>
  <c r="D118" i="1"/>
  <c r="E118" i="1" s="1"/>
  <c r="E117" i="1"/>
  <c r="D19" i="1"/>
  <c r="E19" i="1" s="1"/>
  <c r="E57" i="1"/>
  <c r="E31" i="1"/>
  <c r="D50" i="1"/>
  <c r="E50" i="1" s="1"/>
  <c r="E27" i="1"/>
  <c r="E7" i="1"/>
  <c r="D49" i="1"/>
  <c r="E49" i="1" s="1"/>
  <c r="D86" i="1"/>
  <c r="E86" i="1" s="1"/>
  <c r="D48" i="1"/>
  <c r="E48" i="1" s="1"/>
  <c r="D47" i="1"/>
  <c r="E47" i="1" s="1"/>
  <c r="D116" i="1"/>
  <c r="E116" i="1" s="1"/>
  <c r="D115" i="1"/>
  <c r="E115" i="1" s="1"/>
  <c r="E63" i="1"/>
  <c r="E88" i="1"/>
  <c r="D46" i="1"/>
  <c r="E46" i="1" s="1"/>
  <c r="D18" i="1"/>
  <c r="E18" i="1" s="1"/>
  <c r="D114" i="1"/>
  <c r="E114" i="1" s="1"/>
  <c r="D17" i="1"/>
  <c r="E17" i="1" s="1"/>
  <c r="E87" i="1"/>
  <c r="D80" i="1"/>
  <c r="E80" i="1" s="1"/>
  <c r="E45" i="1"/>
  <c r="D16" i="1"/>
  <c r="E16" i="1" s="1"/>
  <c r="D113" i="1"/>
  <c r="E113" i="1" s="1"/>
  <c r="D112" i="1"/>
  <c r="E112" i="1" s="1"/>
  <c r="E62" i="1"/>
  <c r="D111" i="1"/>
  <c r="E111" i="1" s="1"/>
  <c r="E129" i="1"/>
  <c r="D79" i="1"/>
  <c r="E79" i="1" s="1"/>
  <c r="D15" i="1"/>
  <c r="E15" i="1" s="1"/>
  <c r="E131" i="1"/>
  <c r="E128" i="1"/>
  <c r="E61" i="1"/>
  <c r="E25" i="1"/>
  <c r="D78" i="1"/>
  <c r="E78" i="1" s="1"/>
  <c r="D77" i="1"/>
  <c r="E77" i="1" s="1"/>
  <c r="D110" i="1"/>
  <c r="E110" i="1" s="1"/>
  <c r="D44" i="1"/>
  <c r="E44" i="1" s="1"/>
  <c r="D14" i="1"/>
  <c r="E14" i="1" s="1"/>
  <c r="E60" i="1"/>
  <c r="D43" i="1"/>
  <c r="E43" i="1" s="1"/>
  <c r="D13" i="1"/>
  <c r="E13" i="1" s="1"/>
  <c r="D76" i="1"/>
  <c r="E76" i="1" s="1"/>
  <c r="E75" i="1"/>
  <c r="E127" i="1"/>
  <c r="D89" i="1"/>
  <c r="E89" i="1" s="1"/>
  <c r="D74" i="1"/>
  <c r="E74" i="1" s="1"/>
  <c r="D109" i="1"/>
  <c r="E109" i="1" s="1"/>
  <c r="E24" i="1"/>
  <c r="D42" i="1"/>
  <c r="E42" i="1" s="1"/>
  <c r="D108" i="1"/>
  <c r="E108" i="1" s="1"/>
  <c r="D107" i="1"/>
  <c r="E107" i="1" s="1"/>
  <c r="D73" i="1"/>
  <c r="E73" i="1" s="1"/>
  <c r="E41" i="1"/>
  <c r="D106" i="1"/>
  <c r="E106" i="1" s="1"/>
  <c r="E72" i="1"/>
  <c r="D71" i="1"/>
  <c r="E71" i="1" s="1"/>
  <c r="D105" i="1"/>
  <c r="E105" i="1" s="1"/>
  <c r="D85" i="1"/>
  <c r="E85" i="1" s="1"/>
  <c r="D40" i="1"/>
  <c r="E40" i="1" s="1"/>
  <c r="D39" i="1"/>
  <c r="E39" i="1" s="1"/>
  <c r="D38" i="1"/>
  <c r="E38" i="1" s="1"/>
  <c r="D70" i="1"/>
  <c r="E70" i="1" s="1"/>
  <c r="D12" i="1"/>
  <c r="E12" i="1" s="1"/>
  <c r="D11" i="1"/>
  <c r="E11" i="1" s="1"/>
  <c r="D37" i="1"/>
  <c r="E37" i="1" s="1"/>
  <c r="D10" i="1"/>
  <c r="E10" i="1" s="1"/>
  <c r="D9" i="1"/>
  <c r="E9" i="1" s="1"/>
  <c r="E104" i="1"/>
  <c r="D36" i="1"/>
  <c r="E36" i="1" s="1"/>
  <c r="E126" i="1"/>
  <c r="E103" i="1"/>
  <c r="E30" i="1"/>
  <c r="E29" i="1"/>
  <c r="D102" i="1"/>
  <c r="E102" i="1" s="1"/>
  <c r="E125" i="1"/>
  <c r="E55" i="1"/>
  <c r="D8" i="1"/>
  <c r="E8" i="1" s="1"/>
  <c r="D101" i="1"/>
  <c r="E101" i="1" s="1"/>
  <c r="E28" i="1"/>
  <c r="E26" i="1"/>
  <c r="D69" i="1"/>
  <c r="E69" i="1" s="1"/>
  <c r="D68" i="1"/>
  <c r="E68" i="1" s="1"/>
  <c r="D100" i="1"/>
  <c r="E100" i="1" s="1"/>
  <c r="D99" i="1"/>
  <c r="E99" i="1" s="1"/>
  <c r="D35" i="1"/>
  <c r="E35" i="1" s="1"/>
  <c r="D67" i="1"/>
  <c r="E67" i="1" s="1"/>
  <c r="D98" i="1"/>
  <c r="E98" i="1" s="1"/>
  <c r="D66" i="1"/>
  <c r="E66" i="1" s="1"/>
  <c r="D97" i="1"/>
  <c r="E97" i="1" s="1"/>
  <c r="E124" i="1"/>
  <c r="D96" i="1"/>
  <c r="E96" i="1" s="1"/>
  <c r="E59" i="1"/>
  <c r="D34" i="1"/>
  <c r="E34" i="1" s="1"/>
  <c r="E56" i="1"/>
  <c r="D95" i="1"/>
  <c r="E95" i="1" s="1"/>
  <c r="D65" i="1"/>
  <c r="E65" i="1" s="1"/>
  <c r="D94" i="1"/>
  <c r="E94" i="1" s="1"/>
  <c r="AM7" i="9" l="1"/>
  <c r="AG7" i="9"/>
  <c r="L7" i="9"/>
  <c r="R5" i="9"/>
  <c r="R7" i="9"/>
  <c r="K7" i="9"/>
  <c r="K5" i="9"/>
  <c r="AF7" i="9"/>
  <c r="AF5" i="9"/>
  <c r="Y5" i="9"/>
  <c r="Y7" i="9"/>
  <c r="EH7" i="9"/>
  <c r="AU7" i="9"/>
  <c r="H7" i="4"/>
  <c r="J7" i="4" s="1"/>
  <c r="DM7" i="9"/>
  <c r="FC7" i="9"/>
  <c r="GZ7" i="9"/>
  <c r="GL7" i="9"/>
  <c r="DF7" i="9"/>
  <c r="EA7" i="9"/>
  <c r="GE7" i="9"/>
  <c r="EV7" i="9"/>
  <c r="DT7" i="9"/>
  <c r="FJ7" i="9"/>
  <c r="FX7" i="9"/>
  <c r="FQ7" i="9"/>
  <c r="BP7" i="9"/>
  <c r="DE5" i="9"/>
  <c r="DE7" i="9"/>
  <c r="EG5" i="9"/>
  <c r="EG7" i="9"/>
  <c r="DS5" i="9"/>
  <c r="DS7" i="9"/>
  <c r="GD5" i="9"/>
  <c r="GD7" i="9"/>
  <c r="GY5" i="9"/>
  <c r="GY7" i="9"/>
  <c r="DL5" i="9"/>
  <c r="DL7" i="9"/>
  <c r="GK5" i="9"/>
  <c r="GK7" i="9"/>
  <c r="FB5" i="9"/>
  <c r="FB7" i="9"/>
  <c r="GR5" i="9"/>
  <c r="GR7" i="9"/>
  <c r="EN5" i="9"/>
  <c r="EN7" i="9"/>
  <c r="FW5" i="9"/>
  <c r="FW7" i="9"/>
  <c r="FI5" i="9"/>
  <c r="FI7" i="9"/>
  <c r="EU5" i="9"/>
  <c r="EU7" i="9"/>
  <c r="FP5" i="9"/>
  <c r="FP7" i="9"/>
  <c r="DZ5" i="9"/>
  <c r="DZ7" i="9"/>
  <c r="CY7" i="9"/>
  <c r="CR7" i="9"/>
  <c r="CD7" i="9"/>
  <c r="BM9" i="9"/>
  <c r="BO9" i="9" s="1"/>
  <c r="BO5" i="9"/>
  <c r="BO7" i="9"/>
  <c r="CX5" i="9"/>
  <c r="CX7" i="9"/>
  <c r="CQ5" i="9"/>
  <c r="CQ7" i="9"/>
  <c r="CJ7" i="9"/>
  <c r="CC5" i="9"/>
  <c r="CC7" i="9"/>
  <c r="CA9" i="9"/>
  <c r="CC9" i="9" s="1"/>
  <c r="BT9" i="9"/>
  <c r="BV9" i="9" s="1"/>
  <c r="BW7" i="9"/>
  <c r="BV5" i="9"/>
  <c r="BV7" i="9"/>
  <c r="GW9" i="9"/>
  <c r="GY9" i="9" s="1"/>
  <c r="GY16" i="9"/>
  <c r="GP9" i="9"/>
  <c r="GR9" i="9" s="1"/>
  <c r="GR16" i="9"/>
  <c r="GI9" i="9"/>
  <c r="GK9" i="9" s="1"/>
  <c r="GK16" i="9"/>
  <c r="GB9" i="9"/>
  <c r="GD9" i="9" s="1"/>
  <c r="GD16" i="9"/>
  <c r="FU9" i="9"/>
  <c r="FW9" i="9" s="1"/>
  <c r="FW16" i="9"/>
  <c r="FN9" i="9"/>
  <c r="FP9" i="9" s="1"/>
  <c r="FP16" i="9"/>
  <c r="FG9" i="9"/>
  <c r="FI9" i="9" s="1"/>
  <c r="FI16" i="9"/>
  <c r="EZ9" i="9"/>
  <c r="FB9" i="9" s="1"/>
  <c r="FB16" i="9"/>
  <c r="ES9" i="9"/>
  <c r="EU9" i="9" s="1"/>
  <c r="EU16" i="9"/>
  <c r="EL9" i="9"/>
  <c r="EN9" i="9" s="1"/>
  <c r="EN16" i="9"/>
  <c r="EE9" i="9"/>
  <c r="EG9" i="9" s="1"/>
  <c r="EG16" i="9"/>
  <c r="DX9" i="9"/>
  <c r="DZ9" i="9" s="1"/>
  <c r="DZ16" i="9"/>
  <c r="DQ9" i="9"/>
  <c r="DS9" i="9" s="1"/>
  <c r="DS16" i="9"/>
  <c r="DJ9" i="9"/>
  <c r="DL9" i="9" s="1"/>
  <c r="DL16" i="9"/>
  <c r="DC9" i="9"/>
  <c r="DE9" i="9" s="1"/>
  <c r="DE16" i="9"/>
  <c r="CV9" i="9"/>
  <c r="CX9" i="9" s="1"/>
  <c r="CX16" i="9"/>
  <c r="CO9" i="9"/>
  <c r="CQ9" i="9" s="1"/>
  <c r="CQ16" i="9"/>
  <c r="CH9" i="9"/>
  <c r="CJ9" i="9" s="1"/>
  <c r="CJ16" i="9"/>
  <c r="BB7" i="9"/>
  <c r="AF23" i="9"/>
  <c r="AD9" i="9"/>
  <c r="AF9" i="9" s="1"/>
  <c r="AM23" i="9"/>
  <c r="AK9" i="9"/>
  <c r="BH14" i="9"/>
  <c r="BI14" i="9" s="1"/>
  <c r="BC9" i="9"/>
  <c r="BH5" i="9" s="1"/>
  <c r="BH9" i="9"/>
  <c r="AT7" i="9"/>
  <c r="AT5" i="9"/>
  <c r="BH30" i="9"/>
  <c r="BD28" i="9"/>
  <c r="BH28" i="9" s="1"/>
  <c r="BI28" i="9" s="1"/>
  <c r="AY9" i="9"/>
  <c r="BA9" i="9" s="1"/>
  <c r="BA30" i="9"/>
  <c r="BA5" i="9"/>
  <c r="BA7" i="9"/>
  <c r="I9" i="9"/>
  <c r="K9" i="9" s="1"/>
  <c r="K16" i="9"/>
  <c r="AT30" i="9"/>
  <c r="AR9" i="9"/>
  <c r="AT9" i="9" s="1"/>
  <c r="AC7" i="4"/>
  <c r="AE7" i="4" s="1"/>
  <c r="V7" i="4"/>
  <c r="X7" i="4" s="1"/>
  <c r="O7" i="4"/>
  <c r="Q7" i="4" s="1"/>
  <c r="AM9" i="9" l="1"/>
  <c r="AH9" i="9"/>
  <c r="AM5" i="9" s="1"/>
  <c r="BD7" i="9"/>
  <c r="BH7" i="9" s="1"/>
  <c r="BI7" i="9"/>
</calcChain>
</file>

<file path=xl/sharedStrings.xml><?xml version="1.0" encoding="utf-8"?>
<sst xmlns="http://schemas.openxmlformats.org/spreadsheetml/2006/main" count="14715" uniqueCount="1316">
  <si>
    <t>MATRICULE</t>
  </si>
  <si>
    <t>BASE H</t>
  </si>
  <si>
    <t>SOCIETE</t>
  </si>
  <si>
    <t>STATUT</t>
  </si>
  <si>
    <t>FONCTION</t>
  </si>
  <si>
    <t>NOM</t>
  </si>
  <si>
    <t>PRENOM</t>
  </si>
  <si>
    <t>27O</t>
  </si>
  <si>
    <t>CDI</t>
  </si>
  <si>
    <t>OP</t>
  </si>
  <si>
    <t>ACARD</t>
  </si>
  <si>
    <t>THIERRY</t>
  </si>
  <si>
    <t>CFP</t>
  </si>
  <si>
    <t>AMNANOU EL</t>
  </si>
  <si>
    <t>MUSTAPHA</t>
  </si>
  <si>
    <t>CQ</t>
  </si>
  <si>
    <t>AUBRON</t>
  </si>
  <si>
    <t>CHARLENE</t>
  </si>
  <si>
    <t>I</t>
  </si>
  <si>
    <t>X</t>
  </si>
  <si>
    <t>EUP</t>
  </si>
  <si>
    <t>INTADE</t>
  </si>
  <si>
    <t>AUVRAY</t>
  </si>
  <si>
    <t>MANON</t>
  </si>
  <si>
    <t>BABIN</t>
  </si>
  <si>
    <t>MYRIAM</t>
  </si>
  <si>
    <t>CDD</t>
  </si>
  <si>
    <t>BAILHACHE</t>
  </si>
  <si>
    <t>CAMILLE</t>
  </si>
  <si>
    <t>INTCRIT</t>
  </si>
  <si>
    <t>BARBIER</t>
  </si>
  <si>
    <t>CHARLINE</t>
  </si>
  <si>
    <t>REX</t>
  </si>
  <si>
    <t>BAUDOUIN</t>
  </si>
  <si>
    <t>VANESSA</t>
  </si>
  <si>
    <t>MA</t>
  </si>
  <si>
    <t>BAUDRY</t>
  </si>
  <si>
    <t>JEAN BAPTISTE</t>
  </si>
  <si>
    <t>BEAUDOIN</t>
  </si>
  <si>
    <t>HUGO</t>
  </si>
  <si>
    <t>BEAUMICHON</t>
  </si>
  <si>
    <t>LISA</t>
  </si>
  <si>
    <t>BECEL</t>
  </si>
  <si>
    <t>BASTIEN</t>
  </si>
  <si>
    <t>CA</t>
  </si>
  <si>
    <t>BELLEVERGUE</t>
  </si>
  <si>
    <t>TERRY</t>
  </si>
  <si>
    <t>ADM</t>
  </si>
  <si>
    <t>BESNARD</t>
  </si>
  <si>
    <t>LAURA</t>
  </si>
  <si>
    <t>PATRICIA</t>
  </si>
  <si>
    <t>RR</t>
  </si>
  <si>
    <t>BESSIN</t>
  </si>
  <si>
    <t>TRISTANA</t>
  </si>
  <si>
    <t>BETTENCOURT</t>
  </si>
  <si>
    <t>AURELIE</t>
  </si>
  <si>
    <t>BLOT</t>
  </si>
  <si>
    <t>SOPHIE</t>
  </si>
  <si>
    <t>BOIRON</t>
  </si>
  <si>
    <t>ALEXIA</t>
  </si>
  <si>
    <t>PA</t>
  </si>
  <si>
    <t>BOISARD</t>
  </si>
  <si>
    <t>BOTELLE</t>
  </si>
  <si>
    <t>SANDRA</t>
  </si>
  <si>
    <t>BOUALI</t>
  </si>
  <si>
    <t>ADAM MALIK</t>
  </si>
  <si>
    <t>BOUTEILLER</t>
  </si>
  <si>
    <t>AUDREY</t>
  </si>
  <si>
    <t>BREEMERSCH</t>
  </si>
  <si>
    <t>DAMIEN</t>
  </si>
  <si>
    <t>BRISSET</t>
  </si>
  <si>
    <t>LEA</t>
  </si>
  <si>
    <t>BRUMENT</t>
  </si>
  <si>
    <t>STEVEN</t>
  </si>
  <si>
    <t>BRUMEAU</t>
  </si>
  <si>
    <t>CYPRIEN</t>
  </si>
  <si>
    <t>BUNEL</t>
  </si>
  <si>
    <t>CELINE</t>
  </si>
  <si>
    <t>SYLVIE</t>
  </si>
  <si>
    <t>COG</t>
  </si>
  <si>
    <t>CANNEVIERE</t>
  </si>
  <si>
    <t>VALERIE</t>
  </si>
  <si>
    <t>CARDON</t>
  </si>
  <si>
    <t>MAXENCE</t>
  </si>
  <si>
    <t>CARON</t>
  </si>
  <si>
    <t>RAYAN</t>
  </si>
  <si>
    <t>CHAMBELLAN</t>
  </si>
  <si>
    <t>MAUD</t>
  </si>
  <si>
    <t>CE</t>
  </si>
  <si>
    <t>CHAMP</t>
  </si>
  <si>
    <t>CHRISTOPHER</t>
  </si>
  <si>
    <t>x</t>
  </si>
  <si>
    <t>CHAPELLE</t>
  </si>
  <si>
    <t>ANDRE</t>
  </si>
  <si>
    <t>CHARABIE</t>
  </si>
  <si>
    <t>YVES</t>
  </si>
  <si>
    <t>CHEVALIER</t>
  </si>
  <si>
    <t>DEBORAH</t>
  </si>
  <si>
    <t>SABRINA</t>
  </si>
  <si>
    <t>CHEVALLIER</t>
  </si>
  <si>
    <t>JUSTINE</t>
  </si>
  <si>
    <t>CINGAL</t>
  </si>
  <si>
    <t>THEO</t>
  </si>
  <si>
    <t>CLAUDE</t>
  </si>
  <si>
    <t>GUILLAUME</t>
  </si>
  <si>
    <t>COFFARD</t>
  </si>
  <si>
    <t>ANTHONY</t>
  </si>
  <si>
    <t>COLOMBEL</t>
  </si>
  <si>
    <t>LUCIE</t>
  </si>
  <si>
    <t>CORREIA</t>
  </si>
  <si>
    <t>NELSON</t>
  </si>
  <si>
    <t>COSTEY</t>
  </si>
  <si>
    <t>AXEL</t>
  </si>
  <si>
    <t>ACE</t>
  </si>
  <si>
    <t>COUSIN</t>
  </si>
  <si>
    <t>ANGELINE</t>
  </si>
  <si>
    <t>COUTURE</t>
  </si>
  <si>
    <t>COUTURIER</t>
  </si>
  <si>
    <t>CHLOE</t>
  </si>
  <si>
    <t>DORINE</t>
  </si>
  <si>
    <t>SONIA</t>
  </si>
  <si>
    <t>CROSNIER</t>
  </si>
  <si>
    <t>MELANIE</t>
  </si>
  <si>
    <t>DAUCHY</t>
  </si>
  <si>
    <t>ENZO</t>
  </si>
  <si>
    <t>DEHAIS</t>
  </si>
  <si>
    <t>DELAHAYE</t>
  </si>
  <si>
    <t>JEANNINE</t>
  </si>
  <si>
    <t>DELARUE</t>
  </si>
  <si>
    <t>CLAUDINE</t>
  </si>
  <si>
    <t>DELAUNAY</t>
  </si>
  <si>
    <t>MARIE-FRANCE</t>
  </si>
  <si>
    <t>DEMOUSTIER</t>
  </si>
  <si>
    <t>LYNDA-STEPHANIE</t>
  </si>
  <si>
    <t>DESCHAMPS</t>
  </si>
  <si>
    <t>SOLENNE</t>
  </si>
  <si>
    <t>DESOULLE</t>
  </si>
  <si>
    <t>DESPRES</t>
  </si>
  <si>
    <t>KEVIN</t>
  </si>
  <si>
    <t>DESPREZ</t>
  </si>
  <si>
    <t>ALEXANDRE</t>
  </si>
  <si>
    <t>DETUNE</t>
  </si>
  <si>
    <t>CLEMENT</t>
  </si>
  <si>
    <t>DEVROUX</t>
  </si>
  <si>
    <t>BENOIT JOSEPH</t>
  </si>
  <si>
    <t>DIJOUX</t>
  </si>
  <si>
    <t>ADRIEN</t>
  </si>
  <si>
    <t>DJOUMAD</t>
  </si>
  <si>
    <t>FATAH</t>
  </si>
  <si>
    <t>DOUCHE</t>
  </si>
  <si>
    <t>ANAIS</t>
  </si>
  <si>
    <t>DUBOIS</t>
  </si>
  <si>
    <t>ELOISE</t>
  </si>
  <si>
    <t>DUBUS</t>
  </si>
  <si>
    <t>SEBASTIEN</t>
  </si>
  <si>
    <t>DUJARDIN</t>
  </si>
  <si>
    <t>MARIE</t>
  </si>
  <si>
    <t>DUMONTIER</t>
  </si>
  <si>
    <t>MARINE</t>
  </si>
  <si>
    <t>DUMOUCHEL</t>
  </si>
  <si>
    <t>AMANDINE</t>
  </si>
  <si>
    <t>DUPARC</t>
  </si>
  <si>
    <t>CAROLINE</t>
  </si>
  <si>
    <t>STEPHANE</t>
  </si>
  <si>
    <t>DUPEROUX</t>
  </si>
  <si>
    <t>DUVINAGE</t>
  </si>
  <si>
    <t>ANTOINE</t>
  </si>
  <si>
    <t>EBANDA</t>
  </si>
  <si>
    <t>GILBERT</t>
  </si>
  <si>
    <t>EL AIYSSY</t>
  </si>
  <si>
    <t>ABDELHAMID</t>
  </si>
  <si>
    <t>FAFIN</t>
  </si>
  <si>
    <t>LYDIE</t>
  </si>
  <si>
    <t>FARI</t>
  </si>
  <si>
    <t>ISABELLE</t>
  </si>
  <si>
    <t>FAUVEL</t>
  </si>
  <si>
    <t>MICKAELE</t>
  </si>
  <si>
    <t>FERREIRA SOARES</t>
  </si>
  <si>
    <t>SYLVAIN</t>
  </si>
  <si>
    <t>FOBAR</t>
  </si>
  <si>
    <t>CATHERINE</t>
  </si>
  <si>
    <t>FOLLEBARBE</t>
  </si>
  <si>
    <t>FOUTREL</t>
  </si>
  <si>
    <t>BARBARA</t>
  </si>
  <si>
    <t>STEPHANIE</t>
  </si>
  <si>
    <t>FRESTEL</t>
  </si>
  <si>
    <t>FROMAGER</t>
  </si>
  <si>
    <t>MAINT</t>
  </si>
  <si>
    <t>FUCHS</t>
  </si>
  <si>
    <t>ARMAND</t>
  </si>
  <si>
    <t>GLACET</t>
  </si>
  <si>
    <t>BRYAN</t>
  </si>
  <si>
    <t>GLINEL</t>
  </si>
  <si>
    <t>ANGELIQUE</t>
  </si>
  <si>
    <t>GONCALVES</t>
  </si>
  <si>
    <t>BARTHA</t>
  </si>
  <si>
    <t>GOUDE</t>
  </si>
  <si>
    <t>GREMONT</t>
  </si>
  <si>
    <t>JORYS</t>
  </si>
  <si>
    <t>GUERIN</t>
  </si>
  <si>
    <t>ALEXANDRA</t>
  </si>
  <si>
    <t>GUINAND</t>
  </si>
  <si>
    <t>STEVE</t>
  </si>
  <si>
    <t>HAREL</t>
  </si>
  <si>
    <t>CYNTHIA</t>
  </si>
  <si>
    <t>HEE</t>
  </si>
  <si>
    <t>HICHAM</t>
  </si>
  <si>
    <t>HENRY</t>
  </si>
  <si>
    <t>ASHLEY</t>
  </si>
  <si>
    <t>HONNET</t>
  </si>
  <si>
    <t>SARAH</t>
  </si>
  <si>
    <t>HONORE</t>
  </si>
  <si>
    <t>TONY</t>
  </si>
  <si>
    <t>HUE</t>
  </si>
  <si>
    <t>HURAY</t>
  </si>
  <si>
    <t>HERVE</t>
  </si>
  <si>
    <t>JEGOUT</t>
  </si>
  <si>
    <t>INTHUMA</t>
  </si>
  <si>
    <t>JERIBI</t>
  </si>
  <si>
    <t>SYDNEY</t>
  </si>
  <si>
    <t>JOLLY</t>
  </si>
  <si>
    <t>NICOLAS</t>
  </si>
  <si>
    <t>JOUENNE</t>
  </si>
  <si>
    <t>LAURENT</t>
  </si>
  <si>
    <t>LAFOSSE</t>
  </si>
  <si>
    <t>OLIVIER</t>
  </si>
  <si>
    <t>LAMMERS</t>
  </si>
  <si>
    <t>NOLAN</t>
  </si>
  <si>
    <t>LAMOTTE</t>
  </si>
  <si>
    <t>ADELAIDE</t>
  </si>
  <si>
    <t>LAMY</t>
  </si>
  <si>
    <t>LANCE</t>
  </si>
  <si>
    <t>LAETITIA</t>
  </si>
  <si>
    <t>LAPIERRE</t>
  </si>
  <si>
    <t>JULIE</t>
  </si>
  <si>
    <t>LE BAILLIF</t>
  </si>
  <si>
    <t>DIMITRI</t>
  </si>
  <si>
    <t>LEBIGRE</t>
  </si>
  <si>
    <t>DYLAN</t>
  </si>
  <si>
    <t>LECLERC</t>
  </si>
  <si>
    <t>LUDIVINE</t>
  </si>
  <si>
    <t>LECOQ</t>
  </si>
  <si>
    <t>BENJAMIN</t>
  </si>
  <si>
    <t>LEFEBVRE</t>
  </si>
  <si>
    <t>ADRIANA</t>
  </si>
  <si>
    <t>JENNIFER</t>
  </si>
  <si>
    <t>LEFEU</t>
  </si>
  <si>
    <t>JEAN LOUIS</t>
  </si>
  <si>
    <t>LEFRANCOIS</t>
  </si>
  <si>
    <t>SANDIE</t>
  </si>
  <si>
    <t>LEGENDRE</t>
  </si>
  <si>
    <t>MAGALI</t>
  </si>
  <si>
    <t>LEGER</t>
  </si>
  <si>
    <t>LE GUERN</t>
  </si>
  <si>
    <t>MARIE PIERRE</t>
  </si>
  <si>
    <t>LENORMAND</t>
  </si>
  <si>
    <t>ANITA</t>
  </si>
  <si>
    <t>LEPETIT</t>
  </si>
  <si>
    <t>LEROY</t>
  </si>
  <si>
    <t>MALVINA</t>
  </si>
  <si>
    <t>LESEIGNEUR</t>
  </si>
  <si>
    <t>DELPHINE</t>
  </si>
  <si>
    <t>LESEUR</t>
  </si>
  <si>
    <t>KIMBERLAY</t>
  </si>
  <si>
    <t>LETELLIER</t>
  </si>
  <si>
    <t>FLORENCE</t>
  </si>
  <si>
    <t>LEVENEZ HAUCHECORNE</t>
  </si>
  <si>
    <t>QUENTIN</t>
  </si>
  <si>
    <t>LEVEQUE</t>
  </si>
  <si>
    <t>MATHILDE</t>
  </si>
  <si>
    <t>LIENNARD</t>
  </si>
  <si>
    <t>LUCAS</t>
  </si>
  <si>
    <t>ALEXIS</t>
  </si>
  <si>
    <t>ANNE MARIE</t>
  </si>
  <si>
    <t>MABILLE</t>
  </si>
  <si>
    <t>ELODIE</t>
  </si>
  <si>
    <t>MAILLARD</t>
  </si>
  <si>
    <t>MANGEANT</t>
  </si>
  <si>
    <t>MICKAEL</t>
  </si>
  <si>
    <t>MANIABLE</t>
  </si>
  <si>
    <t>AMELIE</t>
  </si>
  <si>
    <t>MAIRE</t>
  </si>
  <si>
    <t>BAPTISTE</t>
  </si>
  <si>
    <t>MARIE APPOLINE</t>
  </si>
  <si>
    <t>KENNY</t>
  </si>
  <si>
    <t>MARQUET</t>
  </si>
  <si>
    <t>MARTIN</t>
  </si>
  <si>
    <t>MATIFAS</t>
  </si>
  <si>
    <t>JESSICA</t>
  </si>
  <si>
    <t>MAUGARD</t>
  </si>
  <si>
    <t>MAUTUIT</t>
  </si>
  <si>
    <t>MURIELLE</t>
  </si>
  <si>
    <t xml:space="preserve"> </t>
  </si>
  <si>
    <t>MECHERI</t>
  </si>
  <si>
    <t>OCEANE</t>
  </si>
  <si>
    <t>MERCET</t>
  </si>
  <si>
    <t>MEZERAIS</t>
  </si>
  <si>
    <t>GIOVANNI</t>
  </si>
  <si>
    <t>MILLOT</t>
  </si>
  <si>
    <t>MORAINE</t>
  </si>
  <si>
    <t>GERALDINE</t>
  </si>
  <si>
    <t>MORAINVILLE</t>
  </si>
  <si>
    <t>DOMINIQUE</t>
  </si>
  <si>
    <t>MORCAMP</t>
  </si>
  <si>
    <t>FLAVIE</t>
  </si>
  <si>
    <t>MOREAU</t>
  </si>
  <si>
    <t>MORISSE</t>
  </si>
  <si>
    <t>MORNAL</t>
  </si>
  <si>
    <t>ROBERT</t>
  </si>
  <si>
    <t>NIBREU</t>
  </si>
  <si>
    <t>CLYDE</t>
  </si>
  <si>
    <t>OUALI</t>
  </si>
  <si>
    <t>OUSSENI</t>
  </si>
  <si>
    <t>BAROUFOUDINE</t>
  </si>
  <si>
    <t>PAISANT</t>
  </si>
  <si>
    <t>CHRISTINE</t>
  </si>
  <si>
    <t>PAPORE</t>
  </si>
  <si>
    <t>PARIS</t>
  </si>
  <si>
    <t>ALLAN</t>
  </si>
  <si>
    <t>PAUMIER</t>
  </si>
  <si>
    <t>MATTEO</t>
  </si>
  <si>
    <t>PELVILLAIN</t>
  </si>
  <si>
    <t>JESSY</t>
  </si>
  <si>
    <t>PERNEL</t>
  </si>
  <si>
    <t>PESQUEUX</t>
  </si>
  <si>
    <t>CORALIE</t>
  </si>
  <si>
    <t>PETIT</t>
  </si>
  <si>
    <t>PINCHON</t>
  </si>
  <si>
    <t>ANDREA</t>
  </si>
  <si>
    <t>PLESSIS</t>
  </si>
  <si>
    <t>ERIC</t>
  </si>
  <si>
    <t>POCHON</t>
  </si>
  <si>
    <t>PREVEL</t>
  </si>
  <si>
    <t>FLORINE</t>
  </si>
  <si>
    <t>PREVOT</t>
  </si>
  <si>
    <t>ADELIN</t>
  </si>
  <si>
    <t>QUERELLE</t>
  </si>
  <si>
    <t>TEDDY</t>
  </si>
  <si>
    <t>QUETEY</t>
  </si>
  <si>
    <t>RAOUT</t>
  </si>
  <si>
    <t>DEYAN</t>
  </si>
  <si>
    <t>RAYS</t>
  </si>
  <si>
    <t>BRAYAN</t>
  </si>
  <si>
    <t>RIVIERE</t>
  </si>
  <si>
    <t>JEAN</t>
  </si>
  <si>
    <t>ROCANCOURT</t>
  </si>
  <si>
    <t>ROMBAUT</t>
  </si>
  <si>
    <t>VALENTIN</t>
  </si>
  <si>
    <t>ROQUES</t>
  </si>
  <si>
    <t>ROMAIN</t>
  </si>
  <si>
    <t>ROUSSELLE</t>
  </si>
  <si>
    <t>EDDIE</t>
  </si>
  <si>
    <t>RUEL</t>
  </si>
  <si>
    <t>MARTINE</t>
  </si>
  <si>
    <t>SARTIAUX</t>
  </si>
  <si>
    <t>SAUVAGE</t>
  </si>
  <si>
    <t>EMELINE</t>
  </si>
  <si>
    <t>SEIGNEUR</t>
  </si>
  <si>
    <t>SERFATI</t>
  </si>
  <si>
    <t>SIMON</t>
  </si>
  <si>
    <t>MEGANE</t>
  </si>
  <si>
    <t>REMI</t>
  </si>
  <si>
    <t>SOULARD</t>
  </si>
  <si>
    <t>LORINE</t>
  </si>
  <si>
    <t>TEIXEIRA</t>
  </si>
  <si>
    <t>TESSIER</t>
  </si>
  <si>
    <t>PERRINE</t>
  </si>
  <si>
    <t>TILLAUX</t>
  </si>
  <si>
    <t>FLORE</t>
  </si>
  <si>
    <t>TOULAIN</t>
  </si>
  <si>
    <t>MELINDA</t>
  </si>
  <si>
    <t>TROUSSEL</t>
  </si>
  <si>
    <t>PAULINE</t>
  </si>
  <si>
    <t>TURCEY</t>
  </si>
  <si>
    <t xml:space="preserve">TUVACHE </t>
  </si>
  <si>
    <t>VESTU</t>
  </si>
  <si>
    <t>VINCENT</t>
  </si>
  <si>
    <t>WARNAULT</t>
  </si>
  <si>
    <t>WYNNYK</t>
  </si>
  <si>
    <t>ALISON</t>
  </si>
  <si>
    <t>LUNDI</t>
  </si>
  <si>
    <t>MARDI</t>
  </si>
  <si>
    <t>MERCREDI</t>
  </si>
  <si>
    <t>JEUDI</t>
  </si>
  <si>
    <t>VENDREDI</t>
  </si>
  <si>
    <t>CAR</t>
  </si>
  <si>
    <t>VRAC</t>
  </si>
  <si>
    <t>PA1</t>
  </si>
  <si>
    <t>PA2</t>
  </si>
  <si>
    <t>CFP1</t>
  </si>
  <si>
    <t>CFP2</t>
  </si>
  <si>
    <t>EUP1</t>
  </si>
  <si>
    <t>EUP2</t>
  </si>
  <si>
    <t>STE</t>
  </si>
  <si>
    <t>CADENCE</t>
  </si>
  <si>
    <t>PA1ETIQ</t>
  </si>
  <si>
    <t>PA2ETIQ</t>
  </si>
  <si>
    <t>CFP1ETIQ</t>
  </si>
  <si>
    <t>CFP2ETIQ</t>
  </si>
  <si>
    <t>EUP1ETIQ</t>
  </si>
  <si>
    <t>EUP2ETIQ</t>
  </si>
  <si>
    <t>PA1TRI</t>
  </si>
  <si>
    <t>PA2TRI</t>
  </si>
  <si>
    <t>CFP1TRI</t>
  </si>
  <si>
    <t>CFP2TRI</t>
  </si>
  <si>
    <t>EUP1TRI</t>
  </si>
  <si>
    <t>EUP2TRI</t>
  </si>
  <si>
    <t>Nb pcs</t>
  </si>
  <si>
    <t>Hrs affecté</t>
  </si>
  <si>
    <t>Delta</t>
  </si>
  <si>
    <t>A</t>
  </si>
  <si>
    <t>CP</t>
  </si>
  <si>
    <t>Pcs théo</t>
  </si>
  <si>
    <t>Hrs dispo</t>
  </si>
  <si>
    <t>POSTE</t>
  </si>
  <si>
    <t>BESOIN</t>
  </si>
  <si>
    <t>AFFECTE</t>
  </si>
  <si>
    <t>ENCA PA</t>
  </si>
  <si>
    <t>ENCA CFP</t>
  </si>
  <si>
    <t>ENCA EUP</t>
  </si>
  <si>
    <t>Hrs PA1</t>
  </si>
  <si>
    <t>Hrs PA2</t>
  </si>
  <si>
    <t>Hrs CFP1</t>
  </si>
  <si>
    <t>Hrs CFP2</t>
  </si>
  <si>
    <t>Hrs EUP1</t>
  </si>
  <si>
    <t>Hrs EUP2</t>
  </si>
  <si>
    <t>FILM</t>
  </si>
  <si>
    <t>ECHANT</t>
  </si>
  <si>
    <t xml:space="preserve">FI </t>
  </si>
  <si>
    <t>PTRI</t>
  </si>
  <si>
    <t>FI</t>
  </si>
  <si>
    <t>FERIE</t>
  </si>
  <si>
    <t>ETIQ</t>
  </si>
  <si>
    <t>EFFECTIF</t>
  </si>
  <si>
    <t>Fonction</t>
  </si>
  <si>
    <t>Opérateur de production</t>
  </si>
  <si>
    <t>Manutentionnaire</t>
  </si>
  <si>
    <t>Chef d'équipe</t>
  </si>
  <si>
    <t>Aide chef d'équipe</t>
  </si>
  <si>
    <t>PC</t>
  </si>
  <si>
    <t>Préparateur de commande</t>
  </si>
  <si>
    <t>Cariste</t>
  </si>
  <si>
    <t>Assistant adiministraitf</t>
  </si>
  <si>
    <t>Responsable de réception</t>
  </si>
  <si>
    <t>Responsable d'expédition</t>
  </si>
  <si>
    <t>RP</t>
  </si>
  <si>
    <t>Responsable de production</t>
  </si>
  <si>
    <t>RPF</t>
  </si>
  <si>
    <t>Responsable plate forme</t>
  </si>
  <si>
    <t>Controleur qualité</t>
  </si>
  <si>
    <t>ALT</t>
  </si>
  <si>
    <t>Alternant</t>
  </si>
  <si>
    <t>GS</t>
  </si>
  <si>
    <t>Gestionnaire de stock</t>
  </si>
  <si>
    <t>Technicien de maintenance</t>
  </si>
  <si>
    <t>AMAC</t>
  </si>
  <si>
    <t>Animateur méthode et amélioration continue</t>
  </si>
  <si>
    <t>FLM</t>
  </si>
  <si>
    <t>ENCA</t>
  </si>
  <si>
    <t>P.</t>
  </si>
  <si>
    <t>A.</t>
  </si>
  <si>
    <t>ECH</t>
  </si>
  <si>
    <t>STK</t>
  </si>
  <si>
    <t>27 organisation</t>
  </si>
  <si>
    <t>CF production</t>
  </si>
  <si>
    <t>PA stockage</t>
  </si>
  <si>
    <t>Eure préparation</t>
  </si>
  <si>
    <t>Contrat à durée indéterminé</t>
  </si>
  <si>
    <t>Contrat à durée déterminé</t>
  </si>
  <si>
    <t>CDDRPL</t>
  </si>
  <si>
    <t>CDD de remplacement</t>
  </si>
  <si>
    <t>Gérant</t>
  </si>
  <si>
    <t>Intérimaire CRIT</t>
  </si>
  <si>
    <t>Intérimaire ADECCO</t>
  </si>
  <si>
    <t>Intérimaire HUMANDO</t>
  </si>
  <si>
    <t>AUTRE</t>
  </si>
  <si>
    <t>mar.10</t>
  </si>
  <si>
    <t>mer.11</t>
  </si>
  <si>
    <t>jeu.12</t>
  </si>
  <si>
    <t>ven.13</t>
  </si>
  <si>
    <t>sam.14</t>
  </si>
  <si>
    <t>dim.15</t>
  </si>
  <si>
    <t>lun.16</t>
  </si>
  <si>
    <t>mar.17</t>
  </si>
  <si>
    <t>mer.18</t>
  </si>
  <si>
    <t>jeu.19</t>
  </si>
  <si>
    <t>ven.20</t>
  </si>
  <si>
    <t>sam.21</t>
  </si>
  <si>
    <t>dim.22</t>
  </si>
  <si>
    <t>lun.23</t>
  </si>
  <si>
    <t>mar.24</t>
  </si>
  <si>
    <t>mer.25</t>
  </si>
  <si>
    <t>jeu.26</t>
  </si>
  <si>
    <t>ven.27</t>
  </si>
  <si>
    <t>sam.28</t>
  </si>
  <si>
    <t>dim.29</t>
  </si>
  <si>
    <t>lun.30</t>
  </si>
  <si>
    <t>Effectif présent</t>
  </si>
  <si>
    <t>Effectif prod</t>
  </si>
  <si>
    <t>Nombre d'heures</t>
  </si>
  <si>
    <t>lun.10</t>
  </si>
  <si>
    <t>mar.11</t>
  </si>
  <si>
    <t>mer.12</t>
  </si>
  <si>
    <t>jeu.13</t>
  </si>
  <si>
    <t>ven.14</t>
  </si>
  <si>
    <t>sam.15</t>
  </si>
  <si>
    <t>dim.16</t>
  </si>
  <si>
    <t>lun.17</t>
  </si>
  <si>
    <t>mar.18</t>
  </si>
  <si>
    <t>mer.19</t>
  </si>
  <si>
    <t>jeu.20</t>
  </si>
  <si>
    <t>ven.21</t>
  </si>
  <si>
    <t>sam.22</t>
  </si>
  <si>
    <t>dim.23</t>
  </si>
  <si>
    <t>lun.24</t>
  </si>
  <si>
    <t>mar.25</t>
  </si>
  <si>
    <t>mer.26</t>
  </si>
  <si>
    <t>jeu.27</t>
  </si>
  <si>
    <t>ven.28</t>
  </si>
  <si>
    <t>sam.29</t>
  </si>
  <si>
    <t>dim.30</t>
  </si>
  <si>
    <t>lun.01</t>
  </si>
  <si>
    <t>mar.02</t>
  </si>
  <si>
    <t>mer.03</t>
  </si>
  <si>
    <t>jeu.04</t>
  </si>
  <si>
    <t>ven.05</t>
  </si>
  <si>
    <t>sam.06</t>
  </si>
  <si>
    <t>dim.07</t>
  </si>
  <si>
    <t>lun.08</t>
  </si>
  <si>
    <t>mar.09</t>
  </si>
  <si>
    <t>mer.10</t>
  </si>
  <si>
    <t>jeu.11</t>
  </si>
  <si>
    <t>ven.12</t>
  </si>
  <si>
    <t>sam.13</t>
  </si>
  <si>
    <t>dim.14</t>
  </si>
  <si>
    <t>lun.15</t>
  </si>
  <si>
    <t>mar.16</t>
  </si>
  <si>
    <t>mer.17</t>
  </si>
  <si>
    <t>jeu.18</t>
  </si>
  <si>
    <t>ven.19</t>
  </si>
  <si>
    <t>sam.20</t>
  </si>
  <si>
    <t>dim.21</t>
  </si>
  <si>
    <t>lun.22</t>
  </si>
  <si>
    <t>mar.23</t>
  </si>
  <si>
    <t>mer.24</t>
  </si>
  <si>
    <t>jeu.25</t>
  </si>
  <si>
    <t>ven.26</t>
  </si>
  <si>
    <t>sam.27</t>
  </si>
  <si>
    <t>dim.28</t>
  </si>
  <si>
    <t>lun.29</t>
  </si>
  <si>
    <t>mar.30</t>
  </si>
  <si>
    <t>mer.31</t>
  </si>
  <si>
    <t>jeu.01</t>
  </si>
  <si>
    <t>ven.02</t>
  </si>
  <si>
    <t>sam.03</t>
  </si>
  <si>
    <t>dim.04</t>
  </si>
  <si>
    <t>lun.05</t>
  </si>
  <si>
    <t>mar.06</t>
  </si>
  <si>
    <t>mer.07</t>
  </si>
  <si>
    <t>jeu.08</t>
  </si>
  <si>
    <t>ven.09</t>
  </si>
  <si>
    <t>sam.10</t>
  </si>
  <si>
    <t>dim.11</t>
  </si>
  <si>
    <t>lun.12</t>
  </si>
  <si>
    <t>mar.13</t>
  </si>
  <si>
    <t>mer.14</t>
  </si>
  <si>
    <t>jeu.15</t>
  </si>
  <si>
    <t>ven.16</t>
  </si>
  <si>
    <t>sam.17</t>
  </si>
  <si>
    <t>dim.18</t>
  </si>
  <si>
    <t>lun.19</t>
  </si>
  <si>
    <t>mar.20</t>
  </si>
  <si>
    <t>mer.21</t>
  </si>
  <si>
    <t>jeu.22</t>
  </si>
  <si>
    <t>ven.23</t>
  </si>
  <si>
    <t>sam.24</t>
  </si>
  <si>
    <t>dim.25</t>
  </si>
  <si>
    <t>lun.26</t>
  </si>
  <si>
    <t>mar.27</t>
  </si>
  <si>
    <t>mer.28</t>
  </si>
  <si>
    <t>jeu.29</t>
  </si>
  <si>
    <t>ven.30</t>
  </si>
  <si>
    <t>sam.31</t>
  </si>
  <si>
    <t>dim.01</t>
  </si>
  <si>
    <t>lun.02</t>
  </si>
  <si>
    <t>mar.03</t>
  </si>
  <si>
    <t>mer.04</t>
  </si>
  <si>
    <t>jeu.05</t>
  </si>
  <si>
    <t>ven.06</t>
  </si>
  <si>
    <t>sam.07</t>
  </si>
  <si>
    <t>dim.08</t>
  </si>
  <si>
    <t>lun.09</t>
  </si>
  <si>
    <t>mar.01</t>
  </si>
  <si>
    <t>mer.02</t>
  </si>
  <si>
    <t>jeu.03</t>
  </si>
  <si>
    <t>ven.04</t>
  </si>
  <si>
    <t>sam.05</t>
  </si>
  <si>
    <t>dim.06</t>
  </si>
  <si>
    <t>lun.07</t>
  </si>
  <si>
    <t>mar.08</t>
  </si>
  <si>
    <t>mer.09</t>
  </si>
  <si>
    <t>jeu.10</t>
  </si>
  <si>
    <t>ven.11</t>
  </si>
  <si>
    <t>sam.12</t>
  </si>
  <si>
    <t>dim.13</t>
  </si>
  <si>
    <t>lun.14</t>
  </si>
  <si>
    <t>mar.15</t>
  </si>
  <si>
    <t>mer.16</t>
  </si>
  <si>
    <t>jeu.17</t>
  </si>
  <si>
    <t>ven.18</t>
  </si>
  <si>
    <t>sam.19</t>
  </si>
  <si>
    <t>dim.20</t>
  </si>
  <si>
    <t>lun.21</t>
  </si>
  <si>
    <t>mar.22</t>
  </si>
  <si>
    <t>mer.23</t>
  </si>
  <si>
    <t>jeu.24</t>
  </si>
  <si>
    <t>ven.25</t>
  </si>
  <si>
    <t>sam.26</t>
  </si>
  <si>
    <t>dim.27</t>
  </si>
  <si>
    <t>lun.28</t>
  </si>
  <si>
    <t>mar.29</t>
  </si>
  <si>
    <t>mer.30</t>
  </si>
  <si>
    <t>jeu.31</t>
  </si>
  <si>
    <t>ven.01</t>
  </si>
  <si>
    <t>sam.02</t>
  </si>
  <si>
    <t>dim.03</t>
  </si>
  <si>
    <t>lun.04</t>
  </si>
  <si>
    <t>mar.05</t>
  </si>
  <si>
    <t>mer.06</t>
  </si>
  <si>
    <t>jeu.07</t>
  </si>
  <si>
    <t>ven.08</t>
  </si>
  <si>
    <t>sam.09</t>
  </si>
  <si>
    <t>dim.10</t>
  </si>
  <si>
    <t>lun.11</t>
  </si>
  <si>
    <t>mar.12</t>
  </si>
  <si>
    <t>mer.13</t>
  </si>
  <si>
    <t>jeu.14</t>
  </si>
  <si>
    <t>ven.15</t>
  </si>
  <si>
    <t>sam.16</t>
  </si>
  <si>
    <t>dim.17</t>
  </si>
  <si>
    <t>lun.18</t>
  </si>
  <si>
    <t>mar.19</t>
  </si>
  <si>
    <t>mer.20</t>
  </si>
  <si>
    <t>jeu.21</t>
  </si>
  <si>
    <t>ven.22</t>
  </si>
  <si>
    <t>sam.23</t>
  </si>
  <si>
    <t>dim.24</t>
  </si>
  <si>
    <t>lun.25</t>
  </si>
  <si>
    <t>mar.26</t>
  </si>
  <si>
    <t>mer.27</t>
  </si>
  <si>
    <t>jeu.28</t>
  </si>
  <si>
    <t>ven.29</t>
  </si>
  <si>
    <t>sam.30</t>
  </si>
  <si>
    <t>dim.012</t>
  </si>
  <si>
    <t>lun.023</t>
  </si>
  <si>
    <t>mar.034</t>
  </si>
  <si>
    <t>mer.045</t>
  </si>
  <si>
    <t>jeu.056</t>
  </si>
  <si>
    <t>ven.067</t>
  </si>
  <si>
    <t>sam.078</t>
  </si>
  <si>
    <t>dim.089</t>
  </si>
  <si>
    <t>lun.0910</t>
  </si>
  <si>
    <t>mar.1011</t>
  </si>
  <si>
    <t>mer.1112</t>
  </si>
  <si>
    <t>jeu.1213</t>
  </si>
  <si>
    <t>ven.1314</t>
  </si>
  <si>
    <t>sam.1415</t>
  </si>
  <si>
    <t>dim.1516</t>
  </si>
  <si>
    <t>lun.1617</t>
  </si>
  <si>
    <t>mar.1718</t>
  </si>
  <si>
    <t>mer.1819</t>
  </si>
  <si>
    <t>jeu.1920</t>
  </si>
  <si>
    <t>ven.2021</t>
  </si>
  <si>
    <t>sam.2122</t>
  </si>
  <si>
    <t>dim.2223</t>
  </si>
  <si>
    <t>lun.2324</t>
  </si>
  <si>
    <t>mar.2425</t>
  </si>
  <si>
    <t>mer.2526</t>
  </si>
  <si>
    <t>jeu.2627</t>
  </si>
  <si>
    <t>ven.2728</t>
  </si>
  <si>
    <t>sam.2829</t>
  </si>
  <si>
    <t>dim.2930</t>
  </si>
  <si>
    <t>jeu 25</t>
  </si>
  <si>
    <t>jeu</t>
  </si>
  <si>
    <t>OTCHERE</t>
  </si>
  <si>
    <t>MONIQUE</t>
  </si>
  <si>
    <t>Prod</t>
  </si>
  <si>
    <t>H aff.</t>
  </si>
  <si>
    <t>Cad.</t>
  </si>
  <si>
    <t>H besoin</t>
  </si>
  <si>
    <t>▲</t>
  </si>
  <si>
    <t>Pcs fdr</t>
  </si>
  <si>
    <t>Eff.</t>
  </si>
  <si>
    <t>PROD</t>
  </si>
  <si>
    <t>TOTAL</t>
  </si>
  <si>
    <t>Effectif ECH + PTRI</t>
  </si>
  <si>
    <t>ECH / PTRI</t>
  </si>
  <si>
    <t xml:space="preserve">PAPORE </t>
  </si>
  <si>
    <t>DUVAL</t>
  </si>
  <si>
    <t>HOUX</t>
  </si>
  <si>
    <t>ROSELYNE</t>
  </si>
  <si>
    <t>Prod.</t>
  </si>
  <si>
    <t>Valeur obj.</t>
  </si>
  <si>
    <t>Cad.moy</t>
  </si>
  <si>
    <t>H. prod</t>
  </si>
  <si>
    <t>P.U</t>
  </si>
  <si>
    <t>Val théo</t>
  </si>
  <si>
    <t>CLELIA</t>
  </si>
  <si>
    <t>HERISSON</t>
  </si>
  <si>
    <t>CHARLOTTE</t>
  </si>
  <si>
    <t>MARJORIE</t>
  </si>
  <si>
    <t>NOEL</t>
  </si>
  <si>
    <t>LETONNELIER</t>
  </si>
  <si>
    <t>LOLITA</t>
  </si>
  <si>
    <t>DAPHNE</t>
  </si>
  <si>
    <t>MATHEO</t>
  </si>
  <si>
    <t>JENNY</t>
  </si>
  <si>
    <t>RICHER</t>
  </si>
  <si>
    <t>COUREL</t>
  </si>
  <si>
    <t>CHRISTELLE</t>
  </si>
  <si>
    <t>GWENAEL</t>
  </si>
  <si>
    <t>dim.2994</t>
  </si>
  <si>
    <t>lun.014</t>
  </si>
  <si>
    <t>mar.025</t>
  </si>
  <si>
    <t>mer.036</t>
  </si>
  <si>
    <t>jeu.047</t>
  </si>
  <si>
    <t>ven.058</t>
  </si>
  <si>
    <t>sam.069</t>
  </si>
  <si>
    <t>dim.0710</t>
  </si>
  <si>
    <t>lun.0811</t>
  </si>
  <si>
    <t>mar.0912</t>
  </si>
  <si>
    <t>mer.1013</t>
  </si>
  <si>
    <t>jeu.1114</t>
  </si>
  <si>
    <t>ven.1215</t>
  </si>
  <si>
    <t>sam.1316</t>
  </si>
  <si>
    <t>dim.1417</t>
  </si>
  <si>
    <t>lun.1518</t>
  </si>
  <si>
    <t>mar.1619</t>
  </si>
  <si>
    <t>mer.1720</t>
  </si>
  <si>
    <t>jeu.1821</t>
  </si>
  <si>
    <t>ven.1922</t>
  </si>
  <si>
    <t>sam.2023</t>
  </si>
  <si>
    <t>dim.2124</t>
  </si>
  <si>
    <t>lun.2225</t>
  </si>
  <si>
    <t>mar.2326</t>
  </si>
  <si>
    <t>mer.2427</t>
  </si>
  <si>
    <t>jeu.2528</t>
  </si>
  <si>
    <t>ven.2629</t>
  </si>
  <si>
    <t>sam.2730</t>
  </si>
  <si>
    <t>dim.2831</t>
  </si>
  <si>
    <t>lun.2932</t>
  </si>
  <si>
    <t>mar.3033</t>
  </si>
  <si>
    <t>mer.3134</t>
  </si>
  <si>
    <t>jeu.0135</t>
  </si>
  <si>
    <t>ven.0236</t>
  </si>
  <si>
    <t>sam.0337</t>
  </si>
  <si>
    <t>dim.0438</t>
  </si>
  <si>
    <t>lun.0539</t>
  </si>
  <si>
    <t>mar.0640</t>
  </si>
  <si>
    <t>mer.0741</t>
  </si>
  <si>
    <t>jeu.0842</t>
  </si>
  <si>
    <t>ven.0943</t>
  </si>
  <si>
    <t>sam.1044</t>
  </si>
  <si>
    <t>dim.1145</t>
  </si>
  <si>
    <t>lun.1246</t>
  </si>
  <si>
    <t>mar.1347</t>
  </si>
  <si>
    <t>mer.1448</t>
  </si>
  <si>
    <t>jeu.1549</t>
  </si>
  <si>
    <t>ven.1650</t>
  </si>
  <si>
    <t>sam.1751</t>
  </si>
  <si>
    <t>dim.1852</t>
  </si>
  <si>
    <t>lun.1953</t>
  </si>
  <si>
    <t>mar.2054</t>
  </si>
  <si>
    <t>mer.2155</t>
  </si>
  <si>
    <t>jeu.2256</t>
  </si>
  <si>
    <t>ven.2357</t>
  </si>
  <si>
    <t>sam.2458</t>
  </si>
  <si>
    <t>dim.2559</t>
  </si>
  <si>
    <t>lun.2660</t>
  </si>
  <si>
    <t>mar.2761</t>
  </si>
  <si>
    <t>mer.2862</t>
  </si>
  <si>
    <t>jeu.2963</t>
  </si>
  <si>
    <t>ven.3064</t>
  </si>
  <si>
    <t>sam.3165</t>
  </si>
  <si>
    <t>dim.0166</t>
  </si>
  <si>
    <t>lun.0267</t>
  </si>
  <si>
    <t>mar.0368</t>
  </si>
  <si>
    <t>mer.0469</t>
  </si>
  <si>
    <t>jeu.0570</t>
  </si>
  <si>
    <t>ven.0671</t>
  </si>
  <si>
    <t>sam.0772</t>
  </si>
  <si>
    <t>dim.0873</t>
  </si>
  <si>
    <t>lun.0974</t>
  </si>
  <si>
    <t>mar.1075</t>
  </si>
  <si>
    <t>mer.1176</t>
  </si>
  <si>
    <t>jeu.1277</t>
  </si>
  <si>
    <t>ven.1378</t>
  </si>
  <si>
    <t>sam.1479</t>
  </si>
  <si>
    <t>dim.1580</t>
  </si>
  <si>
    <t>lun.1681</t>
  </si>
  <si>
    <t>mar.1782</t>
  </si>
  <si>
    <t>mer.1883</t>
  </si>
  <si>
    <t>jeu.1984</t>
  </si>
  <si>
    <t>ven.2085</t>
  </si>
  <si>
    <t>sam.2186</t>
  </si>
  <si>
    <t>dim.2287</t>
  </si>
  <si>
    <t>lun.2388</t>
  </si>
  <si>
    <t>mar.2489</t>
  </si>
  <si>
    <t>mer.2590</t>
  </si>
  <si>
    <t>jeu.2691</t>
  </si>
  <si>
    <t>ven.2792</t>
  </si>
  <si>
    <t>sam.2893</t>
  </si>
  <si>
    <t>lun.3095</t>
  </si>
  <si>
    <t>mar.0196</t>
  </si>
  <si>
    <t>mer.0297</t>
  </si>
  <si>
    <t>jeu.0398</t>
  </si>
  <si>
    <t>ven.0499</t>
  </si>
  <si>
    <t>sam.05100</t>
  </si>
  <si>
    <t>dim.06101</t>
  </si>
  <si>
    <t>lun.07102</t>
  </si>
  <si>
    <t>mar.08103</t>
  </si>
  <si>
    <t>mer.09104</t>
  </si>
  <si>
    <t>jeu.10105</t>
  </si>
  <si>
    <t>ven.11106</t>
  </si>
  <si>
    <t>sam.12107</t>
  </si>
  <si>
    <t>dim.13108</t>
  </si>
  <si>
    <t>lun.14109</t>
  </si>
  <si>
    <t>mar.15110</t>
  </si>
  <si>
    <t>mer.16111</t>
  </si>
  <si>
    <t>jeu.17112</t>
  </si>
  <si>
    <t>ven.18113</t>
  </si>
  <si>
    <t>sam.19114</t>
  </si>
  <si>
    <t>dim.20115</t>
  </si>
  <si>
    <t>lun.21116</t>
  </si>
  <si>
    <t>mar.22117</t>
  </si>
  <si>
    <t>mer.23118</t>
  </si>
  <si>
    <t>jeu.24119</t>
  </si>
  <si>
    <t>ven.25120</t>
  </si>
  <si>
    <t>sam.26121</t>
  </si>
  <si>
    <t>dim.27122</t>
  </si>
  <si>
    <t>lun.28123</t>
  </si>
  <si>
    <t>mar.29124</t>
  </si>
  <si>
    <t>mer.30125</t>
  </si>
  <si>
    <t>jeu.31126</t>
  </si>
  <si>
    <t>ven.01127</t>
  </si>
  <si>
    <t>sam.02128</t>
  </si>
  <si>
    <t>dim.03129</t>
  </si>
  <si>
    <t>lun.04130</t>
  </si>
  <si>
    <t>mar.05131</t>
  </si>
  <si>
    <t>mer.06132</t>
  </si>
  <si>
    <t>jeu.07133</t>
  </si>
  <si>
    <t>ven.08134</t>
  </si>
  <si>
    <t>sam.09135</t>
  </si>
  <si>
    <t>dim.10136</t>
  </si>
  <si>
    <t>lun.11137</t>
  </si>
  <si>
    <t>mar.12138</t>
  </si>
  <si>
    <t>mer.13139</t>
  </si>
  <si>
    <t>jeu.14140</t>
  </si>
  <si>
    <t>ven.15141</t>
  </si>
  <si>
    <t>sam.16142</t>
  </si>
  <si>
    <t>dim.17143</t>
  </si>
  <si>
    <t>lun.18144</t>
  </si>
  <si>
    <t>mar.19145</t>
  </si>
  <si>
    <t>mer.20146</t>
  </si>
  <si>
    <t>jeu.21147</t>
  </si>
  <si>
    <t>ven.22148</t>
  </si>
  <si>
    <t>sam.23149</t>
  </si>
  <si>
    <t>dim.24150</t>
  </si>
  <si>
    <t>lun.25151</t>
  </si>
  <si>
    <t>mar.26152</t>
  </si>
  <si>
    <t>mer.27153</t>
  </si>
  <si>
    <t>jeu.28154</t>
  </si>
  <si>
    <t>ven.29155</t>
  </si>
  <si>
    <t>sam.30156</t>
  </si>
  <si>
    <t>dim.012157</t>
  </si>
  <si>
    <t>lun.023158</t>
  </si>
  <si>
    <t>mar.034159</t>
  </si>
  <si>
    <t>mer.045160</t>
  </si>
  <si>
    <t>jeu.056161</t>
  </si>
  <si>
    <t>ven.067162</t>
  </si>
  <si>
    <t>sam.078163</t>
  </si>
  <si>
    <t>dim.089164</t>
  </si>
  <si>
    <t>lun.0910165</t>
  </si>
  <si>
    <t>mar.1011166</t>
  </si>
  <si>
    <t>mer.1112167</t>
  </si>
  <si>
    <t>jeu.1213168</t>
  </si>
  <si>
    <t>ven.1314169</t>
  </si>
  <si>
    <t>sam.1415170</t>
  </si>
  <si>
    <t>dim.1516171</t>
  </si>
  <si>
    <t>S01</t>
  </si>
  <si>
    <t>DELAUNEY</t>
  </si>
  <si>
    <t>MARIE France</t>
  </si>
  <si>
    <t>HELLUY</t>
  </si>
  <si>
    <t>THOMAS</t>
  </si>
  <si>
    <t>HERNANDEZ</t>
  </si>
  <si>
    <t>INES</t>
  </si>
  <si>
    <t>AGNES</t>
  </si>
  <si>
    <t>ST MARTIN</t>
  </si>
  <si>
    <t>CREPIN</t>
  </si>
  <si>
    <t>BENEULT</t>
  </si>
  <si>
    <t>Colonne1</t>
  </si>
  <si>
    <t>MAGUETTE</t>
  </si>
  <si>
    <t>LESEILLIER</t>
  </si>
  <si>
    <t>lun.30.12</t>
  </si>
  <si>
    <t>mars.11</t>
  </si>
  <si>
    <t>mer.122</t>
  </si>
  <si>
    <t>jeu.132</t>
  </si>
  <si>
    <t>ven.142</t>
  </si>
  <si>
    <t>lun.03</t>
  </si>
  <si>
    <t>lun.172</t>
  </si>
  <si>
    <t>GODINEAU</t>
  </si>
  <si>
    <t>LECUYER</t>
  </si>
  <si>
    <t>RACHEL</t>
  </si>
  <si>
    <t>BONAMY</t>
  </si>
  <si>
    <t>ELISE</t>
  </si>
  <si>
    <t>RATEL</t>
  </si>
  <si>
    <t>NADEGE</t>
  </si>
  <si>
    <t>HERANVAL</t>
  </si>
  <si>
    <t>CHARLIE</t>
  </si>
  <si>
    <t>LOSSOUARN</t>
  </si>
  <si>
    <t>BERANGER</t>
  </si>
  <si>
    <t>VREL</t>
  </si>
  <si>
    <t>CINDY</t>
  </si>
  <si>
    <t>ANNAELLE</t>
  </si>
  <si>
    <t>DECAUX</t>
  </si>
  <si>
    <t>CLOUET</t>
  </si>
  <si>
    <t>TYFANY</t>
  </si>
  <si>
    <t>lun.152</t>
  </si>
  <si>
    <t>mar.163</t>
  </si>
  <si>
    <t>mer.174</t>
  </si>
  <si>
    <t>jeu.185</t>
  </si>
  <si>
    <t>ven.196</t>
  </si>
  <si>
    <t>sam.207</t>
  </si>
  <si>
    <t>dim.218</t>
  </si>
  <si>
    <t>lun.039</t>
  </si>
  <si>
    <t>mar.2310</t>
  </si>
  <si>
    <t>mer.2411</t>
  </si>
  <si>
    <t>jeu.2512</t>
  </si>
  <si>
    <t>ven.2613</t>
  </si>
  <si>
    <t>sam.2714</t>
  </si>
  <si>
    <t>dim.2815</t>
  </si>
  <si>
    <t>lun.2916</t>
  </si>
  <si>
    <t>mar.3017</t>
  </si>
  <si>
    <t>mer.3118</t>
  </si>
  <si>
    <t>jeu.0119</t>
  </si>
  <si>
    <t>ven.0220</t>
  </si>
  <si>
    <t>sam.0321</t>
  </si>
  <si>
    <t>dim.0422</t>
  </si>
  <si>
    <t>lun.0523</t>
  </si>
  <si>
    <t>mar.0624</t>
  </si>
  <si>
    <t>mer.0725</t>
  </si>
  <si>
    <t>jeu.0826</t>
  </si>
  <si>
    <t>ven.0927</t>
  </si>
  <si>
    <t>sam.1028</t>
  </si>
  <si>
    <t>dim.1129</t>
  </si>
  <si>
    <t>lun.1230</t>
  </si>
  <si>
    <t>mar.1331</t>
  </si>
  <si>
    <t>mer.1432</t>
  </si>
  <si>
    <t>jeu.1533</t>
  </si>
  <si>
    <t>ven.1634</t>
  </si>
  <si>
    <t>sam.1735</t>
  </si>
  <si>
    <t>dim.1836</t>
  </si>
  <si>
    <t>lun.1937</t>
  </si>
  <si>
    <t>mar.2038</t>
  </si>
  <si>
    <t>mer.2139</t>
  </si>
  <si>
    <t>jeu.2240</t>
  </si>
  <si>
    <t>ven.2341</t>
  </si>
  <si>
    <t>sam.2442</t>
  </si>
  <si>
    <t>dim.2543</t>
  </si>
  <si>
    <t>lun.2644</t>
  </si>
  <si>
    <t>mar.2745</t>
  </si>
  <si>
    <t>mer.2846</t>
  </si>
  <si>
    <t>jeu.2947</t>
  </si>
  <si>
    <t>ven.3048</t>
  </si>
  <si>
    <t>sam.3149</t>
  </si>
  <si>
    <t>dim.0150</t>
  </si>
  <si>
    <t>lun.0251</t>
  </si>
  <si>
    <t>mar.0352</t>
  </si>
  <si>
    <t>mer.0453</t>
  </si>
  <si>
    <t>jeu.0554</t>
  </si>
  <si>
    <t>ven.0655</t>
  </si>
  <si>
    <t>sam.0756</t>
  </si>
  <si>
    <t>dim.0857</t>
  </si>
  <si>
    <t>lun.0958</t>
  </si>
  <si>
    <t>mar.1059</t>
  </si>
  <si>
    <t>mer.1160</t>
  </si>
  <si>
    <t>jeu.1261</t>
  </si>
  <si>
    <t>ven.1362</t>
  </si>
  <si>
    <t>sam.1463</t>
  </si>
  <si>
    <t>dim.1564</t>
  </si>
  <si>
    <t>lun.1665</t>
  </si>
  <si>
    <t>mar.1766</t>
  </si>
  <si>
    <t>mer.1867</t>
  </si>
  <si>
    <t>jeu.1968</t>
  </si>
  <si>
    <t>ven.2069</t>
  </si>
  <si>
    <t>sam.2170</t>
  </si>
  <si>
    <t>dim.2271</t>
  </si>
  <si>
    <t>lun.2372</t>
  </si>
  <si>
    <t>mar.2473</t>
  </si>
  <si>
    <t>mer.2574</t>
  </si>
  <si>
    <t>jeu.2675</t>
  </si>
  <si>
    <t>ven.2776</t>
  </si>
  <si>
    <t>sam.2877</t>
  </si>
  <si>
    <t>dim.2978</t>
  </si>
  <si>
    <t>lun.3079</t>
  </si>
  <si>
    <t>mar.0180</t>
  </si>
  <si>
    <t>mer.0281</t>
  </si>
  <si>
    <t>jeu.0382</t>
  </si>
  <si>
    <t>ven.0483</t>
  </si>
  <si>
    <t>sam.0584</t>
  </si>
  <si>
    <t>dim.0685</t>
  </si>
  <si>
    <t>lun.0786</t>
  </si>
  <si>
    <t>mar.0887</t>
  </si>
  <si>
    <t>mer.0988</t>
  </si>
  <si>
    <t>jeu.1089</t>
  </si>
  <si>
    <t>ven.1190</t>
  </si>
  <si>
    <t>sam.1291</t>
  </si>
  <si>
    <t>dim.1392</t>
  </si>
  <si>
    <t>lun.1493</t>
  </si>
  <si>
    <t>mar.1594</t>
  </si>
  <si>
    <t>mer.1695</t>
  </si>
  <si>
    <t>jeu.1796</t>
  </si>
  <si>
    <t>ven.1897</t>
  </si>
  <si>
    <t>sam.1998</t>
  </si>
  <si>
    <t>dim.2099</t>
  </si>
  <si>
    <t>lun.21100</t>
  </si>
  <si>
    <t>mar.22101</t>
  </si>
  <si>
    <t>mer.23102</t>
  </si>
  <si>
    <t>jeu.24103</t>
  </si>
  <si>
    <t>ven.25104</t>
  </si>
  <si>
    <t>sam.26105</t>
  </si>
  <si>
    <t>dim.27106</t>
  </si>
  <si>
    <t>lun.28107</t>
  </si>
  <si>
    <t>mar.29108</t>
  </si>
  <si>
    <t>mer.30109</t>
  </si>
  <si>
    <t>jeu.31110</t>
  </si>
  <si>
    <t>ven.01111</t>
  </si>
  <si>
    <t>sam.02112</t>
  </si>
  <si>
    <t>dim.03113</t>
  </si>
  <si>
    <t>lun.04114</t>
  </si>
  <si>
    <t>mar.05115</t>
  </si>
  <si>
    <t>mer.06116</t>
  </si>
  <si>
    <t>jeu.07117</t>
  </si>
  <si>
    <t>ven.08118</t>
  </si>
  <si>
    <t>sam.09119</t>
  </si>
  <si>
    <t>dim.10120</t>
  </si>
  <si>
    <t>lun.11121</t>
  </si>
  <si>
    <t>mar.12122</t>
  </si>
  <si>
    <t>mer.13123</t>
  </si>
  <si>
    <t>jeu.14124</t>
  </si>
  <si>
    <t>ven.15125</t>
  </si>
  <si>
    <t>sam.16126</t>
  </si>
  <si>
    <t>dim.17127</t>
  </si>
  <si>
    <t>lun.18128</t>
  </si>
  <si>
    <t>mar.19129</t>
  </si>
  <si>
    <t>mer.20130</t>
  </si>
  <si>
    <t>jeu.21131</t>
  </si>
  <si>
    <t>ven.22132</t>
  </si>
  <si>
    <t>sam.23133</t>
  </si>
  <si>
    <t>dim.24134</t>
  </si>
  <si>
    <t>lun.25135</t>
  </si>
  <si>
    <t>mar.26136</t>
  </si>
  <si>
    <t>mer.27137</t>
  </si>
  <si>
    <t>jeu.28138</t>
  </si>
  <si>
    <t>ven.29139</t>
  </si>
  <si>
    <t>sam.30140</t>
  </si>
  <si>
    <t>dim.012141</t>
  </si>
  <si>
    <t>lun.023142</t>
  </si>
  <si>
    <t>mar.034143</t>
  </si>
  <si>
    <t>mer.045144</t>
  </si>
  <si>
    <t>jeu.056145</t>
  </si>
  <si>
    <t>ven.067146</t>
  </si>
  <si>
    <t>sam.078147</t>
  </si>
  <si>
    <t>dim.089148</t>
  </si>
  <si>
    <t>lun.0910149</t>
  </si>
  <si>
    <t>mar.1011150</t>
  </si>
  <si>
    <t>mer.1112151</t>
  </si>
  <si>
    <t>jeu.1213152</t>
  </si>
  <si>
    <t>ven.1314153</t>
  </si>
  <si>
    <t>sam.1415154</t>
  </si>
  <si>
    <t>dim.1516155</t>
  </si>
  <si>
    <t>lun.1617156</t>
  </si>
  <si>
    <t>mar.1718157</t>
  </si>
  <si>
    <t>mer.1819158</t>
  </si>
  <si>
    <t>jeu.1920159</t>
  </si>
  <si>
    <t>ven.2021160</t>
  </si>
  <si>
    <t>sam.2122161</t>
  </si>
  <si>
    <t>dim.2223162</t>
  </si>
  <si>
    <t>lun.2324163</t>
  </si>
  <si>
    <t>mar.2425164</t>
  </si>
  <si>
    <t>mer.2526165</t>
  </si>
  <si>
    <t>jeu.2627166</t>
  </si>
  <si>
    <t>ven.2728167</t>
  </si>
  <si>
    <t>sam.2829168</t>
  </si>
  <si>
    <t>dim.2930169</t>
  </si>
  <si>
    <t>lun.1617170</t>
  </si>
  <si>
    <t>mar.1718171</t>
  </si>
  <si>
    <t>mer.1819172</t>
  </si>
  <si>
    <t>jeu.1920173</t>
  </si>
  <si>
    <t>ven.2021174</t>
  </si>
  <si>
    <t>sam.2122175</t>
  </si>
  <si>
    <t>dim.2223176</t>
  </si>
  <si>
    <t>lun.2324177</t>
  </si>
  <si>
    <t>mar.2425178</t>
  </si>
  <si>
    <t>mer.2526179</t>
  </si>
  <si>
    <t>jeu.2627180</t>
  </si>
  <si>
    <t>ven.2728181</t>
  </si>
  <si>
    <t>sam.2829182</t>
  </si>
  <si>
    <t>lun.082</t>
  </si>
  <si>
    <t>mar.093</t>
  </si>
  <si>
    <t>mer.104</t>
  </si>
  <si>
    <t>jeu.115</t>
  </si>
  <si>
    <t>ven.126</t>
  </si>
  <si>
    <t>sam.137</t>
  </si>
  <si>
    <t>dim.148</t>
  </si>
  <si>
    <t>lun.159</t>
  </si>
  <si>
    <t>mar.1610</t>
  </si>
  <si>
    <t>mer.1711</t>
  </si>
  <si>
    <t>jeu.1812</t>
  </si>
  <si>
    <t>ven.1913</t>
  </si>
  <si>
    <t>sam.2014</t>
  </si>
  <si>
    <t>dim.2115</t>
  </si>
  <si>
    <t>lun.2216</t>
  </si>
  <si>
    <t>mar.2317</t>
  </si>
  <si>
    <t>mer.2418</t>
  </si>
  <si>
    <t>jeu.2519</t>
  </si>
  <si>
    <t>ven.2620</t>
  </si>
  <si>
    <t>sam.2721</t>
  </si>
  <si>
    <t>dim.2822</t>
  </si>
  <si>
    <t>lun.2923</t>
  </si>
  <si>
    <t>mar.3024</t>
  </si>
  <si>
    <t>mer.3125</t>
  </si>
  <si>
    <t>jeu.0126</t>
  </si>
  <si>
    <t>ven.0227</t>
  </si>
  <si>
    <t>sam.0328</t>
  </si>
  <si>
    <t>dim.0429</t>
  </si>
  <si>
    <t>lun.0530</t>
  </si>
  <si>
    <t>mar.0631</t>
  </si>
  <si>
    <t>mer.0732</t>
  </si>
  <si>
    <t>jeu.0833</t>
  </si>
  <si>
    <t>ven.0934</t>
  </si>
  <si>
    <t>sam.1035</t>
  </si>
  <si>
    <t>dim.1136</t>
  </si>
  <si>
    <t>lun.1237</t>
  </si>
  <si>
    <t>mar.1338</t>
  </si>
  <si>
    <t>mer.1439</t>
  </si>
  <si>
    <t>jeu.1540</t>
  </si>
  <si>
    <t>ven.1641</t>
  </si>
  <si>
    <t>sam.1742</t>
  </si>
  <si>
    <t>dim.1843</t>
  </si>
  <si>
    <t>lun.1944</t>
  </si>
  <si>
    <t>mar.2045</t>
  </si>
  <si>
    <t>mer.2146</t>
  </si>
  <si>
    <t>jeu.2247</t>
  </si>
  <si>
    <t>ven.2348</t>
  </si>
  <si>
    <t>sam.2449</t>
  </si>
  <si>
    <t>dim.2550</t>
  </si>
  <si>
    <t>lun.2651</t>
  </si>
  <si>
    <t>mar.2752</t>
  </si>
  <si>
    <t>mer.2853</t>
  </si>
  <si>
    <t>jeu.2954</t>
  </si>
  <si>
    <t>ven.3055</t>
  </si>
  <si>
    <t>sam.3156</t>
  </si>
  <si>
    <t>dim.0157</t>
  </si>
  <si>
    <t>lun.0258</t>
  </si>
  <si>
    <t>mar.0359</t>
  </si>
  <si>
    <t>mer.0460</t>
  </si>
  <si>
    <t>jeu.0561</t>
  </si>
  <si>
    <t>ven.0662</t>
  </si>
  <si>
    <t>sam.0763</t>
  </si>
  <si>
    <t>dim.0864</t>
  </si>
  <si>
    <t>lun.0965</t>
  </si>
  <si>
    <t>mar.1066</t>
  </si>
  <si>
    <t>mer.1167</t>
  </si>
  <si>
    <t>jeu.1268</t>
  </si>
  <si>
    <t>ven.1369</t>
  </si>
  <si>
    <t>sam.1470</t>
  </si>
  <si>
    <t>dim.1571</t>
  </si>
  <si>
    <t>lun.1672</t>
  </si>
  <si>
    <t>mar.1773</t>
  </si>
  <si>
    <t>mer.1874</t>
  </si>
  <si>
    <t>jeu.1975</t>
  </si>
  <si>
    <t>ven.2076</t>
  </si>
  <si>
    <t>sam.2177</t>
  </si>
  <si>
    <t>dim.2278</t>
  </si>
  <si>
    <t>lun.2379</t>
  </si>
  <si>
    <t>mar.2480</t>
  </si>
  <si>
    <t>mer.2581</t>
  </si>
  <si>
    <t>jeu.2682</t>
  </si>
  <si>
    <t>ven.2783</t>
  </si>
  <si>
    <t>sam.2884</t>
  </si>
  <si>
    <t>dim.2985</t>
  </si>
  <si>
    <t>lun.3086</t>
  </si>
  <si>
    <t>mar.0187</t>
  </si>
  <si>
    <t>mer.0288</t>
  </si>
  <si>
    <t>jeu.0389</t>
  </si>
  <si>
    <t>ven.0490</t>
  </si>
  <si>
    <t>sam.0591</t>
  </si>
  <si>
    <t>dim.0692</t>
  </si>
  <si>
    <t>lun.0793</t>
  </si>
  <si>
    <t>mar.0894</t>
  </si>
  <si>
    <t>mer.0995</t>
  </si>
  <si>
    <t>jeu.1096</t>
  </si>
  <si>
    <t>ven.1197</t>
  </si>
  <si>
    <t>sam.1298</t>
  </si>
  <si>
    <t>dim.1399</t>
  </si>
  <si>
    <t>lun.14100</t>
  </si>
  <si>
    <t>mar.15101</t>
  </si>
  <si>
    <t>mer.16102</t>
  </si>
  <si>
    <t>jeu.17103</t>
  </si>
  <si>
    <t>ven.18104</t>
  </si>
  <si>
    <t>sam.19105</t>
  </si>
  <si>
    <t>dim.20106</t>
  </si>
  <si>
    <t>lun.21107</t>
  </si>
  <si>
    <t>mar.22108</t>
  </si>
  <si>
    <t>mer.23109</t>
  </si>
  <si>
    <t>jeu.24110</t>
  </si>
  <si>
    <t>ven.25111</t>
  </si>
  <si>
    <t>sam.26112</t>
  </si>
  <si>
    <t>dim.27113</t>
  </si>
  <si>
    <t>lun.28114</t>
  </si>
  <si>
    <t>mar.29115</t>
  </si>
  <si>
    <t>mer.30116</t>
  </si>
  <si>
    <t>jeu.31117</t>
  </si>
  <si>
    <t>ven.01118</t>
  </si>
  <si>
    <t>sam.02119</t>
  </si>
  <si>
    <t>dim.03120</t>
  </si>
  <si>
    <t>lun.04121</t>
  </si>
  <si>
    <t>mar.05122</t>
  </si>
  <si>
    <t>mer.06123</t>
  </si>
  <si>
    <t>jeu.07124</t>
  </si>
  <si>
    <t>ven.08125</t>
  </si>
  <si>
    <t>sam.09126</t>
  </si>
  <si>
    <t>dim.10127</t>
  </si>
  <si>
    <t>lun.11128</t>
  </si>
  <si>
    <t>mar.12129</t>
  </si>
  <si>
    <t>mer.13130</t>
  </si>
  <si>
    <t>jeu.14131</t>
  </si>
  <si>
    <t>ven.15132</t>
  </si>
  <si>
    <t>sam.16133</t>
  </si>
  <si>
    <t>dim.17134</t>
  </si>
  <si>
    <t>lun.18135</t>
  </si>
  <si>
    <t>mar.19136</t>
  </si>
  <si>
    <t>mer.20137</t>
  </si>
  <si>
    <t>jeu.21138</t>
  </si>
  <si>
    <t>ven.22139</t>
  </si>
  <si>
    <t>sam.23140</t>
  </si>
  <si>
    <t>dim.24141</t>
  </si>
  <si>
    <t>lun.25142</t>
  </si>
  <si>
    <t>mar.26143</t>
  </si>
  <si>
    <t>mer.27144</t>
  </si>
  <si>
    <t>jeu.28145</t>
  </si>
  <si>
    <t>ven.29146</t>
  </si>
  <si>
    <t>sam.30147</t>
  </si>
  <si>
    <t>dim.012148</t>
  </si>
  <si>
    <t>lun.023149</t>
  </si>
  <si>
    <t>mar.034150</t>
  </si>
  <si>
    <t>mer.045151</t>
  </si>
  <si>
    <t>jeu.056152</t>
  </si>
  <si>
    <t>ven.067153</t>
  </si>
  <si>
    <t>sam.078154</t>
  </si>
  <si>
    <t>dim.089155</t>
  </si>
  <si>
    <t>lun.0910156</t>
  </si>
  <si>
    <t>mar.1011157</t>
  </si>
  <si>
    <t>mer.1112158</t>
  </si>
  <si>
    <t>jeu.1213159</t>
  </si>
  <si>
    <t>ven.1314160</t>
  </si>
  <si>
    <t>sam.1415161</t>
  </si>
  <si>
    <t>dim.1516162</t>
  </si>
  <si>
    <t>lun.1617163</t>
  </si>
  <si>
    <t>mar.1718164</t>
  </si>
  <si>
    <t>mer.1819165</t>
  </si>
  <si>
    <t>jeu.1920166</t>
  </si>
  <si>
    <t>ven.2021167</t>
  </si>
  <si>
    <t>sam.2122168</t>
  </si>
  <si>
    <t>dim.2223169</t>
  </si>
  <si>
    <t>lun.2324170</t>
  </si>
  <si>
    <t>mar.2425171</t>
  </si>
  <si>
    <t>mer.2526172</t>
  </si>
  <si>
    <t>jeu.2627173</t>
  </si>
  <si>
    <t>ven.2728174</t>
  </si>
  <si>
    <t>sam.2829175</t>
  </si>
  <si>
    <t>RICHARD</t>
  </si>
  <si>
    <t>RANCON</t>
  </si>
  <si>
    <t xml:space="preserve">HARLEY </t>
  </si>
  <si>
    <t>NATHAN</t>
  </si>
  <si>
    <t>ANAELLE</t>
  </si>
  <si>
    <t>THIBOUT</t>
  </si>
  <si>
    <t>SALOME</t>
  </si>
  <si>
    <t>DANTAN</t>
  </si>
  <si>
    <t>MARION</t>
  </si>
  <si>
    <t>DE BACKER</t>
  </si>
  <si>
    <t>MAILEE</t>
  </si>
  <si>
    <t>JEAN YVES</t>
  </si>
  <si>
    <t>HUBLET</t>
  </si>
  <si>
    <t>LORANE</t>
  </si>
  <si>
    <t>VATTIER</t>
  </si>
  <si>
    <t>JORDAN</t>
  </si>
  <si>
    <t>ZEGHOUANI</t>
  </si>
  <si>
    <t>HURE</t>
  </si>
  <si>
    <t>CANVARQUE</t>
  </si>
  <si>
    <t>LENA</t>
  </si>
  <si>
    <t>TANGUY</t>
  </si>
  <si>
    <t>BEUZIT</t>
  </si>
  <si>
    <t>LOLA</t>
  </si>
  <si>
    <t>MARY</t>
  </si>
  <si>
    <t>BARBATTE</t>
  </si>
  <si>
    <t>LEO</t>
  </si>
  <si>
    <t>ENES</t>
  </si>
  <si>
    <t>TIFFANY</t>
  </si>
  <si>
    <t>YNNOLA</t>
  </si>
  <si>
    <t>BASCOULLERGUE</t>
  </si>
  <si>
    <t>ORNELLA</t>
  </si>
  <si>
    <t>ROGES</t>
  </si>
  <si>
    <t>POREE</t>
  </si>
  <si>
    <t>NAOMIE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</si>
</sst>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d/m;@"/>
    <numFmt numFmtId="166" formatCode="#,##0&quot; h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indexed="8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FFF99"/>
      </patternFill>
    </fill>
    <fill>
      <patternFill patternType="solid">
        <fgColor indexed="9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rgb="FFFFFFFF"/>
      </patternFill>
    </fill>
    <fill>
      <patternFill patternType="solid">
        <fgColor theme="9" tint="0.59999389629810485"/>
        <bgColor rgb="FFF3F3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ADD8E6"/>
      </patternFill>
    </fill>
    <fill>
      <patternFill patternType="solid">
        <fgColor rgb="FFFF6600"/>
        <bgColor rgb="FFFF6600"/>
      </patternFill>
    </fill>
    <fill>
      <patternFill patternType="solid">
        <fgColor theme="9" tint="0.59999389629810485"/>
        <bgColor rgb="FFFF66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0"/>
        <bgColor rgb="FFF3F3F3"/>
      </patternFill>
    </fill>
    <fill>
      <patternFill patternType="solid">
        <fgColor theme="4" tint="0.59999389629810485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8D3F"/>
        <bgColor indexed="64"/>
      </patternFill>
    </fill>
    <fill>
      <patternFill patternType="solid">
        <fgColor rgb="FFE7C7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60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1" fontId="4" fillId="4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6" borderId="7" xfId="0" applyFont="1" applyFill="1" applyBorder="1" applyAlignment="1" applyProtection="1">
      <alignment horizontal="left" vertical="center"/>
      <protection locked="0"/>
    </xf>
    <xf numFmtId="1" fontId="4" fillId="4" borderId="1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 vertical="center"/>
    </xf>
    <xf numFmtId="1" fontId="4" fillId="4" borderId="6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/>
    </xf>
    <xf numFmtId="1" fontId="4" fillId="11" borderId="6" xfId="0" applyNumberFormat="1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5" fillId="13" borderId="6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6" fillId="12" borderId="7" xfId="0" applyFont="1" applyFill="1" applyBorder="1" applyAlignment="1" applyProtection="1">
      <alignment horizontal="left" vertical="center"/>
      <protection locked="0"/>
    </xf>
    <xf numFmtId="1" fontId="4" fillId="8" borderId="6" xfId="0" applyNumberFormat="1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left" vertical="center"/>
    </xf>
    <xf numFmtId="0" fontId="5" fillId="16" borderId="6" xfId="0" applyFont="1" applyFill="1" applyBorder="1" applyAlignment="1">
      <alignment horizontal="left" vertical="center"/>
    </xf>
    <xf numFmtId="164" fontId="2" fillId="12" borderId="7" xfId="0" applyNumberFormat="1" applyFont="1" applyFill="1" applyBorder="1" applyAlignment="1">
      <alignment horizontal="center" vertical="center"/>
    </xf>
    <xf numFmtId="1" fontId="4" fillId="8" borderId="6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left" vertical="center"/>
    </xf>
    <xf numFmtId="164" fontId="2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/>
    </xf>
    <xf numFmtId="0" fontId="7" fillId="17" borderId="6" xfId="0" applyFont="1" applyFill="1" applyBorder="1" applyAlignment="1">
      <alignment horizontal="left" vertical="center"/>
    </xf>
    <xf numFmtId="0" fontId="5" fillId="18" borderId="6" xfId="0" applyFont="1" applyFill="1" applyBorder="1" applyAlignment="1">
      <alignment horizontal="left" vertical="center"/>
    </xf>
    <xf numFmtId="1" fontId="4" fillId="19" borderId="6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2" borderId="7" xfId="0" applyFont="1" applyFill="1" applyBorder="1" applyAlignment="1" applyProtection="1">
      <alignment horizontal="left" vertical="center"/>
      <protection locked="0"/>
    </xf>
    <xf numFmtId="1" fontId="4" fillId="4" borderId="14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6" borderId="21" xfId="0" applyFont="1" applyFill="1" applyBorder="1" applyAlignment="1" applyProtection="1">
      <alignment horizontal="left" vertical="center"/>
      <protection locked="0"/>
    </xf>
    <xf numFmtId="0" fontId="6" fillId="6" borderId="22" xfId="0" applyFont="1" applyFill="1" applyBorder="1" applyAlignment="1" applyProtection="1">
      <alignment horizontal="left" vertical="center"/>
      <protection locked="0"/>
    </xf>
    <xf numFmtId="0" fontId="7" fillId="8" borderId="6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0" fontId="5" fillId="20" borderId="6" xfId="0" applyFont="1" applyFill="1" applyBorder="1" applyAlignment="1">
      <alignment horizontal="left" vertical="center"/>
    </xf>
    <xf numFmtId="0" fontId="5" fillId="19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2" fillId="12" borderId="6" xfId="0" applyNumberFormat="1" applyFont="1" applyFill="1" applyBorder="1" applyAlignment="1">
      <alignment horizontal="center" vertical="center"/>
    </xf>
    <xf numFmtId="1" fontId="4" fillId="11" borderId="7" xfId="0" applyNumberFormat="1" applyFont="1" applyFill="1" applyBorder="1" applyAlignment="1">
      <alignment horizontal="center" vertical="center"/>
    </xf>
    <xf numFmtId="1" fontId="4" fillId="8" borderId="7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" fontId="4" fillId="8" borderId="17" xfId="0" applyNumberFormat="1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0" fillId="12" borderId="6" xfId="0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/>
    </xf>
    <xf numFmtId="0" fontId="6" fillId="12" borderId="6" xfId="0" applyFont="1" applyFill="1" applyBorder="1" applyAlignment="1" applyProtection="1">
      <alignment horizontal="left" vertical="center"/>
      <protection locked="0"/>
    </xf>
    <xf numFmtId="0" fontId="4" fillId="8" borderId="7" xfId="0" applyFont="1" applyFill="1" applyBorder="1" applyAlignment="1">
      <alignment horizontal="left" vertical="center"/>
    </xf>
    <xf numFmtId="0" fontId="6" fillId="6" borderId="6" xfId="0" applyFont="1" applyFill="1" applyBorder="1" applyAlignment="1" applyProtection="1">
      <alignment horizontal="left" vertical="center"/>
      <protection locked="0"/>
    </xf>
    <xf numFmtId="0" fontId="7" fillId="17" borderId="7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7" fillId="17" borderId="7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 applyProtection="1">
      <alignment horizontal="left" vertical="center"/>
      <protection locked="0"/>
    </xf>
    <xf numFmtId="0" fontId="7" fillId="8" borderId="7" xfId="0" applyFont="1" applyFill="1" applyBorder="1" applyAlignment="1">
      <alignment horizontal="left" vertical="center" wrapText="1"/>
    </xf>
    <xf numFmtId="0" fontId="4" fillId="17" borderId="7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 wrapText="1"/>
    </xf>
    <xf numFmtId="0" fontId="4" fillId="17" borderId="6" xfId="0" applyFont="1" applyFill="1" applyBorder="1" applyAlignment="1">
      <alignment horizontal="left"/>
    </xf>
    <xf numFmtId="0" fontId="7" fillId="8" borderId="14" xfId="0" applyFont="1" applyFill="1" applyBorder="1" applyAlignment="1">
      <alignment horizontal="left" vertical="center"/>
    </xf>
    <xf numFmtId="0" fontId="6" fillId="2" borderId="6" xfId="0" applyFont="1" applyFill="1" applyBorder="1" applyAlignment="1" applyProtection="1">
      <alignment horizontal="left" vertical="center"/>
      <protection locked="0"/>
    </xf>
    <xf numFmtId="1" fontId="4" fillId="4" borderId="7" xfId="0" applyNumberFormat="1" applyFont="1" applyFill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left" vertical="center"/>
    </xf>
    <xf numFmtId="0" fontId="6" fillId="12" borderId="15" xfId="0" applyFont="1" applyFill="1" applyBorder="1" applyAlignment="1" applyProtection="1">
      <alignment horizontal="left" vertical="center"/>
      <protection locked="0"/>
    </xf>
    <xf numFmtId="0" fontId="6" fillId="12" borderId="14" xfId="0" applyFont="1" applyFill="1" applyBorder="1" applyAlignment="1" applyProtection="1">
      <alignment horizontal="left" vertical="center"/>
      <protection locked="0"/>
    </xf>
    <xf numFmtId="0" fontId="6" fillId="12" borderId="16" xfId="0" applyFont="1" applyFill="1" applyBorder="1" applyAlignment="1" applyProtection="1">
      <alignment horizontal="left" vertical="center"/>
      <protection locked="0"/>
    </xf>
    <xf numFmtId="0" fontId="0" fillId="0" borderId="7" xfId="0" applyBorder="1"/>
    <xf numFmtId="0" fontId="1" fillId="0" borderId="23" xfId="0" applyFont="1" applyFill="1" applyBorder="1" applyAlignment="1">
      <alignment horizontal="center" vertical="top"/>
    </xf>
    <xf numFmtId="0" fontId="3" fillId="0" borderId="24" xfId="0" applyFont="1" applyFill="1" applyBorder="1" applyAlignment="1">
      <alignment horizontal="center" vertical="top"/>
    </xf>
    <xf numFmtId="0" fontId="3" fillId="0" borderId="25" xfId="0" applyFont="1" applyFill="1" applyBorder="1" applyAlignment="1">
      <alignment horizontal="center" vertical="top"/>
    </xf>
    <xf numFmtId="0" fontId="0" fillId="0" borderId="10" xfId="0" applyBorder="1"/>
    <xf numFmtId="0" fontId="0" fillId="0" borderId="28" xfId="0" applyBorder="1"/>
    <xf numFmtId="0" fontId="0" fillId="0" borderId="29" xfId="0" applyBorder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/>
    </xf>
    <xf numFmtId="0" fontId="0" fillId="21" borderId="7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top"/>
    </xf>
    <xf numFmtId="0" fontId="0" fillId="0" borderId="25" xfId="0" applyBorder="1"/>
    <xf numFmtId="0" fontId="1" fillId="21" borderId="26" xfId="0" applyFont="1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21" borderId="10" xfId="0" applyFill="1" applyBorder="1"/>
    <xf numFmtId="0" fontId="1" fillId="0" borderId="2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Fill="1" applyBorder="1"/>
    <xf numFmtId="0" fontId="0" fillId="0" borderId="29" xfId="0" applyFill="1" applyBorder="1"/>
    <xf numFmtId="0" fontId="3" fillId="0" borderId="30" xfId="0" applyFont="1" applyFill="1" applyBorder="1" applyAlignment="1">
      <alignment horizontal="center" vertical="top"/>
    </xf>
    <xf numFmtId="165" fontId="0" fillId="0" borderId="2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3" fillId="0" borderId="27" xfId="0" applyFont="1" applyFill="1" applyBorder="1" applyAlignment="1">
      <alignment horizontal="center" vertical="top"/>
    </xf>
    <xf numFmtId="0" fontId="3" fillId="0" borderId="28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horizontal="center" vertical="top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/>
    <xf numFmtId="0" fontId="0" fillId="0" borderId="24" xfId="0" applyBorder="1" applyAlignment="1">
      <alignment horizontal="center" vertical="center"/>
    </xf>
    <xf numFmtId="0" fontId="0" fillId="0" borderId="0" xfId="0" applyFont="1" applyAlignment="1">
      <alignment horizontal="left" indent="1"/>
    </xf>
    <xf numFmtId="0" fontId="3" fillId="3" borderId="42" xfId="0" applyFont="1" applyFill="1" applyBorder="1" applyAlignment="1">
      <alignment horizontal="center" vertical="top"/>
    </xf>
    <xf numFmtId="0" fontId="3" fillId="3" borderId="32" xfId="0" applyFont="1" applyFill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0" fillId="0" borderId="34" xfId="0" applyFont="1" applyFill="1" applyBorder="1" applyAlignment="1" applyProtection="1">
      <alignment horizontal="left" vertical="center" indent="1"/>
      <protection locked="0"/>
    </xf>
    <xf numFmtId="0" fontId="10" fillId="0" borderId="35" xfId="0" applyFont="1" applyFill="1" applyBorder="1" applyAlignment="1" applyProtection="1">
      <alignment horizontal="left" vertical="center" indent="1"/>
      <protection locked="0"/>
    </xf>
    <xf numFmtId="0" fontId="10" fillId="0" borderId="36" xfId="0" applyFont="1" applyFill="1" applyBorder="1" applyAlignment="1" applyProtection="1">
      <alignment horizontal="left" vertical="center" indent="1"/>
      <protection locked="0"/>
    </xf>
    <xf numFmtId="0" fontId="10" fillId="0" borderId="37" xfId="0" applyFont="1" applyFill="1" applyBorder="1" applyAlignment="1" applyProtection="1">
      <alignment horizontal="left" vertical="center" indent="1"/>
      <protection locked="0"/>
    </xf>
    <xf numFmtId="0" fontId="11" fillId="0" borderId="36" xfId="0" applyFont="1" applyFill="1" applyBorder="1" applyAlignment="1">
      <alignment horizontal="left" vertical="center" indent="1"/>
    </xf>
    <xf numFmtId="0" fontId="11" fillId="0" borderId="37" xfId="0" applyFont="1" applyFill="1" applyBorder="1" applyAlignment="1">
      <alignment horizontal="left" vertical="center" indent="1"/>
    </xf>
    <xf numFmtId="0" fontId="12" fillId="0" borderId="26" xfId="0" applyFont="1" applyFill="1" applyBorder="1" applyAlignment="1">
      <alignment horizontal="left" vertical="center" indent="1"/>
    </xf>
    <xf numFmtId="0" fontId="12" fillId="0" borderId="10" xfId="0" applyFont="1" applyFill="1" applyBorder="1" applyAlignment="1">
      <alignment horizontal="left" vertical="center" indent="1"/>
    </xf>
    <xf numFmtId="0" fontId="11" fillId="0" borderId="26" xfId="0" applyFont="1" applyFill="1" applyBorder="1" applyAlignment="1">
      <alignment horizontal="left" vertical="center" indent="1"/>
    </xf>
    <xf numFmtId="0" fontId="11" fillId="0" borderId="10" xfId="0" applyFont="1" applyFill="1" applyBorder="1" applyAlignment="1">
      <alignment horizontal="left" vertical="center" indent="1"/>
    </xf>
    <xf numFmtId="0" fontId="12" fillId="0" borderId="36" xfId="0" applyFont="1" applyFill="1" applyBorder="1" applyAlignment="1">
      <alignment horizontal="left" vertical="center" indent="1"/>
    </xf>
    <xf numFmtId="0" fontId="12" fillId="0" borderId="37" xfId="0" applyFont="1" applyFill="1" applyBorder="1" applyAlignment="1">
      <alignment horizontal="left" vertical="center" indent="1"/>
    </xf>
    <xf numFmtId="0" fontId="10" fillId="0" borderId="26" xfId="0" applyFont="1" applyFill="1" applyBorder="1" applyAlignment="1" applyProtection="1">
      <alignment horizontal="left" vertical="center" indent="1"/>
      <protection locked="0"/>
    </xf>
    <xf numFmtId="0" fontId="10" fillId="0" borderId="10" xfId="0" applyFont="1" applyFill="1" applyBorder="1" applyAlignment="1" applyProtection="1">
      <alignment horizontal="left" vertical="center" indent="1"/>
      <protection locked="0"/>
    </xf>
    <xf numFmtId="0" fontId="12" fillId="0" borderId="26" xfId="0" applyFont="1" applyFill="1" applyBorder="1" applyAlignment="1">
      <alignment horizontal="left" vertical="center" wrapText="1" indent="1"/>
    </xf>
    <xf numFmtId="0" fontId="12" fillId="0" borderId="10" xfId="0" applyFont="1" applyFill="1" applyBorder="1" applyAlignment="1">
      <alignment horizontal="left" vertical="center" wrapText="1" indent="1"/>
    </xf>
    <xf numFmtId="0" fontId="12" fillId="0" borderId="36" xfId="0" applyFont="1" applyFill="1" applyBorder="1" applyAlignment="1">
      <alignment horizontal="left" vertical="center" wrapText="1" indent="1"/>
    </xf>
    <xf numFmtId="0" fontId="12" fillId="0" borderId="37" xfId="0" applyFont="1" applyFill="1" applyBorder="1" applyAlignment="1">
      <alignment horizontal="left" vertical="center" wrapText="1" indent="1"/>
    </xf>
    <xf numFmtId="0" fontId="0" fillId="0" borderId="19" xfId="0" applyFill="1" applyBorder="1" applyAlignment="1">
      <alignment horizontal="center" vertical="center"/>
    </xf>
    <xf numFmtId="0" fontId="12" fillId="0" borderId="38" xfId="0" applyFont="1" applyFill="1" applyBorder="1" applyAlignment="1">
      <alignment horizontal="left" vertical="center" indent="1"/>
    </xf>
    <xf numFmtId="0" fontId="12" fillId="0" borderId="41" xfId="0" applyFont="1" applyFill="1" applyBorder="1" applyAlignment="1">
      <alignment horizontal="left" vertical="center" indent="1"/>
    </xf>
    <xf numFmtId="0" fontId="10" fillId="0" borderId="27" xfId="0" applyFont="1" applyFill="1" applyBorder="1" applyAlignment="1" applyProtection="1">
      <alignment horizontal="left" vertical="center" indent="1"/>
      <protection locked="0"/>
    </xf>
    <xf numFmtId="0" fontId="10" fillId="0" borderId="29" xfId="0" applyFont="1" applyFill="1" applyBorder="1" applyAlignment="1" applyProtection="1">
      <alignment horizontal="left" vertical="center" indent="1"/>
      <protection locked="0"/>
    </xf>
    <xf numFmtId="0" fontId="11" fillId="0" borderId="21" xfId="0" applyFont="1" applyFill="1" applyBorder="1" applyAlignment="1">
      <alignment horizontal="left" vertical="center" indent="1"/>
    </xf>
    <xf numFmtId="0" fontId="11" fillId="0" borderId="26" xfId="0" applyFont="1" applyFill="1" applyBorder="1" applyAlignment="1">
      <alignment horizontal="left" indent="1"/>
    </xf>
    <xf numFmtId="0" fontId="11" fillId="0" borderId="34" xfId="0" applyFont="1" applyFill="1" applyBorder="1" applyAlignment="1">
      <alignment horizontal="left" vertical="center" indent="1"/>
    </xf>
    <xf numFmtId="0" fontId="11" fillId="0" borderId="22" xfId="0" applyFont="1" applyFill="1" applyBorder="1" applyAlignment="1">
      <alignment horizontal="left" vertical="center" indent="1"/>
    </xf>
    <xf numFmtId="0" fontId="11" fillId="0" borderId="10" xfId="0" applyFont="1" applyFill="1" applyBorder="1" applyAlignment="1">
      <alignment horizontal="left" indent="1"/>
    </xf>
    <xf numFmtId="0" fontId="11" fillId="0" borderId="39" xfId="0" applyFont="1" applyFill="1" applyBorder="1" applyAlignment="1">
      <alignment horizontal="left" vertical="center" indent="1"/>
    </xf>
    <xf numFmtId="0" fontId="11" fillId="0" borderId="38" xfId="0" applyFont="1" applyFill="1" applyBorder="1" applyAlignment="1">
      <alignment horizontal="left" vertical="center" indent="1"/>
    </xf>
    <xf numFmtId="0" fontId="12" fillId="0" borderId="21" xfId="0" applyFont="1" applyFill="1" applyBorder="1" applyAlignment="1">
      <alignment horizontal="left" vertical="center" indent="1"/>
    </xf>
    <xf numFmtId="0" fontId="12" fillId="0" borderId="22" xfId="0" applyFont="1" applyFill="1" applyBorder="1" applyAlignment="1">
      <alignment horizontal="left" vertical="center" indent="1"/>
    </xf>
    <xf numFmtId="0" fontId="12" fillId="0" borderId="34" xfId="0" applyFont="1" applyFill="1" applyBorder="1" applyAlignment="1">
      <alignment horizontal="left" vertical="center" indent="1"/>
    </xf>
    <xf numFmtId="0" fontId="10" fillId="0" borderId="40" xfId="0" applyFont="1" applyFill="1" applyBorder="1" applyAlignment="1" applyProtection="1">
      <alignment horizontal="left" vertical="center" indent="1"/>
      <protection locked="0"/>
    </xf>
    <xf numFmtId="0" fontId="3" fillId="0" borderId="43" xfId="0" applyFont="1" applyBorder="1" applyAlignment="1">
      <alignment horizontal="center" vertical="top" wrapText="1"/>
    </xf>
    <xf numFmtId="0" fontId="5" fillId="4" borderId="4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3" xfId="0" applyFill="1" applyBorder="1"/>
    <xf numFmtId="0" fontId="0" fillId="0" borderId="9" xfId="0" applyBorder="1"/>
    <xf numFmtId="0" fontId="0" fillId="0" borderId="54" xfId="0" applyBorder="1"/>
    <xf numFmtId="0" fontId="0" fillId="0" borderId="0" xfId="0" applyAlignment="1">
      <alignment horizontal="center"/>
    </xf>
    <xf numFmtId="0" fontId="3" fillId="0" borderId="55" xfId="0" applyFont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 vertical="center"/>
    </xf>
    <xf numFmtId="0" fontId="0" fillId="0" borderId="0" xfId="0" applyFont="1"/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7" xfId="0" applyFont="1" applyBorder="1" applyAlignment="1">
      <alignment horizontal="left" indent="1"/>
    </xf>
    <xf numFmtId="0" fontId="0" fillId="0" borderId="59" xfId="0" applyFont="1" applyBorder="1" applyAlignment="1">
      <alignment horizontal="left" indent="1"/>
    </xf>
    <xf numFmtId="0" fontId="0" fillId="0" borderId="60" xfId="0" applyFont="1" applyBorder="1" applyAlignment="1">
      <alignment horizontal="left" indent="1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55" xfId="0" applyFont="1" applyBorder="1" applyAlignment="1"/>
    <xf numFmtId="0" fontId="0" fillId="22" borderId="54" xfId="0" applyFill="1" applyBorder="1" applyAlignment="1"/>
    <xf numFmtId="0" fontId="0" fillId="22" borderId="39" xfId="0" applyFill="1" applyBorder="1" applyAlignment="1"/>
    <xf numFmtId="0" fontId="1" fillId="0" borderId="15" xfId="0" applyFont="1" applyBorder="1" applyAlignment="1">
      <alignment horizontal="center"/>
    </xf>
    <xf numFmtId="0" fontId="1" fillId="0" borderId="50" xfId="0" applyFont="1" applyBorder="1" applyAlignment="1"/>
    <xf numFmtId="165" fontId="0" fillId="0" borderId="2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" fillId="0" borderId="63" xfId="0" applyFont="1" applyBorder="1" applyAlignment="1"/>
    <xf numFmtId="0" fontId="1" fillId="0" borderId="58" xfId="0" applyFont="1" applyBorder="1" applyAlignment="1">
      <alignment horizontal="left" indent="1"/>
    </xf>
    <xf numFmtId="0" fontId="0" fillId="21" borderId="26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3" borderId="24" xfId="0" applyFill="1" applyBorder="1"/>
    <xf numFmtId="0" fontId="0" fillId="3" borderId="7" xfId="0" applyFill="1" applyBorder="1"/>
    <xf numFmtId="0" fontId="0" fillId="22" borderId="24" xfId="0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/>
    </xf>
    <xf numFmtId="0" fontId="3" fillId="0" borderId="2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7" xfId="0" applyFill="1" applyBorder="1"/>
    <xf numFmtId="0" fontId="0" fillId="0" borderId="16" xfId="0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left" indent="1"/>
    </xf>
    <xf numFmtId="0" fontId="0" fillId="22" borderId="25" xfId="0" applyFill="1" applyBorder="1" applyAlignment="1">
      <alignment horizontal="center"/>
    </xf>
    <xf numFmtId="0" fontId="0" fillId="0" borderId="26" xfId="0" applyFont="1" applyBorder="1" applyAlignment="1">
      <alignment horizontal="left" indent="1"/>
    </xf>
    <xf numFmtId="0" fontId="0" fillId="22" borderId="10" xfId="0" applyFill="1" applyBorder="1" applyAlignment="1">
      <alignment horizontal="center"/>
    </xf>
    <xf numFmtId="0" fontId="0" fillId="0" borderId="27" xfId="0" applyFont="1" applyBorder="1" applyAlignment="1">
      <alignment horizontal="left" indent="1"/>
    </xf>
    <xf numFmtId="0" fontId="0" fillId="0" borderId="16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2" borderId="71" xfId="0" applyNumberFormat="1" applyFont="1" applyFill="1" applyBorder="1" applyAlignment="1">
      <alignment horizontal="center"/>
    </xf>
    <xf numFmtId="0" fontId="0" fillId="0" borderId="63" xfId="0" applyFill="1" applyBorder="1"/>
    <xf numFmtId="0" fontId="1" fillId="0" borderId="63" xfId="0" applyFont="1" applyFill="1" applyBorder="1" applyAlignment="1">
      <alignment horizontal="center"/>
    </xf>
    <xf numFmtId="3" fontId="1" fillId="0" borderId="63" xfId="0" applyNumberFormat="1" applyFont="1" applyFill="1" applyBorder="1" applyAlignment="1">
      <alignment horizontal="center"/>
    </xf>
    <xf numFmtId="0" fontId="0" fillId="0" borderId="63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0" fontId="1" fillId="0" borderId="7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66" xfId="0" applyFont="1" applyFill="1" applyBorder="1" applyAlignment="1">
      <alignment horizontal="center"/>
    </xf>
    <xf numFmtId="0" fontId="0" fillId="26" borderId="65" xfId="0" applyFill="1" applyBorder="1" applyAlignment="1">
      <alignment horizontal="center"/>
    </xf>
    <xf numFmtId="0" fontId="13" fillId="26" borderId="67" xfId="0" applyFont="1" applyFill="1" applyBorder="1" applyAlignment="1">
      <alignment horizontal="center"/>
    </xf>
    <xf numFmtId="0" fontId="1" fillId="2" borderId="0" xfId="0" applyFont="1" applyFill="1" applyBorder="1"/>
    <xf numFmtId="0" fontId="0" fillId="2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72" xfId="0" applyFill="1" applyBorder="1" applyAlignment="1">
      <alignment horizontal="left" vertical="center"/>
    </xf>
    <xf numFmtId="0" fontId="0" fillId="0" borderId="72" xfId="0" applyFill="1" applyBorder="1"/>
    <xf numFmtId="3" fontId="1" fillId="2" borderId="9" xfId="0" applyNumberFormat="1" applyFont="1" applyFill="1" applyBorder="1" applyAlignment="1">
      <alignment horizontal="center"/>
    </xf>
    <xf numFmtId="0" fontId="1" fillId="0" borderId="53" xfId="0" applyFont="1" applyFill="1" applyBorder="1" applyAlignment="1">
      <alignment horizontal="center"/>
    </xf>
    <xf numFmtId="3" fontId="1" fillId="0" borderId="31" xfId="0" applyNumberFormat="1" applyFont="1" applyFill="1" applyBorder="1" applyAlignment="1">
      <alignment horizontal="center"/>
    </xf>
    <xf numFmtId="0" fontId="13" fillId="26" borderId="61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0" borderId="0" xfId="0" applyFont="1" applyFill="1" applyBorder="1" applyAlignment="1"/>
    <xf numFmtId="0" fontId="0" fillId="2" borderId="76" xfId="0" applyFill="1" applyBorder="1"/>
    <xf numFmtId="0" fontId="1" fillId="0" borderId="64" xfId="0" applyFont="1" applyFill="1" applyBorder="1" applyAlignment="1">
      <alignment horizontal="center"/>
    </xf>
    <xf numFmtId="0" fontId="0" fillId="2" borderId="3" xfId="0" applyFill="1" applyBorder="1"/>
    <xf numFmtId="0" fontId="1" fillId="2" borderId="25" xfId="0" applyFont="1" applyFill="1" applyBorder="1"/>
    <xf numFmtId="0" fontId="0" fillId="2" borderId="10" xfId="0" applyFill="1" applyBorder="1"/>
    <xf numFmtId="0" fontId="1" fillId="2" borderId="10" xfId="0" applyFont="1" applyFill="1" applyBorder="1"/>
    <xf numFmtId="0" fontId="0" fillId="2" borderId="61" xfId="0" applyFill="1" applyBorder="1"/>
    <xf numFmtId="0" fontId="1" fillId="2" borderId="29" xfId="0" applyFont="1" applyFill="1" applyBorder="1"/>
    <xf numFmtId="0" fontId="0" fillId="0" borderId="75" xfId="0" applyFont="1" applyBorder="1" applyAlignment="1">
      <alignment horizontal="left" indent="1"/>
    </xf>
    <xf numFmtId="0" fontId="0" fillId="0" borderId="18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3" borderId="0" xfId="0" applyFill="1"/>
    <xf numFmtId="0" fontId="0" fillId="0" borderId="1" xfId="0" applyFont="1" applyBorder="1" applyAlignment="1">
      <alignment horizontal="left" indent="1"/>
    </xf>
    <xf numFmtId="1" fontId="1" fillId="2" borderId="22" xfId="0" applyNumberFormat="1" applyFont="1" applyFill="1" applyBorder="1" applyAlignment="1">
      <alignment horizontal="center"/>
    </xf>
    <xf numFmtId="0" fontId="0" fillId="26" borderId="6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66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1" fillId="22" borderId="25" xfId="0" applyFont="1" applyFill="1" applyBorder="1" applyAlignment="1">
      <alignment horizontal="center"/>
    </xf>
    <xf numFmtId="0" fontId="1" fillId="22" borderId="10" xfId="0" applyFont="1" applyFill="1" applyBorder="1" applyAlignment="1">
      <alignment horizontal="center"/>
    </xf>
    <xf numFmtId="0" fontId="1" fillId="22" borderId="29" xfId="0" applyFont="1" applyFill="1" applyBorder="1" applyAlignment="1">
      <alignment horizontal="center"/>
    </xf>
    <xf numFmtId="0" fontId="0" fillId="21" borderId="0" xfId="0" applyFill="1"/>
    <xf numFmtId="0" fontId="0" fillId="21" borderId="0" xfId="0" applyFill="1" applyBorder="1"/>
    <xf numFmtId="0" fontId="0" fillId="21" borderId="43" xfId="0" applyFill="1" applyBorder="1" applyAlignment="1">
      <alignment horizontal="left" vertical="center"/>
    </xf>
    <xf numFmtId="0" fontId="0" fillId="21" borderId="53" xfId="0" applyFill="1" applyBorder="1"/>
    <xf numFmtId="0" fontId="0" fillId="21" borderId="63" xfId="0" applyFill="1" applyBorder="1" applyAlignment="1">
      <alignment horizontal="left" vertical="center"/>
    </xf>
    <xf numFmtId="0" fontId="0" fillId="21" borderId="31" xfId="0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horizontal="center"/>
    </xf>
    <xf numFmtId="0" fontId="0" fillId="3" borderId="26" xfId="0" applyFill="1" applyBorder="1"/>
    <xf numFmtId="0" fontId="1" fillId="2" borderId="61" xfId="0" applyFont="1" applyFill="1" applyBorder="1" applyAlignment="1">
      <alignment horizontal="center"/>
    </xf>
    <xf numFmtId="0" fontId="0" fillId="21" borderId="0" xfId="0" applyFill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center"/>
    </xf>
    <xf numFmtId="0" fontId="0" fillId="3" borderId="0" xfId="0" applyFill="1" applyBorder="1"/>
    <xf numFmtId="3" fontId="1" fillId="0" borderId="43" xfId="0" applyNumberFormat="1" applyFont="1" applyFill="1" applyBorder="1" applyAlignment="1">
      <alignment horizontal="center"/>
    </xf>
    <xf numFmtId="166" fontId="1" fillId="2" borderId="22" xfId="0" applyNumberFormat="1" applyFont="1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13" fillId="26" borderId="21" xfId="0" applyFont="1" applyFill="1" applyBorder="1" applyAlignment="1">
      <alignment horizontal="center"/>
    </xf>
    <xf numFmtId="3" fontId="1" fillId="2" borderId="71" xfId="0" applyNumberFormat="1" applyFont="1" applyFill="1" applyBorder="1" applyAlignment="1">
      <alignment horizontal="center" vertical="top"/>
    </xf>
    <xf numFmtId="0" fontId="13" fillId="26" borderId="2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13" fillId="22" borderId="61" xfId="0" applyFont="1" applyFill="1" applyBorder="1" applyAlignment="1">
      <alignment horizontal="center"/>
    </xf>
    <xf numFmtId="0" fontId="0" fillId="2" borderId="88" xfId="0" applyFill="1" applyBorder="1" applyAlignment="1">
      <alignment horizontal="center"/>
    </xf>
    <xf numFmtId="0" fontId="1" fillId="2" borderId="87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166" fontId="1" fillId="2" borderId="29" xfId="0" applyNumberFormat="1" applyFont="1" applyFill="1" applyBorder="1" applyAlignment="1">
      <alignment horizontal="center"/>
    </xf>
    <xf numFmtId="0" fontId="16" fillId="0" borderId="0" xfId="0" applyFont="1"/>
    <xf numFmtId="0" fontId="1" fillId="22" borderId="87" xfId="0" applyFont="1" applyFill="1" applyBorder="1" applyAlignment="1">
      <alignment horizontal="center"/>
    </xf>
    <xf numFmtId="1" fontId="1" fillId="0" borderId="53" xfId="0" applyNumberFormat="1" applyFont="1" applyFill="1" applyBorder="1" applyAlignment="1">
      <alignment horizontal="center"/>
    </xf>
    <xf numFmtId="1" fontId="1" fillId="0" borderId="72" xfId="0" applyNumberFormat="1" applyFont="1" applyFill="1" applyBorder="1" applyAlignment="1">
      <alignment horizontal="center"/>
    </xf>
    <xf numFmtId="0" fontId="1" fillId="2" borderId="89" xfId="0" applyFont="1" applyFill="1" applyBorder="1" applyAlignment="1">
      <alignment horizontal="center"/>
    </xf>
    <xf numFmtId="166" fontId="1" fillId="2" borderId="28" xfId="0" applyNumberFormat="1" applyFont="1" applyFill="1" applyBorder="1" applyAlignment="1">
      <alignment horizontal="center"/>
    </xf>
    <xf numFmtId="0" fontId="1" fillId="22" borderId="28" xfId="0" applyNumberFormat="1" applyFont="1" applyFill="1" applyBorder="1" applyAlignment="1">
      <alignment horizontal="center" vertical="center"/>
    </xf>
    <xf numFmtId="3" fontId="17" fillId="0" borderId="29" xfId="0" applyNumberFormat="1" applyFont="1" applyBorder="1"/>
    <xf numFmtId="1" fontId="13" fillId="26" borderId="21" xfId="0" applyNumberFormat="1" applyFont="1" applyFill="1" applyBorder="1" applyAlignment="1">
      <alignment horizontal="center"/>
    </xf>
    <xf numFmtId="0" fontId="1" fillId="21" borderId="0" xfId="0" applyFont="1" applyFill="1" applyBorder="1"/>
    <xf numFmtId="0" fontId="0" fillId="21" borderId="64" xfId="0" applyFill="1" applyBorder="1" applyAlignment="1">
      <alignment horizontal="left" vertical="center"/>
    </xf>
    <xf numFmtId="0" fontId="0" fillId="21" borderId="64" xfId="0" applyFill="1" applyBorder="1"/>
    <xf numFmtId="0" fontId="10" fillId="0" borderId="21" xfId="0" applyFont="1" applyFill="1" applyBorder="1" applyAlignment="1" applyProtection="1">
      <alignment horizontal="left" vertical="center" indent="1"/>
      <protection locked="0"/>
    </xf>
    <xf numFmtId="1" fontId="13" fillId="26" borderId="21" xfId="0" applyNumberFormat="1" applyFont="1" applyFill="1" applyBorder="1" applyAlignment="1">
      <alignment horizontal="center" vertical="top"/>
    </xf>
    <xf numFmtId="0" fontId="5" fillId="0" borderId="90" xfId="0" applyFont="1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4" borderId="90" xfId="0" applyFont="1" applyFill="1" applyBorder="1" applyAlignment="1">
      <alignment horizontal="center" vertical="center"/>
    </xf>
    <xf numFmtId="0" fontId="5" fillId="11" borderId="90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left" vertical="center" indent="1"/>
    </xf>
    <xf numFmtId="0" fontId="1" fillId="22" borderId="61" xfId="0" applyFont="1" applyFill="1" applyBorder="1" applyAlignment="1">
      <alignment horizontal="center"/>
    </xf>
    <xf numFmtId="3" fontId="17" fillId="0" borderId="29" xfId="0" applyNumberFormat="1" applyFont="1" applyBorder="1" applyAlignment="1">
      <alignment horizontal="center" vertical="center"/>
    </xf>
    <xf numFmtId="0" fontId="0" fillId="0" borderId="93" xfId="0" applyFill="1" applyBorder="1" applyAlignment="1">
      <alignment horizontal="center" vertical="center"/>
    </xf>
    <xf numFmtId="0" fontId="10" fillId="0" borderId="94" xfId="0" applyFont="1" applyFill="1" applyBorder="1" applyAlignment="1" applyProtection="1">
      <alignment horizontal="left" vertical="center" indent="1"/>
      <protection locked="0"/>
    </xf>
    <xf numFmtId="0" fontId="12" fillId="0" borderId="94" xfId="0" applyFont="1" applyFill="1" applyBorder="1" applyAlignment="1">
      <alignment horizontal="left" vertical="center" indent="1"/>
    </xf>
    <xf numFmtId="0" fontId="11" fillId="0" borderId="94" xfId="0" applyFont="1" applyFill="1" applyBorder="1" applyAlignment="1">
      <alignment horizontal="left" vertical="center" indent="1"/>
    </xf>
    <xf numFmtId="0" fontId="12" fillId="0" borderId="96" xfId="0" applyFont="1" applyFill="1" applyBorder="1" applyAlignment="1">
      <alignment horizontal="left" vertical="center" indent="1"/>
    </xf>
    <xf numFmtId="17" fontId="3" fillId="0" borderId="18" xfId="0" applyNumberFormat="1" applyFont="1" applyFill="1" applyBorder="1" applyAlignment="1">
      <alignment horizontal="center" vertical="top"/>
    </xf>
    <xf numFmtId="0" fontId="0" fillId="0" borderId="59" xfId="0" applyFill="1" applyBorder="1" applyAlignment="1">
      <alignment horizontal="center" vertical="center"/>
    </xf>
    <xf numFmtId="0" fontId="0" fillId="0" borderId="75" xfId="0" applyFill="1" applyBorder="1" applyAlignment="1">
      <alignment horizontal="center" vertical="center"/>
    </xf>
    <xf numFmtId="0" fontId="11" fillId="0" borderId="23" xfId="0" applyFont="1" applyFill="1" applyBorder="1" applyAlignment="1">
      <alignment horizontal="left" vertical="center" indent="1"/>
    </xf>
    <xf numFmtId="0" fontId="0" fillId="0" borderId="62" xfId="0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68" xfId="0" applyFont="1" applyBorder="1" applyAlignment="1">
      <alignment horizontal="center" vertical="top"/>
    </xf>
    <xf numFmtId="0" fontId="11" fillId="0" borderId="96" xfId="0" applyFont="1" applyFill="1" applyBorder="1" applyAlignment="1">
      <alignment horizontal="left" vertical="center" indent="1"/>
    </xf>
    <xf numFmtId="0" fontId="0" fillId="0" borderId="97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0" fontId="11" fillId="0" borderId="20" xfId="0" applyFont="1" applyFill="1" applyBorder="1" applyAlignment="1">
      <alignment horizontal="left" vertical="center" indent="1"/>
    </xf>
    <xf numFmtId="0" fontId="11" fillId="0" borderId="7" xfId="0" applyFont="1" applyFill="1" applyBorder="1" applyAlignment="1">
      <alignment horizontal="left" vertical="center" indent="1"/>
    </xf>
    <xf numFmtId="0" fontId="12" fillId="0" borderId="7" xfId="0" applyFont="1" applyFill="1" applyBorder="1" applyAlignment="1">
      <alignment horizontal="left" vertical="center" indent="1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3" fillId="0" borderId="98" xfId="0" applyFont="1" applyFill="1" applyBorder="1" applyAlignment="1">
      <alignment horizontal="center" vertical="top"/>
    </xf>
    <xf numFmtId="0" fontId="10" fillId="0" borderId="7" xfId="0" applyFont="1" applyFill="1" applyBorder="1" applyAlignment="1" applyProtection="1">
      <alignment horizontal="left" vertical="center" indent="1"/>
      <protection locked="0"/>
    </xf>
    <xf numFmtId="0" fontId="5" fillId="4" borderId="45" xfId="0" applyFont="1" applyFill="1" applyBorder="1" applyAlignment="1">
      <alignment horizontal="center" vertical="center"/>
    </xf>
    <xf numFmtId="0" fontId="12" fillId="0" borderId="95" xfId="0" applyFont="1" applyFill="1" applyBorder="1" applyAlignment="1">
      <alignment horizontal="left" vertical="center" indent="1"/>
    </xf>
    <xf numFmtId="0" fontId="10" fillId="0" borderId="22" xfId="0" applyFont="1" applyFill="1" applyBorder="1" applyAlignment="1" applyProtection="1">
      <alignment horizontal="left" vertical="center" indent="1"/>
      <protection locked="0"/>
    </xf>
    <xf numFmtId="0" fontId="5" fillId="4" borderId="92" xfId="0" applyFont="1" applyFill="1" applyBorder="1" applyAlignment="1">
      <alignment horizontal="center" vertical="center"/>
    </xf>
    <xf numFmtId="0" fontId="5" fillId="8" borderId="90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3" fontId="0" fillId="0" borderId="87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3" fontId="1" fillId="2" borderId="69" xfId="0" applyNumberFormat="1" applyFont="1" applyFill="1" applyBorder="1" applyAlignment="1">
      <alignment horizontal="center"/>
    </xf>
    <xf numFmtId="3" fontId="1" fillId="2" borderId="74" xfId="0" applyNumberFormat="1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3" fontId="13" fillId="22" borderId="27" xfId="0" applyNumberFormat="1" applyFont="1" applyFill="1" applyBorder="1" applyAlignment="1">
      <alignment horizontal="center"/>
    </xf>
    <xf numFmtId="3" fontId="13" fillId="22" borderId="28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3" fontId="13" fillId="22" borderId="69" xfId="0" applyNumberFormat="1" applyFont="1" applyFill="1" applyBorder="1" applyAlignment="1">
      <alignment horizontal="center"/>
    </xf>
    <xf numFmtId="3" fontId="13" fillId="22" borderId="70" xfId="0" applyNumberFormat="1" applyFont="1" applyFill="1" applyBorder="1" applyAlignment="1">
      <alignment horizontal="center"/>
    </xf>
    <xf numFmtId="3" fontId="13" fillId="2" borderId="69" xfId="0" applyNumberFormat="1" applyFont="1" applyFill="1" applyBorder="1" applyAlignment="1">
      <alignment horizontal="center" vertical="top"/>
    </xf>
    <xf numFmtId="3" fontId="13" fillId="2" borderId="70" xfId="0" applyNumberFormat="1" applyFont="1" applyFill="1" applyBorder="1" applyAlignment="1">
      <alignment horizontal="center" vertical="top"/>
    </xf>
    <xf numFmtId="0" fontId="0" fillId="2" borderId="19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1" fillId="2" borderId="9" xfId="0" applyNumberFormat="1" applyFont="1" applyFill="1" applyBorder="1" applyAlignment="1">
      <alignment horizontal="center"/>
    </xf>
    <xf numFmtId="166" fontId="1" fillId="2" borderId="66" xfId="0" applyNumberFormat="1" applyFont="1" applyFill="1" applyBorder="1" applyAlignment="1">
      <alignment horizontal="center"/>
    </xf>
    <xf numFmtId="166" fontId="13" fillId="2" borderId="9" xfId="0" applyNumberFormat="1" applyFont="1" applyFill="1" applyBorder="1" applyAlignment="1">
      <alignment horizontal="center"/>
    </xf>
    <xf numFmtId="166" fontId="13" fillId="2" borderId="66" xfId="0" applyNumberFormat="1" applyFont="1" applyFill="1" applyBorder="1" applyAlignment="1">
      <alignment horizontal="center"/>
    </xf>
    <xf numFmtId="3" fontId="13" fillId="2" borderId="69" xfId="0" applyNumberFormat="1" applyFont="1" applyFill="1" applyBorder="1" applyAlignment="1">
      <alignment horizontal="center"/>
    </xf>
    <xf numFmtId="3" fontId="13" fillId="2" borderId="70" xfId="0" applyNumberFormat="1" applyFont="1" applyFill="1" applyBorder="1" applyAlignment="1">
      <alignment horizontal="center"/>
    </xf>
    <xf numFmtId="0" fontId="0" fillId="2" borderId="83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3" fontId="13" fillId="22" borderId="84" xfId="0" applyNumberFormat="1" applyFont="1" applyFill="1" applyBorder="1" applyAlignment="1">
      <alignment horizontal="center"/>
    </xf>
    <xf numFmtId="3" fontId="13" fillId="22" borderId="86" xfId="0" applyNumberFormat="1" applyFont="1" applyFill="1" applyBorder="1" applyAlignment="1">
      <alignment horizontal="center"/>
    </xf>
    <xf numFmtId="3" fontId="13" fillId="22" borderId="74" xfId="0" applyNumberFormat="1" applyFont="1" applyFill="1" applyBorder="1" applyAlignment="1">
      <alignment horizontal="center"/>
    </xf>
    <xf numFmtId="3" fontId="13" fillId="22" borderId="85" xfId="0" applyNumberFormat="1" applyFont="1" applyFill="1" applyBorder="1" applyAlignment="1">
      <alignment horizontal="center"/>
    </xf>
    <xf numFmtId="3" fontId="13" fillId="2" borderId="85" xfId="0" applyNumberFormat="1" applyFont="1" applyFill="1" applyBorder="1" applyAlignment="1">
      <alignment horizontal="center" vertical="top"/>
    </xf>
    <xf numFmtId="0" fontId="0" fillId="2" borderId="18" xfId="0" applyFill="1" applyBorder="1" applyAlignment="1">
      <alignment horizontal="center"/>
    </xf>
    <xf numFmtId="0" fontId="14" fillId="24" borderId="51" xfId="0" applyFont="1" applyFill="1" applyBorder="1" applyAlignment="1">
      <alignment horizontal="center" vertical="center"/>
    </xf>
    <xf numFmtId="0" fontId="14" fillId="24" borderId="53" xfId="0" applyFont="1" applyFill="1" applyBorder="1" applyAlignment="1">
      <alignment horizontal="center" vertical="center"/>
    </xf>
    <xf numFmtId="0" fontId="14" fillId="24" borderId="7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4" fillId="23" borderId="51" xfId="0" applyFont="1" applyFill="1" applyBorder="1" applyAlignment="1">
      <alignment horizontal="center" vertical="center"/>
    </xf>
    <xf numFmtId="0" fontId="14" fillId="23" borderId="53" xfId="0" applyFont="1" applyFill="1" applyBorder="1" applyAlignment="1">
      <alignment horizontal="center" vertical="center"/>
    </xf>
    <xf numFmtId="0" fontId="14" fillId="23" borderId="74" xfId="0" applyFont="1" applyFill="1" applyBorder="1" applyAlignment="1">
      <alignment horizontal="center" vertical="center"/>
    </xf>
    <xf numFmtId="3" fontId="1" fillId="21" borderId="69" xfId="0" applyNumberFormat="1" applyFont="1" applyFill="1" applyBorder="1" applyAlignment="1">
      <alignment horizontal="center"/>
    </xf>
    <xf numFmtId="3" fontId="1" fillId="21" borderId="70" xfId="0" applyNumberFormat="1" applyFont="1" applyFill="1" applyBorder="1" applyAlignment="1">
      <alignment horizontal="center"/>
    </xf>
    <xf numFmtId="0" fontId="14" fillId="25" borderId="81" xfId="0" applyFont="1" applyFill="1" applyBorder="1" applyAlignment="1">
      <alignment horizontal="center" vertical="center"/>
    </xf>
    <xf numFmtId="0" fontId="14" fillId="25" borderId="72" xfId="0" applyFont="1" applyFill="1" applyBorder="1" applyAlignment="1">
      <alignment horizontal="center" vertical="center"/>
    </xf>
    <xf numFmtId="0" fontId="14" fillId="25" borderId="82" xfId="0" applyFont="1" applyFill="1" applyBorder="1" applyAlignment="1">
      <alignment horizontal="center" vertical="center"/>
    </xf>
    <xf numFmtId="0" fontId="0" fillId="2" borderId="52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5" fillId="27" borderId="78" xfId="0" applyFont="1" applyFill="1" applyBorder="1" applyAlignment="1">
      <alignment horizontal="center" vertical="center"/>
    </xf>
    <xf numFmtId="0" fontId="15" fillId="27" borderId="79" xfId="0" applyFont="1" applyFill="1" applyBorder="1" applyAlignment="1">
      <alignment horizontal="center" vertical="center"/>
    </xf>
    <xf numFmtId="0" fontId="15" fillId="27" borderId="80" xfId="0" applyFont="1" applyFill="1" applyBorder="1" applyAlignment="1">
      <alignment horizontal="center" vertical="center"/>
    </xf>
    <xf numFmtId="3" fontId="1" fillId="2" borderId="70" xfId="0" applyNumberFormat="1" applyFont="1" applyFill="1" applyBorder="1" applyAlignment="1">
      <alignment horizontal="center"/>
    </xf>
    <xf numFmtId="3" fontId="13" fillId="26" borderId="69" xfId="0" applyNumberFormat="1" applyFont="1" applyFill="1" applyBorder="1" applyAlignment="1">
      <alignment horizontal="center"/>
    </xf>
    <xf numFmtId="3" fontId="13" fillId="26" borderId="70" xfId="0" applyNumberFormat="1" applyFont="1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65" xfId="0" applyFill="1" applyBorder="1" applyAlignment="1">
      <alignment horizontal="center"/>
    </xf>
    <xf numFmtId="0" fontId="0" fillId="26" borderId="5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66" xfId="0" applyFont="1" applyFill="1" applyBorder="1" applyAlignment="1">
      <alignment horizontal="center"/>
    </xf>
    <xf numFmtId="0" fontId="13" fillId="26" borderId="9" xfId="0" applyFont="1" applyFill="1" applyBorder="1" applyAlignment="1">
      <alignment horizontal="center"/>
    </xf>
    <xf numFmtId="0" fontId="13" fillId="26" borderId="66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1" fontId="1" fillId="2" borderId="66" xfId="0" applyNumberFormat="1" applyFont="1" applyFill="1" applyBorder="1" applyAlignment="1">
      <alignment horizontal="center"/>
    </xf>
    <xf numFmtId="3" fontId="1" fillId="2" borderId="52" xfId="0" applyNumberFormat="1" applyFont="1" applyFill="1" applyBorder="1" applyAlignment="1">
      <alignment horizontal="center"/>
    </xf>
    <xf numFmtId="3" fontId="1" fillId="2" borderId="67" xfId="0" applyNumberFormat="1" applyFont="1" applyFill="1" applyBorder="1" applyAlignment="1">
      <alignment horizontal="center"/>
    </xf>
    <xf numFmtId="3" fontId="13" fillId="26" borderId="9" xfId="0" applyNumberFormat="1" applyFont="1" applyFill="1" applyBorder="1" applyAlignment="1">
      <alignment horizontal="center"/>
    </xf>
    <xf numFmtId="3" fontId="13" fillId="26" borderId="66" xfId="0" applyNumberFormat="1" applyFont="1" applyFill="1" applyBorder="1" applyAlignment="1">
      <alignment horizontal="center"/>
    </xf>
    <xf numFmtId="0" fontId="14" fillId="25" borderId="73" xfId="0" applyFont="1" applyFill="1" applyBorder="1" applyAlignment="1">
      <alignment horizontal="center" vertical="center"/>
    </xf>
    <xf numFmtId="0" fontId="14" fillId="25" borderId="0" xfId="0" applyFont="1" applyFill="1" applyBorder="1" applyAlignment="1">
      <alignment horizontal="center" vertical="center"/>
    </xf>
    <xf numFmtId="0" fontId="0" fillId="26" borderId="52" xfId="0" applyFill="1" applyBorder="1" applyAlignment="1">
      <alignment horizontal="center"/>
    </xf>
    <xf numFmtId="0" fontId="0" fillId="26" borderId="67" xfId="0" applyFill="1" applyBorder="1" applyAlignment="1">
      <alignment horizontal="center"/>
    </xf>
    <xf numFmtId="3" fontId="13" fillId="26" borderId="52" xfId="0" applyNumberFormat="1" applyFont="1" applyFill="1" applyBorder="1" applyAlignment="1">
      <alignment horizontal="center"/>
    </xf>
    <xf numFmtId="3" fontId="13" fillId="26" borderId="67" xfId="0" applyNumberFormat="1" applyFont="1" applyFill="1" applyBorder="1" applyAlignment="1">
      <alignment horizontal="center"/>
    </xf>
  </cellXfs>
  <cellStyles count="1">
    <cellStyle name="Normal" xfId="0" builtinId="0"/>
  </cellStyles>
  <dxfs count="6335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rgb="FFF3F3F3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auto="1"/>
        </left>
        <right style="medium">
          <color rgb="FF000000"/>
        </right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theme="4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ADD8E6"/>
        </patternFill>
      </fill>
    </dxf>
    <dxf>
      <fill>
        <patternFill>
          <bgColor rgb="FFFFFF99"/>
        </patternFill>
      </fill>
    </dxf>
    <dxf>
      <fill>
        <patternFill>
          <bgColor rgb="FFFF8D3F"/>
        </patternFill>
      </fill>
    </dxf>
    <dxf>
      <fill>
        <patternFill>
          <bgColor rgb="FFE7C7D8"/>
        </patternFill>
      </fill>
    </dxf>
    <dxf>
      <fill>
        <patternFill>
          <bgColor rgb="FFFF7979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F5FCF"/>
        </patternFill>
      </fill>
    </dxf>
    <dxf>
      <fill>
        <patternFill>
          <bgColor theme="7" tint="0.59996337778862885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vertical style="thin">
          <color indexed="64"/>
        </vertical>
      </border>
    </dxf>
    <dxf>
      <border diagonalUp="0" diagonalDown="0">
        <left style="medium">
          <color indexed="64"/>
        </left>
        <right style="thin">
          <color indexed="64"/>
        </right>
        <vertical style="thin">
          <color indexed="64"/>
        </vertic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rgb="FFF3F3F3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auto="1"/>
        </left>
        <right style="medium">
          <color rgb="FF000000"/>
        </right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theme="4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ADD8E6"/>
        </patternFill>
      </fill>
    </dxf>
    <dxf>
      <fill>
        <patternFill>
          <bgColor rgb="FFFFFF99"/>
        </patternFill>
      </fill>
    </dxf>
    <dxf>
      <fill>
        <patternFill>
          <bgColor rgb="FFFF8D3F"/>
        </patternFill>
      </fill>
    </dxf>
    <dxf>
      <fill>
        <patternFill>
          <bgColor rgb="FFE7C7D8"/>
        </patternFill>
      </fill>
    </dxf>
    <dxf>
      <fill>
        <patternFill>
          <bgColor rgb="FFFF7979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F5FCF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right style="medium">
          <color indexed="64"/>
        </right>
        <vertical style="medium">
          <color indexed="64"/>
        </vertical>
      </border>
    </dxf>
    <dxf>
      <border diagonalUp="0" diagonalDown="0">
        <left style="medium">
          <color rgb="FF000000"/>
        </left>
        <right/>
        <vertical style="medium">
          <color rgb="FF000000"/>
        </vertic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indexed="64"/>
        </top>
        <bottom style="thin">
          <color indexed="64"/>
        </bottom>
        <vertical style="medium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rgb="FFF3F3F3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auto="1"/>
        </left>
        <right style="medium">
          <color indexed="64"/>
        </right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theme="4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ADD8E6"/>
        </patternFill>
      </fill>
    </dxf>
    <dxf>
      <fill>
        <patternFill>
          <bgColor rgb="FFFFFF99"/>
        </patternFill>
      </fill>
    </dxf>
    <dxf>
      <fill>
        <patternFill>
          <bgColor rgb="FFFF8D3F"/>
        </patternFill>
      </fill>
    </dxf>
    <dxf>
      <fill>
        <patternFill>
          <bgColor rgb="FFE7C7D8"/>
        </patternFill>
      </fill>
    </dxf>
    <dxf>
      <fill>
        <patternFill>
          <bgColor rgb="FFFF7979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F5FCF"/>
        </patternFill>
      </fill>
    </dxf>
    <dxf>
      <fill>
        <patternFill>
          <bgColor theme="7" tint="0.59996337778862885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left style="medium">
          <color auto="1"/>
        </left>
        <right style="medium">
          <color rgb="FF000000"/>
        </right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D7A7"/>
        </patternFill>
      </fill>
    </dxf>
    <dxf>
      <fill>
        <patternFill>
          <bgColor rgb="FF53D2FF"/>
        </patternFill>
      </fill>
    </dxf>
    <dxf>
      <fill>
        <patternFill>
          <bgColor rgb="FFFFB9FF"/>
        </patternFill>
      </fill>
    </dxf>
    <dxf>
      <fill>
        <patternFill>
          <bgColor rgb="FFFF9999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rgb="FFADD8E6"/>
        </patternFill>
      </fill>
    </dxf>
    <dxf>
      <fill>
        <patternFill>
          <bgColor rgb="FFFFFF99"/>
        </patternFill>
      </fill>
    </dxf>
    <dxf>
      <fill>
        <patternFill>
          <bgColor rgb="FFFF8D3F"/>
        </patternFill>
      </fill>
    </dxf>
    <dxf>
      <fill>
        <patternFill>
          <bgColor rgb="FFE7C7D8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F5FCF"/>
        </patternFill>
      </fill>
    </dxf>
    <dxf>
      <fill>
        <patternFill>
          <bgColor theme="7" tint="0.5999633777886288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rgb="FFFF7D7D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79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ADD8E6"/>
        </patternFill>
      </fill>
    </dxf>
    <dxf>
      <fill>
        <patternFill>
          <bgColor rgb="FFFFFF99"/>
        </patternFill>
      </fill>
    </dxf>
    <dxf>
      <fill>
        <patternFill>
          <bgColor rgb="FFFF8D3F"/>
        </patternFill>
      </fill>
    </dxf>
    <dxf>
      <fill>
        <patternFill>
          <bgColor rgb="FFE7C7D8"/>
        </patternFill>
      </fill>
    </dxf>
    <dxf>
      <fill>
        <patternFill>
          <bgColor rgb="FFFF7979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9900FF"/>
          <bgColor rgb="FF9F5FCF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53D2FF"/>
      <color rgb="FFFFD7A7"/>
      <color rgb="FFFF9999"/>
      <color rgb="FFFFB9FF"/>
      <color rgb="FFFF99FF"/>
      <color rgb="FFD9A3BE"/>
      <color rgb="FFF5E7EE"/>
      <color rgb="FFFF7D7D"/>
      <color rgb="FFFFB3B3"/>
      <color rgb="FFE7C7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56E674-1B06-4FEB-BF1E-45D876A04A28}" name="Tableau15" displayName="Tableau15" ref="D4:NT39" totalsRowShown="0" headerRowDxfId="1657" dataDxfId="1655" headerRowBorderDxfId="1656" tableBorderDxfId="1654">
  <autoFilter ref="D4:NT39" xr:uid="{4CDAA245-43C0-4DFC-AAE3-2E3240E20B2B}">
    <filterColumn colId="3">
      <filters>
        <filter val="BESSIN"/>
        <filter val="CHEVALIER"/>
        <filter val="DELAUNEY"/>
        <filter val="GONCALVES"/>
        <filter val="GREMONT"/>
        <filter val="LEFEBVRE"/>
        <filter val="PARIS"/>
        <filter val="SIMON"/>
      </filters>
    </filterColumn>
  </autoFilter>
  <sortState xmlns:xlrd2="http://schemas.microsoft.com/office/spreadsheetml/2017/richdata2" ref="D5:HC39">
    <sortCondition ref="E4:E39"/>
  </sortState>
  <tableColumns count="381">
    <tableColumn id="1" xr3:uid="{25D26DF0-8511-4BEA-98E5-051184EB4117}" name="SOCIETE" dataDxfId="1653"/>
    <tableColumn id="2" xr3:uid="{427C666A-9900-404A-B7D3-BEEC7075B086}" name="STATUT" dataDxfId="1652"/>
    <tableColumn id="3" xr3:uid="{50B95D72-1A9F-47BF-B7A3-165FE2814326}" name="FONCTION" dataDxfId="1651"/>
    <tableColumn id="4" xr3:uid="{658F0E14-8961-4C05-B602-EF497A6C8C6E}" name="NOM"/>
    <tableColumn id="5" xr3:uid="{A54AE21A-F1F9-4F71-9824-3F081E7A7DED}" name="PRENOM"/>
    <tableColumn id="6" xr3:uid="{D701137A-D641-47E1-9009-E9EDA34C1D19}" name="lun.10" dataDxfId="1650"/>
    <tableColumn id="7" xr3:uid="{15F953A9-DB23-4A44-93D3-4FF3E98D68E3}" name="mar.11" dataDxfId="1649"/>
    <tableColumn id="8" xr3:uid="{A1EA1D0A-05EF-4CE5-9BA8-9B6604F22353}" name="mer.12" dataDxfId="1648"/>
    <tableColumn id="9" xr3:uid="{CD6FB2D3-84D4-40ED-951C-52CD0997EE81}" name="jeu.13" dataDxfId="1647"/>
    <tableColumn id="10" xr3:uid="{73CF0563-13D3-469E-BD9F-D6664D32F160}" name="ven.14" dataDxfId="1646"/>
    <tableColumn id="11" xr3:uid="{88D2627F-E1BC-4D2A-A8CE-090B1F43E419}" name="sam.15" dataDxfId="1645"/>
    <tableColumn id="12" xr3:uid="{5BAB0CC7-5A96-4BE9-A5F0-2F7A04360234}" name="dim.16" dataDxfId="1644"/>
    <tableColumn id="13" xr3:uid="{5333844E-ABCF-4DF2-9790-B4173DB27920}" name="lun.17" dataDxfId="1643"/>
    <tableColumn id="14" xr3:uid="{6BB2EC0B-CADB-43BE-AA4B-C65DFE57BC83}" name="mar.18" dataDxfId="1642"/>
    <tableColumn id="15" xr3:uid="{E568CA4D-37F1-464E-89AF-01592069C749}" name="mer.19" dataDxfId="1641"/>
    <tableColumn id="16" xr3:uid="{ABDDA756-FC9E-4773-BCE9-4BE5856CB061}" name="jeu.20" dataDxfId="1640"/>
    <tableColumn id="17" xr3:uid="{7118DED6-BD04-43AE-A561-CC3D1B9A0726}" name="ven.21" dataDxfId="1639"/>
    <tableColumn id="18" xr3:uid="{230DB317-95B3-4740-8FBE-FBE8BBFEBD7A}" name="sam.22" dataDxfId="1638"/>
    <tableColumn id="19" xr3:uid="{F3F2BAD7-65E7-49CF-95E4-1152D2890E64}" name="dim.23" dataDxfId="1637"/>
    <tableColumn id="20" xr3:uid="{6B9947E3-0059-47F1-95EB-51A4C14AB114}" name="lun.24" dataDxfId="1636"/>
    <tableColumn id="21" xr3:uid="{1D583FDE-29D6-40D7-9448-D5FA5D2F04FE}" name="mar.25" dataDxfId="1635"/>
    <tableColumn id="22" xr3:uid="{9A3064DF-9CBB-4829-BDD2-44AB9DBB6604}" name="mer.26" dataDxfId="1634"/>
    <tableColumn id="23" xr3:uid="{29101E7A-1E45-43D1-8F6F-A7165361CB77}" name="jeu.27" dataDxfId="1633"/>
    <tableColumn id="24" xr3:uid="{2EF7E806-DFC7-4C43-B2CC-15846F2D2308}" name="ven.28" dataDxfId="1632"/>
    <tableColumn id="25" xr3:uid="{C025FA23-A200-4D85-A683-898BCBF08DA0}" name="sam.29" dataDxfId="1631"/>
    <tableColumn id="26" xr3:uid="{1967DC84-2A1C-43D4-BF4C-4A82A8C0AA1B}" name="dim.30" dataDxfId="1630"/>
    <tableColumn id="27" xr3:uid="{55F6663B-40C5-4B1B-A07E-5D191029370F}" name="lun.01" dataDxfId="1629"/>
    <tableColumn id="28" xr3:uid="{5A946CAA-9E79-4E1A-AACD-A857D5601B6F}" name="mar.02" dataDxfId="1628"/>
    <tableColumn id="29" xr3:uid="{950D9777-DDCC-4F97-9563-8E8E6D7B1C78}" name="mer.03" dataDxfId="1627"/>
    <tableColumn id="30" xr3:uid="{EAE87336-962E-4FF9-AC17-7E603518F6F7}" name="jeu.04" dataDxfId="1626"/>
    <tableColumn id="31" xr3:uid="{60AF4DE1-F789-4C82-864D-F5EF58B1EC9C}" name="ven.05" dataDxfId="1625"/>
    <tableColumn id="32" xr3:uid="{9BF9813E-6CAC-483A-997B-22F44647ECA8}" name="sam.06" dataDxfId="1624"/>
    <tableColumn id="33" xr3:uid="{B9B2CD4E-5BB3-4501-A188-033A0FC96402}" name="dim.07" dataDxfId="1623"/>
    <tableColumn id="34" xr3:uid="{5C62C4FA-250B-493E-9E2C-33199E52D039}" name="lun.08" dataDxfId="1622"/>
    <tableColumn id="35" xr3:uid="{4F47DA0B-4D59-4DAA-A9B4-02D727C5BBAD}" name="mar.09" dataDxfId="1621"/>
    <tableColumn id="36" xr3:uid="{82A1E33A-6CC1-4989-AE13-5F9500850804}" name="mer.10" dataDxfId="1620"/>
    <tableColumn id="37" xr3:uid="{B7491205-8228-4A0E-A225-432C66FCF3DD}" name="jeu.11" dataDxfId="1619"/>
    <tableColumn id="38" xr3:uid="{FC11691D-A8FD-4932-A21C-FD52667F1CFA}" name="ven.12" dataDxfId="1618"/>
    <tableColumn id="39" xr3:uid="{79E49F04-4E81-488E-8B30-D0B7D792BAD9}" name="sam.13" dataDxfId="1617"/>
    <tableColumn id="40" xr3:uid="{D96432A2-2262-4064-855C-6F8777920805}" name="dim.14" dataDxfId="1616"/>
    <tableColumn id="41" xr3:uid="{C48C6328-A7C1-49A1-9D4D-44CA0ECA96E6}" name="lun.15" dataDxfId="1615"/>
    <tableColumn id="42" xr3:uid="{4A2880D4-E5BA-4FF0-B1DF-5EB9DCB74C3A}" name="mar.16" dataDxfId="1614"/>
    <tableColumn id="43" xr3:uid="{47ED63EA-481B-446B-8E57-DA07CC504393}" name="mer.17" dataDxfId="1613"/>
    <tableColumn id="44" xr3:uid="{4CE533C4-EFDE-4C19-A077-AC71F5E4F332}" name="jeu.18" dataDxfId="1612"/>
    <tableColumn id="45" xr3:uid="{AA9761D4-DA7C-42F1-A22B-95E83A92D005}" name="ven.19" dataDxfId="1611"/>
    <tableColumn id="46" xr3:uid="{51D5964C-0C96-4101-8BF1-BC78A5098F83}" name="sam.20" dataDxfId="1610"/>
    <tableColumn id="47" xr3:uid="{9A16085A-1383-435E-8628-4294D3C90526}" name="dim.21" dataDxfId="1609"/>
    <tableColumn id="48" xr3:uid="{1343F40A-D45D-4798-9748-183837F75BA5}" name="lun.22" dataDxfId="1608"/>
    <tableColumn id="49" xr3:uid="{0479075F-BF21-4949-ACBA-E8A851797E99}" name="mar.23" dataDxfId="1607"/>
    <tableColumn id="50" xr3:uid="{EAFE1D06-E1B7-49B1-BF7C-2AED1503894C}" name="mer.24" dataDxfId="1606"/>
    <tableColumn id="51" xr3:uid="{86E2AFEC-8F38-4C92-9D17-3C5FD9488DE5}" name="jeu.25" dataDxfId="1605"/>
    <tableColumn id="52" xr3:uid="{04C034BC-C1DC-4241-8E87-8CBD9E454588}" name="ven.26" dataDxfId="1604"/>
    <tableColumn id="53" xr3:uid="{92DAA7D7-7A6D-4EF5-92A8-565DEE7E8AFE}" name="sam.27" dataDxfId="1603"/>
    <tableColumn id="54" xr3:uid="{400E1C8A-2315-4707-B4D3-1C5107636E86}" name="dim.28" dataDxfId="1602"/>
    <tableColumn id="55" xr3:uid="{02A9FB5E-E3C0-4B8D-A638-DBA9E750F018}" name="lun.29" dataDxfId="1601"/>
    <tableColumn id="56" xr3:uid="{F4BF4237-E29E-4540-8EE1-A2508E3B1FB4}" name="mar.30" dataDxfId="1600"/>
    <tableColumn id="57" xr3:uid="{A70F1946-F8D6-4612-8191-3DA4D10A03CA}" name="mer.31" dataDxfId="1599"/>
    <tableColumn id="58" xr3:uid="{DDDC266F-CE10-4563-AF81-4A88286F61B6}" name="jeu.01" dataDxfId="1598"/>
    <tableColumn id="59" xr3:uid="{849EB90E-82B7-41DD-89BC-C858F4713715}" name="ven.02" dataDxfId="1597"/>
    <tableColumn id="60" xr3:uid="{F93D8AA0-9686-42AB-ACA6-B36DD65E702B}" name="sam.03" dataDxfId="1596"/>
    <tableColumn id="61" xr3:uid="{795F3C11-EAB2-4F09-AB49-B405D2F63407}" name="dim.04" dataDxfId="1595"/>
    <tableColumn id="62" xr3:uid="{6CA60B8D-F025-456C-81E0-9E4D81970E6A}" name="lun.05" dataDxfId="1594"/>
    <tableColumn id="63" xr3:uid="{4FBEC221-8F3C-4239-9C5F-2DBA14D1CC77}" name="mar.06" dataDxfId="1593"/>
    <tableColumn id="64" xr3:uid="{12F91174-475E-490F-9144-F5AEB3B0CB3B}" name="mer.07" dataDxfId="1592"/>
    <tableColumn id="65" xr3:uid="{76FE9231-6806-4780-AA9B-6CC5A52E43D8}" name="jeu.08" dataDxfId="1591"/>
    <tableColumn id="66" xr3:uid="{037BF6AE-C23C-47FE-8E2F-134D0F103368}" name="ven.09" dataDxfId="1590"/>
    <tableColumn id="67" xr3:uid="{76095E91-E698-4055-8989-EFCDF9DE42A9}" name="sam.10" dataDxfId="1589"/>
    <tableColumn id="68" xr3:uid="{4EE1833F-A481-4E70-8407-ADEF85CF9FAC}" name="dim.11" dataDxfId="1588"/>
    <tableColumn id="69" xr3:uid="{BCD2E301-5B86-4315-A3B7-817F18A8B5A3}" name="lun.12" dataDxfId="1587"/>
    <tableColumn id="70" xr3:uid="{BE06A400-3AD8-4716-B82C-8AA9AB23FB2B}" name="mar.13" dataDxfId="1586"/>
    <tableColumn id="71" xr3:uid="{2187830D-E486-439C-AC14-023F4BEA16E8}" name="mer.14" dataDxfId="1585"/>
    <tableColumn id="72" xr3:uid="{D099888C-8A99-4468-AC5B-71ECD453565F}" name="jeu.15" dataDxfId="1584"/>
    <tableColumn id="73" xr3:uid="{92F6F600-146E-4340-A127-0900F0496474}" name="ven.16" dataDxfId="1583"/>
    <tableColumn id="74" xr3:uid="{ECCEA755-6777-47F4-8028-ABF1C3D01967}" name="sam.17" dataDxfId="1582"/>
    <tableColumn id="75" xr3:uid="{CEE9AA52-FC28-47DF-AFA6-21F5F740401F}" name="dim.18" dataDxfId="1581"/>
    <tableColumn id="76" xr3:uid="{67E6C5E2-208D-41CA-9E18-2C73012AEF50}" name="lun.19" dataDxfId="1580"/>
    <tableColumn id="77" xr3:uid="{732897ED-4967-4CBE-8EED-7FF693F59592}" name="mar.20" dataDxfId="1579"/>
    <tableColumn id="78" xr3:uid="{8895DB0E-7395-42B3-9810-0A4019C15631}" name="mer.21" dataDxfId="1578"/>
    <tableColumn id="79" xr3:uid="{7881EDFF-0118-4DE7-8EC1-48C4454D8AE9}" name="jeu.22" dataDxfId="1577"/>
    <tableColumn id="80" xr3:uid="{2677CB06-40E0-4BB5-AC6D-7B2DCC9CA966}" name="ven.23" dataDxfId="1576"/>
    <tableColumn id="81" xr3:uid="{7E902C16-A9EE-4270-890F-CE8E673CB242}" name="sam.24" dataDxfId="1575"/>
    <tableColumn id="82" xr3:uid="{E41808CB-F3B2-4BF7-9ECC-8857900C70B6}" name="dim.25" dataDxfId="1574"/>
    <tableColumn id="83" xr3:uid="{6FF316B7-63DD-4A62-B39B-4542DE4C4909}" name="lun.26" dataDxfId="1573"/>
    <tableColumn id="84" xr3:uid="{0BCF82B4-4E26-4AAF-AD63-0B644A5DD857}" name="mar.27" dataDxfId="1572"/>
    <tableColumn id="85" xr3:uid="{D8ADA304-79F6-4E39-82DB-8D8FBFF89407}" name="mer.28" dataDxfId="1571"/>
    <tableColumn id="86" xr3:uid="{3FEF641B-2575-41EE-BA4A-7F06800DE7DC}" name="jeu.29" dataDxfId="1570"/>
    <tableColumn id="87" xr3:uid="{3DCD416C-D3CC-4497-BD6E-33AA1241647C}" name="ven.30" dataDxfId="1569"/>
    <tableColumn id="88" xr3:uid="{5C424E01-ED6B-4646-AE00-9547FC339920}" name="sam.31" dataDxfId="1568"/>
    <tableColumn id="89" xr3:uid="{105E69CA-3768-40B5-831D-2DB8262247B3}" name="dim.01" dataDxfId="1567"/>
    <tableColumn id="90" xr3:uid="{256F508F-AE41-4A3D-A7AB-61855E158D5E}" name="lun.02" dataDxfId="1566"/>
    <tableColumn id="91" xr3:uid="{8418FECD-61E3-43DA-9D45-B8009889CA0A}" name="mar.03" dataDxfId="1565"/>
    <tableColumn id="92" xr3:uid="{8D8F0F69-6D71-4E47-A380-1713CAD315AC}" name="mer.04" dataDxfId="1564"/>
    <tableColumn id="93" xr3:uid="{E6E01197-6CAC-4DDF-94EC-1D74FC4A6526}" name="jeu.05" dataDxfId="1563"/>
    <tableColumn id="94" xr3:uid="{2BADAD09-9345-4BF0-A556-E4D66C34E79D}" name="ven.06" dataDxfId="1562"/>
    <tableColumn id="95" xr3:uid="{542368A7-770E-42AE-A65E-F0C6834F772B}" name="sam.07" dataDxfId="1561"/>
    <tableColumn id="96" xr3:uid="{5BA5A4A1-FFCE-4A27-9503-C74F5AB5E159}" name="dim.08" dataDxfId="1560"/>
    <tableColumn id="97" xr3:uid="{E5154515-93A5-474D-B93D-8A3BD2FC74A6}" name="lun.09" dataDxfId="1559"/>
    <tableColumn id="98" xr3:uid="{6D027588-1044-4C1D-926F-B8DE5DA7791F}" name="mar.10" dataDxfId="1558"/>
    <tableColumn id="99" xr3:uid="{5533D206-82A3-42F7-956F-2888F8DA0F23}" name="mer.11" dataDxfId="1557"/>
    <tableColumn id="100" xr3:uid="{E8B95535-EDCD-4E50-A1FD-A331CB341219}" name="jeu.12" dataDxfId="1556"/>
    <tableColumn id="101" xr3:uid="{21E3B851-12D6-4F6F-A935-3102CEF3FC08}" name="ven.13" dataDxfId="1555"/>
    <tableColumn id="102" xr3:uid="{974E3DA4-3F11-4BB5-8C41-AE708053FCDF}" name="sam.14" dataDxfId="1554"/>
    <tableColumn id="103" xr3:uid="{01729EBD-597B-4204-80BC-B9D446E868AA}" name="dim.15" dataDxfId="1553"/>
    <tableColumn id="104" xr3:uid="{4C780EE1-BC3D-4940-B4ED-93015DEF91AB}" name="lun.16" dataDxfId="1552"/>
    <tableColumn id="105" xr3:uid="{E8826E04-FEE4-4491-83A7-6D8C6A4A94E9}" name="mar.17" dataDxfId="1551"/>
    <tableColumn id="106" xr3:uid="{280D7DFC-16E6-4159-A39E-CCF4F6CD1A30}" name="mer.18" dataDxfId="1550"/>
    <tableColumn id="107" xr3:uid="{BAA97B4A-97AB-4777-8C07-DD3892AA832E}" name="jeu.19" dataDxfId="1549"/>
    <tableColumn id="108" xr3:uid="{549F69BD-1E5A-4E70-9124-A0DCF205052A}" name="ven.20" dataDxfId="1548"/>
    <tableColumn id="109" xr3:uid="{161D8A03-032D-46F6-AA2F-86B5DA504392}" name="sam.21" dataDxfId="1547"/>
    <tableColumn id="110" xr3:uid="{0D10DFF3-68B8-4D57-BBAF-DBF724A8AC14}" name="dim.22" dataDxfId="1546"/>
    <tableColumn id="111" xr3:uid="{E7D0EAA3-C736-41A9-9DE2-37AE9CD817D5}" name="lun.23" dataDxfId="1545"/>
    <tableColumn id="112" xr3:uid="{5A397081-B719-488C-9638-30E3DCEC8DD0}" name="mar.24" dataDxfId="1544"/>
    <tableColumn id="113" xr3:uid="{E92D062A-C9AB-49DD-A015-5FFFA58FC946}" name="mer.25" dataDxfId="1543"/>
    <tableColumn id="114" xr3:uid="{6268B0E0-B134-4A0D-A30D-5BDCC630E7D7}" name="jeu.26" dataDxfId="1542"/>
    <tableColumn id="115" xr3:uid="{DCDAC476-3515-49D7-B944-81214C2D0806}" name="ven.27" dataDxfId="1541"/>
    <tableColumn id="116" xr3:uid="{CFDA43C0-672D-47DE-9FB2-7C39C53E8628}" name="sam.28" dataDxfId="1540"/>
    <tableColumn id="117" xr3:uid="{ED1AAE6D-D994-4457-ABDA-3622506CFC2A}" name="dim.29" dataDxfId="1539"/>
    <tableColumn id="118" xr3:uid="{DE601101-9F0D-4502-98F5-CF5D63E6D7DA}" name="lun.30" dataDxfId="1538"/>
    <tableColumn id="119" xr3:uid="{88332754-8912-424E-8F76-76E0E600AF00}" name="mar.01" dataDxfId="1537"/>
    <tableColumn id="120" xr3:uid="{7293DD30-DCC9-4B6F-A86E-B1ED11D61A5B}" name="mer.02" dataDxfId="1536"/>
    <tableColumn id="121" xr3:uid="{73BCE7FA-5316-4DFF-BE4B-AFE3D3006EDA}" name="jeu.03" dataDxfId="1535"/>
    <tableColumn id="122" xr3:uid="{7ECC2F74-0998-4CD5-B325-1224F477E1C1}" name="ven.04" dataDxfId="1534"/>
    <tableColumn id="123" xr3:uid="{9D9A62B4-353B-4A14-84F2-D1DC8AE05DB8}" name="sam.05" dataDxfId="1533"/>
    <tableColumn id="124" xr3:uid="{20315237-1DD8-4AAA-9F53-9C75DBD31E89}" name="dim.06" dataDxfId="1532"/>
    <tableColumn id="125" xr3:uid="{802639B1-9795-4697-AA16-3FF5B73E286C}" name="lun.07" dataDxfId="1531"/>
    <tableColumn id="126" xr3:uid="{41620FF0-5B9F-41F0-B211-CE2A1D4FE2CD}" name="mar.08" dataDxfId="1530"/>
    <tableColumn id="127" xr3:uid="{9384EE09-B510-4215-A275-FB2F8F6543DB}" name="mer.09" dataDxfId="1529"/>
    <tableColumn id="128" xr3:uid="{A09065DD-8636-49DC-ACFB-4634DFB35533}" name="jeu.10" dataDxfId="1528"/>
    <tableColumn id="129" xr3:uid="{9F3D20CA-93D5-4B70-B10D-1AE97D7F08D2}" name="ven.11" dataDxfId="1527"/>
    <tableColumn id="130" xr3:uid="{8E6EBB56-7D5B-4435-AE5B-E70AAA67AA2B}" name="sam.12" dataDxfId="1526"/>
    <tableColumn id="131" xr3:uid="{1D3A1992-571F-44AD-9B2C-FF217982C8B9}" name="dim.13" dataDxfId="1525"/>
    <tableColumn id="132" xr3:uid="{C860B19A-4F88-4953-9F56-CF4C50D2CEBD}" name="lun.14" dataDxfId="1524"/>
    <tableColumn id="133" xr3:uid="{A2499B6A-3FA6-4310-A52D-6A597A1CB6DC}" name="mar.15" dataDxfId="1523"/>
    <tableColumn id="134" xr3:uid="{5D929C61-DF2B-42E5-8AAD-C8FFCC39F55D}" name="mer.16" dataDxfId="1522"/>
    <tableColumn id="135" xr3:uid="{C0EA673A-0317-480E-90B5-305FCB9698BC}" name="jeu.17" dataDxfId="1521"/>
    <tableColumn id="136" xr3:uid="{A3F85FC9-96FA-4371-B102-59E12F008261}" name="ven.18" dataDxfId="1520"/>
    <tableColumn id="137" xr3:uid="{9F43BB02-4549-4581-9CE8-4D9466D21C51}" name="sam.19" dataDxfId="1519"/>
    <tableColumn id="138" xr3:uid="{64CE30BF-CA3B-46EC-B53A-F8B9DFBE263C}" name="dim.20" dataDxfId="1518"/>
    <tableColumn id="139" xr3:uid="{37C20938-C055-44FB-BAC4-292830CD4094}" name="lun.21" dataDxfId="1517"/>
    <tableColumn id="140" xr3:uid="{B25295CA-369C-40BC-917F-FD0C3E229A40}" name="mar.22" dataDxfId="1516"/>
    <tableColumn id="141" xr3:uid="{DA1D5FD2-7B20-498C-8F9A-58D01B7ADE15}" name="mer.23" dataDxfId="1515"/>
    <tableColumn id="142" xr3:uid="{5A0E4234-DC24-4B56-B4A5-C9451CAB26BB}" name="jeu.24" dataDxfId="1514"/>
    <tableColumn id="143" xr3:uid="{2C6DFCFC-91AF-4E3B-87AA-9B74FDA7BB1F}" name="ven.25" dataDxfId="1513"/>
    <tableColumn id="144" xr3:uid="{E8669FB7-29E8-4D08-BBC3-33BFAEBC9727}" name="sam.26" dataDxfId="1512"/>
    <tableColumn id="145" xr3:uid="{A3B52A49-A296-4E90-A481-EBFC24042EEB}" name="dim.27" dataDxfId="1511"/>
    <tableColumn id="146" xr3:uid="{4D142EE8-7632-4106-A86F-4E6459E9143C}" name="lun.28" dataDxfId="1510"/>
    <tableColumn id="147" xr3:uid="{3A8176DB-3916-48EE-B0D2-5A2E2264FB95}" name="mar.29" dataDxfId="1509"/>
    <tableColumn id="148" xr3:uid="{D6EAC4A6-B2C6-4D9C-A06C-541FDFFAB443}" name="mer.30" dataDxfId="1508"/>
    <tableColumn id="149" xr3:uid="{12E23A21-C029-4DCC-8532-8C9784679F6F}" name="jeu.31" dataDxfId="1507"/>
    <tableColumn id="150" xr3:uid="{B4467E0F-232D-41E6-9DD9-E3711CD22629}" name="ven.01" dataDxfId="1506"/>
    <tableColumn id="151" xr3:uid="{D6554A39-4ADF-46E1-83CC-2F88392664E6}" name="sam.02" dataDxfId="1505"/>
    <tableColumn id="152" xr3:uid="{AD8B5F63-AB9B-4645-AAA2-2478EEBF8D48}" name="dim.03" dataDxfId="1504"/>
    <tableColumn id="153" xr3:uid="{1A1D9D91-7101-4B10-8867-BAC89F9F4FB6}" name="lun.04" dataDxfId="1503"/>
    <tableColumn id="154" xr3:uid="{2798BF2F-6D99-499E-BDEB-F113D9DC7AEB}" name="mar.05" dataDxfId="1502"/>
    <tableColumn id="155" xr3:uid="{73D1DD8E-1254-48A7-B16F-77C46FED0C11}" name="mer.06" dataDxfId="1501"/>
    <tableColumn id="156" xr3:uid="{D828A744-E9A7-40F4-BFC5-9622BF234435}" name="jeu.07" dataDxfId="1500"/>
    <tableColumn id="157" xr3:uid="{6E76C83E-6855-46EF-8634-A8EED1A33E86}" name="ven.08" dataDxfId="1499"/>
    <tableColumn id="158" xr3:uid="{A6500033-9F6F-4C0F-928A-1B178101DEBD}" name="sam.09" dataDxfId="1498"/>
    <tableColumn id="159" xr3:uid="{5F58C2A7-9F11-4493-A48A-39712064F627}" name="dim.10" dataDxfId="1497"/>
    <tableColumn id="160" xr3:uid="{DF343BAA-4557-48E8-8602-AA084A19CB78}" name="lun.11" dataDxfId="1496"/>
    <tableColumn id="161" xr3:uid="{7AAD01F8-BDF0-4FF7-8FB0-2057F64F13C4}" name="mar.12" dataDxfId="1495"/>
    <tableColumn id="162" xr3:uid="{60894C6B-BB12-4928-8CEA-242683682B01}" name="mer.13" dataDxfId="1494"/>
    <tableColumn id="163" xr3:uid="{202F1B9A-78B2-4F60-AF1D-F752CB3059C5}" name="jeu.14" dataDxfId="1493"/>
    <tableColumn id="164" xr3:uid="{3B9576E9-275E-433B-8634-3ABE0AA4277A}" name="ven.15" dataDxfId="1492"/>
    <tableColumn id="165" xr3:uid="{6F7F6BA8-7919-45E5-BB5D-F03AB03C0E88}" name="sam.16" dataDxfId="1491"/>
    <tableColumn id="166" xr3:uid="{7D7DEA37-1E51-49D2-B11B-0EBE7676EB39}" name="dim.17" dataDxfId="1490"/>
    <tableColumn id="167" xr3:uid="{1F95369F-E80A-4DFE-9439-1358060C213D}" name="lun.18" dataDxfId="1489"/>
    <tableColumn id="168" xr3:uid="{C0CA3A7D-0766-4191-865C-AC47509DE918}" name="mar.19" dataDxfId="1488"/>
    <tableColumn id="169" xr3:uid="{16F49AAF-8555-44EC-9BD8-15D2EF773BFE}" name="mer.20" dataDxfId="1487"/>
    <tableColumn id="170" xr3:uid="{6988021B-83A3-4B57-AC48-430C5511DDF4}" name="jeu.21" dataDxfId="1486"/>
    <tableColumn id="171" xr3:uid="{1E1C87D2-CE38-4F06-B470-2377BAF64656}" name="ven.22" dataDxfId="1485"/>
    <tableColumn id="172" xr3:uid="{F9E9896B-B389-4004-8245-9B9BE1010E7D}" name="sam.23" dataDxfId="1484"/>
    <tableColumn id="173" xr3:uid="{180A7C29-6684-422B-BACA-68FBC6225C06}" name="dim.24" dataDxfId="1483"/>
    <tableColumn id="174" xr3:uid="{4469B80B-BE5C-4E4A-B26B-45C36A8FE252}" name="lun.25" dataDxfId="1482"/>
    <tableColumn id="175" xr3:uid="{237B58CE-6D6F-40FE-9053-7FC0FB5E672B}" name="mar.26" dataDxfId="1481"/>
    <tableColumn id="176" xr3:uid="{83018777-A084-4443-9483-9FC7C252F83A}" name="mer.27" dataDxfId="1480"/>
    <tableColumn id="177" xr3:uid="{4B462B97-2A0A-4F12-A68E-FBD997FDE041}" name="jeu.28" dataDxfId="1479"/>
    <tableColumn id="178" xr3:uid="{FDC6DA9E-0374-4E18-887D-8E368E3147C7}" name="ven.29" dataDxfId="1478"/>
    <tableColumn id="179" xr3:uid="{8D24D177-C90B-4844-A5DA-BA97FE6DF5F0}" name="sam.30" dataDxfId="1477"/>
    <tableColumn id="180" xr3:uid="{BC82A174-EF0C-437B-BCF6-5203E68C58A6}" name="dim.012" dataDxfId="1476"/>
    <tableColumn id="181" xr3:uid="{3A939BC2-D7D1-42D4-A086-178372F71901}" name="lun.023" dataDxfId="1475"/>
    <tableColumn id="182" xr3:uid="{3FE34B2E-9F3A-421A-B0C7-10925313B5F9}" name="mar.034" dataDxfId="1474"/>
    <tableColumn id="183" xr3:uid="{510E7D95-7B00-4B67-8130-194F2025F953}" name="mer.045" dataDxfId="1473"/>
    <tableColumn id="184" xr3:uid="{E11C6609-AF20-45F8-88FD-C440B6CE4ABD}" name="jeu.056" dataDxfId="1472"/>
    <tableColumn id="185" xr3:uid="{D8A942A9-0D0B-431C-B97C-D89665E6A6FC}" name="ven.067" dataDxfId="1471"/>
    <tableColumn id="186" xr3:uid="{01D4944E-3290-44FC-BEC2-F4F27A3E7284}" name="sam.078" dataDxfId="1470"/>
    <tableColumn id="187" xr3:uid="{A560835B-2513-47E6-90D4-3D5050856916}" name="dim.089" dataDxfId="1469"/>
    <tableColumn id="188" xr3:uid="{212F3FC8-3C4E-489A-A480-FE1E027F5CFA}" name="lun.0910" dataDxfId="1468"/>
    <tableColumn id="189" xr3:uid="{D53E6B76-F4A8-4042-8497-9DE8E7A2929E}" name="mar.1011" dataDxfId="1467"/>
    <tableColumn id="190" xr3:uid="{018AFB7B-C0F9-4660-8C7C-180E40CFC832}" name="mer.1112" dataDxfId="1466"/>
    <tableColumn id="191" xr3:uid="{B50ADAEC-CEA5-456B-ADF6-95B1D59BED3A}" name="jeu.1213" dataDxfId="1465"/>
    <tableColumn id="192" xr3:uid="{6D3E5302-0FE3-430E-AE8F-CE9D486A64B8}" name="ven.1314" dataDxfId="1464"/>
    <tableColumn id="193" xr3:uid="{07E273C3-8595-429E-AD13-99B864AD0865}" name="sam.1415" dataDxfId="1463"/>
    <tableColumn id="194" xr3:uid="{9ADF29A3-4024-42EB-995F-41C4C67BFB9E}" name="dim.1516" dataDxfId="1462"/>
    <tableColumn id="195" xr3:uid="{66C46412-09EE-448D-88B6-757B90B87691}" name="lun.1617" dataDxfId="1461"/>
    <tableColumn id="196" xr3:uid="{7A081D32-9F90-4A55-A3E2-FD630AF0671B}" name="mar.1718" dataDxfId="1460"/>
    <tableColumn id="197" xr3:uid="{3559821E-C35A-4EC2-867A-81B397829193}" name="mer.1819" dataDxfId="1459"/>
    <tableColumn id="198" xr3:uid="{AB699AB0-DF1E-409D-B277-C061559BC144}" name="jeu.1920" dataDxfId="1458"/>
    <tableColumn id="199" xr3:uid="{E483DFB4-8D78-46D8-B89D-63A1816F014F}" name="ven.2021" dataDxfId="1457"/>
    <tableColumn id="200" xr3:uid="{E3E9A659-F1BC-4A95-ADA3-A6EB4E18DC84}" name="sam.2122" dataDxfId="1456"/>
    <tableColumn id="201" xr3:uid="{214B0E5F-61CD-4353-B8A2-FBB80D3903B3}" name="dim.2223" dataDxfId="1455"/>
    <tableColumn id="202" xr3:uid="{83F51F66-8FAC-4AA9-B447-7234130D765D}" name="lun.2324" dataDxfId="1454"/>
    <tableColumn id="203" xr3:uid="{4D9DB55C-47F9-4A22-9B64-A50A6CF8C2E5}" name="mar.2425" dataDxfId="1453"/>
    <tableColumn id="204" xr3:uid="{56F916A1-4D5F-47AD-BAE4-6BC4396DA0D9}" name="mer.2526" dataDxfId="1452"/>
    <tableColumn id="205" xr3:uid="{56BB6ED5-D860-4C30-9FB4-E487C740A2FE}" name="jeu.2627" dataDxfId="1451"/>
    <tableColumn id="206" xr3:uid="{B2C07157-8863-4A4E-8B4C-23616C59F3A8}" name="ven.2728" dataDxfId="1450"/>
    <tableColumn id="207" xr3:uid="{88C2E97D-1B08-45B8-BC2A-B656280A7240}" name="sam.2829" dataDxfId="1449"/>
    <tableColumn id="208" xr3:uid="{D8AAABB7-BB52-4C8C-8744-71F532A87437}" name="dim.2930" dataDxfId="1448"/>
    <tableColumn id="209" xr3:uid="{4BC517C7-D41B-42B5-BD17-27C62A1E98E7}" name="lun.082" dataDxfId="1447"/>
    <tableColumn id="210" xr3:uid="{9ABD6346-B02D-4255-BEBF-3CE8DBA2C9C6}" name="mar.093" dataDxfId="1446"/>
    <tableColumn id="211" xr3:uid="{C97D7553-77E1-4659-8D88-0099CFC41810}" name="mer.104" dataDxfId="1445"/>
    <tableColumn id="212" xr3:uid="{78B6A2E2-1852-44D8-8F89-FD6D7FB8D5DC}" name="jeu.115" dataDxfId="1444"/>
    <tableColumn id="213" xr3:uid="{50EC13D1-13C3-4697-A1C7-ED0729ED0EE5}" name="ven.126" dataDxfId="1443"/>
    <tableColumn id="214" xr3:uid="{CBFFC004-AED5-4FC2-81F2-EC24D9B21957}" name="sam.137" dataDxfId="1442"/>
    <tableColumn id="215" xr3:uid="{1AF8D1A2-A2F3-4E34-8072-C0E0714BC72E}" name="dim.148" dataDxfId="1441"/>
    <tableColumn id="216" xr3:uid="{CF468B73-780F-447C-997E-965EAD408C7E}" name="lun.159" dataDxfId="1440"/>
    <tableColumn id="217" xr3:uid="{D4FD28F8-02C1-482F-9404-7F100796A8C1}" name="mar.1610" dataDxfId="1439"/>
    <tableColumn id="218" xr3:uid="{C1438835-5229-4427-80A5-76DCA648967A}" name="mer.1711" dataDxfId="1438"/>
    <tableColumn id="219" xr3:uid="{C07DD9CF-41DF-4546-8A8E-1D73E0DCB28A}" name="jeu.1812" dataDxfId="1437"/>
    <tableColumn id="220" xr3:uid="{EEE2686F-F9C0-4835-8635-3962F5BAB5E0}" name="ven.1913" dataDxfId="1436"/>
    <tableColumn id="221" xr3:uid="{34E40B0C-6BED-4C68-B123-95450122BB59}" name="sam.2014" dataDxfId="1435"/>
    <tableColumn id="222" xr3:uid="{F1FF6AC4-F63E-4947-A31F-03122B4C0D34}" name="dim.2115" dataDxfId="1434"/>
    <tableColumn id="223" xr3:uid="{26928511-D882-4AB2-8944-437099866E69}" name="lun.2216" dataDxfId="1433"/>
    <tableColumn id="224" xr3:uid="{8BB25573-5D08-446D-9DF6-1030BC3284BA}" name="mar.2317" dataDxfId="1432"/>
    <tableColumn id="225" xr3:uid="{129CA859-5C02-47DE-85EC-A16331D2D9A5}" name="mer.2418" dataDxfId="1431"/>
    <tableColumn id="226" xr3:uid="{AC4FBF6C-080D-40FB-A2A7-B631BEC47810}" name="jeu.2519" dataDxfId="1430"/>
    <tableColumn id="227" xr3:uid="{B66A8A39-7C16-43D1-9F17-68AA2E8255A7}" name="ven.2620" dataDxfId="1429"/>
    <tableColumn id="228" xr3:uid="{A378C30A-2060-4A05-989C-1B86CCFA3947}" name="sam.2721" dataDxfId="1428"/>
    <tableColumn id="229" xr3:uid="{5C5D066B-63D6-496A-B30B-622B91B19629}" name="dim.2822" dataDxfId="1427"/>
    <tableColumn id="230" xr3:uid="{2EAB04F5-1A3D-4627-867D-B5F92E6A6D3A}" name="lun.2923" dataDxfId="1426"/>
    <tableColumn id="231" xr3:uid="{C1C2FAC7-B385-4CA6-89ED-5E7E1C682231}" name="mar.3024" dataDxfId="1425"/>
    <tableColumn id="232" xr3:uid="{526F86B2-5D98-4A69-A924-EBEA338C2FBA}" name="mer.3125" dataDxfId="1424"/>
    <tableColumn id="233" xr3:uid="{6F13498A-D8E2-46C1-9F52-AB7A702FF53C}" name="jeu.0126" dataDxfId="1423"/>
    <tableColumn id="234" xr3:uid="{B2FAB26C-FE8A-417A-ACDD-B20D113B4C5E}" name="ven.0227" dataDxfId="1422"/>
    <tableColumn id="235" xr3:uid="{A3E66884-E6BB-4AEF-A74A-18FAEBBF2E8D}" name="sam.0328" dataDxfId="1421"/>
    <tableColumn id="236" xr3:uid="{F13A03F8-820A-47A7-A163-273B34CE3E28}" name="dim.0429" dataDxfId="1420"/>
    <tableColumn id="237" xr3:uid="{98B312B4-6990-4E82-AE36-85AB16925402}" name="lun.0530" dataDxfId="1419"/>
    <tableColumn id="238" xr3:uid="{D3B4649A-D36B-44D3-B214-3464FA4FE682}" name="mar.0631" dataDxfId="1418"/>
    <tableColumn id="239" xr3:uid="{234AEF96-75B6-4398-BFD1-E0658C755AB4}" name="mer.0732" dataDxfId="1417"/>
    <tableColumn id="240" xr3:uid="{A058B9C3-162A-4420-BD6A-48F50AD07AD9}" name="jeu.0833" dataDxfId="1416"/>
    <tableColumn id="241" xr3:uid="{FC3DA8F7-3762-42FF-9E95-E59F6871FCEB}" name="ven.0934" dataDxfId="1415"/>
    <tableColumn id="242" xr3:uid="{71817696-1A52-4238-AE25-1E91A107B012}" name="sam.1035" dataDxfId="1414"/>
    <tableColumn id="243" xr3:uid="{58B56558-5686-4F6D-A8F5-65426F922497}" name="dim.1136" dataDxfId="1413"/>
    <tableColumn id="244" xr3:uid="{2C8EA544-613E-42A1-82B6-9E8A294664C6}" name="lun.1237" dataDxfId="1412"/>
    <tableColumn id="245" xr3:uid="{5CC0F2A0-0584-4565-89B7-B7D6F165B48F}" name="mar.1338" dataDxfId="1411"/>
    <tableColumn id="246" xr3:uid="{A693C658-7403-40A3-9B18-91C32771F7A5}" name="mer.1439" dataDxfId="1410"/>
    <tableColumn id="247" xr3:uid="{820E580E-C7B0-4CFD-8F9D-996B6068C9DD}" name="jeu.1540" dataDxfId="1409"/>
    <tableColumn id="248" xr3:uid="{3B642682-E06E-42DC-B4BB-AE0BCE7DE757}" name="ven.1641" dataDxfId="1408"/>
    <tableColumn id="249" xr3:uid="{D0D12DFB-B6DD-4BE8-9353-7B20858A903C}" name="sam.1742" dataDxfId="1407"/>
    <tableColumn id="250" xr3:uid="{AA0C0199-3AAA-4D5E-AC3D-40F2BF8FCD81}" name="dim.1843" dataDxfId="1406"/>
    <tableColumn id="251" xr3:uid="{126FF1B0-1918-466F-9225-6802384E0C37}" name="lun.1944" dataDxfId="1405"/>
    <tableColumn id="252" xr3:uid="{3A13830E-49CC-4A25-82BF-0D9F8FA5A44F}" name="mar.2045" dataDxfId="1404"/>
    <tableColumn id="253" xr3:uid="{9FEAE32B-87FB-4815-B863-43D9B644E355}" name="mer.2146" dataDxfId="1403"/>
    <tableColumn id="254" xr3:uid="{5D3298E6-542F-4610-8A9D-ABE5CE3E4387}" name="jeu.2247" dataDxfId="1402"/>
    <tableColumn id="255" xr3:uid="{6DF98F04-1E5E-4654-8C09-92779F0E26C4}" name="ven.2348" dataDxfId="1401"/>
    <tableColumn id="256" xr3:uid="{EA76578F-29A8-405D-82D2-A1326409018E}" name="sam.2449" dataDxfId="1400"/>
    <tableColumn id="257" xr3:uid="{C8ADCB4A-9DED-47E6-BDB0-D385D194EEFC}" name="dim.2550" dataDxfId="1399"/>
    <tableColumn id="258" xr3:uid="{BBBDB3A6-F4F0-4CEE-8907-80FEF139C38E}" name="lun.2651" dataDxfId="1398"/>
    <tableColumn id="259" xr3:uid="{1B468507-FF47-4B95-9385-E37B626E156C}" name="mar.2752" dataDxfId="1397"/>
    <tableColumn id="260" xr3:uid="{9185FCFC-899C-4649-B607-C86787D11274}" name="mer.2853" dataDxfId="1396"/>
    <tableColumn id="261" xr3:uid="{9920FABF-3C15-438F-A758-D6B0B38B020A}" name="jeu.2954" dataDxfId="1395"/>
    <tableColumn id="262" xr3:uid="{7EF36227-9C85-4B72-800C-06302AD3AB38}" name="ven.3055" dataDxfId="1394"/>
    <tableColumn id="263" xr3:uid="{24F0D251-C0A5-46ED-8542-45CF2EDF91B6}" name="sam.3156" dataDxfId="1393"/>
    <tableColumn id="264" xr3:uid="{5E009A2A-3728-403A-BFEC-CEF862A0F5B5}" name="dim.0157" dataDxfId="1392"/>
    <tableColumn id="265" xr3:uid="{BE8EBA8E-E848-487E-A962-D24573CA474D}" name="lun.0258" dataDxfId="1391"/>
    <tableColumn id="266" xr3:uid="{AB71D438-ED6C-4AEA-9438-993200C6A28F}" name="mar.0359" dataDxfId="1390"/>
    <tableColumn id="267" xr3:uid="{BDE933F9-5D8C-43DD-81B8-A290AC26CC43}" name="mer.0460" dataDxfId="1389"/>
    <tableColumn id="268" xr3:uid="{CF44F04C-A9FD-48BA-A2BD-3E3ECC925815}" name="jeu.0561" dataDxfId="1388"/>
    <tableColumn id="269" xr3:uid="{96E846EE-EE2D-4F38-9A38-6E377077E50E}" name="ven.0662" dataDxfId="1387"/>
    <tableColumn id="270" xr3:uid="{33A043C7-E9D9-4D0C-9843-730E139D79EC}" name="sam.0763" dataDxfId="1386"/>
    <tableColumn id="271" xr3:uid="{43753A04-8249-45EF-A0E3-69EAE08FF45B}" name="dim.0864" dataDxfId="1385"/>
    <tableColumn id="272" xr3:uid="{120595CA-24DD-450B-89D5-1AEBAD4282B1}" name="lun.0965" dataDxfId="1384"/>
    <tableColumn id="273" xr3:uid="{C4B6F982-1492-45D3-AD78-960982F22287}" name="mar.1066" dataDxfId="1383"/>
    <tableColumn id="274" xr3:uid="{8D29215B-2681-4206-B618-78C5EB67548E}" name="mer.1167" dataDxfId="1382"/>
    <tableColumn id="275" xr3:uid="{52689470-BC01-43C2-8F8A-29A9ACF8578E}" name="jeu.1268" dataDxfId="1381"/>
    <tableColumn id="276" xr3:uid="{353044AA-E41A-40D5-9A97-A0AC1525D7FA}" name="ven.1369" dataDxfId="1380"/>
    <tableColumn id="277" xr3:uid="{F7DB9AE3-3F67-435D-A0EF-2DB7D445DE4B}" name="sam.1470" dataDxfId="1379"/>
    <tableColumn id="278" xr3:uid="{99C08B0C-8025-4379-85F0-68BE53806874}" name="dim.1571" dataDxfId="1378"/>
    <tableColumn id="279" xr3:uid="{023833FC-6A46-4892-87BE-B5733EA2447C}" name="lun.1672" dataDxfId="1377"/>
    <tableColumn id="280" xr3:uid="{46A335AD-6C9B-4FA8-ABB2-C150AA012FB2}" name="mar.1773" dataDxfId="1376"/>
    <tableColumn id="281" xr3:uid="{DEE6338C-C726-4AB1-9C71-8D8660123B73}" name="mer.1874" dataDxfId="1375"/>
    <tableColumn id="282" xr3:uid="{2AAB4778-7B08-4D84-91E9-BF08EFE9606C}" name="jeu.1975" dataDxfId="1374"/>
    <tableColumn id="283" xr3:uid="{4672A333-ED1E-4500-8BD9-D05EF3BF921E}" name="ven.2076" dataDxfId="1373"/>
    <tableColumn id="284" xr3:uid="{7C015AC9-BA0A-4097-A633-92693C726C40}" name="sam.2177" dataDxfId="1372"/>
    <tableColumn id="285" xr3:uid="{77FDB8D0-165D-4F1F-9E50-958D4FBFBE65}" name="dim.2278" dataDxfId="1371"/>
    <tableColumn id="286" xr3:uid="{E62C2FAC-DC09-4F61-8CFF-A44E6FC25E2C}" name="lun.2379" dataDxfId="1370"/>
    <tableColumn id="287" xr3:uid="{E19D5309-51E3-4054-B26D-8A235E37E9AF}" name="mar.2480" dataDxfId="1369"/>
    <tableColumn id="288" xr3:uid="{C92727D7-A1A2-4EEB-9E1D-00E11FF66186}" name="mer.2581" dataDxfId="1368"/>
    <tableColumn id="289" xr3:uid="{D1D78D1C-1B20-4BA3-90D1-DDA7BD50BFB3}" name="jeu.2682" dataDxfId="1367"/>
    <tableColumn id="290" xr3:uid="{D4FA4FB9-CE33-4322-A205-0E72DEF5DFF0}" name="ven.2783" dataDxfId="1366"/>
    <tableColumn id="291" xr3:uid="{0FFA5B31-3437-4EB9-953F-C90C1BF60EFD}" name="sam.2884" dataDxfId="1365"/>
    <tableColumn id="292" xr3:uid="{5C628AD6-0957-4D80-8802-CEDB5EC04C1C}" name="dim.2985" dataDxfId="1364"/>
    <tableColumn id="293" xr3:uid="{C8FB657C-CD74-42E2-A88D-BED5604CDB69}" name="lun.3086" dataDxfId="1363"/>
    <tableColumn id="294" xr3:uid="{44602B55-C271-43BE-8ACF-323BD24DC514}" name="mar.0187" dataDxfId="1362"/>
    <tableColumn id="295" xr3:uid="{C1CA6C29-B5FB-4457-8444-1B947BD0A745}" name="mer.0288" dataDxfId="1361"/>
    <tableColumn id="296" xr3:uid="{7B455BBD-3A8F-4CE7-BD39-B0D56ABB513A}" name="jeu.0389" dataDxfId="1360"/>
    <tableColumn id="297" xr3:uid="{8B5309FD-0277-437B-AEF6-444A0E1C94FB}" name="ven.0490" dataDxfId="1359"/>
    <tableColumn id="298" xr3:uid="{087AAF9F-4708-4D91-9B29-506B82E9C8FD}" name="sam.0591" dataDxfId="1358"/>
    <tableColumn id="299" xr3:uid="{2219687E-80EA-49CD-94CF-9C0793AA9858}" name="dim.0692" dataDxfId="1357"/>
    <tableColumn id="300" xr3:uid="{387518A2-C674-482E-B7D2-77799584529B}" name="lun.0793" dataDxfId="1356"/>
    <tableColumn id="301" xr3:uid="{7EE66F04-989E-48BF-8C26-4B02B8613F26}" name="mar.0894" dataDxfId="1355"/>
    <tableColumn id="302" xr3:uid="{6D6677B4-76BA-4315-B7FF-7B69FEB5F976}" name="mer.0995" dataDxfId="1354"/>
    <tableColumn id="303" xr3:uid="{120B9CE9-391C-46DC-AE96-1D6362FB8AFE}" name="jeu.1096" dataDxfId="1353"/>
    <tableColumn id="304" xr3:uid="{6CFFA58B-34F7-4BDB-971B-486A02683103}" name="ven.1197" dataDxfId="1352"/>
    <tableColumn id="305" xr3:uid="{33EAB367-1802-4F3F-B6C6-EA8BEDDCE9AB}" name="sam.1298" dataDxfId="1351"/>
    <tableColumn id="306" xr3:uid="{1923FD3B-7E13-49F3-B69E-5BD243E0DA8C}" name="dim.1399" dataDxfId="1350"/>
    <tableColumn id="307" xr3:uid="{F670117B-768D-4B78-90E8-FC11D70E019D}" name="lun.14100" dataDxfId="1349"/>
    <tableColumn id="308" xr3:uid="{2E47D41A-A9BF-421E-9EA8-934940A81256}" name="mar.15101" dataDxfId="1348"/>
    <tableColumn id="309" xr3:uid="{7EF80283-B208-4890-A6B9-CC791343C83D}" name="mer.16102" dataDxfId="1347"/>
    <tableColumn id="310" xr3:uid="{EDF4402D-B642-4BC8-86D2-BAC2689EF174}" name="jeu.17103" dataDxfId="1346"/>
    <tableColumn id="311" xr3:uid="{FAEA620F-2B84-408D-A9A9-750F6707F05E}" name="ven.18104" dataDxfId="1345"/>
    <tableColumn id="312" xr3:uid="{D12A004F-B9E8-4A5D-AFA8-378EB273775E}" name="sam.19105" dataDxfId="1344"/>
    <tableColumn id="313" xr3:uid="{960EEF64-F0B9-4E11-A265-A9A13CF0B062}" name="dim.20106" dataDxfId="1343"/>
    <tableColumn id="314" xr3:uid="{79CF860C-6ACF-43DA-B133-3243B9A0612C}" name="lun.21107" dataDxfId="1342"/>
    <tableColumn id="315" xr3:uid="{BC16BE46-A430-44B4-AE2B-FB5B461FE0F6}" name="mar.22108" dataDxfId="1341"/>
    <tableColumn id="316" xr3:uid="{FED9B490-8BBD-4FC5-B921-AADE7839A4B7}" name="mer.23109" dataDxfId="1340"/>
    <tableColumn id="317" xr3:uid="{CB9F6E02-CF22-491B-81D9-4E81BE428DA2}" name="jeu.24110" dataDxfId="1339"/>
    <tableColumn id="318" xr3:uid="{D63EE5C5-2123-4525-AE37-41CC6BE46CB9}" name="ven.25111" dataDxfId="1338"/>
    <tableColumn id="319" xr3:uid="{F1A9BD2B-503B-4F8A-BCF3-6EA8893B60DF}" name="sam.26112" dataDxfId="1337"/>
    <tableColumn id="320" xr3:uid="{9FD440A3-9978-4190-BAAD-4CD764C745F9}" name="dim.27113" dataDxfId="1336"/>
    <tableColumn id="321" xr3:uid="{52E51441-3CBE-4558-9464-6A02E596660F}" name="lun.28114" dataDxfId="1335"/>
    <tableColumn id="322" xr3:uid="{8E280953-26D1-4C73-9653-B40130A5553D}" name="mar.29115" dataDxfId="1334"/>
    <tableColumn id="323" xr3:uid="{6BFED352-16A8-4527-BF84-A240C892013C}" name="mer.30116" dataDxfId="1333"/>
    <tableColumn id="324" xr3:uid="{18184CCE-4872-4F54-A439-BECED71AC27C}" name="jeu.31117" dataDxfId="1332"/>
    <tableColumn id="325" xr3:uid="{F5249032-D7E0-451B-B118-7C31986CF569}" name="ven.01118" dataDxfId="1331"/>
    <tableColumn id="326" xr3:uid="{FEBAD6C6-8001-424E-84E7-6B69A7531789}" name="sam.02119" dataDxfId="1330"/>
    <tableColumn id="327" xr3:uid="{810F7DAA-7D49-4D71-8B5D-3A4EA8AEA592}" name="dim.03120" dataDxfId="1329"/>
    <tableColumn id="328" xr3:uid="{42FA7813-0AFC-46FC-8A11-0514356D5F73}" name="lun.04121" dataDxfId="1328"/>
    <tableColumn id="329" xr3:uid="{414F4586-80EE-428E-9BD7-47F3156E95E1}" name="mar.05122" dataDxfId="1327"/>
    <tableColumn id="330" xr3:uid="{0E0868A6-73CA-409E-AF04-6A07ADE8C986}" name="mer.06123" dataDxfId="1326"/>
    <tableColumn id="331" xr3:uid="{1459ACC0-B3B8-40B6-993B-F36368C6640E}" name="jeu.07124" dataDxfId="1325"/>
    <tableColumn id="332" xr3:uid="{FF1CAD59-2C86-4D41-B966-2DBDBFF319B2}" name="ven.08125" dataDxfId="1324"/>
    <tableColumn id="333" xr3:uid="{FB9B0E7C-9513-4398-A7B2-52AF513D6FA6}" name="sam.09126" dataDxfId="1323"/>
    <tableColumn id="334" xr3:uid="{DD029ECC-D753-4C0C-83BC-D228452D7777}" name="dim.10127" dataDxfId="1322"/>
    <tableColumn id="335" xr3:uid="{FAC0C6B2-9CD5-492E-853F-8398A579A776}" name="lun.11128" dataDxfId="1321"/>
    <tableColumn id="336" xr3:uid="{8F6E4496-8C1B-4C08-BF04-BAE37728DBE3}" name="mar.12129" dataDxfId="1320"/>
    <tableColumn id="337" xr3:uid="{17085E30-F33D-4037-B809-73E59DBC7DB0}" name="mer.13130" dataDxfId="1319"/>
    <tableColumn id="338" xr3:uid="{7041E0E8-0F26-4B97-AEB0-1A4820621CFE}" name="jeu.14131" dataDxfId="1318"/>
    <tableColumn id="339" xr3:uid="{F226A07B-4DEE-4501-9E86-34711AFEB2A1}" name="ven.15132" dataDxfId="1317"/>
    <tableColumn id="340" xr3:uid="{396BF75E-2DEE-4F35-975B-B9373DAB960E}" name="sam.16133" dataDxfId="1316"/>
    <tableColumn id="341" xr3:uid="{8D19ED2A-695C-4377-BE3C-557A2A9C22EB}" name="dim.17134" dataDxfId="1315"/>
    <tableColumn id="342" xr3:uid="{5D8A9471-758D-43A8-A891-E05FEAD18BF7}" name="lun.18135" dataDxfId="1314"/>
    <tableColumn id="343" xr3:uid="{502DEF98-F8B4-4596-BD95-15BA067B01A5}" name="mar.19136" dataDxfId="1313"/>
    <tableColumn id="344" xr3:uid="{769DE6E5-880B-4908-B145-3E9928B8BC58}" name="mer.20137" dataDxfId="1312"/>
    <tableColumn id="345" xr3:uid="{00FC0A36-682C-42A7-83AA-FF05A772967F}" name="jeu.21138" dataDxfId="1311"/>
    <tableColumn id="346" xr3:uid="{15BC6AE8-F114-497A-8837-0333F5B58EE5}" name="ven.22139" dataDxfId="1310"/>
    <tableColumn id="347" xr3:uid="{47867F82-0BA7-4139-94B4-52B47973A507}" name="sam.23140" dataDxfId="1309"/>
    <tableColumn id="348" xr3:uid="{747A98CF-D360-4047-AA4F-951FF09C003C}" name="dim.24141" dataDxfId="1308"/>
    <tableColumn id="349" xr3:uid="{562F757D-59E0-4C0B-9A53-A346D6615E01}" name="lun.25142" dataDxfId="1307"/>
    <tableColumn id="350" xr3:uid="{8E96554B-821E-48D9-B119-7DA3799E5BE0}" name="mar.26143" dataDxfId="1306"/>
    <tableColumn id="351" xr3:uid="{566A8FE7-4369-4F08-894B-2B6A2E894BC7}" name="mer.27144" dataDxfId="1305"/>
    <tableColumn id="352" xr3:uid="{255755E3-F3CE-4385-885E-BACDAA359614}" name="jeu.28145" dataDxfId="1304"/>
    <tableColumn id="353" xr3:uid="{D1003A06-B8EE-433B-BDA6-3784594656C5}" name="ven.29146" dataDxfId="1303"/>
    <tableColumn id="354" xr3:uid="{A00A20EA-CBBF-4A80-8896-280A8ECA9494}" name="sam.30147" dataDxfId="1302"/>
    <tableColumn id="355" xr3:uid="{C08E0702-81A3-48D9-AF9D-728B6E093CC9}" name="dim.012148" dataDxfId="1301"/>
    <tableColumn id="356" xr3:uid="{843D79B3-BB7F-4610-B133-F378579759A2}" name="lun.023149" dataDxfId="1300"/>
    <tableColumn id="357" xr3:uid="{8CB2BDB4-0580-4E9A-8A13-CC92298AA63B}" name="mar.034150" dataDxfId="1299"/>
    <tableColumn id="358" xr3:uid="{BC04ABE0-5BAC-43E6-A645-181C3028ECB9}" name="mer.045151" dataDxfId="1298"/>
    <tableColumn id="359" xr3:uid="{5F98EB58-E978-4526-BAA9-2923897A821A}" name="jeu.056152" dataDxfId="1297"/>
    <tableColumn id="360" xr3:uid="{2B715328-7324-4A72-95E8-EF9DFD1437E5}" name="ven.067153" dataDxfId="1296"/>
    <tableColumn id="361" xr3:uid="{731DA277-CCB8-472C-9C95-A3EA00349D60}" name="sam.078154" dataDxfId="1295"/>
    <tableColumn id="362" xr3:uid="{6754390E-FF05-43A8-8781-780AEB633A36}" name="dim.089155" dataDxfId="1294"/>
    <tableColumn id="363" xr3:uid="{8DF8A3E0-658C-431C-A548-D1FF11E8895C}" name="lun.0910156" dataDxfId="1293"/>
    <tableColumn id="364" xr3:uid="{992BA583-B259-4342-9205-17B2795D20CA}" name="mar.1011157" dataDxfId="1292"/>
    <tableColumn id="365" xr3:uid="{3A69297E-DAA8-49EB-9252-C9165263405E}" name="mer.1112158" dataDxfId="1291"/>
    <tableColumn id="366" xr3:uid="{23CDFF2C-598A-4F51-938B-D3BDF47DDB64}" name="jeu.1213159" dataDxfId="1290"/>
    <tableColumn id="367" xr3:uid="{D281828D-36DB-484D-8C2B-D6EBCDEFDC0C}" name="ven.1314160" dataDxfId="1289"/>
    <tableColumn id="368" xr3:uid="{7ACEEDA2-ABA0-4CEE-8166-A3E6DE740DCC}" name="sam.1415161" dataDxfId="1288"/>
    <tableColumn id="369" xr3:uid="{F861F977-9A70-49F8-BB29-ACD4C240EB6E}" name="dim.1516162" dataDxfId="1287"/>
    <tableColumn id="370" xr3:uid="{9883C02C-4AE8-4534-B555-7ED28386D6ED}" name="lun.1617163" dataDxfId="1286"/>
    <tableColumn id="371" xr3:uid="{881EAE78-9F5D-46DD-9F81-9680BA218ED8}" name="mar.1718164" dataDxfId="1285"/>
    <tableColumn id="372" xr3:uid="{3706439B-5EE2-452E-9FF8-C9C56EBB1020}" name="mer.1819165" dataDxfId="1284"/>
    <tableColumn id="373" xr3:uid="{0ACB289A-3DFC-4697-9C74-8FAD6C918F03}" name="jeu.1920166" dataDxfId="1283"/>
    <tableColumn id="374" xr3:uid="{2132E6B1-5AF3-432B-9EA0-33199DDB2729}" name="ven.2021167" dataDxfId="1282"/>
    <tableColumn id="375" xr3:uid="{3DD34878-26B0-4EC3-B4A0-1E1A076A98A3}" name="sam.2122168" dataDxfId="1281"/>
    <tableColumn id="376" xr3:uid="{F95945D2-FE99-4DA4-BB3D-B389D74159EA}" name="dim.2223169" dataDxfId="1280"/>
    <tableColumn id="377" xr3:uid="{AB550E61-1770-4663-B661-A218D57B5626}" name="lun.2324170" dataDxfId="1279"/>
    <tableColumn id="378" xr3:uid="{43CEBE83-BB1A-4878-ADB8-EF9B9DAC3367}" name="mar.2425171" dataDxfId="1278"/>
    <tableColumn id="379" xr3:uid="{35F2696C-E396-4BB5-802C-0A049A7996FB}" name="mer.2526172" dataDxfId="1277"/>
    <tableColumn id="380" xr3:uid="{433C3806-EA48-476D-A0C9-D00220FBF74E}" name="jeu.2627173" dataDxfId="1276"/>
    <tableColumn id="381" xr3:uid="{67A9F53F-0341-4822-AC8D-04938A7C811C}" name="ven.2728174" dataDxfId="127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AA245-43C0-4DFC-AAE3-2E3240E20B2B}" name="Tableau1" displayName="Tableau1" ref="D4:NO43" totalsRowShown="0" headerRowDxfId="1228" dataDxfId="1226" headerRowBorderDxfId="1227" tableBorderDxfId="1225">
  <autoFilter ref="D4:NO43" xr:uid="{4CDAA245-43C0-4DFC-AAE3-2E3240E20B2B}"/>
  <sortState xmlns:xlrd2="http://schemas.microsoft.com/office/spreadsheetml/2017/richdata2" ref="D5:NO43">
    <sortCondition ref="E4:E43"/>
  </sortState>
  <tableColumns count="376">
    <tableColumn id="1" xr3:uid="{3829D65F-ACC2-461F-BDFB-4F19D34C3D7A}" name="SOCIETE" dataDxfId="1224"/>
    <tableColumn id="2" xr3:uid="{A9A424D6-7AAB-4465-BBF0-7FBA869902F4}" name="STATUT" dataDxfId="1223"/>
    <tableColumn id="3" xr3:uid="{D90765E2-C68C-4A32-9E95-9C8A126F072D}" name="FONCTION" dataDxfId="1222"/>
    <tableColumn id="4" xr3:uid="{0EFD4902-7229-4274-BAFC-DA5956DAC0D3}" name="NOM" dataDxfId="1221"/>
    <tableColumn id="5" xr3:uid="{C323D370-6593-4E2D-92F6-B0BAB7AAE270}" name="PRENOM" dataDxfId="1220"/>
    <tableColumn id="6" xr3:uid="{D5BB0D0E-F219-4811-9DAF-A31B480B1343}" name="lun.30.12" dataDxfId="1219"/>
    <tableColumn id="7" xr3:uid="{1A70183C-0A77-4467-9961-F307AFE0A536}" name="mar.11" dataDxfId="1218"/>
    <tableColumn id="8" xr3:uid="{2A55618D-09D6-4F20-B0C5-A7AAE44C8BCD}" name="mer.12" dataDxfId="1217"/>
    <tableColumn id="9" xr3:uid="{F05522F5-B25C-4BF3-9EF4-1FCB813A8810}" name="jeu.13" dataDxfId="1216"/>
    <tableColumn id="10" xr3:uid="{224F5317-ABF8-46F4-9795-9D7522F47C31}" name="ven.14" dataDxfId="1215"/>
    <tableColumn id="11" xr3:uid="{AFD66243-A902-48FC-BAA9-8DDF4CD4E13C}" name="sam.15" dataDxfId="1214"/>
    <tableColumn id="12" xr3:uid="{056804A4-27CB-469C-9F66-C220B8969BE0}" name="dim.16" dataDxfId="1213"/>
    <tableColumn id="13" xr3:uid="{4CDB9F8C-EE8B-4045-9978-4857926B9D71}" name="lun.17" dataDxfId="1212"/>
    <tableColumn id="14" xr3:uid="{B43B2E10-BB78-4FBD-A095-18BFDCB04519}" name="mar.18" dataDxfId="1211"/>
    <tableColumn id="15" xr3:uid="{E5AB3981-7AE1-4633-B408-6B1A477511DC}" name="mer.19" dataDxfId="1210"/>
    <tableColumn id="16" xr3:uid="{3B88536A-8EAB-4FC9-885A-A716713619CA}" name="jeu.20" dataDxfId="1209"/>
    <tableColumn id="17" xr3:uid="{537D4A72-3D55-4AE8-A723-B2D3B0CBCBF1}" name="ven.21" dataDxfId="1208"/>
    <tableColumn id="18" xr3:uid="{BFD86C08-7CA9-4F6B-A601-3E7EF92E375A}" name="sam.22" dataDxfId="1207"/>
    <tableColumn id="19" xr3:uid="{44C218C3-E26E-4A0A-9D02-42988FCFC77A}" name="dim.23" dataDxfId="1206"/>
    <tableColumn id="20" xr3:uid="{229B81AE-E5EB-41B1-A220-B2CC8199D62C}" name="lun.24" dataDxfId="1205"/>
    <tableColumn id="21" xr3:uid="{F37286A4-C9DD-493D-8BF6-850A78D0EE66}" name="mar.25" dataDxfId="1204"/>
    <tableColumn id="22" xr3:uid="{EDF32C3B-3606-4524-ADBD-F697CF5DA950}" name="mer.26" dataDxfId="1203"/>
    <tableColumn id="23" xr3:uid="{C34C569E-0A8D-478C-AE5D-83EF0EB4F624}" name="jeu.27" dataDxfId="1202"/>
    <tableColumn id="24" xr3:uid="{A524930A-E56F-489A-B5DA-08395275B0A4}" name="ven.28" dataDxfId="1201"/>
    <tableColumn id="25" xr3:uid="{BCAEA821-F3E8-4C44-9E0D-4CAFED2E5363}" name="sam.29" dataDxfId="1200"/>
    <tableColumn id="26" xr3:uid="{8399CF17-3938-4A35-B7EB-B967567FFBE3}" name="dim.30" dataDxfId="1199"/>
    <tableColumn id="27" xr3:uid="{4698357E-E53C-41ED-8C98-1387CB32EEC0}" name="lun.01" dataDxfId="1198"/>
    <tableColumn id="28" xr3:uid="{42A0FF60-3C4D-4671-B528-6183736707DB}" name="mar.02" dataDxfId="1197"/>
    <tableColumn id="29" xr3:uid="{10391624-FF92-4F64-AF37-C996C9C508D5}" name="mer.03" dataDxfId="1196"/>
    <tableColumn id="30" xr3:uid="{D74ABA3D-C288-429E-BCE4-9D5669EA4307}" name="jeu.04" dataDxfId="1195"/>
    <tableColumn id="31" xr3:uid="{1AC6E199-6DB3-49CD-9FAC-15DFC6D072FE}" name="ven.05" dataDxfId="1194"/>
    <tableColumn id="32" xr3:uid="{4D2DD675-A788-4CDC-BD4D-E75150DD5F29}" name="sam.06" dataDxfId="1193"/>
    <tableColumn id="33" xr3:uid="{D91A299D-E948-4EB6-B824-AC3999736A96}" name="dim.07" dataDxfId="1192"/>
    <tableColumn id="34" xr3:uid="{8D719DFA-DD6D-4F89-AC16-1C4A7EE1F5AE}" name="lun.08" dataDxfId="1191"/>
    <tableColumn id="35" xr3:uid="{9912B216-D874-431F-AFF2-B993947FF20F}" name="mar.09" dataDxfId="1190"/>
    <tableColumn id="36" xr3:uid="{86BB8C57-4FD4-415B-8BF4-20B5BD2B43FE}" name="mer.10" dataDxfId="1189"/>
    <tableColumn id="37" xr3:uid="{217F0757-F9A0-4D7F-9D5E-9D99C16C32AC}" name="jeu.11" dataDxfId="1188"/>
    <tableColumn id="38" xr3:uid="{FD422B47-8300-4E25-BC27-C6CB956D4A7F}" name="ven.12" dataDxfId="1187"/>
    <tableColumn id="39" xr3:uid="{75A3975F-5887-4726-AA35-DCA693234D00}" name="sam.13" dataDxfId="1186"/>
    <tableColumn id="40" xr3:uid="{8D788354-2315-4572-BB30-E232D30BC4D0}" name="dim.14" dataDxfId="1185"/>
    <tableColumn id="41" xr3:uid="{9AAC1E5C-E621-4D96-85E5-0C8E1CC94264}" name="lun.15" dataDxfId="1184"/>
    <tableColumn id="42" xr3:uid="{287F679C-B1FA-4AD9-B8FD-2E98EDC69FFD}" name="mar.16" dataDxfId="1183"/>
    <tableColumn id="43" xr3:uid="{BC20D9B2-FF10-4F05-BBCE-E180974DE39D}" name="mer.17" dataDxfId="1182"/>
    <tableColumn id="44" xr3:uid="{314DC18F-E455-4377-8881-D046110B7CCB}" name="jeu.18" dataDxfId="1181"/>
    <tableColumn id="45" xr3:uid="{E2F9FAAB-4F1F-4947-93E0-ABD390F7925B}" name="ven.19" dataDxfId="1180"/>
    <tableColumn id="46" xr3:uid="{0463C290-B0B3-4228-BF64-A81C71C8F6A2}" name="sam.20" dataDxfId="1179"/>
    <tableColumn id="47" xr3:uid="{03060301-C6A0-485E-BC7B-527E6621CE3F}" name="dim.21" dataDxfId="1178"/>
    <tableColumn id="48" xr3:uid="{A390A0D7-6055-4290-97E1-902782C84464}" name="lun.10" dataDxfId="1177"/>
    <tableColumn id="49" xr3:uid="{989EE013-8682-4D25-9560-2D477FCA6D51}" name="mars.11" dataDxfId="1176"/>
    <tableColumn id="50" xr3:uid="{588766C4-C197-4B45-84EA-4359E7EA512C}" name="mer.122" dataDxfId="1175"/>
    <tableColumn id="51" xr3:uid="{D9C91EC1-B1B3-4F7E-BD85-ABD1CC8D1733}" name="jeu.132" dataDxfId="1174"/>
    <tableColumn id="52" xr3:uid="{EB169171-98C8-4906-8796-61173F5676F1}" name="ven.142" dataDxfId="1173"/>
    <tableColumn id="53" xr3:uid="{CFAFA496-E3E9-4E9A-98D9-9A29C9239CED}" name="sam.27" dataDxfId="1172"/>
    <tableColumn id="54" xr3:uid="{43A4E1E7-C43D-4A01-A094-F9C0B1A19A97}" name="dim.28" dataDxfId="1171"/>
    <tableColumn id="55" xr3:uid="{16A0F764-865B-41DA-BE5B-36D49F33AB1E}" name="lun.172" dataDxfId="1170"/>
    <tableColumn id="56" xr3:uid="{062C96D1-1D78-4E10-B6E0-1D39305348A8}" name="mar.30" dataDxfId="1169"/>
    <tableColumn id="57" xr3:uid="{7506FF06-1C08-4BDA-862F-C6A7CDB2ED83}" name="mer.31" dataDxfId="1168"/>
    <tableColumn id="58" xr3:uid="{19CA5CAC-6652-400F-A2D8-4FC4FADE670B}" name="jeu.01" dataDxfId="1167"/>
    <tableColumn id="59" xr3:uid="{599CDA09-DDA2-47CB-83E6-6B6FCEC9E7AC}" name="ven.02" dataDxfId="1166"/>
    <tableColumn id="60" xr3:uid="{6AC85C7B-59EF-4878-94A1-02CF2C029F52}" name="sam.03" dataDxfId="1165"/>
    <tableColumn id="61" xr3:uid="{A5F8F847-507B-4D4B-9922-90B755CF72A1}" name="dim.04" dataDxfId="1164"/>
    <tableColumn id="62" xr3:uid="{CF42FB0D-B5B0-4C36-9BAA-ACDFB0C053F6}" name="lun.05" dataDxfId="1163"/>
    <tableColumn id="63" xr3:uid="{8A921D97-2906-4C9B-BA93-629FFC1DC808}" name="mar.06" dataDxfId="1162"/>
    <tableColumn id="64" xr3:uid="{13348D4A-F178-4353-9064-ED1BB1728393}" name="mer.07" dataDxfId="1161"/>
    <tableColumn id="65" xr3:uid="{16EDBFEB-9F4B-4382-9A4C-F53A2DC1DC6D}" name="jeu.08" dataDxfId="1160"/>
    <tableColumn id="66" xr3:uid="{C794EC12-8D69-428F-A500-5C104ADE6EBB}" name="ven.09" dataDxfId="1159"/>
    <tableColumn id="67" xr3:uid="{0A6B859D-9CCE-4DBE-859B-5B925E82844B}" name="sam.10" dataDxfId="1158"/>
    <tableColumn id="68" xr3:uid="{EC486353-E3F3-4A99-BD6C-E246066974A2}" name="dim.11" dataDxfId="1157"/>
    <tableColumn id="69" xr3:uid="{B604A1EE-47D9-4E60-8B4C-081FC56CE726}" name="lun.12" dataDxfId="1156"/>
    <tableColumn id="70" xr3:uid="{C54DA41B-1582-4348-956E-5507976EC3E0}" name="mar.13" dataDxfId="1155"/>
    <tableColumn id="71" xr3:uid="{FA376AC3-3631-4B3F-BC77-B2630533223C}" name="mer.14" dataDxfId="1154"/>
    <tableColumn id="72" xr3:uid="{3CF67334-B5CB-434A-8C5D-E41356D2B75E}" name="jeu.15" dataDxfId="1153"/>
    <tableColumn id="73" xr3:uid="{AEE75543-20BC-491E-B5C9-CBE5F4A7E89B}" name="ven.16" dataDxfId="1152"/>
    <tableColumn id="74" xr3:uid="{AAE5BA38-F567-42B8-A310-10533C6D5510}" name="sam.17" dataDxfId="1151"/>
    <tableColumn id="75" xr3:uid="{C8BE02EE-A2C2-4F04-9DD1-483DC4FE0C11}" name="dim.18" dataDxfId="1150"/>
    <tableColumn id="76" xr3:uid="{2A0E6848-2378-448F-8B46-9451CA0B4B57}" name="lun.19" dataDxfId="1149"/>
    <tableColumn id="77" xr3:uid="{831C37AB-F5C3-44C3-A5C1-D8AD5FCBE499}" name="mar.20" dataDxfId="1148"/>
    <tableColumn id="78" xr3:uid="{045759D6-E8EB-474B-B60A-2FE05D1067D7}" name="mer.21" dataDxfId="1147"/>
    <tableColumn id="79" xr3:uid="{961D80B8-B5F1-4120-AEDB-9CA8A8EEE023}" name="jeu.22" dataDxfId="1146"/>
    <tableColumn id="80" xr3:uid="{005AE50E-8632-4CE7-B62B-BA194C422A6E}" name="ven.23" dataDxfId="1145"/>
    <tableColumn id="81" xr3:uid="{FA6C963B-CD94-4A58-806E-C196259B4735}" name="sam.24" dataDxfId="1144"/>
    <tableColumn id="82" xr3:uid="{B6F886BE-CF14-45D1-AAC4-BB2FC2487D46}" name="dim.25" dataDxfId="1143"/>
    <tableColumn id="83" xr3:uid="{7A820184-334B-4D34-B34B-F3972ABCC2A5}" name="lun.26" dataDxfId="1142"/>
    <tableColumn id="84" xr3:uid="{C1C1A2C9-E426-4470-9A99-66D2B75F619B}" name="mar.27" dataDxfId="1141"/>
    <tableColumn id="85" xr3:uid="{D70A14F9-E86B-4B59-95F0-41D97282A99C}" name="mer.28" dataDxfId="1140"/>
    <tableColumn id="86" xr3:uid="{7EF9A87C-98F2-414B-ACB4-1DA2E74281A5}" name="jeu.29" dataDxfId="1139"/>
    <tableColumn id="87" xr3:uid="{A21A379C-AFDC-42B0-B219-9059F2E5FDCB}" name="ven.30" dataDxfId="1138"/>
    <tableColumn id="88" xr3:uid="{832BFE09-F374-43FD-9986-D81C8860BF5B}" name="sam.31" dataDxfId="1137"/>
    <tableColumn id="89" xr3:uid="{A59C5BC1-B5ED-4321-B334-0E006218D429}" name="dim.01" dataDxfId="1136"/>
    <tableColumn id="90" xr3:uid="{98949D15-95E0-40D1-95C7-35DE5566D9E8}" name="lun.02" dataDxfId="1135"/>
    <tableColumn id="91" xr3:uid="{54C30179-F990-457B-A8D2-96D9627659B6}" name="mar.03" dataDxfId="1134"/>
    <tableColumn id="92" xr3:uid="{79AF36A2-F775-489B-90BE-91ED32F1BD13}" name="mer.04" dataDxfId="1133"/>
    <tableColumn id="93" xr3:uid="{5FCAEEAE-DCCA-442D-A13E-9AB3A4310196}" name="jeu.05" dataDxfId="1132"/>
    <tableColumn id="94" xr3:uid="{0657D139-AFD7-4B54-8FBB-764475CB8EDC}" name="ven.06" dataDxfId="1131"/>
    <tableColumn id="95" xr3:uid="{58FDC909-5AD3-488D-97A2-71064A0428F2}" name="sam.07" dataDxfId="1130"/>
    <tableColumn id="96" xr3:uid="{85D361C4-F56B-42CC-A666-1FA3B0C60C62}" name="dim.08" dataDxfId="1129"/>
    <tableColumn id="97" xr3:uid="{3C626FA9-811F-4939-8CAD-F709FE8FA25C}" name="lun.09" dataDxfId="1128"/>
    <tableColumn id="98" xr3:uid="{BFF7FBD1-3F9E-4076-8E90-D5A2E1847E15}" name="mar.10" dataDxfId="1127"/>
    <tableColumn id="99" xr3:uid="{B74CD232-4324-484F-A4D2-5C5AE443CF38}" name="mer.11" dataDxfId="1126"/>
    <tableColumn id="100" xr3:uid="{92A22850-81F8-402D-932B-750121EE99CB}" name="jeu.12" dataDxfId="1125"/>
    <tableColumn id="101" xr3:uid="{45B33889-B119-4863-BACC-6004B9712F42}" name="ven.13" dataDxfId="1124"/>
    <tableColumn id="102" xr3:uid="{A0093741-EA8E-4D3B-8D96-BB27699353D4}" name="sam.14" dataDxfId="1123"/>
    <tableColumn id="103" xr3:uid="{D9591C0F-FE49-4AF6-8255-117F7811165C}" name="dim.15" dataDxfId="1122"/>
    <tableColumn id="104" xr3:uid="{22A610D3-AEF8-4C55-8DD5-4D8ECE559B01}" name="lun.16" dataDxfId="1121"/>
    <tableColumn id="105" xr3:uid="{D915266C-E7AE-48B6-8D6F-BFAFACED7202}" name="mar.17" dataDxfId="1120"/>
    <tableColumn id="106" xr3:uid="{9B92D6D2-9FAF-4DCD-AB19-1C8D7C8FF57B}" name="mer.18" dataDxfId="1119"/>
    <tableColumn id="107" xr3:uid="{B4E2530D-6D67-4924-A93E-303EC2802563}" name="jeu.19" dataDxfId="1118"/>
    <tableColumn id="108" xr3:uid="{80411E72-3F89-4F7B-A46B-E5D6F8895EBE}" name="ven.20" dataDxfId="1117"/>
    <tableColumn id="109" xr3:uid="{C9EBA16E-8CAC-4C1F-937B-F6C2550DA30C}" name="sam.21" dataDxfId="1116"/>
    <tableColumn id="110" xr3:uid="{7AD6D38A-9F38-47C2-AFA9-EC3319E0E5E5}" name="dim.22" dataDxfId="1115"/>
    <tableColumn id="111" xr3:uid="{62B74B8B-C210-4FB5-8E78-622464959E77}" name="lun.23" dataDxfId="1114"/>
    <tableColumn id="112" xr3:uid="{81DA7245-7BD1-499C-A273-A52D966BB2A3}" name="mar.24" dataDxfId="1113"/>
    <tableColumn id="113" xr3:uid="{D296D209-E615-4F05-B22C-5423E90AC346}" name="mer.25" dataDxfId="1112"/>
    <tableColumn id="114" xr3:uid="{ABC5FE0A-6045-4476-AD28-B627C3BF461C}" name="jeu.26" dataDxfId="1111"/>
    <tableColumn id="115" xr3:uid="{7500AD17-ADA1-4CA9-BB60-797D34F793CD}" name="ven.27" dataDxfId="1110"/>
    <tableColumn id="116" xr3:uid="{E81DD363-740E-4EA6-9A5B-A7E222EB2FDE}" name="sam.28" dataDxfId="1109"/>
    <tableColumn id="117" xr3:uid="{6790C66D-9EED-4AC6-A7CF-0EA5BE85417A}" name="dim.29" dataDxfId="1108"/>
    <tableColumn id="118" xr3:uid="{6CCDDA2A-D85D-4809-B122-B2AAC02936B9}" name="lun.30" dataDxfId="1107"/>
    <tableColumn id="119" xr3:uid="{076689FC-E37B-44F8-94F7-F6848899989D}" name="mar.01" dataDxfId="1106"/>
    <tableColumn id="120" xr3:uid="{2DD1B4D4-3CCF-4836-A296-5B043526AD04}" name="mer.02" dataDxfId="1105"/>
    <tableColumn id="121" xr3:uid="{F7119B14-FF6A-4D70-9068-9056B4CACD7A}" name="jeu.03" dataDxfId="1104"/>
    <tableColumn id="122" xr3:uid="{C843F834-5701-4178-A86C-C277BE8DF158}" name="ven.04" dataDxfId="1103"/>
    <tableColumn id="123" xr3:uid="{B9C54396-D10B-4813-B9C5-1CC007AC2853}" name="sam.05" dataDxfId="1102"/>
    <tableColumn id="124" xr3:uid="{C4E94567-C175-46D9-889E-77B73CFF957A}" name="dim.06" dataDxfId="1101"/>
    <tableColumn id="125" xr3:uid="{9657D51B-8092-4100-A5F6-2FD4D0633FB4}" name="lun.07" dataDxfId="1100"/>
    <tableColumn id="126" xr3:uid="{C7C8BE77-DC99-4FAA-800F-5F1EB79DE16B}" name="mar.08" dataDxfId="1099"/>
    <tableColumn id="127" xr3:uid="{03208C0D-122C-4523-A3BE-C961F873EDB0}" name="mer.09" dataDxfId="1098"/>
    <tableColumn id="128" xr3:uid="{3E51ECB4-1A51-449C-B65F-F46DACB7EE63}" name="jeu.10" dataDxfId="1097"/>
    <tableColumn id="129" xr3:uid="{F3453B1D-46A6-49DE-A69B-9038B8E5924F}" name="ven.11" dataDxfId="1096"/>
    <tableColumn id="130" xr3:uid="{61745E77-4309-42D3-9248-9C3A869B27F0}" name="sam.12" dataDxfId="1095"/>
    <tableColumn id="131" xr3:uid="{7F238B54-88F2-4DF8-A52C-9AD1666EDA1F}" name="dim.13" dataDxfId="1094"/>
    <tableColumn id="132" xr3:uid="{8F310C62-64A9-45F1-920D-17F733EC718F}" name="lun.14" dataDxfId="1093"/>
    <tableColumn id="133" xr3:uid="{A4290481-25EE-4126-8B33-4F4D4902FF43}" name="mar.15" dataDxfId="1092"/>
    <tableColumn id="134" xr3:uid="{DCCC520F-52F2-4892-B950-B3CCCEA0A1C6}" name="mer.16" dataDxfId="1091"/>
    <tableColumn id="135" xr3:uid="{5405A9E5-C8C4-47B6-88E3-A661878885F6}" name="jeu.17" dataDxfId="1090"/>
    <tableColumn id="136" xr3:uid="{BBD676E0-8E09-45A1-9EB9-715AF58E6CA6}" name="ven.18" dataDxfId="1089"/>
    <tableColumn id="137" xr3:uid="{B8B6802A-D246-4E18-AAB9-4CCE962FA102}" name="sam.19" dataDxfId="1088"/>
    <tableColumn id="138" xr3:uid="{A940482B-BBF3-42E0-B5A9-BCA6B6E943BD}" name="dim.20" dataDxfId="1087"/>
    <tableColumn id="139" xr3:uid="{47BEBCB2-EED8-450A-B95F-52C30D1FA19C}" name="lun.21" dataDxfId="1086"/>
    <tableColumn id="140" xr3:uid="{C006F9D1-8DAC-4A76-8EE1-B29680489F97}" name="mar.22" dataDxfId="1085"/>
    <tableColumn id="141" xr3:uid="{6B16F175-DB63-4B67-A88B-82E3D38ACD47}" name="mer.23" dataDxfId="1084"/>
    <tableColumn id="142" xr3:uid="{9CD9CB40-8641-42B2-A269-ABCD8B0C6767}" name="jeu.24" dataDxfId="1083"/>
    <tableColumn id="143" xr3:uid="{8954F86B-3BF8-47D9-8FCE-73EB91CCAB2A}" name="ven.25" dataDxfId="1082"/>
    <tableColumn id="144" xr3:uid="{401F0ECB-308D-42AF-8198-E17019C536A5}" name="sam.26" dataDxfId="1081"/>
    <tableColumn id="145" xr3:uid="{DEA25271-292E-4106-B9C3-6EB9287328EF}" name="dim.27" dataDxfId="1080"/>
    <tableColumn id="146" xr3:uid="{B0AA619C-E5C0-4D1B-905A-69B22F9AE4AD}" name="lun.28" dataDxfId="1079"/>
    <tableColumn id="147" xr3:uid="{9602D76A-646D-41A4-A50A-7D3240695A22}" name="mar.29" dataDxfId="1078"/>
    <tableColumn id="148" xr3:uid="{B5E1B94C-AB12-4D7B-9147-DFF60D03EF86}" name="mer.30" dataDxfId="1077"/>
    <tableColumn id="149" xr3:uid="{21AC89AD-1B1E-4E35-A319-9510F4C44C84}" name="jeu.31" dataDxfId="1076"/>
    <tableColumn id="150" xr3:uid="{E170128A-EE50-4F63-8432-1472BED2A568}" name="ven.01" dataDxfId="1075"/>
    <tableColumn id="151" xr3:uid="{AFDBB512-818F-41C7-B9A1-9943CB0E1B1B}" name="sam.02" dataDxfId="1074"/>
    <tableColumn id="152" xr3:uid="{BCE4C9DF-658D-4F6D-88E3-8C8189E1484B}" name="dim.03" dataDxfId="1073"/>
    <tableColumn id="153" xr3:uid="{1F55A05F-374B-4587-826F-B22CBD950AF9}" name="lun.04" dataDxfId="1072"/>
    <tableColumn id="154" xr3:uid="{535957EE-6BBA-4732-B4D6-0C5D9FE254E7}" name="mar.05" dataDxfId="1071"/>
    <tableColumn id="155" xr3:uid="{2A5A1884-60D3-495A-B98A-9BBCDB2626FC}" name="mer.06" dataDxfId="1070"/>
    <tableColumn id="156" xr3:uid="{CB69A9B8-F0AF-456A-9FDF-49C8D2F4EC71}" name="jeu.07" dataDxfId="1069"/>
    <tableColumn id="157" xr3:uid="{A7A1689B-8745-4F26-A815-0C4E82A3B267}" name="ven.08" dataDxfId="1068"/>
    <tableColumn id="158" xr3:uid="{0FFF7EB9-DD28-45D9-B11B-9D3FEE6F0B9A}" name="sam.09" dataDxfId="1067"/>
    <tableColumn id="159" xr3:uid="{B1546735-F1B2-462F-BCE8-84046DBDADBF}" name="dim.10" dataDxfId="1066"/>
    <tableColumn id="160" xr3:uid="{556C8328-C2A8-45B8-9C7F-8F910DB4C82D}" name="lun.11" dataDxfId="1065"/>
    <tableColumn id="161" xr3:uid="{D6C2AC00-BA6D-4D32-8BC2-DC11EE12EE48}" name="mar.12" dataDxfId="1064"/>
    <tableColumn id="162" xr3:uid="{24756125-B8CE-4EFD-B616-937D22558A13}" name="mer.13" dataDxfId="1063"/>
    <tableColumn id="163" xr3:uid="{6CAF487B-2446-430D-B330-F4C60873F539}" name="jeu.14" dataDxfId="1062"/>
    <tableColumn id="164" xr3:uid="{450551CB-7779-4530-890D-77EFB61D9359}" name="ven.15" dataDxfId="1061"/>
    <tableColumn id="165" xr3:uid="{5E2C5713-B0A2-462D-9A18-4BF1507648A1}" name="sam.16" dataDxfId="1060"/>
    <tableColumn id="166" xr3:uid="{FE3E1411-25B4-4739-9BC9-C99C28927F83}" name="dim.17" dataDxfId="1059"/>
    <tableColumn id="167" xr3:uid="{9D5A883E-8F25-4D57-8DEE-841C524E9D86}" name="lun.18" dataDxfId="1058"/>
    <tableColumn id="168" xr3:uid="{78C74EFA-3965-44F1-9294-20006FF42489}" name="mar.19" dataDxfId="1057"/>
    <tableColumn id="169" xr3:uid="{940A9385-49B6-4FA1-BA1F-5394F966661E}" name="mer.20" dataDxfId="1056"/>
    <tableColumn id="170" xr3:uid="{169B40E5-F690-4360-843B-FA222459BF73}" name="jeu.21" dataDxfId="1055"/>
    <tableColumn id="171" xr3:uid="{8D1CC3F8-7150-447F-AF0B-FD9BA3CBB6A2}" name="ven.22" dataDxfId="1054"/>
    <tableColumn id="172" xr3:uid="{BFB4264B-E597-4975-82DC-F2201A82F07A}" name="sam.23" dataDxfId="1053"/>
    <tableColumn id="173" xr3:uid="{F0966EEA-2A7E-47BE-921F-9BCB761784C8}" name="dim.24" dataDxfId="1052"/>
    <tableColumn id="174" xr3:uid="{F96F2CD3-8511-484D-9F40-FE9136FEF00A}" name="lun.25" dataDxfId="1051"/>
    <tableColumn id="175" xr3:uid="{3FA7D9B7-42F0-42AB-9D84-00321175D9EF}" name="mar.26" dataDxfId="1050"/>
    <tableColumn id="176" xr3:uid="{FAE6697F-8F1D-4BA3-BD14-22D35D097ACF}" name="mer.27" dataDxfId="1049"/>
    <tableColumn id="177" xr3:uid="{85450301-366C-4FC2-808A-122C61CE572A}" name="jeu.28" dataDxfId="1048"/>
    <tableColumn id="178" xr3:uid="{FBBF8930-35B9-48D3-BA8B-304F36EA3826}" name="ven.29" dataDxfId="1047"/>
    <tableColumn id="179" xr3:uid="{E030BFCB-2FD0-4258-B966-20FF56FA9E9E}" name="sam.30" dataDxfId="1046"/>
    <tableColumn id="180" xr3:uid="{D9AA8A39-B04F-4FA0-B252-85C50F0C2360}" name="dim.012" dataDxfId="1045"/>
    <tableColumn id="181" xr3:uid="{6082B20E-6B4C-4C7B-9109-B9EE6CF1BBA4}" name="lun.023" dataDxfId="1044"/>
    <tableColumn id="182" xr3:uid="{7110557C-A38F-4523-8852-FD7CD46C683D}" name="mar.034" dataDxfId="1043"/>
    <tableColumn id="183" xr3:uid="{4CD07A20-2CC0-4714-B285-F160CD32D415}" name="mer.045" dataDxfId="1042"/>
    <tableColumn id="184" xr3:uid="{1AA83F59-5CDA-4B70-9FE0-83D090A2FB34}" name="jeu.056" dataDxfId="1041"/>
    <tableColumn id="185" xr3:uid="{AB96776B-FF78-4EF2-972A-F3B66C12C834}" name="ven.067" dataDxfId="1040"/>
    <tableColumn id="186" xr3:uid="{1B35EFE4-6C37-4255-BF15-E295DB3B0735}" name="sam.078" dataDxfId="1039"/>
    <tableColumn id="187" xr3:uid="{F16A9D6C-4EF1-4CC5-B95C-F838FBFD2E04}" name="dim.089" dataDxfId="1038"/>
    <tableColumn id="188" xr3:uid="{DF142CFA-E2C0-4BA7-B929-3D49720C5B33}" name="lun.0910" dataDxfId="1037"/>
    <tableColumn id="189" xr3:uid="{2E249B2F-B1A9-4B2F-9195-5DDB7E4D9CDC}" name="mar.1011" dataDxfId="1036"/>
    <tableColumn id="190" xr3:uid="{17CD80C5-E104-4E8C-8F17-0BB98FC251F1}" name="mer.1112" dataDxfId="1035"/>
    <tableColumn id="191" xr3:uid="{A9C5B29A-E9A8-4AEB-B4EA-D2CAF311B635}" name="jeu.1213" dataDxfId="1034"/>
    <tableColumn id="192" xr3:uid="{E82DEFCE-6EF5-4B00-AD6D-0B8CB574D0E6}" name="ven.1314" dataDxfId="1033"/>
    <tableColumn id="193" xr3:uid="{69300ABA-F9E0-47AD-ABDD-3EFB4D6DB4D5}" name="sam.1415" dataDxfId="1032"/>
    <tableColumn id="194" xr3:uid="{8553C2FE-0C49-46EE-AF65-492002B1B575}" name="dim.1516" dataDxfId="1031"/>
    <tableColumn id="195" xr3:uid="{25AC08AB-502C-4118-8F32-FC8D108D9F7D}" name="lun.1617" dataDxfId="1030"/>
    <tableColumn id="196" xr3:uid="{19647101-EB2D-4657-951D-80D0EAD130ED}" name="mar.1718" dataDxfId="1029"/>
    <tableColumn id="197" xr3:uid="{EB68F54B-0814-4F81-A586-B69ABBF3A962}" name="mer.1819" dataDxfId="1028"/>
    <tableColumn id="198" xr3:uid="{49E32CFD-FB0C-47B3-85E4-DB8F7323850A}" name="jeu.1920" dataDxfId="1027"/>
    <tableColumn id="199" xr3:uid="{7E71E3CD-C8FF-44D1-9B4E-04CD52F9A6BF}" name="ven.2021" dataDxfId="1026"/>
    <tableColumn id="200" xr3:uid="{247547CF-B486-4579-8B30-C3A5F9C7C64D}" name="sam.2122" dataDxfId="1025"/>
    <tableColumn id="201" xr3:uid="{862D6EF4-510B-4AD8-A508-6E3A60726189}" name="dim.2223" dataDxfId="1024"/>
    <tableColumn id="202" xr3:uid="{3D1C657A-CDBB-4D2D-94C9-1FA27D22D257}" name="lun.2324" dataDxfId="1023"/>
    <tableColumn id="203" xr3:uid="{4C1A6EC6-1545-45BC-924B-48BB55F534F2}" name="mar.2425" dataDxfId="1022"/>
    <tableColumn id="204" xr3:uid="{3295C1B9-C38E-447B-82DB-9823506799AA}" name="mer.2526" dataDxfId="1021"/>
    <tableColumn id="205" xr3:uid="{58437207-45EA-4EBB-B1ED-C1513A0E5892}" name="jeu.2627" dataDxfId="1020"/>
    <tableColumn id="206" xr3:uid="{8AA855B3-4EB7-464B-814B-F9859880D2CF}" name="ven.2728" dataDxfId="1019"/>
    <tableColumn id="207" xr3:uid="{BD6F8D9A-B3C4-4D64-AD34-5412B505CD23}" name="sam.2829" dataDxfId="1018"/>
    <tableColumn id="208" xr3:uid="{1635B685-EC64-4746-AA45-DA4E0D17B5EE}" name="dim.2930" dataDxfId="1017"/>
    <tableColumn id="212" xr3:uid="{764EFD09-7CE3-4726-974E-16D268BEC5DC}" name="lun.014" dataDxfId="1016"/>
    <tableColumn id="213" xr3:uid="{0F4B1BF6-EF32-4068-8351-ECE0F69E0CA8}" name="mar.025" dataDxfId="1015"/>
    <tableColumn id="214" xr3:uid="{B282B307-AECA-4D59-9065-846A09B3DC8A}" name="mer.036" dataDxfId="1014"/>
    <tableColumn id="215" xr3:uid="{CDDC4A5A-94B8-4E60-A708-573ADDE78F71}" name="jeu.047" dataDxfId="1013"/>
    <tableColumn id="216" xr3:uid="{43CB3D3B-BFC6-4D90-A39D-A699F3945D27}" name="ven.058" dataDxfId="1012"/>
    <tableColumn id="217" xr3:uid="{92FD52D6-586E-4914-8FE4-C5561E70A029}" name="sam.069" dataDxfId="1011"/>
    <tableColumn id="218" xr3:uid="{19E48AC2-5FB9-4808-966A-ECB78C13ECE5}" name="dim.0710" dataDxfId="1010"/>
    <tableColumn id="219" xr3:uid="{C8DC1EFD-62F6-4C11-BF68-B951DD0825DD}" name="lun.0811" dataDxfId="1009"/>
    <tableColumn id="220" xr3:uid="{5435929C-BB8C-4D68-A189-AA59C6C45EB5}" name="mar.0912" dataDxfId="1008"/>
    <tableColumn id="221" xr3:uid="{81C5CC17-FDAF-4416-B0D4-FEC85B48F1C7}" name="mer.1013" dataDxfId="1007"/>
    <tableColumn id="222" xr3:uid="{65C3C4DB-94AF-47F9-8C67-315C25F3F619}" name="jeu.1114" dataDxfId="1006"/>
    <tableColumn id="223" xr3:uid="{E92EB74A-4E68-47CE-B06C-230EA8FF2204}" name="ven.1215" dataDxfId="1005"/>
    <tableColumn id="224" xr3:uid="{6A1A16A1-963B-4399-B789-A62F1B185E64}" name="sam.1316" dataDxfId="1004"/>
    <tableColumn id="225" xr3:uid="{D879FEAE-3C14-4DF6-9A57-424273A0E179}" name="dim.1417" dataDxfId="1003"/>
    <tableColumn id="226" xr3:uid="{41193BC0-FB29-459A-92CF-F344742B52FF}" name="lun.1518" dataDxfId="1002"/>
    <tableColumn id="227" xr3:uid="{B2C236AC-B2BE-42DA-A455-C27FA1E9596D}" name="mar.1619" dataDxfId="1001"/>
    <tableColumn id="228" xr3:uid="{C6ABEA0C-64F9-4D2A-AFBE-765566506736}" name="mer.1720" dataDxfId="1000"/>
    <tableColumn id="229" xr3:uid="{06F0AFE8-E3E9-4BCE-B494-181E07A9360A}" name="jeu.1821" dataDxfId="999"/>
    <tableColumn id="230" xr3:uid="{D87943D6-2352-472F-8390-FD003EBBC65E}" name="ven.1922" dataDxfId="998"/>
    <tableColumn id="231" xr3:uid="{7E090455-8362-48A3-A4F0-F0B43679E3AE}" name="sam.2023" dataDxfId="997"/>
    <tableColumn id="232" xr3:uid="{66733DB5-C024-413B-A7C2-2A110F094FDE}" name="dim.2124" dataDxfId="996"/>
    <tableColumn id="233" xr3:uid="{849FAB3F-B6FA-4409-87EB-E19134FE2EF8}" name="lun.2225" dataDxfId="995"/>
    <tableColumn id="234" xr3:uid="{D624BDF3-74D4-4124-ACFB-EF3EE161337B}" name="mar.2326" dataDxfId="994"/>
    <tableColumn id="235" xr3:uid="{8F45C715-DC35-479B-A901-2207667B02A7}" name="mer.2427" dataDxfId="993"/>
    <tableColumn id="236" xr3:uid="{451C4C21-60C4-4CC0-8BDD-7D8046A6017F}" name="jeu.2528" dataDxfId="992"/>
    <tableColumn id="237" xr3:uid="{9F6A6863-46A1-4E40-B605-237B18D621C8}" name="ven.2629" dataDxfId="991"/>
    <tableColumn id="238" xr3:uid="{4A981E42-723E-4E6A-9F34-173D55C4C8D1}" name="sam.2730" dataDxfId="990"/>
    <tableColumn id="239" xr3:uid="{91DF3FE7-094B-4BE1-9820-B25ED8B534E7}" name="dim.2831" dataDxfId="989"/>
    <tableColumn id="240" xr3:uid="{BA346CFD-EBD3-4A6F-A250-F4734DE18689}" name="lun.2932" dataDxfId="988"/>
    <tableColumn id="241" xr3:uid="{5C725925-01B4-40B1-98D1-620BC6ACEBBA}" name="mar.3033" dataDxfId="987"/>
    <tableColumn id="242" xr3:uid="{60C51524-6092-4234-876F-2F73ECEAB914}" name="mer.3134" dataDxfId="986"/>
    <tableColumn id="243" xr3:uid="{A76F1832-9554-437E-BF77-6A7A1F7E83A5}" name="jeu.0135" dataDxfId="985"/>
    <tableColumn id="244" xr3:uid="{A74D9A29-E8B6-4A3B-B2B0-87ED24377446}" name="ven.0236" dataDxfId="984"/>
    <tableColumn id="245" xr3:uid="{40DDD9D6-E8C9-443E-8F9F-7C18FB17B08E}" name="sam.0337" dataDxfId="983"/>
    <tableColumn id="246" xr3:uid="{7E5116E8-E1B4-4DE1-9FFE-9A62F0857375}" name="dim.0438" dataDxfId="982"/>
    <tableColumn id="247" xr3:uid="{977E8907-A954-4744-8CE6-DFF3DB4FA8D4}" name="lun.0539" dataDxfId="981"/>
    <tableColumn id="248" xr3:uid="{9B5B88F8-152A-488A-8F0C-57ECD8922AC1}" name="mar.0640" dataDxfId="980"/>
    <tableColumn id="249" xr3:uid="{093E1D90-8622-4366-B1DF-FAB943AF3E70}" name="mer.0741" dataDxfId="979"/>
    <tableColumn id="250" xr3:uid="{982A21A5-A80D-4CAB-940C-D6AACBA1F234}" name="jeu.0842" dataDxfId="978"/>
    <tableColumn id="251" xr3:uid="{0FF2BCD5-C0C3-41AA-AF78-AB221C915560}" name="ven.0943" dataDxfId="977"/>
    <tableColumn id="252" xr3:uid="{954F924D-1468-4E14-95B7-F3A845AAA452}" name="sam.1044" dataDxfId="976"/>
    <tableColumn id="253" xr3:uid="{9F91A44C-1C51-4870-B4CE-0DE6C68B185F}" name="dim.1145" dataDxfId="975"/>
    <tableColumn id="254" xr3:uid="{405F9B25-3A90-4EFC-80CD-AE43B859C6E6}" name="lun.1246" dataDxfId="974"/>
    <tableColumn id="255" xr3:uid="{875E196F-D73F-402E-8196-C588FBA09A38}" name="mar.1347" dataDxfId="973"/>
    <tableColumn id="256" xr3:uid="{0A282B26-5069-4BCC-AE16-112DB4BD64E5}" name="mer.1448" dataDxfId="972"/>
    <tableColumn id="257" xr3:uid="{6B6CC855-EC30-4B27-B0EF-DA89878E44AA}" name="jeu.1549" dataDxfId="971"/>
    <tableColumn id="258" xr3:uid="{89C90966-9FC4-4721-A736-5241382AE47A}" name="ven.1650" dataDxfId="970"/>
    <tableColumn id="259" xr3:uid="{1DA72800-41C6-4D73-890B-E812936AE63A}" name="sam.1751" dataDxfId="969"/>
    <tableColumn id="260" xr3:uid="{B6A05CFF-071B-4D21-8EBB-BB7BFECE61CA}" name="dim.1852" dataDxfId="968"/>
    <tableColumn id="261" xr3:uid="{15FDB9AE-F629-4845-839E-1A536C8DE415}" name="lun.1953" dataDxfId="967"/>
    <tableColumn id="262" xr3:uid="{144077D6-0F8F-4CC1-9489-613F543A0C03}" name="mar.2054" dataDxfId="966"/>
    <tableColumn id="263" xr3:uid="{2421D4A9-C4A9-4F19-86D7-49569E8C660D}" name="mer.2155" dataDxfId="965"/>
    <tableColumn id="264" xr3:uid="{75BA4829-98B4-4643-9182-C0214C1345FF}" name="jeu.2256" dataDxfId="964"/>
    <tableColumn id="265" xr3:uid="{20C1199C-6BD1-4F0E-87F0-9C45CDAA4799}" name="ven.2357" dataDxfId="963"/>
    <tableColumn id="266" xr3:uid="{2CEF4495-C6F8-4C38-A92E-366DFE1400B7}" name="sam.2458" dataDxfId="962"/>
    <tableColumn id="267" xr3:uid="{C9AEE31E-8867-4262-8122-1F942447B77B}" name="dim.2559" dataDxfId="961"/>
    <tableColumn id="268" xr3:uid="{87FCE04D-208E-44C7-853B-81F624F3A8B6}" name="lun.2660" dataDxfId="960"/>
    <tableColumn id="269" xr3:uid="{2F2036AD-3BC9-4ED0-AE60-007F690DF992}" name="mar.2761" dataDxfId="959"/>
    <tableColumn id="270" xr3:uid="{E5C01CAF-9DB1-4FB8-9AFF-42457E59E500}" name="mer.2862" dataDxfId="958"/>
    <tableColumn id="271" xr3:uid="{F5EDED4F-EEF6-48C4-A82C-92CEE50787FD}" name="jeu.2963" dataDxfId="957"/>
    <tableColumn id="272" xr3:uid="{59925852-9657-40A6-A25E-AD0C4C93DB50}" name="ven.3064" dataDxfId="956"/>
    <tableColumn id="273" xr3:uid="{080CFE8E-89D8-4639-8F5E-E72AB92CECE9}" name="sam.3165" dataDxfId="955"/>
    <tableColumn id="274" xr3:uid="{6CE0E050-1A13-40DC-B615-F629546A0DF9}" name="dim.0166" dataDxfId="954"/>
    <tableColumn id="275" xr3:uid="{18F41732-09E1-4420-904C-F564A875EDB4}" name="lun.0267" dataDxfId="953"/>
    <tableColumn id="276" xr3:uid="{6F1F8216-E319-4F8B-B0A4-718027EF3DEA}" name="mar.0368" dataDxfId="952"/>
    <tableColumn id="277" xr3:uid="{36DC9595-473B-4476-8B88-A6C26C7C3ADC}" name="mer.0469" dataDxfId="951"/>
    <tableColumn id="278" xr3:uid="{83201008-8FEF-43B4-8FB2-D3B875BE9E72}" name="jeu.0570" dataDxfId="950"/>
    <tableColumn id="279" xr3:uid="{5971B0C0-9C0F-4231-84DE-3A03520CB0F8}" name="ven.0671" dataDxfId="949"/>
    <tableColumn id="280" xr3:uid="{0F26ECC4-BDBA-41FD-B3E0-2572D4F569E1}" name="sam.0772" dataDxfId="948"/>
    <tableColumn id="281" xr3:uid="{55D2DEE4-74EF-4724-9C29-1FC6250A845D}" name="dim.0873" dataDxfId="947"/>
    <tableColumn id="282" xr3:uid="{AF784102-8402-4A4A-9B15-28AA545B9217}" name="lun.0974" dataDxfId="946"/>
    <tableColumn id="283" xr3:uid="{80605B8F-5263-4EFC-8BEF-D38ECEACA739}" name="mar.1075" dataDxfId="945"/>
    <tableColumn id="284" xr3:uid="{1195C3D2-7404-46D6-A912-FB81355F21C4}" name="mer.1176" dataDxfId="944"/>
    <tableColumn id="285" xr3:uid="{CD8F7FEC-7FA4-4F7C-8ADD-E76ED3F6C539}" name="jeu.1277" dataDxfId="943"/>
    <tableColumn id="286" xr3:uid="{ED0CEC34-6E40-4B07-B27C-0DB51E80FE5B}" name="ven.1378" dataDxfId="942"/>
    <tableColumn id="287" xr3:uid="{04D5353E-5ADF-4731-BD6B-2DEF02D429DC}" name="sam.1479" dataDxfId="941"/>
    <tableColumn id="288" xr3:uid="{A0A94E4B-DEF4-4787-82D3-4C39BA9DAF95}" name="dim.1580" dataDxfId="940"/>
    <tableColumn id="289" xr3:uid="{BA84F8EA-40C4-49CB-89DE-6C8B3CAC1FA0}" name="lun.1681" dataDxfId="939"/>
    <tableColumn id="290" xr3:uid="{CB1DA84D-E676-4EB4-8278-BACC2581E23D}" name="mar.1782" dataDxfId="938"/>
    <tableColumn id="291" xr3:uid="{5030C92C-D3AC-4BD3-B564-B77AFC614A5F}" name="mer.1883" dataDxfId="937"/>
    <tableColumn id="292" xr3:uid="{D5E9B60F-7493-4CC5-9AB8-2632EB0D287F}" name="jeu.1984" dataDxfId="936"/>
    <tableColumn id="293" xr3:uid="{E1976E9E-7D51-4093-9E0C-13B96DF815FC}" name="ven.2085" dataDxfId="935"/>
    <tableColumn id="294" xr3:uid="{D2244DD5-8AC7-4E90-A9B5-A866D2CECC3F}" name="sam.2186" dataDxfId="934"/>
    <tableColumn id="295" xr3:uid="{93585485-9FF8-45ED-946C-6E46E27AADD6}" name="dim.2287" dataDxfId="933"/>
    <tableColumn id="296" xr3:uid="{09C939BA-F438-4526-AD89-33337A0596C6}" name="lun.2388" dataDxfId="932"/>
    <tableColumn id="297" xr3:uid="{9DF7D551-6B7B-4B88-8FD7-35B0BD90F91C}" name="mar.2489" dataDxfId="931"/>
    <tableColumn id="298" xr3:uid="{2C12A595-A98E-436C-904F-9E1EED792D29}" name="mer.2590" dataDxfId="930"/>
    <tableColumn id="299" xr3:uid="{6A1B182D-42DA-40E9-B96F-9879402DC96E}" name="jeu.2691" dataDxfId="929"/>
    <tableColumn id="300" xr3:uid="{002148F9-8C8C-4743-94AA-718A1608A2B7}" name="ven.2792" dataDxfId="928"/>
    <tableColumn id="301" xr3:uid="{BE7EF8AE-8D23-4D04-95B5-D872E7C4E3D4}" name="sam.2893" dataDxfId="927"/>
    <tableColumn id="302" xr3:uid="{0EC9DBBD-4290-4E23-9FA9-2952FFDF7673}" name="dim.2994" dataDxfId="926"/>
    <tableColumn id="303" xr3:uid="{B228E550-1ED7-4146-BA9A-558C3E482703}" name="lun.3095" dataDxfId="925"/>
    <tableColumn id="304" xr3:uid="{70CC5DBA-A865-41B8-9E53-8C58E979CB90}" name="mar.0196" dataDxfId="924"/>
    <tableColumn id="305" xr3:uid="{DFBB381C-7A89-45AB-9416-CE2B8C46DB1D}" name="mer.0297" dataDxfId="923"/>
    <tableColumn id="306" xr3:uid="{4F55473E-10EE-4B2D-B3BA-C1234112A4C6}" name="jeu.0398" dataDxfId="922"/>
    <tableColumn id="307" xr3:uid="{D5BE990A-CBAB-4AD3-8BC3-560AE2B654D9}" name="ven.0499" dataDxfId="921"/>
    <tableColumn id="308" xr3:uid="{547CC8A9-6995-4FA7-B679-A2887D202625}" name="sam.05100" dataDxfId="920"/>
    <tableColumn id="309" xr3:uid="{DD7A27CD-3726-4E09-8B40-357B826D1AF8}" name="dim.06101" dataDxfId="919"/>
    <tableColumn id="310" xr3:uid="{003044B2-FDA7-48BC-9875-1BAC5BB9D623}" name="lun.07102" dataDxfId="918"/>
    <tableColumn id="311" xr3:uid="{B6C11D10-43DD-40F3-A61E-8E162D9D0B51}" name="mar.08103" dataDxfId="917"/>
    <tableColumn id="312" xr3:uid="{89CFD378-B471-482D-BEE9-B2A70558413D}" name="mer.09104" dataDxfId="916"/>
    <tableColumn id="313" xr3:uid="{41239D3A-79A3-4C2E-9F66-D53BF7EBB9F8}" name="jeu.10105" dataDxfId="915"/>
    <tableColumn id="314" xr3:uid="{76257EEB-53BE-4199-B782-B7B6227C11CE}" name="ven.11106" dataDxfId="914"/>
    <tableColumn id="315" xr3:uid="{A7DB6C56-1F7B-4375-AB57-773270E55BB4}" name="sam.12107" dataDxfId="913"/>
    <tableColumn id="316" xr3:uid="{302761D9-8EFF-4785-9E68-83682DD381EF}" name="dim.13108" dataDxfId="912"/>
    <tableColumn id="317" xr3:uid="{854A5745-61F0-4814-B41D-F96D18469944}" name="lun.14109" dataDxfId="911"/>
    <tableColumn id="318" xr3:uid="{BFA475C2-08D8-41DD-B773-EEC4E8212429}" name="mar.15110" dataDxfId="910"/>
    <tableColumn id="319" xr3:uid="{800C649E-F1D5-482D-AD79-E840BF5FB1F4}" name="mer.16111" dataDxfId="909"/>
    <tableColumn id="320" xr3:uid="{494EFB98-1C97-4AC8-86D8-18E7D5CE3D42}" name="jeu.17112" dataDxfId="908"/>
    <tableColumn id="321" xr3:uid="{8834C8ED-B2D9-4C5B-B834-A7DD1DBC2DE4}" name="ven.18113" dataDxfId="907"/>
    <tableColumn id="322" xr3:uid="{BB62119C-A1B2-4FDA-8658-CBC478EB69F3}" name="sam.19114" dataDxfId="906"/>
    <tableColumn id="323" xr3:uid="{4652670B-1F2A-4C1B-87FB-C24D272F4AB6}" name="dim.20115" dataDxfId="905"/>
    <tableColumn id="324" xr3:uid="{D704CA52-48DC-4FF4-8BB5-D17E6C47F822}" name="lun.21116" dataDxfId="904"/>
    <tableColumn id="325" xr3:uid="{865F642C-A314-465D-9F50-36982B7B193A}" name="mar.22117" dataDxfId="903"/>
    <tableColumn id="326" xr3:uid="{7C955855-2F20-4CCD-97C3-6A19EE5960DB}" name="mer.23118" dataDxfId="902"/>
    <tableColumn id="327" xr3:uid="{C491CC48-8CB4-43C2-BD88-75D44FF2394D}" name="jeu.24119" dataDxfId="901"/>
    <tableColumn id="328" xr3:uid="{E0D6C509-0AF6-4A31-82B2-92311D49051B}" name="ven.25120" dataDxfId="900"/>
    <tableColumn id="329" xr3:uid="{F5822371-0A09-41A7-A939-169BC5A675B4}" name="sam.26121" dataDxfId="899"/>
    <tableColumn id="330" xr3:uid="{20DC6D92-A1C4-473B-B220-960867E9A646}" name="dim.27122" dataDxfId="898"/>
    <tableColumn id="331" xr3:uid="{149926A5-9E2A-4AF2-A998-397983EAFC60}" name="lun.28123" dataDxfId="897"/>
    <tableColumn id="332" xr3:uid="{FDB97FA0-9F56-4F72-A9FE-B35E6ED62F11}" name="mar.29124" dataDxfId="896"/>
    <tableColumn id="333" xr3:uid="{8656D50D-6D59-45B0-A010-A3BD0179FC5F}" name="mer.30125" dataDxfId="895"/>
    <tableColumn id="334" xr3:uid="{839F24C0-48AF-4171-AB0B-E0D66597FBE4}" name="jeu.31126" dataDxfId="894"/>
    <tableColumn id="335" xr3:uid="{979DBAEC-CD0E-44E6-B0FE-8825CF1B013E}" name="ven.01127" dataDxfId="893"/>
    <tableColumn id="336" xr3:uid="{49F4D3DB-DB3E-44B6-8AB7-1657A4FAAB03}" name="sam.02128" dataDxfId="892"/>
    <tableColumn id="337" xr3:uid="{3635CCD5-5F9A-4EB8-B3AD-46588A8BDEA1}" name="dim.03129" dataDxfId="891"/>
    <tableColumn id="338" xr3:uid="{7CA8B675-0425-4C2E-BC24-99BFCEC643EB}" name="lun.04130" dataDxfId="890"/>
    <tableColumn id="339" xr3:uid="{A0CA5F11-AB00-4CFB-A18A-23BD8DAD4616}" name="mar.05131" dataDxfId="889"/>
    <tableColumn id="340" xr3:uid="{0F086783-BD3F-4A29-B608-D82BDEFA249B}" name="mer.06132" dataDxfId="888"/>
    <tableColumn id="341" xr3:uid="{1DA821DE-BAB3-4D24-966D-B04F1840FE47}" name="jeu.07133" dataDxfId="887"/>
    <tableColumn id="342" xr3:uid="{625C664F-D3A9-4FA0-8CB1-F8C4F30F690C}" name="ven.08134" dataDxfId="886"/>
    <tableColumn id="343" xr3:uid="{DF5E9ABF-3F37-40B8-ABE4-B218705F3BF0}" name="sam.09135" dataDxfId="885"/>
    <tableColumn id="344" xr3:uid="{46B77085-FA71-499F-BFA7-F7B7B77ACF67}" name="dim.10136" dataDxfId="884"/>
    <tableColumn id="345" xr3:uid="{4A94AA82-74B3-416E-9B59-A183184B9900}" name="lun.11137" dataDxfId="883"/>
    <tableColumn id="346" xr3:uid="{79C5F0F1-BAC3-407A-8047-263D68613CDA}" name="mar.12138" dataDxfId="882"/>
    <tableColumn id="347" xr3:uid="{C3E7D668-FE20-488D-B973-3C9C31A2D358}" name="mer.13139" dataDxfId="881"/>
    <tableColumn id="348" xr3:uid="{3439E82A-C6B1-4CA2-B982-2F85F13D0198}" name="jeu.14140" dataDxfId="880"/>
    <tableColumn id="349" xr3:uid="{7328A0C8-ECEC-4902-8C0C-BE76CDF50117}" name="ven.15141" dataDxfId="879"/>
    <tableColumn id="350" xr3:uid="{38BFE0B5-117C-4041-B538-D84401218D15}" name="sam.16142" dataDxfId="878"/>
    <tableColumn id="351" xr3:uid="{1492B1EE-0994-4CB4-8E00-8B25F23AE342}" name="dim.17143" dataDxfId="877"/>
    <tableColumn id="352" xr3:uid="{68E61CBE-72D8-44CC-95AD-36DBD3BFA713}" name="lun.18144" dataDxfId="876"/>
    <tableColumn id="353" xr3:uid="{A3D605E3-4710-4930-97BA-D8597C6A8735}" name="mar.19145" dataDxfId="875"/>
    <tableColumn id="354" xr3:uid="{820ECAA0-A16D-4BE0-A65A-DCA1C6C4B673}" name="mer.20146" dataDxfId="874"/>
    <tableColumn id="355" xr3:uid="{13657A42-EA76-4C6B-8C10-76C93A182F57}" name="jeu.21147" dataDxfId="873"/>
    <tableColumn id="356" xr3:uid="{D8A16B48-B450-497D-B1AC-D9AC670780F1}" name="ven.22148" dataDxfId="872"/>
    <tableColumn id="357" xr3:uid="{F858EACE-A54C-457F-8269-22C60F1E507E}" name="sam.23149" dataDxfId="871"/>
    <tableColumn id="358" xr3:uid="{3E7F1905-D0B1-4633-8338-A72CE71EEBBB}" name="dim.24150" dataDxfId="870"/>
    <tableColumn id="359" xr3:uid="{D09BFDC7-923A-4DA1-A8F1-6F33C22BB355}" name="lun.25151" dataDxfId="869"/>
    <tableColumn id="360" xr3:uid="{8BBE3443-7920-4FEF-8D8C-5EDFABA4E79F}" name="mar.26152" dataDxfId="868"/>
    <tableColumn id="361" xr3:uid="{6EE97374-951B-47E5-BEA2-BEBAA38A4D8F}" name="mer.27153" dataDxfId="867"/>
    <tableColumn id="362" xr3:uid="{862610F9-93C0-4303-8999-32287761027C}" name="jeu.28154" dataDxfId="866"/>
    <tableColumn id="363" xr3:uid="{C56BDA71-F75B-4DD1-9A1D-B07745BC0589}" name="ven.29155" dataDxfId="865"/>
    <tableColumn id="364" xr3:uid="{1F256717-593F-42E0-9109-CBFB1B486BD5}" name="sam.30156" dataDxfId="864"/>
    <tableColumn id="365" xr3:uid="{EB238BA6-E7FF-40FF-AC14-59898E09126D}" name="dim.012157" dataDxfId="863"/>
    <tableColumn id="366" xr3:uid="{21817B1B-79FC-41B3-8CD3-52AC96FF8CC2}" name="lun.023158" dataDxfId="862"/>
    <tableColumn id="367" xr3:uid="{5B15C87D-9B7A-491F-AC2C-47D1A3835831}" name="mar.034159" dataDxfId="861"/>
    <tableColumn id="368" xr3:uid="{CB203023-986A-499B-87B2-BED84F6540E0}" name="mer.045160" dataDxfId="860"/>
    <tableColumn id="369" xr3:uid="{6BEA8569-E85C-4B32-81F1-CF0FA708AA4A}" name="jeu.056161" dataDxfId="859"/>
    <tableColumn id="370" xr3:uid="{148221B5-3088-4D68-A040-78B75DAE90A3}" name="ven.067162" dataDxfId="858"/>
    <tableColumn id="371" xr3:uid="{0A8DE8A4-59EB-44E3-ABF3-964254A852F0}" name="sam.078163" dataDxfId="857"/>
    <tableColumn id="372" xr3:uid="{3ED8D65B-C9F6-4D61-A617-BC35B493C8EE}" name="dim.089164" dataDxfId="856"/>
    <tableColumn id="373" xr3:uid="{E52AB9EE-077C-44E0-BC1C-C7D9983FEDB4}" name="lun.0910165" dataDxfId="855"/>
    <tableColumn id="374" xr3:uid="{04D526B7-6BCE-47C4-9A5D-EBF0CAAC117C}" name="mar.1011166" dataDxfId="854"/>
    <tableColumn id="375" xr3:uid="{8A67A9F1-57D8-47C9-9C4C-1F48A2A628DA}" name="mer.1112167" dataDxfId="853"/>
    <tableColumn id="376" xr3:uid="{32291F63-60E5-4739-AB4E-EECB78012079}" name="jeu.1213168" dataDxfId="852"/>
    <tableColumn id="377" xr3:uid="{95074560-D62D-4E3E-8C94-8E3D13E55A61}" name="ven.1314169" dataDxfId="851"/>
    <tableColumn id="378" xr3:uid="{FA6D3AC0-2618-4126-B6D3-C8870CC4F555}" name="sam.1415170" dataDxfId="850"/>
    <tableColumn id="379" xr3:uid="{B8D9BBD2-84DD-491D-83BB-BACDAEEE74F3}" name="dim.1516171" dataDxfId="84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DB169-8FF3-42FD-AE39-DB274E663043}" name="Tableau13" displayName="Tableau13" ref="D4:OB39" totalsRowShown="0" headerRowDxfId="813" dataDxfId="811" headerRowBorderDxfId="812" tableBorderDxfId="810">
  <autoFilter ref="D4:OB39" xr:uid="{4CDAA245-43C0-4DFC-AAE3-2E3240E20B2B}"/>
  <sortState xmlns:xlrd2="http://schemas.microsoft.com/office/spreadsheetml/2017/richdata2" ref="D5:OB39">
    <sortCondition ref="E4:E39"/>
  </sortState>
  <tableColumns count="389">
    <tableColumn id="1" xr3:uid="{9C184FE8-0C80-40C5-ABBF-99339C8E6BA5}" name="SOCIETE" dataDxfId="809"/>
    <tableColumn id="2" xr3:uid="{9DC0D41F-56A6-4E3F-8C6A-A45806188104}" name="STATUT" dataDxfId="808"/>
    <tableColumn id="3" xr3:uid="{E4324747-B9EE-409C-844E-93E1BC603C59}" name="FONCTION" dataDxfId="807"/>
    <tableColumn id="4" xr3:uid="{B66E7080-1750-48C6-9AFA-E9F7C6285061}" name="NOM" dataDxfId="806"/>
    <tableColumn id="5" xr3:uid="{953469A4-B35F-4C24-99B0-A45353EDB739}" name="PRENOM" dataDxfId="805"/>
    <tableColumn id="6" xr3:uid="{9A4DFA02-862C-4C64-B177-5480D473F585}" name="lun.10" dataDxfId="804"/>
    <tableColumn id="7" xr3:uid="{4726F300-3B1F-467B-9C76-897258412084}" name="mar.11" dataDxfId="803"/>
    <tableColumn id="8" xr3:uid="{58968A86-94F2-43BF-AB23-EFF46476A205}" name="mer.12" dataDxfId="802"/>
    <tableColumn id="9" xr3:uid="{FD010D1B-6862-4CAF-AB6C-783BDE98B759}" name="jeu.13" dataDxfId="801"/>
    <tableColumn id="10" xr3:uid="{31F71041-BB72-49CF-BEBA-0E0FA268B709}" name="ven.14" dataDxfId="800"/>
    <tableColumn id="11" xr3:uid="{9B5D533B-C0A4-498D-8B65-63E727599E7E}" name="sam.15" dataDxfId="799"/>
    <tableColumn id="12" xr3:uid="{8F3E7608-DA4C-4C7E-9D61-B3BF3472C96A}" name="dim.16" dataDxfId="798"/>
    <tableColumn id="13" xr3:uid="{E3E21D16-80BD-41C0-A260-DFDE145E817E}" name="lun.17" dataDxfId="797"/>
    <tableColumn id="14" xr3:uid="{24E3FC0C-82E2-40BB-BC2B-E132DA76D420}" name="mar.18" dataDxfId="796"/>
    <tableColumn id="15" xr3:uid="{B1B2E07E-C991-4518-907A-F6D6E0F885B8}" name="mer.19" dataDxfId="795"/>
    <tableColumn id="16" xr3:uid="{EB871991-52A0-4EDE-A170-80D997056A23}" name="jeu.20" dataDxfId="794"/>
    <tableColumn id="17" xr3:uid="{028289AE-47E0-4359-BD43-6E5E361D28CB}" name="ven.21" dataDxfId="793"/>
    <tableColumn id="18" xr3:uid="{68A0B9FF-BF09-4E13-830F-F8A0237CCDB6}" name="sam.22" dataDxfId="792"/>
    <tableColumn id="19" xr3:uid="{106605B6-7ED4-40C6-887E-86875AA95C88}" name="dim.23" dataDxfId="791"/>
    <tableColumn id="20" xr3:uid="{EAADD84C-D39B-44A0-97E4-46BBEB590B5B}" name="lun.24" dataDxfId="790"/>
    <tableColumn id="21" xr3:uid="{8C20CEAE-7B88-4D3D-865F-7F72AAF892F7}" name="mar.25" dataDxfId="789"/>
    <tableColumn id="22" xr3:uid="{8EED20BE-97AF-4239-ABE8-0C98BBBCF43C}" name="mer.26" dataDxfId="788"/>
    <tableColumn id="23" xr3:uid="{7A137CC2-7F95-43A2-B01B-8E7AF5729303}" name="jeu.27" dataDxfId="787"/>
    <tableColumn id="24" xr3:uid="{D8666F71-0EF6-4A00-9F1A-D3E0721C53F8}" name="ven.28" dataDxfId="786"/>
    <tableColumn id="25" xr3:uid="{DB3528CE-E9E5-451F-AB51-9988C96A5E2C}" name="sam.29" dataDxfId="785"/>
    <tableColumn id="26" xr3:uid="{4E28934B-49FB-4E48-A1B8-9BC7EB09EAD6}" name="dim.30" dataDxfId="784"/>
    <tableColumn id="27" xr3:uid="{A202920F-0CDB-4668-B51E-1B33A239D4CB}" name="lun.01" dataDxfId="783"/>
    <tableColumn id="28" xr3:uid="{825B275A-07C7-4AA1-BA50-0F49690D3232}" name="mar.02" dataDxfId="782"/>
    <tableColumn id="29" xr3:uid="{D68B432A-C927-46DE-ACC2-3EFAE059C3B6}" name="mer.03" dataDxfId="781"/>
    <tableColumn id="30" xr3:uid="{25324492-17EE-4A0C-BA3D-66A6603857F9}" name="jeu.04" dataDxfId="780"/>
    <tableColumn id="31" xr3:uid="{CE66194B-E0FA-414A-89F1-07FCA218596D}" name="ven.05" dataDxfId="779"/>
    <tableColumn id="32" xr3:uid="{E5B9A3DA-53CF-4BC8-9F17-BD38867D2742}" name="sam.06" dataDxfId="778"/>
    <tableColumn id="33" xr3:uid="{B3CB80E9-A31E-4BD3-BF67-FE30015F7CFD}" name="dim.07" dataDxfId="777"/>
    <tableColumn id="34" xr3:uid="{219A4B49-1E20-4888-AB1F-D76E75236D07}" name="lun.08" dataDxfId="776"/>
    <tableColumn id="35" xr3:uid="{86552D10-4AED-4025-91EA-4A8909F534E5}" name="mar.09" dataDxfId="775"/>
    <tableColumn id="36" xr3:uid="{3745426D-A684-4865-8DCC-0DBC2C377E68}" name="mer.10" dataDxfId="774"/>
    <tableColumn id="37" xr3:uid="{3C4BD463-BD2E-4D8E-A06F-508657B80042}" name="jeu.11" dataDxfId="773"/>
    <tableColumn id="38" xr3:uid="{3EB10B87-4412-4D65-9F07-B1448A0E97CE}" name="ven.12" dataDxfId="772"/>
    <tableColumn id="39" xr3:uid="{55C0572B-49D5-40FC-BD9D-9EC8824148E1}" name="sam.13" dataDxfId="771"/>
    <tableColumn id="40" xr3:uid="{CA6B7742-635F-4DDE-834C-06520C712E6D}" name="dim.14" dataDxfId="770"/>
    <tableColumn id="41" xr3:uid="{72CD2C4F-9708-4009-9B21-613283921854}" name="lun.15" dataDxfId="769"/>
    <tableColumn id="42" xr3:uid="{2D5C2CB8-6D90-4C74-BD21-44F33EE924E5}" name="mar.16" dataDxfId="768"/>
    <tableColumn id="43" xr3:uid="{808CABBC-ECAD-4CE0-94A4-B3768C63CBF1}" name="mer.17" dataDxfId="767"/>
    <tableColumn id="44" xr3:uid="{FBB8B546-CBEB-4A80-B054-FA65BC8396B7}" name="jeu.18" dataDxfId="766"/>
    <tableColumn id="45" xr3:uid="{28443DC3-011D-46BB-8003-E4C0EB186F8D}" name="ven.19" dataDxfId="765"/>
    <tableColumn id="46" xr3:uid="{DE74D86D-FC02-4A1D-A83F-12DECE2B9A1A}" name="sam.20" dataDxfId="764"/>
    <tableColumn id="47" xr3:uid="{576D0FF9-2014-4305-806F-F754FA6C89EE}" name="dim.21" dataDxfId="763"/>
    <tableColumn id="48" xr3:uid="{9C775C2D-8F7E-48F3-80DE-97272A7FE2DA}" name="lun.03" dataDxfId="762"/>
    <tableColumn id="49" xr3:uid="{9F6D741C-0ED7-4057-837F-0ACE3A8EFA8C}" name="mar.23" dataDxfId="761"/>
    <tableColumn id="50" xr3:uid="{4330669C-A299-4F56-8065-164D0FB021B5}" name="mer.24" dataDxfId="760"/>
    <tableColumn id="51" xr3:uid="{077E9189-9EAD-4498-9B6B-45A267DBE514}" name="jeu.25" dataDxfId="759"/>
    <tableColumn id="52" xr3:uid="{0BD4937D-7FCD-4969-BCC5-02582C7BE5F2}" name="ven.26" dataDxfId="758"/>
    <tableColumn id="53" xr3:uid="{C7E2A923-B289-44C7-9389-75A67F0DF24E}" name="sam.27" dataDxfId="757"/>
    <tableColumn id="54" xr3:uid="{6809327F-1FC4-4093-AD9F-5A8CC7615ADC}" name="dim.28" dataDxfId="756"/>
    <tableColumn id="55" xr3:uid="{353C8FF9-C271-49A7-B2FD-7427059DB833}" name="lun.29" dataDxfId="755"/>
    <tableColumn id="56" xr3:uid="{E33BEC89-E075-4AA6-82FD-1578151207DB}" name="mar.30" dataDxfId="754"/>
    <tableColumn id="57" xr3:uid="{161EDFEE-8E69-4272-A4E7-89542215CFD5}" name="mer.31" dataDxfId="753"/>
    <tableColumn id="58" xr3:uid="{349F8582-8387-4937-9116-01C033DF83EF}" name="jeu.01" dataDxfId="752"/>
    <tableColumn id="59" xr3:uid="{DFAA2E60-B08E-4AAD-B62C-986D08C979BE}" name="ven.02" dataDxfId="751"/>
    <tableColumn id="60" xr3:uid="{B672B552-BC77-4172-A129-86E4A5E6694E}" name="sam.03" dataDxfId="750"/>
    <tableColumn id="61" xr3:uid="{5B89B467-BA02-486D-BD70-46CA29559E07}" name="dim.04" dataDxfId="749"/>
    <tableColumn id="62" xr3:uid="{1DC4FE83-84E0-4887-A29A-B9DA344B0B62}" name="lun.05" dataDxfId="748"/>
    <tableColumn id="63" xr3:uid="{358AE9BD-3396-44E0-A5E1-9D76AFDEB002}" name="mar.06" dataDxfId="747"/>
    <tableColumn id="64" xr3:uid="{0F78D716-16EC-4EC9-A21F-CF6CBD405BEF}" name="mer.07" dataDxfId="746"/>
    <tableColumn id="65" xr3:uid="{F5DD87F7-9945-4E13-B2CE-547D96D8DD37}" name="jeu.08" dataDxfId="745"/>
    <tableColumn id="66" xr3:uid="{D7FF7F29-5A21-4EF3-96C6-ED153C9957A0}" name="ven.09" dataDxfId="744"/>
    <tableColumn id="67" xr3:uid="{CBFD0352-390E-4E3C-B788-69E549F46571}" name="sam.10" dataDxfId="743"/>
    <tableColumn id="68" xr3:uid="{E40A0055-49AE-4012-90E4-73770B464337}" name="dim.11" dataDxfId="742"/>
    <tableColumn id="69" xr3:uid="{52CB1288-399E-4FD9-BC43-963218767B71}" name="lun.12" dataDxfId="741"/>
    <tableColumn id="70" xr3:uid="{F7F92B63-1AAF-4B78-B20F-996D7B630BE1}" name="mar.13" dataDxfId="740"/>
    <tableColumn id="71" xr3:uid="{5B45D2D0-66AB-4DE0-AEF3-45F6AF3E31AB}" name="mer.14" dataDxfId="739"/>
    <tableColumn id="72" xr3:uid="{0C2C84FF-2199-4548-9035-F52F3015D514}" name="jeu.15" dataDxfId="738"/>
    <tableColumn id="73" xr3:uid="{3C7BA312-F27F-4ADC-B886-C8E99ED43139}" name="ven.16" dataDxfId="737"/>
    <tableColumn id="74" xr3:uid="{0E1A2A06-AD89-4456-8820-EC39A4DD7D9F}" name="sam.17" dataDxfId="736"/>
    <tableColumn id="75" xr3:uid="{0F576B37-02E2-41C2-9007-24A91023D008}" name="dim.18" dataDxfId="735"/>
    <tableColumn id="76" xr3:uid="{C6F160B3-CB53-495E-8039-403A212AC14C}" name="lun.19" dataDxfId="734"/>
    <tableColumn id="77" xr3:uid="{2EA72F4A-A653-4110-ADB5-D54680E1723F}" name="mar.20" dataDxfId="733"/>
    <tableColumn id="78" xr3:uid="{6BEFB91D-F2AD-4CC0-9DED-CA7D0F8DA728}" name="mer.21" dataDxfId="732"/>
    <tableColumn id="79" xr3:uid="{044A2CA2-0D96-4636-9489-8AE6F6011C4D}" name="jeu.22" dataDxfId="731"/>
    <tableColumn id="80" xr3:uid="{89590080-8430-4616-90B5-A0FD0096E1C2}" name="ven.23" dataDxfId="730"/>
    <tableColumn id="81" xr3:uid="{D712D716-ADAD-4EDC-BFAA-D4211A8A3969}" name="sam.24" dataDxfId="729"/>
    <tableColumn id="82" xr3:uid="{D4FCE15E-1B39-4A07-9210-055D59B908AB}" name="dim.25" dataDxfId="728"/>
    <tableColumn id="83" xr3:uid="{7F0CBEFC-F07F-4793-9F89-7C1A2E2CC811}" name="lun.26" dataDxfId="727"/>
    <tableColumn id="84" xr3:uid="{C3882849-608C-4AF9-9AB6-F3352F5E2A63}" name="mar.27" dataDxfId="726"/>
    <tableColumn id="85" xr3:uid="{8E2E233A-4240-4402-8F1B-8A7F9826A200}" name="mer.28" dataDxfId="725"/>
    <tableColumn id="86" xr3:uid="{FBC10B03-349B-4741-BA42-18EFBA933DD2}" name="jeu.29" dataDxfId="724"/>
    <tableColumn id="87" xr3:uid="{7EA1638C-EA9F-4F97-B244-A5DE21F757B7}" name="ven.30" dataDxfId="723"/>
    <tableColumn id="88" xr3:uid="{BBD24874-ED74-47E2-A2F4-516484CF33DD}" name="sam.31" dataDxfId="722"/>
    <tableColumn id="89" xr3:uid="{2E4C54CB-94D3-4EE4-B5C2-1637AE2126C4}" name="dim.01" dataDxfId="721"/>
    <tableColumn id="90" xr3:uid="{C5073016-937C-4FA6-9282-98D04368993F}" name="lun.02" dataDxfId="720"/>
    <tableColumn id="91" xr3:uid="{E958701D-BA59-4743-BDC8-26DF6D10773A}" name="mar.03" dataDxfId="719"/>
    <tableColumn id="92" xr3:uid="{FFA552E4-5E28-459E-ACCA-2F8B5C43C19A}" name="mer.04" dataDxfId="718"/>
    <tableColumn id="93" xr3:uid="{FF87E225-B4C1-43D2-8CE3-E16779B6A8D4}" name="jeu.05" dataDxfId="717"/>
    <tableColumn id="94" xr3:uid="{B32FA3E3-AC9B-4539-90AD-A6219E7A70DF}" name="ven.06" dataDxfId="716"/>
    <tableColumn id="95" xr3:uid="{657DAE63-014A-4340-9DB0-1BA30016C73A}" name="sam.07" dataDxfId="715"/>
    <tableColumn id="96" xr3:uid="{347DB268-EFB1-4AF6-9CA6-18BBF84A4066}" name="dim.08" dataDxfId="714"/>
    <tableColumn id="97" xr3:uid="{AF9DFF90-E6B0-4047-AD5B-7DF9C395B983}" name="lun.09" dataDxfId="713"/>
    <tableColumn id="98" xr3:uid="{7C18FBAF-32A6-4F88-80FB-9FA6E3A3D781}" name="mar.10" dataDxfId="712"/>
    <tableColumn id="99" xr3:uid="{8A0A885C-E2CC-4DCF-832E-904B1856CB70}" name="mer.11" dataDxfId="711"/>
    <tableColumn id="100" xr3:uid="{D90DCB9A-2052-4CEB-AB3B-6CB1E11D09CF}" name="jeu.12" dataDxfId="710"/>
    <tableColumn id="101" xr3:uid="{EBDFC67F-2167-4383-AC04-984E7DEFAE81}" name="ven.13" dataDxfId="709"/>
    <tableColumn id="102" xr3:uid="{47214F8E-FB25-434B-8064-2B6392E058C5}" name="sam.14" dataDxfId="708"/>
    <tableColumn id="103" xr3:uid="{A8BD2095-9594-4602-B145-FD38C11A6212}" name="dim.15" dataDxfId="707"/>
    <tableColumn id="104" xr3:uid="{9DAB753B-7FF4-4CAE-AD12-89D20D8FF3C1}" name="lun.16" dataDxfId="706"/>
    <tableColumn id="105" xr3:uid="{3B030DB3-E70C-46F5-AB5B-E8D635859000}" name="mar.17" dataDxfId="705"/>
    <tableColumn id="106" xr3:uid="{0AFE2BFA-D820-4D6C-9EFD-316F46B75884}" name="mer.18" dataDxfId="704"/>
    <tableColumn id="107" xr3:uid="{7A050A16-D6A2-4C40-A7D1-E3980639EE18}" name="jeu.19" dataDxfId="703"/>
    <tableColumn id="108" xr3:uid="{16B4B9F5-EC97-4E8E-BD9A-49BF0C6A74E5}" name="ven.20" dataDxfId="702"/>
    <tableColumn id="109" xr3:uid="{04495458-DE4A-4354-ABA8-0861AEC21C7F}" name="sam.21" dataDxfId="701"/>
    <tableColumn id="110" xr3:uid="{D8A20316-68F2-4546-B264-F34CF084DA1B}" name="dim.22" dataDxfId="700"/>
    <tableColumn id="111" xr3:uid="{092080D9-FAFA-4B3C-AED6-9A3684067937}" name="lun.23" dataDxfId="699"/>
    <tableColumn id="112" xr3:uid="{724C878F-A9E5-4D73-9FD4-6524EDCAC816}" name="mar.24" dataDxfId="698"/>
    <tableColumn id="113" xr3:uid="{158C8FBE-145B-477D-8AEC-6E98CCEFB00D}" name="mer.25" dataDxfId="697"/>
    <tableColumn id="114" xr3:uid="{6345CFE1-A27E-4219-BD0E-3CBD30893379}" name="jeu.26" dataDxfId="696"/>
    <tableColumn id="115" xr3:uid="{B0237224-2EDE-4915-99C0-B761D358658D}" name="ven.27" dataDxfId="695"/>
    <tableColumn id="116" xr3:uid="{4CC1D258-7C41-42FB-A5F9-F3BFC381CB43}" name="sam.28" dataDxfId="694"/>
    <tableColumn id="117" xr3:uid="{2249821C-E4DB-4BC5-B38E-CDA5ABA16185}" name="dim.29" dataDxfId="693"/>
    <tableColumn id="118" xr3:uid="{80508A10-83BA-4F1F-9BC4-90E6EFE1C058}" name="lun.30" dataDxfId="692"/>
    <tableColumn id="119" xr3:uid="{5111C496-561B-4188-89BF-AF82D3402831}" name="mar.01" dataDxfId="691"/>
    <tableColumn id="120" xr3:uid="{5FA6BA0C-5CBA-4821-BC67-290C080F45ED}" name="mer.02" dataDxfId="690"/>
    <tableColumn id="121" xr3:uid="{B62CD497-3E95-472C-8F91-F0D794AC2597}" name="jeu.03" dataDxfId="689"/>
    <tableColumn id="122" xr3:uid="{82514015-E013-4079-B53C-AB56DC24D6B5}" name="ven.04" dataDxfId="688"/>
    <tableColumn id="123" xr3:uid="{07624B65-E9A4-4717-87A1-FE5E7551A38B}" name="sam.05" dataDxfId="687"/>
    <tableColumn id="124" xr3:uid="{B2C0E562-46E6-45A0-A18F-1F58D6FC852B}" name="dim.06" dataDxfId="686"/>
    <tableColumn id="125" xr3:uid="{2AA3C70A-616A-4154-B450-D4875F66B0E6}" name="lun.07" dataDxfId="685"/>
    <tableColumn id="126" xr3:uid="{1DCB8AB1-C97D-42B4-9B83-DBF1FD19563A}" name="mar.08" dataDxfId="684"/>
    <tableColumn id="127" xr3:uid="{703EA486-145D-406F-8A32-D024945B5140}" name="mer.09" dataDxfId="683"/>
    <tableColumn id="128" xr3:uid="{686A2F2E-C647-40D0-8766-A3C29661529E}" name="jeu.10" dataDxfId="682"/>
    <tableColumn id="129" xr3:uid="{78B49358-436C-49C2-90A9-223DDE015C9B}" name="ven.11" dataDxfId="681"/>
    <tableColumn id="130" xr3:uid="{4B38D525-BDEE-468E-BD06-869210F3E3AA}" name="sam.12" dataDxfId="680"/>
    <tableColumn id="131" xr3:uid="{389F86DF-68ED-4348-BB0E-7E3B6D667624}" name="dim.13" dataDxfId="679"/>
    <tableColumn id="132" xr3:uid="{0146D3C6-E676-4909-9850-36A6FB566E23}" name="lun.14" dataDxfId="678"/>
    <tableColumn id="133" xr3:uid="{6A6B55A4-989F-43B7-AFA6-B99AA7E2BAF4}" name="mar.15" dataDxfId="677"/>
    <tableColumn id="134" xr3:uid="{1EAE91BE-9D13-45BE-9D39-93B9AC5FCFC5}" name="mer.16" dataDxfId="676"/>
    <tableColumn id="135" xr3:uid="{845A542E-6D59-43D9-9A32-0F3C4F3459B7}" name="jeu.17" dataDxfId="675"/>
    <tableColumn id="136" xr3:uid="{F721E7CC-0797-463C-8E25-5F30BD150CC6}" name="ven.18" dataDxfId="674"/>
    <tableColumn id="137" xr3:uid="{58BF0199-ADA5-443B-9A5F-6FC38E5496BD}" name="sam.19" dataDxfId="673"/>
    <tableColumn id="138" xr3:uid="{5FC87ACA-E474-4B64-9668-5D820D66D7E6}" name="dim.20" dataDxfId="672"/>
    <tableColumn id="139" xr3:uid="{1FA9AA49-1778-4A0A-8330-EB16689EEAD2}" name="lun.21" dataDxfId="671"/>
    <tableColumn id="140" xr3:uid="{E1310D13-7AC4-4DD6-A6AF-58124A21BCAF}" name="mar.22" dataDxfId="670"/>
    <tableColumn id="141" xr3:uid="{22E1A130-DBA3-471A-A5CD-2D610315C935}" name="mer.23" dataDxfId="669"/>
    <tableColumn id="142" xr3:uid="{DC54D526-AD0E-4BFC-82F2-BE8774B1BEF7}" name="jeu.24" dataDxfId="668"/>
    <tableColumn id="143" xr3:uid="{AE6E15A3-BB41-42AF-BBAC-43E86B9314B7}" name="ven.25" dataDxfId="667"/>
    <tableColumn id="144" xr3:uid="{4A6F38A7-6194-4273-9658-28B8A190ADBA}" name="sam.26" dataDxfId="666"/>
    <tableColumn id="145" xr3:uid="{39461F61-8425-47AB-8B8A-112306150563}" name="dim.27" dataDxfId="665"/>
    <tableColumn id="146" xr3:uid="{23ECEA19-76A7-48D0-9FEC-DA31C45A023E}" name="lun.28" dataDxfId="664"/>
    <tableColumn id="147" xr3:uid="{49D83DEA-7495-4036-840D-1162E929A809}" name="mar.29" dataDxfId="663"/>
    <tableColumn id="148" xr3:uid="{43EB680B-862A-4BB3-A086-D06AD5E9F577}" name="mer.30" dataDxfId="662"/>
    <tableColumn id="149" xr3:uid="{91AC92CF-B43D-4BD6-82BD-36102135BF5D}" name="jeu.31" dataDxfId="661"/>
    <tableColumn id="150" xr3:uid="{403A8B60-E5BE-47AD-AAC4-8827AA42F5EF}" name="ven.01" dataDxfId="660"/>
    <tableColumn id="151" xr3:uid="{5C287992-CC77-40AF-B05E-F87BC5A16187}" name="sam.02" dataDxfId="659"/>
    <tableColumn id="152" xr3:uid="{87E4677C-C36B-41D2-9F9B-A12B41F2E113}" name="dim.03" dataDxfId="658"/>
    <tableColumn id="153" xr3:uid="{D84FB1EB-F42A-46C4-A87B-A3F75A6D1DB7}" name="lun.04" dataDxfId="657"/>
    <tableColumn id="154" xr3:uid="{FFD21CE1-F1AD-4C9D-8F74-7FF47B44C5ED}" name="mar.05" dataDxfId="656"/>
    <tableColumn id="155" xr3:uid="{3034EAE4-6556-48DF-AF7F-661FDB59FF28}" name="mer.06" dataDxfId="655"/>
    <tableColumn id="156" xr3:uid="{D306B177-9ED0-48D1-8D4F-BB5677E6C838}" name="jeu.07" dataDxfId="654"/>
    <tableColumn id="157" xr3:uid="{44C214D1-0CCF-4671-AE5B-1CF89AA5C40A}" name="ven.08" dataDxfId="653"/>
    <tableColumn id="158" xr3:uid="{77DFC680-4B38-438E-A558-88BEC931A327}" name="sam.09" dataDxfId="652"/>
    <tableColumn id="159" xr3:uid="{51CAD3F7-7E73-48B6-873F-E48582857139}" name="dim.10" dataDxfId="651"/>
    <tableColumn id="160" xr3:uid="{FBAD8447-1EAB-4326-A55F-F8F93812057A}" name="lun.11" dataDxfId="650"/>
    <tableColumn id="161" xr3:uid="{F2C53D62-C41B-4762-A154-FE2EDE6439F8}" name="mar.12" dataDxfId="649"/>
    <tableColumn id="162" xr3:uid="{B52F50D9-65DC-4722-BB80-D19B5BA1E654}" name="mer.13" dataDxfId="648"/>
    <tableColumn id="163" xr3:uid="{6C961BC2-BB0D-4B79-B991-D43352A90382}" name="jeu.14" dataDxfId="647"/>
    <tableColumn id="164" xr3:uid="{5B660080-4448-4117-8997-8876EE8FE8C2}" name="ven.15" dataDxfId="646"/>
    <tableColumn id="165" xr3:uid="{4CC03B86-08EA-4F69-A498-535A6B87EB3F}" name="sam.16" dataDxfId="645"/>
    <tableColumn id="166" xr3:uid="{7497C2A7-0EEB-4FD2-ABE2-DF76E285C8E8}" name="dim.17" dataDxfId="644"/>
    <tableColumn id="167" xr3:uid="{6393768F-777E-45A9-B5CC-842EBC9024F6}" name="lun.18" dataDxfId="643"/>
    <tableColumn id="168" xr3:uid="{C28AC14E-E7B1-457B-8410-229FAE6900C0}" name="mar.19" dataDxfId="642"/>
    <tableColumn id="169" xr3:uid="{9EFCEA58-E574-4E62-A463-CF18B5A1AD1C}" name="mer.20" dataDxfId="641"/>
    <tableColumn id="170" xr3:uid="{86191538-8456-4404-91D6-2539F24C21BA}" name="jeu.21" dataDxfId="640"/>
    <tableColumn id="171" xr3:uid="{49364941-FA60-4712-90BE-AC8E0A655940}" name="ven.22" dataDxfId="639"/>
    <tableColumn id="172" xr3:uid="{5A72030C-5AD3-4BF2-BF4D-AE632EF9B8BA}" name="sam.23" dataDxfId="638"/>
    <tableColumn id="173" xr3:uid="{EE99E70C-EACC-4EB1-9553-F507C7A03DA0}" name="dim.24" dataDxfId="637"/>
    <tableColumn id="174" xr3:uid="{6E05BCE7-10DD-4318-BB80-4E9F5188F5DF}" name="lun.25" dataDxfId="636"/>
    <tableColumn id="175" xr3:uid="{9173B48D-9D9C-43F2-852C-4B983B438718}" name="mar.26" dataDxfId="635"/>
    <tableColumn id="176" xr3:uid="{5A3FC856-C6F7-4B0B-93BF-95CCD1EDB5A3}" name="mer.27" dataDxfId="634"/>
    <tableColumn id="177" xr3:uid="{6518677C-7587-4B81-B0AB-E3B6D9CD2024}" name="jeu.28" dataDxfId="633"/>
    <tableColumn id="178" xr3:uid="{5101BA83-8596-45A6-9921-44FF509C9AE5}" name="ven.29" dataDxfId="632"/>
    <tableColumn id="179" xr3:uid="{E8275F53-7A1D-4FA5-A061-E7DA1F8F7A7F}" name="sam.30" dataDxfId="631"/>
    <tableColumn id="180" xr3:uid="{534F8E7D-B756-4F9A-8AFA-BC616BEBF75C}" name="dim.012" dataDxfId="630"/>
    <tableColumn id="181" xr3:uid="{85B725FD-B7C5-4343-9C53-243CBA45332C}" name="lun.023" dataDxfId="629"/>
    <tableColumn id="182" xr3:uid="{A61A2BDE-E3F9-499D-B4C9-F31EFDEFCF9D}" name="mar.034" dataDxfId="628"/>
    <tableColumn id="183" xr3:uid="{5268EFD4-4A5F-46F9-8CEE-53A31AAA85CE}" name="mer.045" dataDxfId="627"/>
    <tableColumn id="184" xr3:uid="{0A03FF07-3871-4924-AB27-05D4506C4FEA}" name="jeu.056" dataDxfId="626"/>
    <tableColumn id="185" xr3:uid="{EE7B83EA-60CF-4A56-A8B0-A6AD83447DA8}" name="ven.067" dataDxfId="625"/>
    <tableColumn id="186" xr3:uid="{3F7D29F2-B14C-4B80-9188-392462A3221A}" name="sam.078" dataDxfId="624"/>
    <tableColumn id="187" xr3:uid="{996BB532-4800-4BCA-A849-6DDB1B9D014C}" name="dim.089" dataDxfId="623"/>
    <tableColumn id="188" xr3:uid="{1D9726BA-46D1-4C81-B43A-B55C484DEFC2}" name="lun.0910" dataDxfId="622"/>
    <tableColumn id="189" xr3:uid="{96D3AAFA-D2EF-481C-9DC1-253961BDF92E}" name="mar.1011" dataDxfId="621"/>
    <tableColumn id="190" xr3:uid="{4B04B2CE-A2C0-4553-BC97-01575258F067}" name="mer.1112" dataDxfId="620"/>
    <tableColumn id="191" xr3:uid="{3D3C1ABB-3F51-4537-8416-4D46F5A5E8A4}" name="jeu.1213" dataDxfId="619"/>
    <tableColumn id="192" xr3:uid="{EB19137A-B907-4682-92D9-ADD4D62A9F60}" name="ven.1314" dataDxfId="618"/>
    <tableColumn id="193" xr3:uid="{A9F4662A-F653-4DF2-A551-67B91D491AB8}" name="sam.1415" dataDxfId="617"/>
    <tableColumn id="194" xr3:uid="{967A937A-383A-48A6-AAE4-DC403E93BEC1}" name="dim.1516" dataDxfId="616"/>
    <tableColumn id="195" xr3:uid="{AA14225D-220C-44B1-8DF3-B6540ED0EA23}" name="lun.1617" dataDxfId="615"/>
    <tableColumn id="196" xr3:uid="{E88680A4-A031-4F6D-8844-C9972F6338C7}" name="mar.1718" dataDxfId="614"/>
    <tableColumn id="197" xr3:uid="{EA27D9C4-8E0F-41A6-9AE7-6629B6CEC8C1}" name="mer.1819" dataDxfId="613"/>
    <tableColumn id="198" xr3:uid="{FF6CFC09-402B-4476-B9B0-FC911FC99425}" name="jeu.1920" dataDxfId="612"/>
    <tableColumn id="199" xr3:uid="{D416F3A2-A6F4-453B-B19F-DEC30C90A696}" name="ven.2021" dataDxfId="611"/>
    <tableColumn id="200" xr3:uid="{9AD682BC-57B8-455F-8172-DFBF5BC0F551}" name="sam.2122" dataDxfId="610"/>
    <tableColumn id="201" xr3:uid="{55B87978-DFF9-41EF-B305-4EE5B8876ACF}" name="dim.2223" dataDxfId="609"/>
    <tableColumn id="202" xr3:uid="{4A005196-7F93-4F26-A85D-66CCF68ECD69}" name="lun.2324" dataDxfId="608"/>
    <tableColumn id="203" xr3:uid="{29516481-28E9-4603-8ECD-D8C73F989F1D}" name="mar.2425" dataDxfId="607"/>
    <tableColumn id="204" xr3:uid="{157D8FF1-1F5C-4CC6-8152-67AA9F8B7501}" name="mer.2526" dataDxfId="606"/>
    <tableColumn id="205" xr3:uid="{9279CE30-0D6F-45EC-A304-6958E7BADC9C}" name="jeu.2627" dataDxfId="605"/>
    <tableColumn id="206" xr3:uid="{B8B0960F-4CE5-42CA-BC36-4E69D313BB43}" name="ven.2728" dataDxfId="604"/>
    <tableColumn id="207" xr3:uid="{471CEE59-62D0-448A-A98C-4F3EAE31B87B}" name="sam.2829" dataDxfId="603"/>
    <tableColumn id="208" xr3:uid="{08A5A581-6DE4-4E25-89AF-B76555057099}" name="dim.2930" dataDxfId="602"/>
    <tableColumn id="209" xr3:uid="{732AF94D-EB05-4DDD-9C3C-C095EC47DD47}" name="lun.152" dataDxfId="601"/>
    <tableColumn id="210" xr3:uid="{DD2EDA3C-266B-40A0-BE5E-24DCB6D23B6E}" name="mar.163" dataDxfId="600"/>
    <tableColumn id="211" xr3:uid="{04D2547F-2FCA-4338-8EDE-61BB12267A0E}" name="mer.174" dataDxfId="599"/>
    <tableColumn id="212" xr3:uid="{5B895A59-9A29-4EE5-8E4D-6E4916B17B3F}" name="jeu.185" dataDxfId="598"/>
    <tableColumn id="213" xr3:uid="{84FE3CFB-4BDE-4794-82A8-46EEDC98D242}" name="ven.196" dataDxfId="597"/>
    <tableColumn id="214" xr3:uid="{C4A8D5B7-3E9D-494C-BC4A-6F6B432C7D4B}" name="sam.207" dataDxfId="596"/>
    <tableColumn id="215" xr3:uid="{00F6DC35-E7FA-424F-8B3F-115775842F7B}" name="dim.218" dataDxfId="595"/>
    <tableColumn id="216" xr3:uid="{35DCE565-6AA5-41F9-A07C-0F90CF32C715}" name="lun.039" dataDxfId="594"/>
    <tableColumn id="217" xr3:uid="{A7312E4E-EDB7-4E3E-B7DA-A74F9B657258}" name="mar.2310" dataDxfId="593"/>
    <tableColumn id="218" xr3:uid="{20ADB16A-B719-4E3C-809C-46C917631AB6}" name="mer.2411" dataDxfId="592"/>
    <tableColumn id="219" xr3:uid="{40EFCA22-C788-44FF-9710-5A5B14EF593B}" name="jeu.2512" dataDxfId="591"/>
    <tableColumn id="220" xr3:uid="{DBBD78DB-359F-466D-AB63-3314836C88C1}" name="ven.2613" dataDxfId="590"/>
    <tableColumn id="221" xr3:uid="{12E1F72D-A425-4431-992D-0B7B6190B4B6}" name="sam.2714" dataDxfId="589"/>
    <tableColumn id="222" xr3:uid="{0690CBB1-74FD-4828-81F5-1F6DFB8CCEA0}" name="dim.2815" dataDxfId="588"/>
    <tableColumn id="223" xr3:uid="{A0D18F35-B7D5-42D3-A14A-F224A648B7EA}" name="lun.2916" dataDxfId="587"/>
    <tableColumn id="224" xr3:uid="{0E9E117A-C590-4F95-BD54-6261776D12B8}" name="mar.3017" dataDxfId="586"/>
    <tableColumn id="225" xr3:uid="{E9F8E06A-991A-438B-92A7-7DE8327EA881}" name="mer.3118" dataDxfId="585"/>
    <tableColumn id="226" xr3:uid="{414EBA28-4702-4671-8F69-6402F687031D}" name="jeu.0119" dataDxfId="584"/>
    <tableColumn id="227" xr3:uid="{0257983D-9F45-4B96-BCBD-7F60B18841EA}" name="ven.0220" dataDxfId="583"/>
    <tableColumn id="228" xr3:uid="{295839F8-FC06-45A4-A325-7F11184FB565}" name="sam.0321" dataDxfId="582"/>
    <tableColumn id="229" xr3:uid="{2C2BCBC1-6574-420E-A214-ABFC7D3E759C}" name="dim.0422" dataDxfId="581"/>
    <tableColumn id="230" xr3:uid="{389E9006-2983-4CEA-AE61-4D469ED2E39A}" name="lun.0523" dataDxfId="580"/>
    <tableColumn id="231" xr3:uid="{3E38EED4-F18E-4F5B-AD9E-0E3B7619D9D5}" name="mar.0624" dataDxfId="579"/>
    <tableColumn id="232" xr3:uid="{9CD6910A-7820-4F92-831E-015D8C986233}" name="mer.0725" dataDxfId="578"/>
    <tableColumn id="233" xr3:uid="{A0FBB601-F6E5-41C7-8438-D51CB0B3EBAF}" name="jeu.0826" dataDxfId="577"/>
    <tableColumn id="234" xr3:uid="{49260511-9B09-4DFF-A431-D4CB24203EC6}" name="ven.0927" dataDxfId="576"/>
    <tableColumn id="235" xr3:uid="{7B4DD0CB-7A4B-4898-B318-03EC0896A274}" name="sam.1028" dataDxfId="575"/>
    <tableColumn id="236" xr3:uid="{7E77BEF2-12A3-4D24-BB65-F02208D465C5}" name="dim.1129" dataDxfId="574"/>
    <tableColumn id="237" xr3:uid="{02A084BF-6E31-4828-8129-4BEF72A19A9E}" name="lun.1230" dataDxfId="573"/>
    <tableColumn id="238" xr3:uid="{1CE43BE3-5F11-4902-9AED-2DD7A22B060E}" name="mar.1331" dataDxfId="572"/>
    <tableColumn id="239" xr3:uid="{5034D414-EFDF-4C0E-8C91-2650A79490DC}" name="mer.1432" dataDxfId="571"/>
    <tableColumn id="240" xr3:uid="{FB00D7E4-B13C-4FD1-BFE1-0208E0730B72}" name="jeu.1533" dataDxfId="570"/>
    <tableColumn id="241" xr3:uid="{45A6E2E8-8993-4651-AE76-D3854596515E}" name="ven.1634" dataDxfId="569"/>
    <tableColumn id="242" xr3:uid="{81A6CCB5-F54C-4135-B982-D99B7B497742}" name="sam.1735" dataDxfId="568"/>
    <tableColumn id="243" xr3:uid="{9CB05CFB-1EA5-4819-AFB0-64102E31C0B5}" name="dim.1836" dataDxfId="567"/>
    <tableColumn id="244" xr3:uid="{F2253B6E-D3D7-4F2F-BAF9-56987F1D3750}" name="lun.1937" dataDxfId="566"/>
    <tableColumn id="245" xr3:uid="{2034D3F2-6C04-4D0A-BEE6-612EA8EBF0E7}" name="mar.2038" dataDxfId="565"/>
    <tableColumn id="246" xr3:uid="{CCCDB49F-BED8-4B32-B2C1-3AD250C2BB6D}" name="mer.2139" dataDxfId="564"/>
    <tableColumn id="247" xr3:uid="{5AFD1AA6-E5B3-4CE0-957F-DAFBB4043465}" name="jeu.2240" dataDxfId="563"/>
    <tableColumn id="248" xr3:uid="{B59EB5D9-5A5E-46F8-8650-AD5EE3B87F9E}" name="ven.2341" dataDxfId="562"/>
    <tableColumn id="249" xr3:uid="{2938DF40-8370-4BCF-8A08-B41D1D1F63C1}" name="sam.2442" dataDxfId="561"/>
    <tableColumn id="250" xr3:uid="{409F1754-787A-45F5-BF03-C96C54B0DFAF}" name="dim.2543" dataDxfId="560"/>
    <tableColumn id="251" xr3:uid="{B46143C3-65AD-472A-B4D7-0E5D7EFFD2C9}" name="lun.2644" dataDxfId="559"/>
    <tableColumn id="252" xr3:uid="{5A2B79D7-83E2-4349-8CB1-282F2FEFEDB5}" name="mar.2745" dataDxfId="558"/>
    <tableColumn id="253" xr3:uid="{38497BA4-7DD5-4870-892D-58DB78936753}" name="mer.2846" dataDxfId="557"/>
    <tableColumn id="254" xr3:uid="{304C3DF3-2D4E-4622-BC59-25FE823FFD32}" name="jeu.2947" dataDxfId="556"/>
    <tableColumn id="255" xr3:uid="{ED5A5ACA-5AEB-43BE-B405-2D7B16306C48}" name="ven.3048" dataDxfId="555"/>
    <tableColumn id="256" xr3:uid="{47EEAFC1-C97F-47CA-8951-97CD50792A7B}" name="sam.3149" dataDxfId="554"/>
    <tableColumn id="257" xr3:uid="{AFE48947-91AA-4138-B082-84AEBAEC554D}" name="dim.0150" dataDxfId="553"/>
    <tableColumn id="258" xr3:uid="{103642A3-5974-4A6C-B418-755AAB35FEDE}" name="lun.0251" dataDxfId="552"/>
    <tableColumn id="259" xr3:uid="{D08B097D-E273-4FF3-8F97-B42B90C2C09B}" name="mar.0352" dataDxfId="551"/>
    <tableColumn id="260" xr3:uid="{FE82A340-82FD-441E-A4E0-B71778E452AC}" name="mer.0453" dataDxfId="550"/>
    <tableColumn id="261" xr3:uid="{23CB6F3A-C53F-4BA4-8BA5-2F3045E83750}" name="jeu.0554" dataDxfId="549"/>
    <tableColumn id="262" xr3:uid="{EE3E9CBA-7EA2-4DD5-AAA9-4B7F0CAC0947}" name="ven.0655" dataDxfId="548"/>
    <tableColumn id="263" xr3:uid="{2B8EBBDA-05FB-473C-91A3-96FDFAE9AD6F}" name="sam.0756" dataDxfId="547"/>
    <tableColumn id="264" xr3:uid="{BCB6D732-30E5-404F-AF4B-5EBC02259A1C}" name="dim.0857" dataDxfId="546"/>
    <tableColumn id="265" xr3:uid="{3A24931D-75C8-44E4-9162-EE9ABC960CE7}" name="lun.0958" dataDxfId="545"/>
    <tableColumn id="266" xr3:uid="{56CE6304-A717-4D56-A9F9-212E979BA0B0}" name="mar.1059" dataDxfId="544"/>
    <tableColumn id="267" xr3:uid="{3AD2945B-FC14-483D-BF7C-F97E81B64834}" name="mer.1160" dataDxfId="543"/>
    <tableColumn id="268" xr3:uid="{2FCA1FF3-1720-4B69-A5CD-51CEA3603F01}" name="jeu.1261" dataDxfId="542"/>
    <tableColumn id="269" xr3:uid="{F316BEAA-BDA9-472B-B42B-5760A0DBC4A3}" name="ven.1362" dataDxfId="541"/>
    <tableColumn id="270" xr3:uid="{BE4C95F3-1C9B-46D2-ACEC-9FE909860C88}" name="sam.1463" dataDxfId="540"/>
    <tableColumn id="271" xr3:uid="{E2D52317-6362-4C74-A13F-356302E2DCDD}" name="dim.1564" dataDxfId="539"/>
    <tableColumn id="272" xr3:uid="{58EC18DE-9B0A-4E62-AC39-6751A0BA6EA5}" name="lun.1665" dataDxfId="538"/>
    <tableColumn id="273" xr3:uid="{BB59A813-8E34-4386-B9D2-B9EE7DAFCE89}" name="mar.1766" dataDxfId="537"/>
    <tableColumn id="274" xr3:uid="{5EDDD068-26F7-4DF1-BC06-BD76098B1C71}" name="mer.1867" dataDxfId="536"/>
    <tableColumn id="275" xr3:uid="{D0E7FAE1-FA5F-4B67-A9F1-2AD38464D348}" name="jeu.1968" dataDxfId="535"/>
    <tableColumn id="276" xr3:uid="{743F8E92-CDE1-4E8B-83FE-1ECA91F78908}" name="ven.2069" dataDxfId="534"/>
    <tableColumn id="277" xr3:uid="{5459553F-124A-4EB4-8CF9-6D8B34963F28}" name="sam.2170" dataDxfId="533"/>
    <tableColumn id="278" xr3:uid="{8393CE26-9E31-423C-9186-0D6AE99726B0}" name="dim.2271" dataDxfId="532"/>
    <tableColumn id="279" xr3:uid="{546CAC71-6122-4CA2-AE43-103F3B453CB0}" name="lun.2372" dataDxfId="531"/>
    <tableColumn id="280" xr3:uid="{11896F13-4AED-4670-8DA1-97896CBA1554}" name="mar.2473" dataDxfId="530"/>
    <tableColumn id="281" xr3:uid="{61820EB6-96B6-430B-AEC6-074154DAABDF}" name="mer.2574" dataDxfId="529"/>
    <tableColumn id="282" xr3:uid="{B85801D8-7863-46B7-819C-070F53E16D11}" name="jeu.2675" dataDxfId="528"/>
    <tableColumn id="283" xr3:uid="{12B32B61-BFC8-4DEA-B10F-F30CEC6DBF91}" name="ven.2776" dataDxfId="527"/>
    <tableColumn id="284" xr3:uid="{5F407A67-D24E-46D7-B2C5-23755A83A06F}" name="sam.2877" dataDxfId="526"/>
    <tableColumn id="285" xr3:uid="{F7FA0AD4-3632-493B-B105-419BD2C75B49}" name="dim.2978" dataDxfId="525"/>
    <tableColumn id="286" xr3:uid="{F0A9D38E-225D-4A88-B56C-D68F4402B082}" name="lun.3079" dataDxfId="524"/>
    <tableColumn id="287" xr3:uid="{3DCD8A39-51F1-46FA-A4E2-2493410701CA}" name="mar.0180" dataDxfId="523"/>
    <tableColumn id="288" xr3:uid="{EF3308D3-413A-40BA-8D28-1C420BEABBD9}" name="mer.0281" dataDxfId="522"/>
    <tableColumn id="289" xr3:uid="{64B7264E-D6AB-496C-BBC5-D55D284DC9DC}" name="jeu.0382" dataDxfId="521"/>
    <tableColumn id="290" xr3:uid="{1EB7CDC2-7FF1-4BC1-921C-CE65DC01497B}" name="ven.0483" dataDxfId="520"/>
    <tableColumn id="291" xr3:uid="{53B8CB96-8206-4414-A332-2FCF2750828C}" name="sam.0584" dataDxfId="519"/>
    <tableColumn id="292" xr3:uid="{E7E95BF9-002E-44F1-8F6A-F7E0997BFCB5}" name="dim.0685" dataDxfId="518"/>
    <tableColumn id="293" xr3:uid="{258499E6-8F93-46C7-9502-E494039507FE}" name="lun.0786" dataDxfId="517"/>
    <tableColumn id="294" xr3:uid="{D1DA4913-4211-431F-A7A0-E19F1C0958D2}" name="mar.0887" dataDxfId="516"/>
    <tableColumn id="295" xr3:uid="{DD35BF92-0F84-43DD-A21D-4F0052A4C179}" name="mer.0988" dataDxfId="515"/>
    <tableColumn id="296" xr3:uid="{39E2C9C0-C81D-4B19-851C-FB09164731B4}" name="jeu.1089" dataDxfId="514"/>
    <tableColumn id="297" xr3:uid="{47FD5FF2-0905-4262-B313-103FD55183C7}" name="ven.1190" dataDxfId="513"/>
    <tableColumn id="298" xr3:uid="{8620E10D-A359-4B70-B7B2-6A0AD58E5C66}" name="sam.1291" dataDxfId="512"/>
    <tableColumn id="299" xr3:uid="{30CC7854-C1E9-4C02-9B70-D2C22E3B67EA}" name="dim.1392" dataDxfId="511"/>
    <tableColumn id="300" xr3:uid="{F9CFFDAD-853A-493D-A684-184DA3F53576}" name="lun.1493" dataDxfId="510"/>
    <tableColumn id="301" xr3:uid="{CBF1EE17-37AF-414D-A436-00FC8461FD10}" name="mar.1594" dataDxfId="509"/>
    <tableColumn id="302" xr3:uid="{3EDB692F-517A-489B-B0DE-266BE92F5287}" name="mer.1695" dataDxfId="508"/>
    <tableColumn id="303" xr3:uid="{67D0A0AE-68E9-443D-AF74-74C33D7AB9D9}" name="jeu.1796" dataDxfId="507"/>
    <tableColumn id="304" xr3:uid="{0A166054-B366-4C14-8CD8-E110E0867F2D}" name="ven.1897" dataDxfId="506"/>
    <tableColumn id="305" xr3:uid="{D035A20F-C988-47D2-A01B-6F60793C1359}" name="sam.1998" dataDxfId="505"/>
    <tableColumn id="306" xr3:uid="{FB31BE87-B34F-433C-9247-74BD9E176719}" name="dim.2099" dataDxfId="504"/>
    <tableColumn id="307" xr3:uid="{D17A4CE7-B6A0-43AC-949C-295D4E2981AD}" name="lun.21100" dataDxfId="503"/>
    <tableColumn id="308" xr3:uid="{8192A845-53E5-46F4-9FE4-93EDDEC5C1D1}" name="mar.22101" dataDxfId="502"/>
    <tableColumn id="309" xr3:uid="{C96A3779-30B0-4D88-A837-354F3386D818}" name="mer.23102" dataDxfId="501"/>
    <tableColumn id="310" xr3:uid="{E079E1F2-A662-4607-A824-6F555F561959}" name="jeu.24103" dataDxfId="500"/>
    <tableColumn id="311" xr3:uid="{054793D2-3C17-41A6-95DF-812796CFA6D3}" name="ven.25104" dataDxfId="499"/>
    <tableColumn id="312" xr3:uid="{CCD38B77-3AF4-4BA1-8C19-E3079DB557F0}" name="sam.26105" dataDxfId="498"/>
    <tableColumn id="313" xr3:uid="{315B635D-E68F-438C-9DA1-2FC0090AF58F}" name="dim.27106" dataDxfId="497"/>
    <tableColumn id="314" xr3:uid="{4AD8C992-B22E-4434-9340-300847A2BB5C}" name="lun.28107" dataDxfId="496"/>
    <tableColumn id="315" xr3:uid="{095F349E-AD08-4E91-828C-00A4F8C111AF}" name="mar.29108" dataDxfId="495"/>
    <tableColumn id="316" xr3:uid="{6921242E-A554-4CE9-B955-6017F8EF694F}" name="mer.30109" dataDxfId="494"/>
    <tableColumn id="317" xr3:uid="{4514584F-021F-43DC-B32B-C7274729202E}" name="jeu.31110" dataDxfId="493"/>
    <tableColumn id="318" xr3:uid="{EF7F95D0-6448-4082-97E5-3903C625B973}" name="ven.01111" dataDxfId="492"/>
    <tableColumn id="319" xr3:uid="{2F2A8CFB-7E25-418C-8368-7B80850CC986}" name="sam.02112" dataDxfId="491"/>
    <tableColumn id="320" xr3:uid="{0955FB40-D1E1-43FC-B497-873616E5C147}" name="dim.03113" dataDxfId="490"/>
    <tableColumn id="321" xr3:uid="{27204862-A253-48B1-AE60-157968CFA123}" name="lun.04114" dataDxfId="489"/>
    <tableColumn id="322" xr3:uid="{8B2C737F-D3B9-43B1-856F-F6E708280C66}" name="mar.05115" dataDxfId="488"/>
    <tableColumn id="323" xr3:uid="{F07C2967-7008-46CC-B6D6-2BF06AEB7FA1}" name="mer.06116" dataDxfId="487"/>
    <tableColumn id="324" xr3:uid="{46537AAD-78CA-40F4-90A1-AE3C09425928}" name="jeu.07117" dataDxfId="486"/>
    <tableColumn id="325" xr3:uid="{87960FAF-FD80-4FC3-8849-C89A9D7D767D}" name="ven.08118" dataDxfId="485"/>
    <tableColumn id="326" xr3:uid="{B55A9DDD-B7D0-4EEF-A851-48CCECD23007}" name="sam.09119" dataDxfId="484"/>
    <tableColumn id="327" xr3:uid="{B6A2168B-DEF3-476B-9E7F-CE8946D839D5}" name="dim.10120" dataDxfId="483"/>
    <tableColumn id="328" xr3:uid="{47880087-D060-4F9C-8A79-9CC6B33DE935}" name="lun.11121" dataDxfId="482"/>
    <tableColumn id="329" xr3:uid="{C5031140-68B5-4BFB-BF70-CDBE44C7F4E0}" name="mar.12122" dataDxfId="481"/>
    <tableColumn id="330" xr3:uid="{EEF7B0FB-D585-4159-951D-84C3A65224C2}" name="mer.13123" dataDxfId="480"/>
    <tableColumn id="331" xr3:uid="{01724D60-9729-4BCE-A8FC-C119BC693CCA}" name="jeu.14124" dataDxfId="479"/>
    <tableColumn id="332" xr3:uid="{95B2D757-070E-451A-B967-9E5221940466}" name="ven.15125" dataDxfId="478"/>
    <tableColumn id="333" xr3:uid="{A4F66169-1F30-4077-ABDD-A9CCB60D53EB}" name="sam.16126" dataDxfId="477"/>
    <tableColumn id="334" xr3:uid="{09DCFF90-5F82-424C-AA5E-6D5F33F882DE}" name="dim.17127" dataDxfId="476"/>
    <tableColumn id="335" xr3:uid="{60831FDE-BEBE-430D-BD18-AD8C6A795C64}" name="lun.18128" dataDxfId="475"/>
    <tableColumn id="336" xr3:uid="{86A73176-A636-4A9A-8F15-654C5D5209AA}" name="mar.19129" dataDxfId="474"/>
    <tableColumn id="337" xr3:uid="{67B9E65B-A333-4C37-A125-B4F9A28AE8ED}" name="mer.20130" dataDxfId="473"/>
    <tableColumn id="338" xr3:uid="{ACE28378-3A57-4A08-9D99-C5B05CE195B5}" name="jeu.21131" dataDxfId="472"/>
    <tableColumn id="339" xr3:uid="{461D45E2-0349-4D07-A03E-A105DE3FC761}" name="ven.22132" dataDxfId="471"/>
    <tableColumn id="340" xr3:uid="{4D8AC51F-46C6-4F40-8F9E-56FD62D86EA6}" name="sam.23133" dataDxfId="470"/>
    <tableColumn id="341" xr3:uid="{207811B4-776C-4D71-AC92-61B8A37E312D}" name="dim.24134" dataDxfId="469"/>
    <tableColumn id="342" xr3:uid="{967DD783-78E6-4C12-BAEA-5C81372B17B6}" name="lun.25135" dataDxfId="468"/>
    <tableColumn id="343" xr3:uid="{3A8C3A90-A9E9-4DA5-A913-9A1E7B32B8BE}" name="mar.26136" dataDxfId="467"/>
    <tableColumn id="344" xr3:uid="{168ED761-D7A6-462E-B262-EA18612F2955}" name="mer.27137" dataDxfId="466"/>
    <tableColumn id="345" xr3:uid="{5901BD46-E111-47FB-8370-F0F0C131578B}" name="jeu.28138" dataDxfId="465"/>
    <tableColumn id="346" xr3:uid="{7477D392-97C5-4068-A2A6-B66314E8C135}" name="ven.29139" dataDxfId="464"/>
    <tableColumn id="347" xr3:uid="{C451EF15-164A-449A-B7AF-30663EBC2FD9}" name="sam.30140" dataDxfId="463"/>
    <tableColumn id="348" xr3:uid="{30AF827F-0FD8-41D6-835D-FBBCB76A974D}" name="dim.012141" dataDxfId="462"/>
    <tableColumn id="349" xr3:uid="{63451A9D-7709-427D-ACF5-9912BB17EEC8}" name="lun.023142" dataDxfId="461"/>
    <tableColumn id="350" xr3:uid="{268038F8-ECE6-43BB-8435-299B7DDEF712}" name="mar.034143" dataDxfId="460"/>
    <tableColumn id="351" xr3:uid="{FCD52DA6-FF3E-4112-8DB5-07BEBC2D8E19}" name="mer.045144" dataDxfId="459"/>
    <tableColumn id="352" xr3:uid="{A5AF7CAE-DE1C-49F7-9F9F-95494B9D2561}" name="jeu.056145" dataDxfId="458"/>
    <tableColumn id="353" xr3:uid="{F7FC9D29-21F9-42AF-93DF-D091EBC5DFFB}" name="ven.067146" dataDxfId="457"/>
    <tableColumn id="354" xr3:uid="{FCA5D521-15F1-4DA1-B4FE-944C5C2B69EF}" name="sam.078147" dataDxfId="456"/>
    <tableColumn id="355" xr3:uid="{A0F20055-BC84-42D2-A11B-C9348E36A421}" name="dim.089148" dataDxfId="455"/>
    <tableColumn id="356" xr3:uid="{36D6B12A-2B00-41A1-BFEC-A0D96F8827A8}" name="lun.0910149" dataDxfId="454"/>
    <tableColumn id="357" xr3:uid="{93A16234-57E5-4EF3-A9C1-06C57BD1F8FD}" name="mar.1011150" dataDxfId="453"/>
    <tableColumn id="358" xr3:uid="{EDBF694B-91D4-4F54-A1D6-32E763CB7402}" name="mer.1112151" dataDxfId="452"/>
    <tableColumn id="359" xr3:uid="{41F5FF17-0D92-48F0-ABCC-FD9CBAED9F71}" name="jeu.1213152" dataDxfId="451"/>
    <tableColumn id="360" xr3:uid="{621CFAA1-175F-40A4-8B5F-3DBBC07FF777}" name="ven.1314153" dataDxfId="450"/>
    <tableColumn id="361" xr3:uid="{F7B5BB93-B6D0-48D6-813B-05426A59A290}" name="sam.1415154" dataDxfId="449"/>
    <tableColumn id="362" xr3:uid="{0D5CEE4D-7779-4495-A954-E462EC7EE0FF}" name="dim.1516155" dataDxfId="448"/>
    <tableColumn id="363" xr3:uid="{1E71029A-27B5-4495-B824-28D8DEF22412}" name="lun.1617156" dataDxfId="447"/>
    <tableColumn id="364" xr3:uid="{AFEEC5C8-24FE-496C-89C4-344329B4E959}" name="mar.1718157" dataDxfId="446"/>
    <tableColumn id="365" xr3:uid="{596E3915-8B13-4B66-935F-46C5767D500C}" name="mer.1819158" dataDxfId="445"/>
    <tableColumn id="366" xr3:uid="{D05CF43B-9EB4-4FDF-808E-78A45F35E6D1}" name="jeu.1920159" dataDxfId="444"/>
    <tableColumn id="367" xr3:uid="{43B03519-BB4C-42BB-B90A-A00538FE88D1}" name="ven.2021160" dataDxfId="443"/>
    <tableColumn id="368" xr3:uid="{35CD4E11-75E1-4213-946B-28DC233BF523}" name="sam.2122161" dataDxfId="442"/>
    <tableColumn id="369" xr3:uid="{567BEEA1-1705-4D89-8FA0-C649EFF6D200}" name="dim.2223162" dataDxfId="441"/>
    <tableColumn id="370" xr3:uid="{651BCA95-90C0-4FF1-8C8B-3CD2FCC15FA9}" name="lun.2324163" dataDxfId="440"/>
    <tableColumn id="371" xr3:uid="{8534AEBE-623A-4B54-8CC7-727A02F67218}" name="mar.2425164" dataDxfId="439"/>
    <tableColumn id="372" xr3:uid="{34A81897-B646-4FFB-8D1B-F910B5335390}" name="mer.2526165" dataDxfId="438"/>
    <tableColumn id="373" xr3:uid="{82687B14-A437-458E-BC0B-FEFC2C388620}" name="jeu.2627166" dataDxfId="437"/>
    <tableColumn id="374" xr3:uid="{A72991C1-C8F3-4803-BF0E-F23CD8137FF9}" name="ven.2728167" dataDxfId="436"/>
    <tableColumn id="375" xr3:uid="{A5CA8DA2-9848-42F5-86AC-DD3D938E4259}" name="sam.2829168" dataDxfId="435"/>
    <tableColumn id="376" xr3:uid="{AC3C969E-C2F0-45FB-AC9D-534A8932382F}" name="dim.2930169" dataDxfId="434"/>
    <tableColumn id="377" xr3:uid="{3FF33496-F369-4162-9321-FAB615417A8D}" name="lun.1617170" dataDxfId="433"/>
    <tableColumn id="378" xr3:uid="{9DD72D00-F205-443B-90D8-DA3D1AE0EA88}" name="mar.1718171" dataDxfId="432"/>
    <tableColumn id="379" xr3:uid="{1DD56B81-C0FE-40F7-B423-99BE96E4C674}" name="mer.1819172" dataDxfId="431"/>
    <tableColumn id="380" xr3:uid="{6983F43C-B795-4BF6-8354-54A6204B1DA4}" name="jeu.1920173" dataDxfId="430"/>
    <tableColumn id="381" xr3:uid="{14EC6735-5908-4442-8E28-44811B7FE4B4}" name="ven.2021174" dataDxfId="429"/>
    <tableColumn id="382" xr3:uid="{046801C2-871E-469E-BC2E-103B4F2EF539}" name="sam.2122175" dataDxfId="428"/>
    <tableColumn id="383" xr3:uid="{ACE75940-7941-4502-A914-E5DD1CF4A5C7}" name="dim.2223176" dataDxfId="427"/>
    <tableColumn id="384" xr3:uid="{E7341631-1A58-4852-9822-D5DF6DD0DFBD}" name="lun.2324177" dataDxfId="426"/>
    <tableColumn id="385" xr3:uid="{E1F022B1-75D4-4FE0-A4A2-94CFA82B4BE4}" name="mar.2425178" dataDxfId="425"/>
    <tableColumn id="386" xr3:uid="{577B135D-FF88-49BE-A84B-75C6229B05A5}" name="mer.2526179" dataDxfId="424"/>
    <tableColumn id="387" xr3:uid="{C84A126B-7A21-4A8F-B99F-43DAEEE2832A}" name="jeu.2627180" dataDxfId="423"/>
    <tableColumn id="388" xr3:uid="{9E741E95-E8C7-4F0F-96F5-C9887B56A9E7}" name="ven.2728181" dataDxfId="422"/>
    <tableColumn id="389" xr3:uid="{FAD06D42-828B-4596-BD59-D6118FBF5EFA}" name="sam.2829182" dataDxfId="4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A6C6F-7A65-4652-9925-6B591CADE3D7}" name="Tableau134" displayName="Tableau134" ref="D4:NU39" totalsRowShown="0" headerRowDxfId="385" dataDxfId="383" headerRowBorderDxfId="384" tableBorderDxfId="382">
  <autoFilter ref="D4:NU39" xr:uid="{4CDAA245-43C0-4DFC-AAE3-2E3240E20B2B}"/>
  <sortState xmlns:xlrd2="http://schemas.microsoft.com/office/spreadsheetml/2017/richdata2" ref="D5:NU39">
    <sortCondition ref="E4:E39"/>
  </sortState>
  <tableColumns count="382">
    <tableColumn id="1" xr3:uid="{63A9A205-72F8-4A93-88DE-DC2865594FF6}" name="SOCIETE" dataDxfId="381"/>
    <tableColumn id="2" xr3:uid="{86A88776-4D11-4385-9AC5-5131C626A211}" name="STATUT" dataDxfId="380"/>
    <tableColumn id="3" xr3:uid="{E2A10EF6-A9CE-431B-9190-6D08E2347136}" name="FONCTION" dataDxfId="379"/>
    <tableColumn id="4" xr3:uid="{0A5D7A68-F43F-4907-B711-83C626FC38EB}" name="NOM" dataDxfId="378"/>
    <tableColumn id="5" xr3:uid="{176AD4B0-FBCB-4E91-8B37-1A58234EC0BC}" name="PRENOM" dataDxfId="377"/>
    <tableColumn id="6" xr3:uid="{A17E4A49-26B4-44BD-AFB8-6AD24CC1343F}" name="lun.10" dataDxfId="376"/>
    <tableColumn id="7" xr3:uid="{0F75F64D-5AAC-47E6-915F-F09D35E4F5DE}" name="mar.11" dataDxfId="375"/>
    <tableColumn id="8" xr3:uid="{F0FF187A-9696-4C2C-828A-5409A6A67263}" name="mer.12" dataDxfId="374"/>
    <tableColumn id="9" xr3:uid="{F5883E85-D18E-4735-8853-F8F3FF3D2BF0}" name="jeu.13" dataDxfId="373"/>
    <tableColumn id="10" xr3:uid="{4747A576-797C-4E16-980A-526EDEAC367E}" name="ven.14" dataDxfId="372"/>
    <tableColumn id="11" xr3:uid="{800CA376-E701-4005-B814-AAE17C742CA4}" name="Colonne1" dataDxfId="371"/>
    <tableColumn id="12" xr3:uid="{7453C557-44DC-4E01-BC8C-F7A3B805FF00}" name="dim.16" dataDxfId="370"/>
    <tableColumn id="13" xr3:uid="{1EDD2B74-EB02-4586-B2E7-B56A2B2C534B}" name="lun.17" dataDxfId="369"/>
    <tableColumn id="14" xr3:uid="{2895FD30-17E0-4DA2-AD6F-FEA4BE8B0379}" name="mar.18" dataDxfId="368"/>
    <tableColumn id="15" xr3:uid="{35608BE3-37F5-4E60-8524-BCF5C7CC4425}" name="mer.19" dataDxfId="367"/>
    <tableColumn id="16" xr3:uid="{687DD520-6BD8-4B84-8231-13F10ABD0C65}" name="jeu.20" dataDxfId="366"/>
    <tableColumn id="17" xr3:uid="{F79548A9-3876-4949-B80C-6E41E2680A5F}" name="ven.21" dataDxfId="365"/>
    <tableColumn id="18" xr3:uid="{5BD667FA-EF26-4874-B354-28CA46514010}" name="sam.22" dataDxfId="364"/>
    <tableColumn id="19" xr3:uid="{98422CCA-ACEA-4BAB-8578-7D065AF28B50}" name="dim.23" dataDxfId="363"/>
    <tableColumn id="20" xr3:uid="{34981B62-0E1B-47EE-98DB-3C25432B4DFF}" name="lun.24" dataDxfId="362"/>
    <tableColumn id="21" xr3:uid="{FFEE6DAC-4327-4B5A-AE1C-45182DA43035}" name="mar.25" dataDxfId="361"/>
    <tableColumn id="22" xr3:uid="{D8215E4C-86E1-4C42-82CF-4873AFEDCB47}" name="mer.26" dataDxfId="360"/>
    <tableColumn id="23" xr3:uid="{9DDBC168-CD10-4799-8837-D409B59318CE}" name="jeu.27" dataDxfId="359"/>
    <tableColumn id="24" xr3:uid="{02ACAE22-9DE1-4C4A-A280-AC92C4783EC3}" name="ven.28" dataDxfId="358"/>
    <tableColumn id="25" xr3:uid="{C76375D6-9886-48A1-93F2-8D962E453507}" name="sam.29" dataDxfId="357"/>
    <tableColumn id="26" xr3:uid="{B4C44A61-BB90-4074-B916-419E0116853E}" name="dim.30" dataDxfId="356"/>
    <tableColumn id="27" xr3:uid="{B47FE2EC-E223-4A88-A3A3-BA2A008A9096}" name="lun.01" dataDxfId="355"/>
    <tableColumn id="28" xr3:uid="{AB79B433-C526-47DB-8441-7502F3AA305F}" name="mar.02" dataDxfId="354"/>
    <tableColumn id="29" xr3:uid="{355907EA-4204-4D55-983F-47280BA5CC49}" name="mer.03" dataDxfId="353"/>
    <tableColumn id="30" xr3:uid="{E450B10A-113A-4E2F-A3C6-BF9C8D5A022C}" name="jeu.04" dataDxfId="352"/>
    <tableColumn id="31" xr3:uid="{064771B9-5531-47AD-B564-5276E5D9552F}" name="ven.05" dataDxfId="351"/>
    <tableColumn id="32" xr3:uid="{C81EB54F-C33D-4E24-983A-8283277F0167}" name="sam.06" dataDxfId="350"/>
    <tableColumn id="33" xr3:uid="{8FE974E6-8C36-44E2-B7BF-EB11472660D1}" name="dim.07" dataDxfId="349"/>
    <tableColumn id="34" xr3:uid="{A45359A9-F075-4F3D-A31D-E40E189864D0}" name="lun.08" dataDxfId="348"/>
    <tableColumn id="35" xr3:uid="{F9B9D100-F119-44BD-9256-2FE654AD3D3E}" name="mar.09" dataDxfId="347"/>
    <tableColumn id="36" xr3:uid="{F09EF6E4-5338-4522-8779-E8CEEF96B09D}" name="mer.10" dataDxfId="346"/>
    <tableColumn id="37" xr3:uid="{8ABEF779-771E-4D3F-8EE5-5CBFE69CCA1F}" name="jeu.11" dataDxfId="345"/>
    <tableColumn id="38" xr3:uid="{BA5E69B2-F138-47D9-9A9E-7C154B32D79D}" name="ven.12" dataDxfId="344"/>
    <tableColumn id="39" xr3:uid="{1FEAB7DE-434B-4B71-81B0-A2E7FB42032F}" name="sam.13" dataDxfId="343"/>
    <tableColumn id="40" xr3:uid="{61499CBB-96F8-4785-86F0-9311383CD0C2}" name="dim.14" dataDxfId="342"/>
    <tableColumn id="41" xr3:uid="{A0028376-0A69-41C8-BC3C-F8430B49DB6C}" name="lun.15" dataDxfId="341"/>
    <tableColumn id="42" xr3:uid="{C3C9A4C6-5AA0-4E71-8042-E61ECACA65F3}" name="mar.16" dataDxfId="340"/>
    <tableColumn id="43" xr3:uid="{06A48C26-E2ED-48CD-8C24-3CA5CF20A8DD}" name="mer.17" dataDxfId="339"/>
    <tableColumn id="44" xr3:uid="{8B4F4D42-EA94-4DFB-A3DE-47D4D6DB02CF}" name="jeu.18" dataDxfId="338"/>
    <tableColumn id="45" xr3:uid="{FC12FF86-5F0E-4B18-80DF-40176E4D11CA}" name="ven.19" dataDxfId="337"/>
    <tableColumn id="46" xr3:uid="{6A6CD37B-ECD9-4887-84DC-B59AFC28D758}" name="sam.20" dataDxfId="336"/>
    <tableColumn id="47" xr3:uid="{283F90AB-629E-4B5A-86BE-A7EE555178E7}" name="dim.21" dataDxfId="335"/>
    <tableColumn id="48" xr3:uid="{75DA042D-A948-4F6A-81A0-CBA7E81CFB9E}" name="lun.22" dataDxfId="334"/>
    <tableColumn id="49" xr3:uid="{D7E5040A-7341-4D8D-A836-A7253B45792C}" name="mar.23" dataDxfId="333"/>
    <tableColumn id="50" xr3:uid="{5B955956-69CF-4CDA-B187-F4F859A8C614}" name="mer.24" dataDxfId="332"/>
    <tableColumn id="51" xr3:uid="{0146CBCB-8EEF-42A4-97AE-A24264D50514}" name="jeu.25" dataDxfId="331"/>
    <tableColumn id="52" xr3:uid="{B2FEDED5-4C8C-4E06-ADE8-D7D20872117D}" name="ven.26" dataDxfId="330"/>
    <tableColumn id="53" xr3:uid="{B5824C07-EC8C-4F29-B7E5-3E10DED00066}" name="sam.27" dataDxfId="329"/>
    <tableColumn id="54" xr3:uid="{0FABDF1F-6620-471F-9250-17E3C81E5016}" name="dim.28" dataDxfId="328"/>
    <tableColumn id="55" xr3:uid="{DC0B3B93-43F0-485E-8366-6EF43F80178B}" name="lun.29" dataDxfId="327"/>
    <tableColumn id="56" xr3:uid="{1964E081-D959-45A4-8159-3B3C45C0089F}" name="mar.30" dataDxfId="326"/>
    <tableColumn id="57" xr3:uid="{C3F38C0D-F774-4170-9FC3-2F849D347CB8}" name="mer.31" dataDxfId="325"/>
    <tableColumn id="58" xr3:uid="{AF5E8789-0C58-41BA-8B5A-4F75F0F93B3A}" name="jeu.01" dataDxfId="324"/>
    <tableColumn id="59" xr3:uid="{600AD6DB-132E-4600-9D1A-F0C15622BE5A}" name="ven.02" dataDxfId="323"/>
    <tableColumn id="60" xr3:uid="{4F11DB6F-2A5F-488B-851A-762D8942FBC5}" name="sam.03" dataDxfId="322"/>
    <tableColumn id="61" xr3:uid="{01F27BC6-733E-4782-AB51-57B1D7267310}" name="dim.04" dataDxfId="321"/>
    <tableColumn id="62" xr3:uid="{FBD20165-1D52-4606-BAD6-D5C5553CC449}" name="lun.05" dataDxfId="320"/>
    <tableColumn id="63" xr3:uid="{A62684A1-0001-4955-BD83-65770D449EE8}" name="mar.06" dataDxfId="319"/>
    <tableColumn id="64" xr3:uid="{972A5515-2257-4319-9CAB-9184854A6060}" name="mer.07" dataDxfId="318"/>
    <tableColumn id="65" xr3:uid="{A4A4EE48-F871-475B-A0EF-2A43FA6D7CB5}" name="jeu.08" dataDxfId="317"/>
    <tableColumn id="66" xr3:uid="{DB489AA5-AAA8-4BAC-B641-DC7B73E1F93A}" name="ven.09" dataDxfId="316"/>
    <tableColumn id="67" xr3:uid="{2B91C87B-B596-49A6-AA9B-EF35BAC68A72}" name="sam.10" dataDxfId="315"/>
    <tableColumn id="68" xr3:uid="{1A2038D6-AA30-477C-B7C6-F5854CC710D4}" name="dim.11" dataDxfId="314"/>
    <tableColumn id="69" xr3:uid="{1DED74CA-F921-4214-96A2-AB704A0C4CD1}" name="lun.12" dataDxfId="313"/>
    <tableColumn id="70" xr3:uid="{9EA8CA5B-FC92-4718-A935-01819D6E247C}" name="mar.13" dataDxfId="312"/>
    <tableColumn id="71" xr3:uid="{42D06E96-7F13-4DFD-AC13-DB521A18A71E}" name="mer.14" dataDxfId="311"/>
    <tableColumn id="72" xr3:uid="{D338CA19-18EE-4358-AE8D-090ACD6DB8CB}" name="jeu.15" dataDxfId="310"/>
    <tableColumn id="73" xr3:uid="{B6CD9A19-79E3-4727-A155-E5E5958BCF0C}" name="ven.16" dataDxfId="309"/>
    <tableColumn id="74" xr3:uid="{03450388-6741-4227-9329-63EA060CBFD0}" name="sam.17" dataDxfId="308"/>
    <tableColumn id="75" xr3:uid="{4491E464-2D79-43B2-A02D-E3128C05A7C9}" name="dim.18" dataDxfId="307"/>
    <tableColumn id="76" xr3:uid="{611B84D0-097C-46D9-A85C-0F040CFCAA4F}" name="lun.19" dataDxfId="306"/>
    <tableColumn id="77" xr3:uid="{865AC47E-FA2B-4395-91E1-A56ED506591F}" name="mar.20" dataDxfId="305"/>
    <tableColumn id="78" xr3:uid="{8DAC6052-8248-41D4-B16E-7D9C975D3B97}" name="mer.21" dataDxfId="304"/>
    <tableColumn id="79" xr3:uid="{2C597EAC-F0C0-46CF-8C79-2CC0661DCA8F}" name="jeu.22" dataDxfId="303"/>
    <tableColumn id="80" xr3:uid="{8CCC4A3B-3B69-444E-9F93-88FDD8714912}" name="ven.23" dataDxfId="302"/>
    <tableColumn id="81" xr3:uid="{8453F2C0-BD66-429F-9743-A57331FBF256}" name="sam.24" dataDxfId="301"/>
    <tableColumn id="82" xr3:uid="{F04A17A3-F05F-4BAC-B2BE-545F7DA02B81}" name="dim.25" dataDxfId="300"/>
    <tableColumn id="83" xr3:uid="{9C4EA91A-CECE-4F62-BC87-55B448635E4F}" name="lun.26" dataDxfId="299"/>
    <tableColumn id="84" xr3:uid="{8364731F-C346-4A25-B49B-E17DF02EE422}" name="mar.27" dataDxfId="298"/>
    <tableColumn id="85" xr3:uid="{29378919-A7F0-4AF3-8B34-F5B589F2DA47}" name="mer.28" dataDxfId="297"/>
    <tableColumn id="86" xr3:uid="{9623786D-3B2E-42B1-B3BB-3626657EAA6C}" name="jeu.29" dataDxfId="296"/>
    <tableColumn id="87" xr3:uid="{AC2986AB-7A47-4DBD-B243-F8C06325DD98}" name="ven.30" dataDxfId="295"/>
    <tableColumn id="88" xr3:uid="{05AC9767-D850-450C-8DCB-8F49C12BF6E0}" name="sam.31" dataDxfId="294"/>
    <tableColumn id="89" xr3:uid="{DDD18BC5-9F78-4F47-8D3D-D4551D25D67E}" name="dim.01" dataDxfId="293"/>
    <tableColumn id="90" xr3:uid="{65870C80-BD48-4D67-ABBC-A9799087C496}" name="lun.02" dataDxfId="292"/>
    <tableColumn id="91" xr3:uid="{FE78B8FE-5BEC-4815-ADA1-5541E5B8D752}" name="mar.03" dataDxfId="291"/>
    <tableColumn id="92" xr3:uid="{A85D0723-B885-4418-8EA2-6236225A19DB}" name="mer.04" dataDxfId="290"/>
    <tableColumn id="93" xr3:uid="{FF5A50FB-CB11-4DED-8052-F75E3A7ACA48}" name="jeu.05" dataDxfId="289"/>
    <tableColumn id="94" xr3:uid="{6A5FAE95-695A-4804-AAF1-749E3162BBE0}" name="ven.06" dataDxfId="288"/>
    <tableColumn id="95" xr3:uid="{91664C8B-A180-4A12-BA70-5731C172CE9B}" name="sam.07" dataDxfId="287"/>
    <tableColumn id="96" xr3:uid="{2A8BC7A8-8A49-444C-AA04-AA3BF4C9A193}" name="dim.08" dataDxfId="286"/>
    <tableColumn id="97" xr3:uid="{F0A00E83-12CA-4756-ACC1-13E4C369143D}" name="lun.09" dataDxfId="285"/>
    <tableColumn id="98" xr3:uid="{F1829D7F-35F0-42F6-B092-43E295F8C8D6}" name="mar.10" dataDxfId="284"/>
    <tableColumn id="99" xr3:uid="{08EABF63-3D96-4479-A496-9ED0C334FBA0}" name="mer.11" dataDxfId="283"/>
    <tableColumn id="100" xr3:uid="{4416F7DD-8DD7-4D70-BCBF-EF00D57F19B7}" name="jeu.12" dataDxfId="282"/>
    <tableColumn id="101" xr3:uid="{E4E3CC84-A56A-46F5-9D35-6F736CF26893}" name="ven.13" dataDxfId="281"/>
    <tableColumn id="102" xr3:uid="{AF75A501-90CB-4C81-ACFF-013A8AC74AE7}" name="sam.14" dataDxfId="280"/>
    <tableColumn id="103" xr3:uid="{D379E6FB-3645-4FBC-943B-8B0327E1E9DC}" name="dim.15" dataDxfId="279"/>
    <tableColumn id="104" xr3:uid="{E063EDB5-4353-4B7F-A61F-DEC54BE4C2C8}" name="lun.16" dataDxfId="278"/>
    <tableColumn id="105" xr3:uid="{EE5BDD3F-63BA-4814-939C-48D0818120AE}" name="mar.17" dataDxfId="277"/>
    <tableColumn id="106" xr3:uid="{FE101048-7AFD-4340-97C7-326F75C690E4}" name="mer.18" dataDxfId="276"/>
    <tableColumn id="107" xr3:uid="{E0F8C8B0-6225-4C1D-A780-B4B38ADA67DF}" name="jeu.19" dataDxfId="275"/>
    <tableColumn id="108" xr3:uid="{BE5095F9-4228-4A1A-A46C-666E067BD781}" name="ven.20" dataDxfId="274"/>
    <tableColumn id="109" xr3:uid="{96D483A9-6FB1-4CE4-84BF-054B21C4213A}" name="sam.21" dataDxfId="273"/>
    <tableColumn id="110" xr3:uid="{04B28C06-785E-41DD-ADC4-1B7EF7E1CCA3}" name="dim.22" dataDxfId="272"/>
    <tableColumn id="111" xr3:uid="{CAC8174D-48F8-4A82-AB93-FBA13B255703}" name="lun.23" dataDxfId="271"/>
    <tableColumn id="112" xr3:uid="{DB7D9EB2-DD48-4BC3-A7F7-1222505318E1}" name="mar.24" dataDxfId="270"/>
    <tableColumn id="113" xr3:uid="{24E12F91-2850-4684-B7F8-3AFB4C1923BD}" name="mer.25" dataDxfId="269"/>
    <tableColumn id="114" xr3:uid="{A567E8F2-0580-4C55-BBF6-E77748A88105}" name="jeu.26" dataDxfId="268"/>
    <tableColumn id="115" xr3:uid="{C27C21DB-DC8C-4D32-89ED-6A143AA5CC39}" name="ven.27" dataDxfId="267"/>
    <tableColumn id="116" xr3:uid="{B1C4898B-B906-4E6D-9293-B71498BA4C69}" name="sam.28" dataDxfId="266"/>
    <tableColumn id="117" xr3:uid="{EC0A2455-4383-49DB-9CBB-102224E73C5B}" name="dim.29" dataDxfId="265"/>
    <tableColumn id="118" xr3:uid="{B4CCE18E-2614-4666-8A33-161DB78F6C20}" name="lun.30" dataDxfId="264"/>
    <tableColumn id="119" xr3:uid="{0046AD6A-E854-47DA-A292-C206F436E27E}" name="mar.01" dataDxfId="263"/>
    <tableColumn id="120" xr3:uid="{0CD96462-72A5-4BE2-9E76-76C3CDFE38A5}" name="mer.02" dataDxfId="262"/>
    <tableColumn id="121" xr3:uid="{F2ABB69C-CA6C-4391-9949-53CC42EF0D47}" name="jeu.03" dataDxfId="261"/>
    <tableColumn id="122" xr3:uid="{B684C371-FAA1-4C11-8254-1D3B732B63B9}" name="ven.04" dataDxfId="260"/>
    <tableColumn id="123" xr3:uid="{F0EF7F97-3C65-45A6-8A38-3E12E16361F7}" name="sam.05" dataDxfId="259"/>
    <tableColumn id="124" xr3:uid="{DE6365CF-A755-45E4-BA2A-B79CFDF1EEAB}" name="dim.06" dataDxfId="258"/>
    <tableColumn id="125" xr3:uid="{AEC8DE5D-750E-4B4E-9C7D-EB112503591F}" name="lun.07" dataDxfId="257"/>
    <tableColumn id="126" xr3:uid="{2751F312-7D41-4D42-AB0E-65BB9ECC595B}" name="mar.08" dataDxfId="256"/>
    <tableColumn id="127" xr3:uid="{341B79AB-1774-4E09-AD5B-3AFF0B531205}" name="mer.09" dataDxfId="255"/>
    <tableColumn id="128" xr3:uid="{3EAC6006-F136-4039-8C4D-BCCEF741AAC8}" name="jeu.10" dataDxfId="254"/>
    <tableColumn id="129" xr3:uid="{87E0DCC2-D259-46E5-AD7D-3A478FD2C0FE}" name="ven.11" dataDxfId="253"/>
    <tableColumn id="130" xr3:uid="{361E1A7E-29F0-4585-94EB-AD6C9F1798FC}" name="sam.12" dataDxfId="252"/>
    <tableColumn id="131" xr3:uid="{59681516-B932-4C7C-BE9D-92715AB7A6A2}" name="dim.13" dataDxfId="251"/>
    <tableColumn id="132" xr3:uid="{A8D1911A-FD26-4DDA-9D82-BAB313B9CBFC}" name="lun.14" dataDxfId="250"/>
    <tableColumn id="133" xr3:uid="{5D005D6B-29EC-4353-BD8E-DC9A658024E6}" name="mar.15" dataDxfId="249"/>
    <tableColumn id="134" xr3:uid="{A2267AD6-4AED-42E7-8013-DF1672EDED8E}" name="mer.16" dataDxfId="248"/>
    <tableColumn id="135" xr3:uid="{1FC17918-AA63-40BB-8C26-8D01597CF9CB}" name="jeu.17" dataDxfId="247"/>
    <tableColumn id="136" xr3:uid="{CDD67D91-3486-436C-9445-841F4B978498}" name="ven.18" dataDxfId="246"/>
    <tableColumn id="137" xr3:uid="{3DF7E866-CA68-4210-B549-391FCCD0566F}" name="sam.19" dataDxfId="245"/>
    <tableColumn id="138" xr3:uid="{1F092D8B-13A6-4F92-9004-8E5E0EF44AC6}" name="dim.20" dataDxfId="244"/>
    <tableColumn id="139" xr3:uid="{90F7F680-C90B-4A04-B2D5-043DD62D1296}" name="lun.21" dataDxfId="243"/>
    <tableColumn id="140" xr3:uid="{B5F194DA-E799-4FAF-BCF8-DC0B15D951C3}" name="mar.22" dataDxfId="242"/>
    <tableColumn id="141" xr3:uid="{9D9780E9-474D-4CAA-892B-7D1D9227DCDE}" name="mer.23" dataDxfId="241"/>
    <tableColumn id="142" xr3:uid="{4951DFA7-4307-4AA4-9CD4-DF14B6F4E643}" name="jeu.24" dataDxfId="240"/>
    <tableColumn id="143" xr3:uid="{19BAE162-6C2D-4BD0-826E-C383B4DC0358}" name="ven.25" dataDxfId="239"/>
    <tableColumn id="144" xr3:uid="{2C464A0E-5C52-47C7-A3AF-FB44384C52E4}" name="sam.26" dataDxfId="238"/>
    <tableColumn id="145" xr3:uid="{7F3A463D-77FC-4D8F-AFBC-A70D46EE0126}" name="dim.27" dataDxfId="237"/>
    <tableColumn id="146" xr3:uid="{56B8C173-6168-4A64-BB3D-9CDEC5E5498D}" name="lun.28" dataDxfId="236"/>
    <tableColumn id="147" xr3:uid="{E5F47AA7-0734-4265-B552-AE52FF1083B3}" name="mar.29" dataDxfId="235"/>
    <tableColumn id="148" xr3:uid="{2A6AB4CD-3045-4230-B8DA-0B2D35AFFB65}" name="mer.30" dataDxfId="234"/>
    <tableColumn id="149" xr3:uid="{8F37BDA4-C9E6-499A-AF72-218C1C91DC79}" name="jeu.31" dataDxfId="233"/>
    <tableColumn id="150" xr3:uid="{977FC91B-7A2E-48BE-8755-6A8A73D821A1}" name="ven.01" dataDxfId="232"/>
    <tableColumn id="151" xr3:uid="{FECF75B9-ED78-4155-9D64-3696F20C1B56}" name="sam.02" dataDxfId="231"/>
    <tableColumn id="152" xr3:uid="{15C2B642-AE5B-471F-8A1B-736034195782}" name="dim.03" dataDxfId="230"/>
    <tableColumn id="153" xr3:uid="{618DF8E4-8E72-454B-91D5-0E5851C01FB6}" name="lun.04" dataDxfId="229"/>
    <tableColumn id="154" xr3:uid="{CEB12760-7C08-432B-881D-E8A1D1003903}" name="mar.05" dataDxfId="228"/>
    <tableColumn id="155" xr3:uid="{FBD50E69-109F-4167-A7D0-16E2BCB1A6D4}" name="mer.06" dataDxfId="227"/>
    <tableColumn id="156" xr3:uid="{6D377DB4-65E8-48D4-A11A-4C3B9FCFEFE0}" name="jeu.07" dataDxfId="226"/>
    <tableColumn id="157" xr3:uid="{A2DBBE4F-9EBC-46A2-AAC0-16E86B30F5DA}" name="ven.08" dataDxfId="225"/>
    <tableColumn id="158" xr3:uid="{4CA9C2B4-FE3A-4AA6-BB62-C1BE7475E728}" name="sam.09" dataDxfId="224"/>
    <tableColumn id="159" xr3:uid="{13E7CD82-5AB9-48C2-97E4-86260036C07D}" name="dim.10" dataDxfId="223"/>
    <tableColumn id="160" xr3:uid="{7462AE13-4C00-41BC-BF01-4906091F433C}" name="lun.11" dataDxfId="222"/>
    <tableColumn id="161" xr3:uid="{915F659D-D939-4F96-8C6C-34129669E08F}" name="mar.12" dataDxfId="221"/>
    <tableColumn id="162" xr3:uid="{0EB81E74-F295-4C1E-B742-7068504DDBC8}" name="mer.13" dataDxfId="220"/>
    <tableColumn id="163" xr3:uid="{AFEBD627-D9B8-4CCF-A8EA-ABF3C435E17D}" name="jeu.14" dataDxfId="219"/>
    <tableColumn id="164" xr3:uid="{B431E40A-796B-494A-B570-3843C3AFE39E}" name="ven.15" dataDxfId="218"/>
    <tableColumn id="165" xr3:uid="{8DE2B652-2BDC-4F7B-86AA-7FFA456F3B39}" name="sam.16" dataDxfId="217"/>
    <tableColumn id="166" xr3:uid="{C974737E-5519-494A-81FA-21A6363F391C}" name="dim.17" dataDxfId="216"/>
    <tableColumn id="167" xr3:uid="{E2094D65-88A7-429A-B668-E821302E72B0}" name="lun.18" dataDxfId="215"/>
    <tableColumn id="168" xr3:uid="{0265BB60-651B-4D54-AA49-E89317BD79EC}" name="mar.19" dataDxfId="214"/>
    <tableColumn id="169" xr3:uid="{6FAB0E2B-EC82-4691-9321-61198240E91D}" name="mer.20" dataDxfId="213"/>
    <tableColumn id="170" xr3:uid="{573DCC3C-C896-41FC-834A-CB933F4D290A}" name="jeu.21" dataDxfId="212"/>
    <tableColumn id="171" xr3:uid="{6093C32D-632B-4E6B-B685-1A4D979D8500}" name="ven.22" dataDxfId="211"/>
    <tableColumn id="172" xr3:uid="{F3E5FB2F-2ED3-408B-9EEF-D35E0469A8B1}" name="sam.23" dataDxfId="210"/>
    <tableColumn id="173" xr3:uid="{A45B770D-D9B9-4E30-815B-71183126C1D9}" name="dim.24" dataDxfId="209"/>
    <tableColumn id="174" xr3:uid="{937B6EB9-1920-41E4-A74D-5D292E5E2398}" name="lun.25" dataDxfId="208"/>
    <tableColumn id="175" xr3:uid="{482C334D-F264-4B85-BE78-EA285797B06A}" name="mar.26" dataDxfId="207"/>
    <tableColumn id="176" xr3:uid="{90F2F461-8CDC-4DA4-8A84-5ED9C0051DC9}" name="mer.27" dataDxfId="206"/>
    <tableColumn id="177" xr3:uid="{BDEBD489-E79F-4F92-9D8B-0DE3F64664B3}" name="jeu.28" dataDxfId="205"/>
    <tableColumn id="178" xr3:uid="{F7971A3E-F24C-4612-8E17-8DBB15BFD5C5}" name="ven.29" dataDxfId="204"/>
    <tableColumn id="179" xr3:uid="{AC26B3C8-9567-4C2D-AE73-E2BA7AEA74CB}" name="sam.30" dataDxfId="203"/>
    <tableColumn id="180" xr3:uid="{BC1BE963-AE80-4CC1-A555-94F49D44592D}" name="dim.012" dataDxfId="202"/>
    <tableColumn id="181" xr3:uid="{C8AB47F3-CAA9-4CAE-8715-19E71613541D}" name="lun.023" dataDxfId="201"/>
    <tableColumn id="182" xr3:uid="{0BC76BDD-E5D9-4836-8DF7-25479FF51D58}" name="mar.034" dataDxfId="200"/>
    <tableColumn id="183" xr3:uid="{6C98511E-CC2C-4B51-920C-7551D68DA639}" name="mer.045" dataDxfId="199"/>
    <tableColumn id="184" xr3:uid="{9B9703E3-60B9-4E1F-B877-E3D6AC5D983B}" name="jeu.056" dataDxfId="198"/>
    <tableColumn id="185" xr3:uid="{FD01BE7E-5EE6-4FFC-9FC3-EDF1F28D13AE}" name="ven.067" dataDxfId="197"/>
    <tableColumn id="186" xr3:uid="{4151590E-B767-4BA3-B86B-C8D4CF8EA590}" name="sam.078" dataDxfId="196"/>
    <tableColumn id="187" xr3:uid="{A2EBCA79-DDFF-4EF4-BC2B-7FB7B72C0891}" name="dim.089" dataDxfId="195"/>
    <tableColumn id="188" xr3:uid="{D877A8F8-37DC-48CB-99CD-F0758F6F7EFD}" name="lun.0910" dataDxfId="194"/>
    <tableColumn id="189" xr3:uid="{EE030435-3D9C-4046-8EB6-CA46BF08B1E9}" name="mar.1011" dataDxfId="193"/>
    <tableColumn id="190" xr3:uid="{5A94DD05-41B3-407C-9955-5E5C237B5192}" name="mer.1112" dataDxfId="192"/>
    <tableColumn id="191" xr3:uid="{02EA3FDB-B632-431C-8233-0442FAC37DE5}" name="jeu.1213" dataDxfId="191"/>
    <tableColumn id="192" xr3:uid="{FAC31907-2C78-4C6C-B6BF-A18F9165EB0B}" name="ven.1314" dataDxfId="190"/>
    <tableColumn id="193" xr3:uid="{9491989B-6E99-4B67-A255-C9E3D7F2B429}" name="sam.1415" dataDxfId="189"/>
    <tableColumn id="194" xr3:uid="{06E90107-9215-46C7-943E-38137CB7376E}" name="dim.1516" dataDxfId="188"/>
    <tableColumn id="195" xr3:uid="{6656EDDE-D3C7-4C17-ABC8-348E7C834FC0}" name="lun.1617" dataDxfId="187"/>
    <tableColumn id="196" xr3:uid="{00AF6253-AB12-4295-B1F8-3659EA68C336}" name="mar.1718" dataDxfId="186"/>
    <tableColumn id="197" xr3:uid="{82DA8EEE-D3CF-4EC7-AD2B-62AEF029EF57}" name="mer.1819" dataDxfId="185"/>
    <tableColumn id="198" xr3:uid="{88F2A90A-CC12-48A3-A9E6-9AE5377C60A7}" name="jeu.1920" dataDxfId="184"/>
    <tableColumn id="199" xr3:uid="{E07F066D-D5ED-41E6-AC28-304ED1DA7E7D}" name="ven.2021" dataDxfId="183"/>
    <tableColumn id="200" xr3:uid="{D9A60769-CF64-49C3-B433-352778AF1640}" name="sam.2122" dataDxfId="182"/>
    <tableColumn id="201" xr3:uid="{E6292B0C-A13C-4194-A8E3-FE165BCB3631}" name="dim.2223" dataDxfId="181"/>
    <tableColumn id="202" xr3:uid="{CEA2B6FF-990D-4E4A-A7AC-9353B0432120}" name="lun.2324" dataDxfId="180"/>
    <tableColumn id="203" xr3:uid="{B015AB6B-8760-425F-8013-E76208C35616}" name="mar.2425" dataDxfId="179"/>
    <tableColumn id="204" xr3:uid="{012A2DF1-96A8-4A65-B9D6-56354DE5BFBA}" name="mer.2526" dataDxfId="178"/>
    <tableColumn id="205" xr3:uid="{C655CED3-727F-47A7-8881-F83F5D689614}" name="jeu.2627" dataDxfId="177"/>
    <tableColumn id="206" xr3:uid="{FF1E4D52-CB53-494E-BD2C-3B0B9BCBBA03}" name="ven.2728" dataDxfId="176"/>
    <tableColumn id="207" xr3:uid="{712158A6-B37C-44B1-91AD-B873ECFE8B52}" name="sam.2829" dataDxfId="175"/>
    <tableColumn id="208" xr3:uid="{69166961-388E-4A7D-9992-9AE812662D46}" name="dim.2930" dataDxfId="174"/>
    <tableColumn id="209" xr3:uid="{BA0F2040-8844-477F-B3FB-A9A66803D454}" name="lun.082" dataDxfId="173"/>
    <tableColumn id="210" xr3:uid="{A7B30F33-1BA5-48B5-8DC1-F480FB248922}" name="mar.093" dataDxfId="172"/>
    <tableColumn id="211" xr3:uid="{C72824A8-5744-4EF5-BF68-6C6C16E009BF}" name="mer.104" dataDxfId="171"/>
    <tableColumn id="212" xr3:uid="{69F1575D-8A49-49F3-9522-D83BD423573E}" name="jeu.115" dataDxfId="170"/>
    <tableColumn id="213" xr3:uid="{89D4A0DF-5924-42E1-ADA4-6B3AE12FFA5B}" name="ven.126" dataDxfId="169"/>
    <tableColumn id="214" xr3:uid="{777D95AA-2531-4A72-BC81-0267083BC9B0}" name="sam.137" dataDxfId="168"/>
    <tableColumn id="215" xr3:uid="{052D317A-A1C9-42CB-AE12-6142502CFBE8}" name="dim.148" dataDxfId="167"/>
    <tableColumn id="216" xr3:uid="{ED270090-E4EE-4FB6-977B-D9D75A2588BD}" name="lun.159" dataDxfId="166"/>
    <tableColumn id="217" xr3:uid="{B7727749-A571-45F7-B365-CC051D6C6509}" name="mar.1610" dataDxfId="165"/>
    <tableColumn id="218" xr3:uid="{4C4F1220-0DB3-42BB-9871-68D6015F0C97}" name="mer.1711" dataDxfId="164"/>
    <tableColumn id="219" xr3:uid="{576AA803-5412-405B-A934-190B0E3668C8}" name="jeu.1812" dataDxfId="163"/>
    <tableColumn id="220" xr3:uid="{89E68520-AE35-4C02-B0A6-EFFBCE5FCF96}" name="ven.1913" dataDxfId="162"/>
    <tableColumn id="221" xr3:uid="{8FC06161-1D93-4B5E-AB31-010C6CBF8DD1}" name="sam.2014" dataDxfId="161"/>
    <tableColumn id="222" xr3:uid="{BB7D4FF0-D0C6-4CD2-ADA0-A33875E94819}" name="dim.2115" dataDxfId="160"/>
    <tableColumn id="223" xr3:uid="{09AFAF9F-92C7-4B11-8472-B27F13D39067}" name="lun.2216" dataDxfId="159"/>
    <tableColumn id="224" xr3:uid="{4827BC73-9A68-4A38-95DB-BE1E29610334}" name="mar.2317" dataDxfId="158"/>
    <tableColumn id="225" xr3:uid="{137E0F77-D0AD-4077-9B5F-CD52B4547887}" name="mer.2418" dataDxfId="157"/>
    <tableColumn id="226" xr3:uid="{A659E15A-60B0-4481-93B0-34911F2C277D}" name="jeu.2519" dataDxfId="156"/>
    <tableColumn id="227" xr3:uid="{8C65DE92-594E-4EE8-B23B-F8432AD73F9A}" name="ven.2620" dataDxfId="155"/>
    <tableColumn id="228" xr3:uid="{A15227E6-BF0C-49D1-A616-380829424BDF}" name="sam.2721" dataDxfId="154"/>
    <tableColumn id="229" xr3:uid="{F5B5446B-603C-41E0-A63A-7A094687EEF3}" name="dim.2822" dataDxfId="153"/>
    <tableColumn id="230" xr3:uid="{A6E9ACF5-356A-4A35-9A1E-AEE0F738A2FB}" name="lun.2923" dataDxfId="152"/>
    <tableColumn id="231" xr3:uid="{57A76367-15EF-4C07-A15A-2796ABFE3A9D}" name="mar.3024" dataDxfId="151"/>
    <tableColumn id="232" xr3:uid="{0B0A2D96-C34E-4C1F-842C-F7F353CFE403}" name="mer.3125" dataDxfId="150"/>
    <tableColumn id="233" xr3:uid="{569E65DC-9816-4903-8582-76EE9A541DFD}" name="jeu.0126" dataDxfId="149"/>
    <tableColumn id="234" xr3:uid="{33E745FA-80B2-488F-B4F9-FCEAB1291837}" name="ven.0227" dataDxfId="148"/>
    <tableColumn id="235" xr3:uid="{E2DEE78E-56A8-41F2-9CD1-97D8A262FFCA}" name="sam.0328" dataDxfId="147"/>
    <tableColumn id="236" xr3:uid="{257E95F0-C570-47F9-941F-A0F90452A08C}" name="dim.0429" dataDxfId="146"/>
    <tableColumn id="237" xr3:uid="{D7820DDC-4BE5-44BA-8D76-CFA2C2BED041}" name="lun.0530" dataDxfId="145"/>
    <tableColumn id="238" xr3:uid="{38E59B38-D30C-4AB9-9D4C-358235C0387C}" name="mar.0631" dataDxfId="144"/>
    <tableColumn id="239" xr3:uid="{9714AABB-6B10-4E47-9829-3157CBACFE04}" name="mer.0732" dataDxfId="143"/>
    <tableColumn id="240" xr3:uid="{9110D233-F689-427D-95BC-94DF76440320}" name="jeu.0833" dataDxfId="142"/>
    <tableColumn id="241" xr3:uid="{BDF2BCCE-7931-4BA6-83AB-64E38B8E8D57}" name="ven.0934" dataDxfId="141"/>
    <tableColumn id="242" xr3:uid="{E636A3B8-9FE4-4E6E-B80B-5DEA717DAF64}" name="sam.1035" dataDxfId="140"/>
    <tableColumn id="243" xr3:uid="{063C4E68-4C33-4D81-97FE-1107BF1017E5}" name="dim.1136" dataDxfId="139"/>
    <tableColumn id="244" xr3:uid="{E2007CB7-95D9-4A1C-A5D6-B805EBE6AA6B}" name="lun.1237" dataDxfId="138"/>
    <tableColumn id="245" xr3:uid="{25333FCC-A5ED-4AB5-B3AD-0CF7261DCA92}" name="mar.1338" dataDxfId="137"/>
    <tableColumn id="246" xr3:uid="{6B0E608C-FD56-4292-9305-0A5E989B5917}" name="mer.1439" dataDxfId="136"/>
    <tableColumn id="247" xr3:uid="{D4AC3B81-10D3-4F50-856F-A0A04C48AA3C}" name="jeu.1540" dataDxfId="135"/>
    <tableColumn id="248" xr3:uid="{27E72B68-D944-43E3-847F-05644358A1F5}" name="ven.1641" dataDxfId="134"/>
    <tableColumn id="249" xr3:uid="{B6A2447C-BD54-4AC8-96B8-22CC2E7FFFB1}" name="sam.1742" dataDxfId="133"/>
    <tableColumn id="250" xr3:uid="{882FD196-E0A5-446D-B3F3-6741960424D9}" name="dim.1843" dataDxfId="132"/>
    <tableColumn id="251" xr3:uid="{7376F872-E4A0-484F-9312-50CC4C93D2D1}" name="lun.1944" dataDxfId="131"/>
    <tableColumn id="252" xr3:uid="{5E0F3160-6EE3-4848-B653-DA60B9BAEB3F}" name="mar.2045" dataDxfId="130"/>
    <tableColumn id="253" xr3:uid="{0DBCC580-D222-4FF8-962C-37A817632909}" name="mer.2146" dataDxfId="129"/>
    <tableColumn id="254" xr3:uid="{AD8EED85-ADD6-499C-8F03-696DFF527535}" name="jeu.2247" dataDxfId="128"/>
    <tableColumn id="255" xr3:uid="{4B60275D-BACA-4BB5-9D68-B5FE5F6B3F61}" name="ven.2348" dataDxfId="127"/>
    <tableColumn id="256" xr3:uid="{373153DF-FB68-4876-8C8E-024462DE288D}" name="sam.2449" dataDxfId="126"/>
    <tableColumn id="257" xr3:uid="{50082DE9-A01D-4376-9925-5BFA0A433E7D}" name="dim.2550" dataDxfId="125"/>
    <tableColumn id="258" xr3:uid="{5EC70D86-67F2-421D-9EE3-C59537620C58}" name="lun.2651" dataDxfId="124"/>
    <tableColumn id="259" xr3:uid="{0DC2547F-4085-401E-ACC8-41BE97BBF97E}" name="mar.2752" dataDxfId="123"/>
    <tableColumn id="260" xr3:uid="{84DDC582-31A4-45BA-B57C-0D529BD55AD2}" name="mer.2853" dataDxfId="122"/>
    <tableColumn id="261" xr3:uid="{1DF94AF3-E5DF-4EF5-80A9-6E75DC8BCC46}" name="jeu.2954" dataDxfId="121"/>
    <tableColumn id="262" xr3:uid="{D5BA3A02-1136-4F07-B35A-CAF141452F5D}" name="ven.3055" dataDxfId="120"/>
    <tableColumn id="263" xr3:uid="{E7C629CC-E40E-4F49-8D3A-F464BCB52A53}" name="sam.3156" dataDxfId="119"/>
    <tableColumn id="264" xr3:uid="{94979AEF-3F1D-4D33-AD05-18A84993C567}" name="dim.0157" dataDxfId="118"/>
    <tableColumn id="265" xr3:uid="{ABB9FFF6-37F1-42FE-A28F-DFA2AC1997E5}" name="lun.0258" dataDxfId="117"/>
    <tableColumn id="266" xr3:uid="{BC9D37BC-8B8A-4A17-9799-D40FAE4279A2}" name="mar.0359" dataDxfId="116"/>
    <tableColumn id="267" xr3:uid="{181D7030-9F11-4EB7-8E2C-7A70C72625FC}" name="mer.0460" dataDxfId="115"/>
    <tableColumn id="268" xr3:uid="{33833698-5B86-4016-A507-EC994224E441}" name="jeu.0561" dataDxfId="114"/>
    <tableColumn id="269" xr3:uid="{BFF807ED-59E3-4AA4-B52F-C4AACD156178}" name="ven.0662" dataDxfId="113"/>
    <tableColumn id="270" xr3:uid="{E341EACD-9030-4762-BE2A-D76BF88BE32E}" name="sam.0763" dataDxfId="112"/>
    <tableColumn id="271" xr3:uid="{DF021EDF-51C1-4D99-A2F8-C36B6B349704}" name="dim.0864" dataDxfId="111"/>
    <tableColumn id="272" xr3:uid="{F271B419-0528-46E1-A1EE-CEFFB0590967}" name="lun.0965" dataDxfId="110"/>
    <tableColumn id="273" xr3:uid="{0EE78A5B-A5A0-4B77-9664-CC819D7E7A97}" name="mar.1066" dataDxfId="109"/>
    <tableColumn id="274" xr3:uid="{E6898F43-8AE8-4556-96D3-D204B60D5507}" name="mer.1167" dataDxfId="108"/>
    <tableColumn id="275" xr3:uid="{E0AF104A-F343-4361-AC70-B95E884A6AC8}" name="jeu.1268" dataDxfId="107"/>
    <tableColumn id="276" xr3:uid="{DE645E41-5C4A-4CC7-B74E-106988251718}" name="ven.1369" dataDxfId="106"/>
    <tableColumn id="277" xr3:uid="{D34C979E-5EB3-48A4-9EB2-28288BEDAA3E}" name="sam.1470" dataDxfId="105"/>
    <tableColumn id="278" xr3:uid="{A98BBCC3-6E41-44A7-8246-EAF7F2BE5AA9}" name="dim.1571" dataDxfId="104"/>
    <tableColumn id="279" xr3:uid="{86095C4B-6738-4F74-B8EF-D96AB2B3AE16}" name="lun.1672" dataDxfId="103"/>
    <tableColumn id="280" xr3:uid="{906C128E-8180-4D7D-B816-0717FFE59D76}" name="mar.1773" dataDxfId="102"/>
    <tableColumn id="281" xr3:uid="{DB04943C-E290-4626-8C25-678354A86BB6}" name="mer.1874" dataDxfId="101"/>
    <tableColumn id="282" xr3:uid="{D1200560-BD38-4EA8-A82C-C21B762D2B0B}" name="jeu.1975" dataDxfId="100"/>
    <tableColumn id="283" xr3:uid="{27BAA9F1-CF79-40B7-B746-6937843ACC78}" name="ven.2076" dataDxfId="99"/>
    <tableColumn id="284" xr3:uid="{DBE7B37E-9CED-4502-84F0-320085C96D48}" name="sam.2177" dataDxfId="98"/>
    <tableColumn id="285" xr3:uid="{0C9B7630-5FD2-4DE8-83F7-016D59E75AAF}" name="dim.2278" dataDxfId="97"/>
    <tableColumn id="286" xr3:uid="{89C937DA-28CC-4611-AC38-0ACFA0A05FBF}" name="lun.2379" dataDxfId="96"/>
    <tableColumn id="287" xr3:uid="{3E100D56-B7C2-480C-8450-A523DE6B2C5D}" name="mar.2480" dataDxfId="95"/>
    <tableColumn id="288" xr3:uid="{23D64A59-0A89-498F-B973-F6C1A12D0929}" name="mer.2581" dataDxfId="94"/>
    <tableColumn id="289" xr3:uid="{3AD6B64F-1DA6-43E7-8824-5BF26283057F}" name="jeu.2682" dataDxfId="93"/>
    <tableColumn id="290" xr3:uid="{92AFB15A-0C93-490D-98B0-8F4924EC6B5A}" name="ven.2783" dataDxfId="92"/>
    <tableColumn id="291" xr3:uid="{FC203602-FD22-4ED8-BA2A-D6EAC13E8F9C}" name="sam.2884" dataDxfId="91"/>
    <tableColumn id="292" xr3:uid="{C8A720D3-097A-459F-BB1F-09858E079576}" name="dim.2985" dataDxfId="90"/>
    <tableColumn id="293" xr3:uid="{F661E42C-1E8E-49F2-9315-1C164C11250E}" name="lun.3086" dataDxfId="89"/>
    <tableColumn id="294" xr3:uid="{3EBD5B16-6202-44F9-811C-0AB1C900918F}" name="mar.0187" dataDxfId="88"/>
    <tableColumn id="295" xr3:uid="{CAECC40B-AF7B-4669-B055-EEEC6689E5B6}" name="mer.0288" dataDxfId="87"/>
    <tableColumn id="296" xr3:uid="{EB945849-8539-4BA3-82D1-76BF3BD38BF0}" name="jeu.0389" dataDxfId="86"/>
    <tableColumn id="297" xr3:uid="{84F56D86-28DF-42A4-B448-944C1C716718}" name="ven.0490" dataDxfId="85"/>
    <tableColumn id="298" xr3:uid="{CC7A65D2-942D-4239-8CC0-5F5FDE81CBA4}" name="sam.0591" dataDxfId="84"/>
    <tableColumn id="299" xr3:uid="{48D39858-B589-48A0-8BDC-0B48E8530BEA}" name="dim.0692" dataDxfId="83"/>
    <tableColumn id="300" xr3:uid="{3FE16F2B-DD38-4BAF-98C6-D293C5FEA512}" name="lun.0793" dataDxfId="82"/>
    <tableColumn id="301" xr3:uid="{1FB7D6FD-8AE7-4192-BAA1-9044029E2A9B}" name="mar.0894" dataDxfId="81"/>
    <tableColumn id="302" xr3:uid="{EE050757-3DDF-4E72-AD07-9B5A6F38B13E}" name="mer.0995" dataDxfId="80"/>
    <tableColumn id="303" xr3:uid="{D5B7FB6B-7485-453E-B109-80D83BD3089C}" name="jeu.1096" dataDxfId="79"/>
    <tableColumn id="304" xr3:uid="{340C041A-4741-4BF7-A321-CB1AA5AF73E4}" name="ven.1197" dataDxfId="78"/>
    <tableColumn id="305" xr3:uid="{BCEDF86A-F3AC-4FBD-B38C-1878B663781D}" name="sam.1298" dataDxfId="77"/>
    <tableColumn id="306" xr3:uid="{EE38735C-731B-48E9-8847-503FC61A17D9}" name="dim.1399" dataDxfId="76"/>
    <tableColumn id="307" xr3:uid="{8A49A97B-8823-4FDC-A9EC-5FAC5522B99D}" name="lun.14100" dataDxfId="75"/>
    <tableColumn id="308" xr3:uid="{D98EBA97-5A8E-44A6-A3B8-26EC95B9DE86}" name="mar.15101" dataDxfId="74"/>
    <tableColumn id="309" xr3:uid="{178110E5-EA08-4D59-B8A8-3A688808DD26}" name="mer.16102" dataDxfId="73"/>
    <tableColumn id="310" xr3:uid="{802F2784-1D35-49FA-B452-B55E1FCF4A08}" name="jeu.17103" dataDxfId="72"/>
    <tableColumn id="311" xr3:uid="{9EEF4635-FD6A-4FF3-82AD-915C6593BCB8}" name="ven.18104" dataDxfId="71"/>
    <tableColumn id="312" xr3:uid="{3E8C6F9E-F42B-430E-BEFB-568E77D47D7A}" name="sam.19105" dataDxfId="70"/>
    <tableColumn id="313" xr3:uid="{AB28D000-EDB3-495E-A6F1-35D2273946BE}" name="dim.20106" dataDxfId="69"/>
    <tableColumn id="314" xr3:uid="{F9024700-9DD0-406B-BD0C-F01F6C134438}" name="lun.21107" dataDxfId="68"/>
    <tableColumn id="315" xr3:uid="{57886B95-7C57-4EAC-A668-C23E53B4E10B}" name="mar.22108" dataDxfId="67"/>
    <tableColumn id="316" xr3:uid="{9A0B8331-6BBB-4A6D-A069-EE5021FE4A61}" name="mer.23109" dataDxfId="66"/>
    <tableColumn id="317" xr3:uid="{01FB20AD-7F3B-4002-BC40-B25AFCA76D99}" name="jeu.24110" dataDxfId="65"/>
    <tableColumn id="318" xr3:uid="{AC9CA81B-BCDD-4E84-AD51-5EB5AD611C5B}" name="ven.25111" dataDxfId="64"/>
    <tableColumn id="319" xr3:uid="{142B7CD5-7CF7-4BA3-A26B-332C04DBB21E}" name="sam.26112" dataDxfId="63"/>
    <tableColumn id="320" xr3:uid="{C627AB85-E1E4-4BC9-A11D-147E83C07256}" name="dim.27113" dataDxfId="62"/>
    <tableColumn id="321" xr3:uid="{673377BE-BBF3-4BF0-A4F0-EA79319CEF19}" name="lun.28114" dataDxfId="61"/>
    <tableColumn id="322" xr3:uid="{AD030E66-D247-4D21-B7E2-BF67647E0193}" name="mar.29115" dataDxfId="60"/>
    <tableColumn id="323" xr3:uid="{21BC5001-A65C-4F41-B552-59AF32147729}" name="mer.30116" dataDxfId="59"/>
    <tableColumn id="324" xr3:uid="{9681DB7A-B424-4DD8-AE5A-6797616245AC}" name="jeu.31117" dataDxfId="58"/>
    <tableColumn id="325" xr3:uid="{6A9BA33E-B2B9-478A-A2E2-B817D8C443B7}" name="ven.01118" dataDxfId="57"/>
    <tableColumn id="326" xr3:uid="{9BEC4D72-0505-4A25-8CA5-757AAA96812F}" name="sam.02119" dataDxfId="56"/>
    <tableColumn id="327" xr3:uid="{A559B251-1135-4EA3-9D5E-5959E7FE2443}" name="dim.03120" dataDxfId="55"/>
    <tableColumn id="328" xr3:uid="{4E0E7209-9D44-4557-9149-C46B824EFDC0}" name="lun.04121" dataDxfId="54"/>
    <tableColumn id="329" xr3:uid="{46A955B9-BF50-400E-A053-390639483DC5}" name="mar.05122" dataDxfId="53"/>
    <tableColumn id="330" xr3:uid="{792E9DF6-1CB8-4623-AE50-8597A2B1C39D}" name="mer.06123" dataDxfId="52"/>
    <tableColumn id="331" xr3:uid="{E2EBA670-1A31-4F07-ABA5-99B3EC3411C1}" name="jeu.07124" dataDxfId="51"/>
    <tableColumn id="332" xr3:uid="{B2A5475A-CF21-40FA-8E10-252A4BC15D1B}" name="ven.08125" dataDxfId="50"/>
    <tableColumn id="333" xr3:uid="{AC98B7BE-F82C-46A2-8741-58EE93261C62}" name="sam.09126" dataDxfId="49"/>
    <tableColumn id="334" xr3:uid="{173E3C7D-47BC-4037-8477-6B14323128E2}" name="dim.10127" dataDxfId="48"/>
    <tableColumn id="335" xr3:uid="{8348DA4D-CEA8-4EF1-8C0E-298DB11F5907}" name="lun.11128" dataDxfId="47"/>
    <tableColumn id="336" xr3:uid="{8919DD11-888E-4B42-8C2A-65F2580967DF}" name="mar.12129" dataDxfId="46"/>
    <tableColumn id="337" xr3:uid="{1229DF46-8B90-4E8C-AFE3-01EADAA0DCEB}" name="mer.13130" dataDxfId="45"/>
    <tableColumn id="338" xr3:uid="{D61D1943-D38F-4C96-89D6-455B8080FE74}" name="jeu.14131" dataDxfId="44"/>
    <tableColumn id="339" xr3:uid="{835B0751-14E4-47F1-8C63-579AADEBA385}" name="ven.15132" dataDxfId="43"/>
    <tableColumn id="340" xr3:uid="{3C1D113C-CC7A-46D9-97DA-97A51A9AC906}" name="sam.16133" dataDxfId="42"/>
    <tableColumn id="341" xr3:uid="{7C0C1884-BF5D-4135-8E0A-602BB9450C53}" name="dim.17134" dataDxfId="41"/>
    <tableColumn id="342" xr3:uid="{21AA5122-348B-4685-8A84-C9400FA46D72}" name="lun.18135" dataDxfId="40"/>
    <tableColumn id="343" xr3:uid="{2827B887-5E64-488C-B231-0B5F9A3271E1}" name="mar.19136" dataDxfId="39"/>
    <tableColumn id="344" xr3:uid="{4CDC60AD-BC3B-4887-811A-88A2A6D321F8}" name="mer.20137" dataDxfId="38"/>
    <tableColumn id="345" xr3:uid="{4A5AEFF1-C4A5-463A-B2C2-081924E6BE7C}" name="jeu.21138" dataDxfId="37"/>
    <tableColumn id="346" xr3:uid="{E5C79E43-4856-4A31-B297-4FF45A2F9FD2}" name="ven.22139" dataDxfId="36"/>
    <tableColumn id="347" xr3:uid="{76A9518F-C76C-4EC8-AE4C-E36F0FCF0051}" name="sam.23140" dataDxfId="35"/>
    <tableColumn id="348" xr3:uid="{85230907-FED4-4CA4-81BA-7D2BE1464FD4}" name="dim.24141" dataDxfId="34"/>
    <tableColumn id="349" xr3:uid="{D4AC64EF-CCA0-47A4-B1AE-5DFBEA13FF3E}" name="lun.25142" dataDxfId="33"/>
    <tableColumn id="350" xr3:uid="{CF8FF3AA-1C87-400B-A51B-4CA7DFBC0F33}" name="mar.26143" dataDxfId="32"/>
    <tableColumn id="351" xr3:uid="{AC208255-69FF-4520-9C5F-493D8515EF94}" name="mer.27144" dataDxfId="31"/>
    <tableColumn id="352" xr3:uid="{034E2F27-FC50-4563-83D2-3221AC4490B4}" name="jeu.28145" dataDxfId="30"/>
    <tableColumn id="353" xr3:uid="{46760ECF-4E0F-4036-BBEE-CDDF0A5FE827}" name="ven.29146" dataDxfId="29"/>
    <tableColumn id="354" xr3:uid="{D3A89414-6299-4EA5-AAC6-ABCE80A5B933}" name="sam.30147" dataDxfId="28"/>
    <tableColumn id="355" xr3:uid="{2BA789CB-D9D0-439A-B931-C06637A5E902}" name="dim.012148" dataDxfId="27"/>
    <tableColumn id="356" xr3:uid="{FF30DBC4-E468-448D-9515-5080B8C9D11B}" name="lun.023149" dataDxfId="26"/>
    <tableColumn id="357" xr3:uid="{1199CD0F-D317-4E20-84D1-FC30A20AA10C}" name="mar.034150" dataDxfId="25"/>
    <tableColumn id="358" xr3:uid="{25173D25-D02B-4792-81B5-EDD974191628}" name="mer.045151" dataDxfId="24"/>
    <tableColumn id="359" xr3:uid="{1CFCF5EA-54F4-4818-808B-075EFCA12BE0}" name="jeu.056152" dataDxfId="23"/>
    <tableColumn id="360" xr3:uid="{62F2CDAC-8C86-48C8-AA30-F3ABFBF3FAB5}" name="ven.067153" dataDxfId="22"/>
    <tableColumn id="361" xr3:uid="{974F7E0E-3B3E-41D1-98F9-AB4D21B05C2E}" name="sam.078154" dataDxfId="21"/>
    <tableColumn id="362" xr3:uid="{0B69458A-DF7D-4154-A3B2-254939AC09EC}" name="dim.089155" dataDxfId="20"/>
    <tableColumn id="363" xr3:uid="{1D0A625E-BA6D-4526-9E90-D404729DDB70}" name="lun.0910156" dataDxfId="19"/>
    <tableColumn id="364" xr3:uid="{1B0B5211-DDE6-4982-817F-C9BD2A0958C1}" name="mar.1011157" dataDxfId="18"/>
    <tableColumn id="365" xr3:uid="{F897AC09-7D8E-48C9-A645-F4B98A3FE661}" name="mer.1112158" dataDxfId="17"/>
    <tableColumn id="366" xr3:uid="{16755D5E-ED2E-4679-8F4B-9836D13DFBCF}" name="jeu.1213159" dataDxfId="16"/>
    <tableColumn id="367" xr3:uid="{FABA4003-4336-4265-8587-11ED681843DC}" name="ven.1314160" dataDxfId="15"/>
    <tableColumn id="368" xr3:uid="{E5C40478-B911-44AB-A9CF-43753D429A87}" name="sam.1415161" dataDxfId="14"/>
    <tableColumn id="369" xr3:uid="{9CF07AC9-090C-453A-BCD7-97FC93475FDC}" name="dim.1516162" dataDxfId="13"/>
    <tableColumn id="370" xr3:uid="{7F8CCB3A-03BF-4A05-8758-D3525FD82E60}" name="lun.1617163" dataDxfId="12"/>
    <tableColumn id="371" xr3:uid="{F3618932-6307-4599-9B63-16E7413DE2D5}" name="mar.1718164" dataDxfId="11"/>
    <tableColumn id="372" xr3:uid="{1E8E66D5-F299-4C2A-B6C6-D21AB16B6301}" name="mer.1819165" dataDxfId="10"/>
    <tableColumn id="373" xr3:uid="{A4ADD868-BE5F-407E-8FFA-D5A7CD190B10}" name="jeu.1920166" dataDxfId="9"/>
    <tableColumn id="374" xr3:uid="{EE0F9456-2DE8-4E64-8B00-1319A4123791}" name="ven.2021167" dataDxfId="8"/>
    <tableColumn id="375" xr3:uid="{6E069150-B558-4761-A7C4-774E3128C81E}" name="sam.2122168" dataDxfId="7"/>
    <tableColumn id="376" xr3:uid="{430CCC6D-07C4-44CA-B215-B1A323AD6C26}" name="dim.2223169" dataDxfId="6"/>
    <tableColumn id="377" xr3:uid="{989529AF-10B1-40A7-9B5C-2319F212BABF}" name="lun.2324170" dataDxfId="5"/>
    <tableColumn id="378" xr3:uid="{DE8BEE19-2F50-49E8-B2BF-9A756F903928}" name="mar.2425171" dataDxfId="4"/>
    <tableColumn id="379" xr3:uid="{DFA31889-52FB-4CB2-B17B-B331C6860B79}" name="mer.2526172" dataDxfId="3"/>
    <tableColumn id="380" xr3:uid="{54C7F8CB-1893-4539-8845-38484F45E9A1}" name="jeu.2627173" dataDxfId="2"/>
    <tableColumn id="381" xr3:uid="{1A92E396-9E39-4AA5-BD4D-BB1314EA9498}" name="ven.2728174" dataDxfId="1"/>
    <tableColumn id="382" xr3:uid="{21CB8DE3-CDFA-455D-B57A-F89CF6C7B8A3}" name="sam.282917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03AC-4A18-45D4-9A39-5F5C716D4FEF}">
  <sheetPr codeName="Feuil1"/>
  <dimension ref="B1:HI131"/>
  <sheetViews>
    <sheetView showGridLines="0" zoomScaleNormal="100" workbookViewId="0">
      <pane xSplit="10" topLeftCell="K1" activePane="topRight" state="frozen"/>
      <selection activeCell="G46" sqref="G46"/>
      <selection pane="topRight" activeCell="G46" sqref="G46"/>
    </sheetView>
  </sheetViews>
  <sheetFormatPr baseColWidth="10" defaultRowHeight="14.4" x14ac:dyDescent="0.3"/>
  <cols>
    <col min="1" max="1" width="2.5546875" customWidth="1"/>
    <col min="2" max="2" width="0.109375" customWidth="1"/>
    <col min="3" max="3" width="6.77734375" hidden="1" customWidth="1"/>
    <col min="4" max="5" width="11.5546875" hidden="1" customWidth="1"/>
    <col min="6" max="6" width="7.77734375" style="64" customWidth="1"/>
    <col min="9" max="10" width="18.77734375" style="140" customWidth="1"/>
    <col min="11" max="11" width="7.44140625" customWidth="1"/>
    <col min="12" max="15" width="5.77734375" customWidth="1"/>
    <col min="16" max="17" width="3.33203125" customWidth="1"/>
    <col min="18" max="22" width="5.77734375" customWidth="1"/>
    <col min="23" max="24" width="3.33203125" customWidth="1"/>
    <col min="25" max="29" width="5.77734375" customWidth="1"/>
    <col min="30" max="31" width="3.33203125" customWidth="1"/>
    <col min="32" max="36" width="5.77734375" customWidth="1"/>
    <col min="37" max="38" width="3.33203125" customWidth="1"/>
    <col min="39" max="43" width="5.77734375" customWidth="1"/>
    <col min="44" max="45" width="3.33203125" customWidth="1"/>
    <col min="46" max="50" width="5.77734375" customWidth="1"/>
    <col min="51" max="52" width="3.33203125" customWidth="1"/>
    <col min="53" max="57" width="5.77734375" customWidth="1"/>
    <col min="58" max="59" width="3.33203125" customWidth="1"/>
    <col min="60" max="64" width="5.77734375" customWidth="1"/>
    <col min="65" max="66" width="3.33203125" customWidth="1"/>
    <col min="67" max="71" width="5.77734375" customWidth="1"/>
    <col min="72" max="73" width="3.33203125" customWidth="1"/>
    <col min="74" max="78" width="5.77734375" customWidth="1"/>
    <col min="79" max="80" width="3.33203125" customWidth="1"/>
    <col min="81" max="85" width="5.77734375" customWidth="1"/>
    <col min="86" max="87" width="3.33203125" customWidth="1"/>
    <col min="88" max="92" width="5.77734375" customWidth="1"/>
    <col min="93" max="94" width="3.33203125" customWidth="1"/>
    <col min="95" max="99" width="5.77734375" customWidth="1"/>
    <col min="100" max="101" width="3.33203125" customWidth="1"/>
    <col min="102" max="106" width="5.77734375" customWidth="1"/>
    <col min="107" max="108" width="3.33203125" customWidth="1"/>
    <col min="109" max="113" width="5.77734375" customWidth="1"/>
    <col min="114" max="115" width="3.33203125" customWidth="1"/>
    <col min="116" max="120" width="5.77734375" customWidth="1"/>
    <col min="121" max="122" width="3.33203125" customWidth="1"/>
    <col min="123" max="127" width="5.77734375" customWidth="1"/>
    <col min="128" max="129" width="3.33203125" customWidth="1"/>
    <col min="130" max="134" width="5.77734375" customWidth="1"/>
    <col min="135" max="136" width="3.33203125" customWidth="1"/>
    <col min="137" max="141" width="5.77734375" customWidth="1"/>
    <col min="142" max="143" width="3.33203125" customWidth="1"/>
    <col min="144" max="148" width="5.77734375" customWidth="1"/>
    <col min="149" max="150" width="3.33203125" customWidth="1"/>
    <col min="151" max="155" width="5.77734375" customWidth="1"/>
    <col min="156" max="157" width="3.33203125" customWidth="1"/>
    <col min="158" max="162" width="5.77734375" customWidth="1"/>
    <col min="163" max="164" width="3.33203125" customWidth="1"/>
    <col min="165" max="169" width="5.77734375" customWidth="1"/>
    <col min="170" max="171" width="3.33203125" customWidth="1"/>
    <col min="172" max="176" width="5.77734375" customWidth="1"/>
    <col min="177" max="178" width="3.33203125" customWidth="1"/>
    <col min="179" max="183" width="5.77734375" customWidth="1"/>
    <col min="184" max="185" width="3.33203125" customWidth="1"/>
    <col min="186" max="190" width="5.77734375" customWidth="1"/>
    <col min="191" max="192" width="3.33203125" customWidth="1"/>
    <col min="193" max="197" width="5.77734375" customWidth="1"/>
    <col min="198" max="199" width="3.33203125" customWidth="1"/>
    <col min="200" max="204" width="5.77734375" customWidth="1"/>
    <col min="205" max="206" width="3.33203125" customWidth="1"/>
    <col min="207" max="211" width="5.77734375" customWidth="1"/>
    <col min="212" max="213" width="3.33203125" customWidth="1"/>
  </cols>
  <sheetData>
    <row r="1" spans="2:217" ht="15" thickBot="1" x14ac:dyDescent="0.35"/>
    <row r="2" spans="2:217" x14ac:dyDescent="0.3">
      <c r="K2" s="383" t="str">
        <f>"S"&amp;WEEKNUM(K3)</f>
        <v>S24</v>
      </c>
      <c r="L2" s="384"/>
      <c r="M2" s="384"/>
      <c r="N2" s="384"/>
      <c r="O2" s="384"/>
      <c r="P2" s="384"/>
      <c r="Q2" s="385"/>
      <c r="R2" s="383" t="str">
        <f>"S"&amp;WEEKNUM(R3)</f>
        <v>S25</v>
      </c>
      <c r="S2" s="384"/>
      <c r="T2" s="384"/>
      <c r="U2" s="384"/>
      <c r="V2" s="384"/>
      <c r="W2" s="384"/>
      <c r="X2" s="385"/>
      <c r="Y2" s="383" t="str">
        <f>"S"&amp;WEEKNUM(Y3)</f>
        <v>S26</v>
      </c>
      <c r="Z2" s="384"/>
      <c r="AA2" s="384"/>
      <c r="AB2" s="384"/>
      <c r="AC2" s="384"/>
      <c r="AD2" s="384"/>
      <c r="AE2" s="385"/>
      <c r="AF2" s="383" t="str">
        <f>"S"&amp;WEEKNUM(AF3)</f>
        <v>S27</v>
      </c>
      <c r="AG2" s="384"/>
      <c r="AH2" s="384"/>
      <c r="AI2" s="384"/>
      <c r="AJ2" s="384"/>
      <c r="AK2" s="384"/>
      <c r="AL2" s="385"/>
      <c r="AM2" s="383" t="str">
        <f>"S"&amp;WEEKNUM(AM3)</f>
        <v>S28</v>
      </c>
      <c r="AN2" s="384"/>
      <c r="AO2" s="384"/>
      <c r="AP2" s="384"/>
      <c r="AQ2" s="384"/>
      <c r="AR2" s="384"/>
      <c r="AS2" s="385"/>
      <c r="AT2" s="383" t="str">
        <f>"S"&amp;WEEKNUM(AT3)</f>
        <v>S29</v>
      </c>
      <c r="AU2" s="384"/>
      <c r="AV2" s="384"/>
      <c r="AW2" s="384"/>
      <c r="AX2" s="384"/>
      <c r="AY2" s="384"/>
      <c r="AZ2" s="385"/>
      <c r="BA2" s="383" t="str">
        <f>"S"&amp;WEEKNUM(BA3)</f>
        <v>S30</v>
      </c>
      <c r="BB2" s="384"/>
      <c r="BC2" s="384"/>
      <c r="BD2" s="384"/>
      <c r="BE2" s="384"/>
      <c r="BF2" s="384"/>
      <c r="BG2" s="385"/>
      <c r="BH2" s="383" t="str">
        <f>"S"&amp;WEEKNUM(BH3)</f>
        <v>S31</v>
      </c>
      <c r="BI2" s="384"/>
      <c r="BJ2" s="384"/>
      <c r="BK2" s="384"/>
      <c r="BL2" s="384"/>
      <c r="BM2" s="384"/>
      <c r="BN2" s="385"/>
      <c r="BO2" s="383" t="str">
        <f>"S"&amp;WEEKNUM(BO3)</f>
        <v>S32</v>
      </c>
      <c r="BP2" s="384"/>
      <c r="BQ2" s="384"/>
      <c r="BR2" s="384"/>
      <c r="BS2" s="384"/>
      <c r="BT2" s="384"/>
      <c r="BU2" s="385"/>
      <c r="BV2" s="383" t="str">
        <f>"S"&amp;WEEKNUM(BV3)</f>
        <v>S33</v>
      </c>
      <c r="BW2" s="384"/>
      <c r="BX2" s="384"/>
      <c r="BY2" s="384"/>
      <c r="BZ2" s="384"/>
      <c r="CA2" s="384"/>
      <c r="CB2" s="385"/>
      <c r="CC2" s="383" t="str">
        <f>"S"&amp;WEEKNUM(CC3)</f>
        <v>S34</v>
      </c>
      <c r="CD2" s="384"/>
      <c r="CE2" s="384"/>
      <c r="CF2" s="384"/>
      <c r="CG2" s="384"/>
      <c r="CH2" s="384"/>
      <c r="CI2" s="385"/>
      <c r="CJ2" s="383" t="str">
        <f>"S"&amp;WEEKNUM(CJ3)</f>
        <v>S35</v>
      </c>
      <c r="CK2" s="384"/>
      <c r="CL2" s="384"/>
      <c r="CM2" s="384"/>
      <c r="CN2" s="384"/>
      <c r="CO2" s="384"/>
      <c r="CP2" s="385"/>
      <c r="CQ2" s="383" t="str">
        <f>"S"&amp;WEEKNUM(CQ3)</f>
        <v>S36</v>
      </c>
      <c r="CR2" s="384"/>
      <c r="CS2" s="384"/>
      <c r="CT2" s="384"/>
      <c r="CU2" s="384"/>
      <c r="CV2" s="384"/>
      <c r="CW2" s="385"/>
      <c r="CX2" s="383" t="str">
        <f>"S"&amp;WEEKNUM(CX3)</f>
        <v>S37</v>
      </c>
      <c r="CY2" s="384"/>
      <c r="CZ2" s="384"/>
      <c r="DA2" s="384"/>
      <c r="DB2" s="384"/>
      <c r="DC2" s="384"/>
      <c r="DD2" s="385"/>
      <c r="DE2" s="383" t="str">
        <f>"S"&amp;WEEKNUM(DE3)</f>
        <v>S38</v>
      </c>
      <c r="DF2" s="384"/>
      <c r="DG2" s="384"/>
      <c r="DH2" s="384"/>
      <c r="DI2" s="384"/>
      <c r="DJ2" s="384"/>
      <c r="DK2" s="385"/>
      <c r="DL2" s="383" t="str">
        <f>"S"&amp;WEEKNUM(DL3)</f>
        <v>S39</v>
      </c>
      <c r="DM2" s="384"/>
      <c r="DN2" s="384"/>
      <c r="DO2" s="384"/>
      <c r="DP2" s="384"/>
      <c r="DQ2" s="384"/>
      <c r="DR2" s="385"/>
      <c r="DS2" s="383" t="str">
        <f>"S"&amp;WEEKNUM(DS3)</f>
        <v>S40</v>
      </c>
      <c r="DT2" s="384"/>
      <c r="DU2" s="384"/>
      <c r="DV2" s="384"/>
      <c r="DW2" s="384"/>
      <c r="DX2" s="384"/>
      <c r="DY2" s="385"/>
      <c r="DZ2" s="383" t="str">
        <f>"S"&amp;WEEKNUM(DZ3)</f>
        <v>S41</v>
      </c>
      <c r="EA2" s="384"/>
      <c r="EB2" s="384"/>
      <c r="EC2" s="384"/>
      <c r="ED2" s="384"/>
      <c r="EE2" s="384"/>
      <c r="EF2" s="385"/>
      <c r="EG2" s="383" t="str">
        <f>"S"&amp;WEEKNUM(EG3)</f>
        <v>S42</v>
      </c>
      <c r="EH2" s="384"/>
      <c r="EI2" s="384"/>
      <c r="EJ2" s="384"/>
      <c r="EK2" s="384"/>
      <c r="EL2" s="384"/>
      <c r="EM2" s="385"/>
      <c r="EN2" s="383" t="str">
        <f>"S"&amp;WEEKNUM(EN3)</f>
        <v>S43</v>
      </c>
      <c r="EO2" s="384"/>
      <c r="EP2" s="384"/>
      <c r="EQ2" s="384"/>
      <c r="ER2" s="384"/>
      <c r="ES2" s="384"/>
      <c r="ET2" s="385"/>
      <c r="EU2" s="383" t="str">
        <f>"S"&amp;WEEKNUM(EU3)</f>
        <v>S44</v>
      </c>
      <c r="EV2" s="384"/>
      <c r="EW2" s="384"/>
      <c r="EX2" s="384"/>
      <c r="EY2" s="384"/>
      <c r="EZ2" s="384"/>
      <c r="FA2" s="385"/>
      <c r="FB2" s="383" t="str">
        <f>"S"&amp;WEEKNUM(FB3)</f>
        <v>S45</v>
      </c>
      <c r="FC2" s="384"/>
      <c r="FD2" s="384"/>
      <c r="FE2" s="384"/>
      <c r="FF2" s="384"/>
      <c r="FG2" s="384"/>
      <c r="FH2" s="385"/>
      <c r="FI2" s="383" t="str">
        <f>"S"&amp;WEEKNUM(FI3)</f>
        <v>S46</v>
      </c>
      <c r="FJ2" s="384"/>
      <c r="FK2" s="384"/>
      <c r="FL2" s="384"/>
      <c r="FM2" s="384"/>
      <c r="FN2" s="384"/>
      <c r="FO2" s="385"/>
      <c r="FP2" s="383" t="str">
        <f>"S"&amp;WEEKNUM(FP3)</f>
        <v>S47</v>
      </c>
      <c r="FQ2" s="384"/>
      <c r="FR2" s="384"/>
      <c r="FS2" s="384"/>
      <c r="FT2" s="384"/>
      <c r="FU2" s="384"/>
      <c r="FV2" s="385"/>
      <c r="FW2" s="383" t="str">
        <f>"S"&amp;WEEKNUM(FW3)</f>
        <v>S48</v>
      </c>
      <c r="FX2" s="384"/>
      <c r="FY2" s="384"/>
      <c r="FZ2" s="384"/>
      <c r="GA2" s="384"/>
      <c r="GB2" s="384"/>
      <c r="GC2" s="385"/>
      <c r="GD2" s="383" t="str">
        <f>"S"&amp;WEEKNUM(GD3)</f>
        <v>S49</v>
      </c>
      <c r="GE2" s="384"/>
      <c r="GF2" s="384"/>
      <c r="GG2" s="384"/>
      <c r="GH2" s="384"/>
      <c r="GI2" s="384"/>
      <c r="GJ2" s="385"/>
      <c r="GK2" s="383" t="str">
        <f>"S"&amp;WEEKNUM(GK3)</f>
        <v>S50</v>
      </c>
      <c r="GL2" s="384"/>
      <c r="GM2" s="384"/>
      <c r="GN2" s="384"/>
      <c r="GO2" s="384"/>
      <c r="GP2" s="384"/>
      <c r="GQ2" s="385"/>
      <c r="GR2" s="383" t="str">
        <f>"S"&amp;WEEKNUM(GR3)</f>
        <v>S51</v>
      </c>
      <c r="GS2" s="384"/>
      <c r="GT2" s="384"/>
      <c r="GU2" s="384"/>
      <c r="GV2" s="384"/>
      <c r="GW2" s="384"/>
      <c r="GX2" s="385"/>
      <c r="GY2" s="383" t="str">
        <f>"S"&amp;WEEKNUM(GY3)</f>
        <v>S52</v>
      </c>
      <c r="GZ2" s="384"/>
      <c r="HA2" s="384"/>
      <c r="HB2" s="384"/>
      <c r="HC2" s="384"/>
      <c r="HD2" s="384"/>
      <c r="HE2" s="385"/>
    </row>
    <row r="3" spans="2:217" ht="15" thickBot="1" x14ac:dyDescent="0.35">
      <c r="K3" s="130">
        <v>45453</v>
      </c>
      <c r="L3" s="131">
        <v>45454</v>
      </c>
      <c r="M3" s="131">
        <v>45455</v>
      </c>
      <c r="N3" s="131">
        <v>45456</v>
      </c>
      <c r="O3" s="131">
        <v>45457</v>
      </c>
      <c r="P3" s="131">
        <v>45458</v>
      </c>
      <c r="Q3" s="132">
        <v>45459</v>
      </c>
      <c r="R3" s="130">
        <v>45460</v>
      </c>
      <c r="S3" s="131">
        <v>45461</v>
      </c>
      <c r="T3" s="131">
        <v>45462</v>
      </c>
      <c r="U3" s="131">
        <v>45463</v>
      </c>
      <c r="V3" s="131">
        <v>45464</v>
      </c>
      <c r="W3" s="131">
        <v>45465</v>
      </c>
      <c r="X3" s="132">
        <v>45466</v>
      </c>
      <c r="Y3" s="130">
        <v>45467</v>
      </c>
      <c r="Z3" s="131">
        <v>45468</v>
      </c>
      <c r="AA3" s="131">
        <v>45469</v>
      </c>
      <c r="AB3" s="131">
        <v>45470</v>
      </c>
      <c r="AC3" s="131">
        <v>45471</v>
      </c>
      <c r="AD3" s="131">
        <v>45472</v>
      </c>
      <c r="AE3" s="132">
        <v>45473</v>
      </c>
      <c r="AF3" s="130">
        <v>45474</v>
      </c>
      <c r="AG3" s="131">
        <v>45475</v>
      </c>
      <c r="AH3" s="131">
        <v>45476</v>
      </c>
      <c r="AI3" s="131">
        <v>45477</v>
      </c>
      <c r="AJ3" s="131">
        <v>45478</v>
      </c>
      <c r="AK3" s="131">
        <v>45479</v>
      </c>
      <c r="AL3" s="132">
        <v>45480</v>
      </c>
      <c r="AM3" s="130">
        <v>45481</v>
      </c>
      <c r="AN3" s="131">
        <v>45482</v>
      </c>
      <c r="AO3" s="131">
        <v>45483</v>
      </c>
      <c r="AP3" s="131">
        <v>45484</v>
      </c>
      <c r="AQ3" s="131">
        <v>45485</v>
      </c>
      <c r="AR3" s="131">
        <v>45486</v>
      </c>
      <c r="AS3" s="132">
        <v>45487</v>
      </c>
      <c r="AT3" s="130">
        <v>45488</v>
      </c>
      <c r="AU3" s="131">
        <v>45489</v>
      </c>
      <c r="AV3" s="131">
        <v>45490</v>
      </c>
      <c r="AW3" s="131">
        <v>45491</v>
      </c>
      <c r="AX3" s="131">
        <v>45492</v>
      </c>
      <c r="AY3" s="131">
        <v>45493</v>
      </c>
      <c r="AZ3" s="132">
        <v>45494</v>
      </c>
      <c r="BA3" s="130">
        <v>45495</v>
      </c>
      <c r="BB3" s="131">
        <v>45496</v>
      </c>
      <c r="BC3" s="131">
        <v>45497</v>
      </c>
      <c r="BD3" s="131">
        <v>45498</v>
      </c>
      <c r="BE3" s="131">
        <v>45499</v>
      </c>
      <c r="BF3" s="131">
        <v>45500</v>
      </c>
      <c r="BG3" s="132">
        <v>45501</v>
      </c>
      <c r="BH3" s="130">
        <v>45502</v>
      </c>
      <c r="BI3" s="131">
        <v>45503</v>
      </c>
      <c r="BJ3" s="131">
        <v>45504</v>
      </c>
      <c r="BK3" s="131">
        <v>45505</v>
      </c>
      <c r="BL3" s="131">
        <v>45506</v>
      </c>
      <c r="BM3" s="131">
        <v>45507</v>
      </c>
      <c r="BN3" s="132">
        <v>45508</v>
      </c>
      <c r="BO3" s="130">
        <v>45509</v>
      </c>
      <c r="BP3" s="131">
        <v>45510</v>
      </c>
      <c r="BQ3" s="131">
        <v>45511</v>
      </c>
      <c r="BR3" s="131">
        <v>45512</v>
      </c>
      <c r="BS3" s="131">
        <v>45513</v>
      </c>
      <c r="BT3" s="131">
        <v>45514</v>
      </c>
      <c r="BU3" s="132">
        <v>45515</v>
      </c>
      <c r="BV3" s="130">
        <v>45516</v>
      </c>
      <c r="BW3" s="131">
        <v>45517</v>
      </c>
      <c r="BX3" s="131">
        <v>45518</v>
      </c>
      <c r="BY3" s="131">
        <v>45519</v>
      </c>
      <c r="BZ3" s="131">
        <v>45520</v>
      </c>
      <c r="CA3" s="131">
        <v>45521</v>
      </c>
      <c r="CB3" s="132">
        <v>45522</v>
      </c>
      <c r="CC3" s="130">
        <v>45523</v>
      </c>
      <c r="CD3" s="131">
        <v>45524</v>
      </c>
      <c r="CE3" s="131">
        <v>45525</v>
      </c>
      <c r="CF3" s="131">
        <v>45526</v>
      </c>
      <c r="CG3" s="131">
        <v>45527</v>
      </c>
      <c r="CH3" s="131">
        <v>45528</v>
      </c>
      <c r="CI3" s="132">
        <v>45529</v>
      </c>
      <c r="CJ3" s="130">
        <v>45530</v>
      </c>
      <c r="CK3" s="131">
        <v>45531</v>
      </c>
      <c r="CL3" s="131">
        <v>45532</v>
      </c>
      <c r="CM3" s="131">
        <v>45533</v>
      </c>
      <c r="CN3" s="131">
        <v>45534</v>
      </c>
      <c r="CO3" s="131">
        <v>45535</v>
      </c>
      <c r="CP3" s="132">
        <v>45536</v>
      </c>
      <c r="CQ3" s="130">
        <v>45537</v>
      </c>
      <c r="CR3" s="131">
        <v>45538</v>
      </c>
      <c r="CS3" s="131">
        <v>45539</v>
      </c>
      <c r="CT3" s="131">
        <v>45540</v>
      </c>
      <c r="CU3" s="131">
        <v>45541</v>
      </c>
      <c r="CV3" s="131">
        <v>45542</v>
      </c>
      <c r="CW3" s="132">
        <v>45543</v>
      </c>
      <c r="CX3" s="130">
        <v>45544</v>
      </c>
      <c r="CY3" s="131">
        <v>45545</v>
      </c>
      <c r="CZ3" s="131">
        <v>45546</v>
      </c>
      <c r="DA3" s="131">
        <v>45547</v>
      </c>
      <c r="DB3" s="131">
        <v>45548</v>
      </c>
      <c r="DC3" s="131">
        <v>45549</v>
      </c>
      <c r="DD3" s="132">
        <v>45550</v>
      </c>
      <c r="DE3" s="130">
        <v>45551</v>
      </c>
      <c r="DF3" s="131">
        <v>45552</v>
      </c>
      <c r="DG3" s="131">
        <v>45553</v>
      </c>
      <c r="DH3" s="131">
        <v>45554</v>
      </c>
      <c r="DI3" s="131">
        <v>45555</v>
      </c>
      <c r="DJ3" s="131">
        <v>45556</v>
      </c>
      <c r="DK3" s="132">
        <v>45557</v>
      </c>
      <c r="DL3" s="130">
        <v>45558</v>
      </c>
      <c r="DM3" s="131">
        <v>45559</v>
      </c>
      <c r="DN3" s="131">
        <v>45560</v>
      </c>
      <c r="DO3" s="131">
        <v>45561</v>
      </c>
      <c r="DP3" s="131">
        <v>45562</v>
      </c>
      <c r="DQ3" s="131">
        <v>45563</v>
      </c>
      <c r="DR3" s="132">
        <v>45564</v>
      </c>
      <c r="DS3" s="130">
        <v>45565</v>
      </c>
      <c r="DT3" s="131">
        <v>45566</v>
      </c>
      <c r="DU3" s="131">
        <v>45567</v>
      </c>
      <c r="DV3" s="131">
        <v>45568</v>
      </c>
      <c r="DW3" s="131">
        <v>45569</v>
      </c>
      <c r="DX3" s="131">
        <v>45570</v>
      </c>
      <c r="DY3" s="132">
        <v>45571</v>
      </c>
      <c r="DZ3" s="130">
        <v>45572</v>
      </c>
      <c r="EA3" s="131">
        <v>45573</v>
      </c>
      <c r="EB3" s="131">
        <v>45574</v>
      </c>
      <c r="EC3" s="131">
        <v>45575</v>
      </c>
      <c r="ED3" s="131">
        <v>45576</v>
      </c>
      <c r="EE3" s="131">
        <v>45577</v>
      </c>
      <c r="EF3" s="131">
        <v>45578</v>
      </c>
      <c r="EG3" s="131">
        <v>45579</v>
      </c>
      <c r="EH3" s="131">
        <v>45580</v>
      </c>
      <c r="EI3" s="131">
        <v>45581</v>
      </c>
      <c r="EJ3" s="131">
        <v>45582</v>
      </c>
      <c r="EK3" s="131">
        <v>45583</v>
      </c>
      <c r="EL3" s="131">
        <v>45584</v>
      </c>
      <c r="EM3" s="131">
        <v>45585</v>
      </c>
      <c r="EN3" s="131">
        <v>45586</v>
      </c>
      <c r="EO3" s="131">
        <v>45587</v>
      </c>
      <c r="EP3" s="131">
        <v>45588</v>
      </c>
      <c r="EQ3" s="131">
        <v>45589</v>
      </c>
      <c r="ER3" s="131">
        <v>45590</v>
      </c>
      <c r="ES3" s="131">
        <v>45591</v>
      </c>
      <c r="ET3" s="131">
        <v>45592</v>
      </c>
      <c r="EU3" s="131">
        <v>45593</v>
      </c>
      <c r="EV3" s="131">
        <v>45594</v>
      </c>
      <c r="EW3" s="131">
        <v>45595</v>
      </c>
      <c r="EX3" s="131">
        <v>45596</v>
      </c>
      <c r="EY3" s="131">
        <v>45597</v>
      </c>
      <c r="EZ3" s="131">
        <v>45598</v>
      </c>
      <c r="FA3" s="131">
        <v>45599</v>
      </c>
      <c r="FB3" s="131">
        <v>45600</v>
      </c>
      <c r="FC3" s="131">
        <v>45601</v>
      </c>
      <c r="FD3" s="131">
        <v>45602</v>
      </c>
      <c r="FE3" s="131">
        <v>45603</v>
      </c>
      <c r="FF3" s="131">
        <v>45604</v>
      </c>
      <c r="FG3" s="131">
        <v>45605</v>
      </c>
      <c r="FH3" s="131">
        <v>45606</v>
      </c>
      <c r="FI3" s="131">
        <v>45607</v>
      </c>
      <c r="FJ3" s="131">
        <v>45608</v>
      </c>
      <c r="FK3" s="131">
        <v>45609</v>
      </c>
      <c r="FL3" s="131">
        <v>45610</v>
      </c>
      <c r="FM3" s="131">
        <v>45611</v>
      </c>
      <c r="FN3" s="131">
        <v>45612</v>
      </c>
      <c r="FO3" s="131">
        <v>45613</v>
      </c>
      <c r="FP3" s="131">
        <v>45614</v>
      </c>
      <c r="FQ3" s="131">
        <v>45615</v>
      </c>
      <c r="FR3" s="131">
        <v>45616</v>
      </c>
      <c r="FS3" s="131">
        <v>45617</v>
      </c>
      <c r="FT3" s="131">
        <v>45618</v>
      </c>
      <c r="FU3" s="131">
        <v>45619</v>
      </c>
      <c r="FV3" s="131">
        <v>45620</v>
      </c>
      <c r="FW3" s="131">
        <v>45621</v>
      </c>
      <c r="FX3" s="131">
        <v>45622</v>
      </c>
      <c r="FY3" s="131">
        <v>45623</v>
      </c>
      <c r="FZ3" s="131">
        <v>45624</v>
      </c>
      <c r="GA3" s="131">
        <v>45625</v>
      </c>
      <c r="GB3" s="131">
        <v>45626</v>
      </c>
      <c r="GC3" s="131">
        <v>45627</v>
      </c>
      <c r="GD3" s="131">
        <v>45628</v>
      </c>
      <c r="GE3" s="131">
        <v>45629</v>
      </c>
      <c r="GF3" s="131">
        <v>45630</v>
      </c>
      <c r="GG3" s="131">
        <v>45631</v>
      </c>
      <c r="GH3" s="131">
        <v>45632</v>
      </c>
      <c r="GI3" s="131">
        <v>45633</v>
      </c>
      <c r="GJ3" s="131">
        <v>45634</v>
      </c>
      <c r="GK3" s="131">
        <v>45635</v>
      </c>
      <c r="GL3" s="131">
        <v>45636</v>
      </c>
      <c r="GM3" s="131">
        <v>45637</v>
      </c>
      <c r="GN3" s="131">
        <v>45638</v>
      </c>
      <c r="GO3" s="131">
        <v>45639</v>
      </c>
      <c r="GP3" s="131">
        <v>45640</v>
      </c>
      <c r="GQ3" s="131">
        <v>45641</v>
      </c>
      <c r="GR3" s="131">
        <v>45642</v>
      </c>
      <c r="GS3" s="131">
        <v>45643</v>
      </c>
      <c r="GT3" s="131">
        <v>45644</v>
      </c>
      <c r="GU3" s="131">
        <v>45645</v>
      </c>
      <c r="GV3" s="131">
        <v>45646</v>
      </c>
      <c r="GW3" s="131">
        <v>45647</v>
      </c>
      <c r="GX3" s="131">
        <v>45648</v>
      </c>
      <c r="GY3" s="131">
        <v>45649</v>
      </c>
      <c r="GZ3" s="131">
        <v>45650</v>
      </c>
      <c r="HA3" s="131">
        <v>45651</v>
      </c>
      <c r="HB3" s="131">
        <v>45652</v>
      </c>
      <c r="HC3" s="131">
        <v>45653</v>
      </c>
      <c r="HD3" s="131">
        <v>45654</v>
      </c>
      <c r="HE3" s="131">
        <v>45655</v>
      </c>
    </row>
    <row r="4" spans="2:217" ht="15" thickBot="1" x14ac:dyDescent="0.35">
      <c r="B4" s="1"/>
      <c r="C4" s="2" t="s">
        <v>1</v>
      </c>
      <c r="D4" s="2"/>
      <c r="E4" s="181"/>
      <c r="F4" s="191" t="s">
        <v>2</v>
      </c>
      <c r="G4" s="141" t="s">
        <v>3</v>
      </c>
      <c r="H4" s="142" t="s">
        <v>4</v>
      </c>
      <c r="I4" s="143" t="s">
        <v>5</v>
      </c>
      <c r="J4" s="144" t="s">
        <v>6</v>
      </c>
      <c r="K4" s="133" t="str">
        <f>TEXT(K3,"jjj.jj")</f>
        <v>lun.10</v>
      </c>
      <c r="L4" s="133" t="str">
        <f t="shared" ref="L4:BW4" si="0">TEXT(L3,"jjj.jj")</f>
        <v>mar.11</v>
      </c>
      <c r="M4" s="133" t="str">
        <f t="shared" si="0"/>
        <v>mer.12</v>
      </c>
      <c r="N4" s="133" t="str">
        <f t="shared" si="0"/>
        <v>jeu.13</v>
      </c>
      <c r="O4" s="133" t="str">
        <f t="shared" si="0"/>
        <v>ven.14</v>
      </c>
      <c r="P4" s="133" t="str">
        <f t="shared" si="0"/>
        <v>sam.15</v>
      </c>
      <c r="Q4" s="133" t="str">
        <f t="shared" si="0"/>
        <v>dim.16</v>
      </c>
      <c r="R4" s="133" t="str">
        <f t="shared" si="0"/>
        <v>lun.17</v>
      </c>
      <c r="S4" s="133" t="str">
        <f t="shared" si="0"/>
        <v>mar.18</v>
      </c>
      <c r="T4" s="133" t="str">
        <f t="shared" si="0"/>
        <v>mer.19</v>
      </c>
      <c r="U4" s="133" t="str">
        <f t="shared" si="0"/>
        <v>jeu.20</v>
      </c>
      <c r="V4" s="133" t="str">
        <f t="shared" si="0"/>
        <v>ven.21</v>
      </c>
      <c r="W4" s="133" t="str">
        <f t="shared" si="0"/>
        <v>sam.22</v>
      </c>
      <c r="X4" s="133" t="str">
        <f t="shared" si="0"/>
        <v>dim.23</v>
      </c>
      <c r="Y4" s="133" t="str">
        <f t="shared" si="0"/>
        <v>lun.24</v>
      </c>
      <c r="Z4" s="133" t="str">
        <f t="shared" si="0"/>
        <v>mar.25</v>
      </c>
      <c r="AA4" s="133" t="str">
        <f t="shared" si="0"/>
        <v>mer.26</v>
      </c>
      <c r="AB4" s="133" t="str">
        <f t="shared" si="0"/>
        <v>jeu.27</v>
      </c>
      <c r="AC4" s="133" t="str">
        <f t="shared" si="0"/>
        <v>ven.28</v>
      </c>
      <c r="AD4" s="133" t="str">
        <f t="shared" si="0"/>
        <v>sam.29</v>
      </c>
      <c r="AE4" s="133" t="str">
        <f t="shared" si="0"/>
        <v>dim.30</v>
      </c>
      <c r="AF4" s="133" t="str">
        <f t="shared" si="0"/>
        <v>lun.01</v>
      </c>
      <c r="AG4" s="133" t="str">
        <f t="shared" si="0"/>
        <v>mar.02</v>
      </c>
      <c r="AH4" s="133" t="str">
        <f t="shared" si="0"/>
        <v>mer.03</v>
      </c>
      <c r="AI4" s="133" t="str">
        <f t="shared" si="0"/>
        <v>jeu.04</v>
      </c>
      <c r="AJ4" s="133" t="str">
        <f t="shared" si="0"/>
        <v>ven.05</v>
      </c>
      <c r="AK4" s="133" t="str">
        <f t="shared" si="0"/>
        <v>sam.06</v>
      </c>
      <c r="AL4" s="133" t="str">
        <f t="shared" si="0"/>
        <v>dim.07</v>
      </c>
      <c r="AM4" s="133" t="str">
        <f t="shared" si="0"/>
        <v>lun.08</v>
      </c>
      <c r="AN4" s="133" t="str">
        <f t="shared" si="0"/>
        <v>mar.09</v>
      </c>
      <c r="AO4" s="133" t="str">
        <f t="shared" si="0"/>
        <v>mer.10</v>
      </c>
      <c r="AP4" s="133" t="str">
        <f t="shared" si="0"/>
        <v>jeu.11</v>
      </c>
      <c r="AQ4" s="133" t="str">
        <f t="shared" si="0"/>
        <v>ven.12</v>
      </c>
      <c r="AR4" s="133" t="str">
        <f t="shared" si="0"/>
        <v>sam.13</v>
      </c>
      <c r="AS4" s="133" t="str">
        <f t="shared" si="0"/>
        <v>dim.14</v>
      </c>
      <c r="AT4" s="133" t="str">
        <f t="shared" si="0"/>
        <v>lun.15</v>
      </c>
      <c r="AU4" s="133" t="str">
        <f t="shared" si="0"/>
        <v>mar.16</v>
      </c>
      <c r="AV4" s="133" t="str">
        <f t="shared" si="0"/>
        <v>mer.17</v>
      </c>
      <c r="AW4" s="133" t="str">
        <f t="shared" si="0"/>
        <v>jeu.18</v>
      </c>
      <c r="AX4" s="133" t="str">
        <f t="shared" si="0"/>
        <v>ven.19</v>
      </c>
      <c r="AY4" s="133" t="str">
        <f t="shared" si="0"/>
        <v>sam.20</v>
      </c>
      <c r="AZ4" s="133" t="str">
        <f t="shared" si="0"/>
        <v>dim.21</v>
      </c>
      <c r="BA4" s="133" t="str">
        <f t="shared" si="0"/>
        <v>lun.22</v>
      </c>
      <c r="BB4" s="133" t="str">
        <f t="shared" si="0"/>
        <v>mar.23</v>
      </c>
      <c r="BC4" s="133" t="str">
        <f t="shared" si="0"/>
        <v>mer.24</v>
      </c>
      <c r="BD4" s="133" t="str">
        <f t="shared" si="0"/>
        <v>jeu.25</v>
      </c>
      <c r="BE4" s="133" t="str">
        <f t="shared" si="0"/>
        <v>ven.26</v>
      </c>
      <c r="BF4" s="133" t="str">
        <f t="shared" si="0"/>
        <v>sam.27</v>
      </c>
      <c r="BG4" s="133" t="str">
        <f t="shared" si="0"/>
        <v>dim.28</v>
      </c>
      <c r="BH4" s="133" t="str">
        <f t="shared" si="0"/>
        <v>lun.29</v>
      </c>
      <c r="BI4" s="133" t="str">
        <f t="shared" si="0"/>
        <v>mar.30</v>
      </c>
      <c r="BJ4" s="133" t="str">
        <f t="shared" si="0"/>
        <v>mer.31</v>
      </c>
      <c r="BK4" s="133" t="str">
        <f t="shared" si="0"/>
        <v>jeu.01</v>
      </c>
      <c r="BL4" s="133" t="str">
        <f t="shared" si="0"/>
        <v>ven.02</v>
      </c>
      <c r="BM4" s="133" t="str">
        <f t="shared" si="0"/>
        <v>sam.03</v>
      </c>
      <c r="BN4" s="133" t="str">
        <f t="shared" si="0"/>
        <v>dim.04</v>
      </c>
      <c r="BO4" s="133" t="str">
        <f t="shared" si="0"/>
        <v>lun.05</v>
      </c>
      <c r="BP4" s="133" t="str">
        <f t="shared" si="0"/>
        <v>mar.06</v>
      </c>
      <c r="BQ4" s="133" t="str">
        <f t="shared" si="0"/>
        <v>mer.07</v>
      </c>
      <c r="BR4" s="133" t="str">
        <f t="shared" si="0"/>
        <v>jeu.08</v>
      </c>
      <c r="BS4" s="133" t="str">
        <f t="shared" si="0"/>
        <v>ven.09</v>
      </c>
      <c r="BT4" s="133" t="str">
        <f t="shared" si="0"/>
        <v>sam.10</v>
      </c>
      <c r="BU4" s="133" t="str">
        <f t="shared" si="0"/>
        <v>dim.11</v>
      </c>
      <c r="BV4" s="133" t="str">
        <f t="shared" si="0"/>
        <v>lun.12</v>
      </c>
      <c r="BW4" s="133" t="str">
        <f t="shared" si="0"/>
        <v>mar.13</v>
      </c>
      <c r="BX4" s="133" t="str">
        <f t="shared" ref="BX4:EI4" si="1">TEXT(BX3,"jjj.jj")</f>
        <v>mer.14</v>
      </c>
      <c r="BY4" s="133" t="str">
        <f t="shared" si="1"/>
        <v>jeu.15</v>
      </c>
      <c r="BZ4" s="133" t="str">
        <f t="shared" si="1"/>
        <v>ven.16</v>
      </c>
      <c r="CA4" s="133" t="str">
        <f t="shared" si="1"/>
        <v>sam.17</v>
      </c>
      <c r="CB4" s="133" t="str">
        <f t="shared" si="1"/>
        <v>dim.18</v>
      </c>
      <c r="CC4" s="133" t="str">
        <f t="shared" si="1"/>
        <v>lun.19</v>
      </c>
      <c r="CD4" s="133" t="str">
        <f t="shared" si="1"/>
        <v>mar.20</v>
      </c>
      <c r="CE4" s="133" t="str">
        <f t="shared" si="1"/>
        <v>mer.21</v>
      </c>
      <c r="CF4" s="133" t="str">
        <f t="shared" si="1"/>
        <v>jeu.22</v>
      </c>
      <c r="CG4" s="133" t="str">
        <f t="shared" si="1"/>
        <v>ven.23</v>
      </c>
      <c r="CH4" s="133" t="str">
        <f t="shared" si="1"/>
        <v>sam.24</v>
      </c>
      <c r="CI4" s="133" t="str">
        <f t="shared" si="1"/>
        <v>dim.25</v>
      </c>
      <c r="CJ4" s="133" t="str">
        <f t="shared" si="1"/>
        <v>lun.26</v>
      </c>
      <c r="CK4" s="133" t="str">
        <f t="shared" si="1"/>
        <v>mar.27</v>
      </c>
      <c r="CL4" s="133" t="str">
        <f t="shared" si="1"/>
        <v>mer.28</v>
      </c>
      <c r="CM4" s="133" t="str">
        <f t="shared" si="1"/>
        <v>jeu.29</v>
      </c>
      <c r="CN4" s="133" t="str">
        <f t="shared" si="1"/>
        <v>ven.30</v>
      </c>
      <c r="CO4" s="133" t="str">
        <f t="shared" si="1"/>
        <v>sam.31</v>
      </c>
      <c r="CP4" s="133" t="str">
        <f t="shared" si="1"/>
        <v>dim.01</v>
      </c>
      <c r="CQ4" s="133" t="str">
        <f t="shared" si="1"/>
        <v>lun.02</v>
      </c>
      <c r="CR4" s="133" t="str">
        <f t="shared" si="1"/>
        <v>mar.03</v>
      </c>
      <c r="CS4" s="133" t="str">
        <f t="shared" si="1"/>
        <v>mer.04</v>
      </c>
      <c r="CT4" s="133" t="str">
        <f t="shared" si="1"/>
        <v>jeu.05</v>
      </c>
      <c r="CU4" s="133" t="str">
        <f t="shared" si="1"/>
        <v>ven.06</v>
      </c>
      <c r="CV4" s="133" t="str">
        <f t="shared" si="1"/>
        <v>sam.07</v>
      </c>
      <c r="CW4" s="133" t="str">
        <f t="shared" si="1"/>
        <v>dim.08</v>
      </c>
      <c r="CX4" s="133" t="str">
        <f t="shared" si="1"/>
        <v>lun.09</v>
      </c>
      <c r="CY4" s="133" t="str">
        <f t="shared" si="1"/>
        <v>mar.10</v>
      </c>
      <c r="CZ4" s="133" t="str">
        <f t="shared" si="1"/>
        <v>mer.11</v>
      </c>
      <c r="DA4" s="133" t="str">
        <f t="shared" si="1"/>
        <v>jeu.12</v>
      </c>
      <c r="DB4" s="133" t="str">
        <f t="shared" si="1"/>
        <v>ven.13</v>
      </c>
      <c r="DC4" s="133" t="str">
        <f t="shared" si="1"/>
        <v>sam.14</v>
      </c>
      <c r="DD4" s="133" t="str">
        <f t="shared" si="1"/>
        <v>dim.15</v>
      </c>
      <c r="DE4" s="133" t="str">
        <f t="shared" si="1"/>
        <v>lun.16</v>
      </c>
      <c r="DF4" s="133" t="str">
        <f t="shared" si="1"/>
        <v>mar.17</v>
      </c>
      <c r="DG4" s="133" t="str">
        <f t="shared" si="1"/>
        <v>mer.18</v>
      </c>
      <c r="DH4" s="133" t="str">
        <f t="shared" si="1"/>
        <v>jeu.19</v>
      </c>
      <c r="DI4" s="133" t="str">
        <f t="shared" si="1"/>
        <v>ven.20</v>
      </c>
      <c r="DJ4" s="133" t="str">
        <f t="shared" si="1"/>
        <v>sam.21</v>
      </c>
      <c r="DK4" s="133" t="str">
        <f t="shared" si="1"/>
        <v>dim.22</v>
      </c>
      <c r="DL4" s="133" t="str">
        <f t="shared" si="1"/>
        <v>lun.23</v>
      </c>
      <c r="DM4" s="133" t="str">
        <f t="shared" si="1"/>
        <v>mar.24</v>
      </c>
      <c r="DN4" s="133" t="str">
        <f t="shared" si="1"/>
        <v>mer.25</v>
      </c>
      <c r="DO4" s="133" t="str">
        <f t="shared" si="1"/>
        <v>jeu.26</v>
      </c>
      <c r="DP4" s="133" t="str">
        <f t="shared" si="1"/>
        <v>ven.27</v>
      </c>
      <c r="DQ4" s="133" t="str">
        <f t="shared" si="1"/>
        <v>sam.28</v>
      </c>
      <c r="DR4" s="133" t="str">
        <f t="shared" si="1"/>
        <v>dim.29</v>
      </c>
      <c r="DS4" s="133" t="str">
        <f t="shared" si="1"/>
        <v>lun.30</v>
      </c>
      <c r="DT4" s="133" t="str">
        <f t="shared" si="1"/>
        <v>mar.01</v>
      </c>
      <c r="DU4" s="133" t="str">
        <f t="shared" si="1"/>
        <v>mer.02</v>
      </c>
      <c r="DV4" s="133" t="str">
        <f t="shared" si="1"/>
        <v>jeu.03</v>
      </c>
      <c r="DW4" s="133" t="str">
        <f t="shared" si="1"/>
        <v>ven.04</v>
      </c>
      <c r="DX4" s="133" t="str">
        <f t="shared" si="1"/>
        <v>sam.05</v>
      </c>
      <c r="DY4" s="133" t="str">
        <f t="shared" si="1"/>
        <v>dim.06</v>
      </c>
      <c r="DZ4" s="133" t="str">
        <f t="shared" si="1"/>
        <v>lun.07</v>
      </c>
      <c r="EA4" s="133" t="str">
        <f t="shared" si="1"/>
        <v>mar.08</v>
      </c>
      <c r="EB4" s="133" t="str">
        <f t="shared" si="1"/>
        <v>mer.09</v>
      </c>
      <c r="EC4" s="133" t="str">
        <f t="shared" si="1"/>
        <v>jeu.10</v>
      </c>
      <c r="ED4" s="133" t="str">
        <f t="shared" si="1"/>
        <v>ven.11</v>
      </c>
      <c r="EE4" s="133" t="str">
        <f t="shared" si="1"/>
        <v>sam.12</v>
      </c>
      <c r="EF4" s="133" t="str">
        <f t="shared" si="1"/>
        <v>dim.13</v>
      </c>
      <c r="EG4" s="133" t="str">
        <f t="shared" si="1"/>
        <v>lun.14</v>
      </c>
      <c r="EH4" s="133" t="str">
        <f t="shared" si="1"/>
        <v>mar.15</v>
      </c>
      <c r="EI4" s="133" t="str">
        <f t="shared" si="1"/>
        <v>mer.16</v>
      </c>
      <c r="EJ4" s="133" t="str">
        <f t="shared" ref="EJ4:GU4" si="2">TEXT(EJ3,"jjj.jj")</f>
        <v>jeu.17</v>
      </c>
      <c r="EK4" s="133" t="str">
        <f t="shared" si="2"/>
        <v>ven.18</v>
      </c>
      <c r="EL4" s="133" t="str">
        <f t="shared" si="2"/>
        <v>sam.19</v>
      </c>
      <c r="EM4" s="133" t="str">
        <f t="shared" si="2"/>
        <v>dim.20</v>
      </c>
      <c r="EN4" s="133" t="str">
        <f t="shared" si="2"/>
        <v>lun.21</v>
      </c>
      <c r="EO4" s="133" t="str">
        <f t="shared" si="2"/>
        <v>mar.22</v>
      </c>
      <c r="EP4" s="133" t="str">
        <f t="shared" si="2"/>
        <v>mer.23</v>
      </c>
      <c r="EQ4" s="133" t="str">
        <f t="shared" si="2"/>
        <v>jeu.24</v>
      </c>
      <c r="ER4" s="133" t="str">
        <f t="shared" si="2"/>
        <v>ven.25</v>
      </c>
      <c r="ES4" s="133" t="str">
        <f t="shared" si="2"/>
        <v>sam.26</v>
      </c>
      <c r="ET4" s="133" t="str">
        <f t="shared" si="2"/>
        <v>dim.27</v>
      </c>
      <c r="EU4" s="133" t="str">
        <f t="shared" si="2"/>
        <v>lun.28</v>
      </c>
      <c r="EV4" s="133" t="str">
        <f t="shared" si="2"/>
        <v>mar.29</v>
      </c>
      <c r="EW4" s="133" t="str">
        <f t="shared" si="2"/>
        <v>mer.30</v>
      </c>
      <c r="EX4" s="133" t="str">
        <f t="shared" si="2"/>
        <v>jeu.31</v>
      </c>
      <c r="EY4" s="133" t="str">
        <f t="shared" si="2"/>
        <v>ven.01</v>
      </c>
      <c r="EZ4" s="133" t="str">
        <f t="shared" si="2"/>
        <v>sam.02</v>
      </c>
      <c r="FA4" s="133" t="str">
        <f t="shared" si="2"/>
        <v>dim.03</v>
      </c>
      <c r="FB4" s="133" t="str">
        <f t="shared" si="2"/>
        <v>lun.04</v>
      </c>
      <c r="FC4" s="133" t="str">
        <f t="shared" si="2"/>
        <v>mar.05</v>
      </c>
      <c r="FD4" s="133" t="str">
        <f t="shared" si="2"/>
        <v>mer.06</v>
      </c>
      <c r="FE4" s="133" t="str">
        <f t="shared" si="2"/>
        <v>jeu.07</v>
      </c>
      <c r="FF4" s="133" t="str">
        <f t="shared" si="2"/>
        <v>ven.08</v>
      </c>
      <c r="FG4" s="133" t="str">
        <f t="shared" si="2"/>
        <v>sam.09</v>
      </c>
      <c r="FH4" s="133" t="str">
        <f t="shared" si="2"/>
        <v>dim.10</v>
      </c>
      <c r="FI4" s="133" t="str">
        <f t="shared" si="2"/>
        <v>lun.11</v>
      </c>
      <c r="FJ4" s="133" t="str">
        <f t="shared" si="2"/>
        <v>mar.12</v>
      </c>
      <c r="FK4" s="133" t="str">
        <f t="shared" si="2"/>
        <v>mer.13</v>
      </c>
      <c r="FL4" s="133" t="str">
        <f t="shared" si="2"/>
        <v>jeu.14</v>
      </c>
      <c r="FM4" s="133" t="str">
        <f t="shared" si="2"/>
        <v>ven.15</v>
      </c>
      <c r="FN4" s="133" t="str">
        <f t="shared" si="2"/>
        <v>sam.16</v>
      </c>
      <c r="FO4" s="133" t="str">
        <f t="shared" si="2"/>
        <v>dim.17</v>
      </c>
      <c r="FP4" s="133" t="str">
        <f t="shared" si="2"/>
        <v>lun.18</v>
      </c>
      <c r="FQ4" s="133" t="str">
        <f t="shared" si="2"/>
        <v>mar.19</v>
      </c>
      <c r="FR4" s="133" t="str">
        <f t="shared" si="2"/>
        <v>mer.20</v>
      </c>
      <c r="FS4" s="133" t="str">
        <f t="shared" si="2"/>
        <v>jeu.21</v>
      </c>
      <c r="FT4" s="133" t="str">
        <f t="shared" si="2"/>
        <v>ven.22</v>
      </c>
      <c r="FU4" s="133" t="str">
        <f t="shared" si="2"/>
        <v>sam.23</v>
      </c>
      <c r="FV4" s="133" t="str">
        <f t="shared" si="2"/>
        <v>dim.24</v>
      </c>
      <c r="FW4" s="133" t="str">
        <f t="shared" si="2"/>
        <v>lun.25</v>
      </c>
      <c r="FX4" s="133" t="str">
        <f t="shared" si="2"/>
        <v>mar.26</v>
      </c>
      <c r="FY4" s="133" t="str">
        <f t="shared" si="2"/>
        <v>mer.27</v>
      </c>
      <c r="FZ4" s="133" t="str">
        <f t="shared" si="2"/>
        <v>jeu.28</v>
      </c>
      <c r="GA4" s="133" t="str">
        <f t="shared" si="2"/>
        <v>ven.29</v>
      </c>
      <c r="GB4" s="133" t="str">
        <f t="shared" si="2"/>
        <v>sam.30</v>
      </c>
      <c r="GC4" s="133" t="str">
        <f t="shared" si="2"/>
        <v>dim.01</v>
      </c>
      <c r="GD4" s="133" t="str">
        <f t="shared" si="2"/>
        <v>lun.02</v>
      </c>
      <c r="GE4" s="133" t="str">
        <f t="shared" si="2"/>
        <v>mar.03</v>
      </c>
      <c r="GF4" s="133" t="str">
        <f t="shared" si="2"/>
        <v>mer.04</v>
      </c>
      <c r="GG4" s="133" t="str">
        <f t="shared" si="2"/>
        <v>jeu.05</v>
      </c>
      <c r="GH4" s="133" t="str">
        <f t="shared" si="2"/>
        <v>ven.06</v>
      </c>
      <c r="GI4" s="133" t="str">
        <f t="shared" si="2"/>
        <v>sam.07</v>
      </c>
      <c r="GJ4" s="133" t="str">
        <f t="shared" si="2"/>
        <v>dim.08</v>
      </c>
      <c r="GK4" s="133" t="str">
        <f t="shared" si="2"/>
        <v>lun.09</v>
      </c>
      <c r="GL4" s="133" t="str">
        <f t="shared" si="2"/>
        <v>mar.10</v>
      </c>
      <c r="GM4" s="133" t="str">
        <f t="shared" si="2"/>
        <v>mer.11</v>
      </c>
      <c r="GN4" s="133" t="str">
        <f t="shared" si="2"/>
        <v>jeu.12</v>
      </c>
      <c r="GO4" s="133" t="str">
        <f t="shared" si="2"/>
        <v>ven.13</v>
      </c>
      <c r="GP4" s="133" t="str">
        <f t="shared" si="2"/>
        <v>sam.14</v>
      </c>
      <c r="GQ4" s="133" t="str">
        <f t="shared" si="2"/>
        <v>dim.15</v>
      </c>
      <c r="GR4" s="133" t="str">
        <f t="shared" si="2"/>
        <v>lun.16</v>
      </c>
      <c r="GS4" s="133" t="str">
        <f t="shared" si="2"/>
        <v>mar.17</v>
      </c>
      <c r="GT4" s="133" t="str">
        <f t="shared" si="2"/>
        <v>mer.18</v>
      </c>
      <c r="GU4" s="133" t="str">
        <f t="shared" si="2"/>
        <v>jeu.19</v>
      </c>
      <c r="GV4" s="133" t="str">
        <f t="shared" ref="GV4:HE4" si="3">TEXT(GV3,"jjj.jj")</f>
        <v>ven.20</v>
      </c>
      <c r="GW4" s="133" t="str">
        <f t="shared" si="3"/>
        <v>sam.21</v>
      </c>
      <c r="GX4" s="133" t="str">
        <f t="shared" si="3"/>
        <v>dim.22</v>
      </c>
      <c r="GY4" s="133" t="str">
        <f t="shared" si="3"/>
        <v>lun.23</v>
      </c>
      <c r="GZ4" s="133" t="str">
        <f t="shared" si="3"/>
        <v>mar.24</v>
      </c>
      <c r="HA4" s="133" t="str">
        <f t="shared" si="3"/>
        <v>mer.25</v>
      </c>
      <c r="HB4" s="133" t="str">
        <f t="shared" si="3"/>
        <v>jeu.26</v>
      </c>
      <c r="HC4" s="133" t="str">
        <f t="shared" si="3"/>
        <v>ven.27</v>
      </c>
      <c r="HD4" s="133" t="str">
        <f t="shared" si="3"/>
        <v>sam.28</v>
      </c>
      <c r="HE4" s="133" t="str">
        <f t="shared" si="3"/>
        <v>dim.29</v>
      </c>
      <c r="HF4" s="63"/>
      <c r="HG4" s="63"/>
      <c r="HH4" s="63"/>
      <c r="HI4" s="110"/>
    </row>
    <row r="5" spans="2:217" x14ac:dyDescent="0.3">
      <c r="B5" s="8">
        <v>107522</v>
      </c>
      <c r="C5" s="9">
        <v>35</v>
      </c>
      <c r="D5" s="10" t="s">
        <v>19</v>
      </c>
      <c r="E5" s="11" t="str">
        <f t="shared" ref="E5:E68" si="4">B5&amp;""&amp;D5</f>
        <v>107522X</v>
      </c>
      <c r="F5" s="192" t="s">
        <v>7</v>
      </c>
      <c r="G5" s="182" t="s">
        <v>26</v>
      </c>
      <c r="H5" s="145" t="s">
        <v>44</v>
      </c>
      <c r="I5" s="170" t="s">
        <v>175</v>
      </c>
      <c r="J5" s="173" t="s">
        <v>176</v>
      </c>
      <c r="K5" s="136" t="s">
        <v>460</v>
      </c>
      <c r="L5" s="139" t="s">
        <v>459</v>
      </c>
      <c r="M5" s="139" t="s">
        <v>459</v>
      </c>
      <c r="N5" s="139" t="s">
        <v>459</v>
      </c>
      <c r="O5" s="139" t="s">
        <v>459</v>
      </c>
      <c r="P5" s="197"/>
      <c r="Q5" s="198"/>
      <c r="R5" s="136" t="s">
        <v>459</v>
      </c>
      <c r="S5" s="139" t="s">
        <v>459</v>
      </c>
      <c r="T5" s="139" t="s">
        <v>459</v>
      </c>
      <c r="U5" s="139" t="s">
        <v>459</v>
      </c>
      <c r="V5" s="139" t="s">
        <v>459</v>
      </c>
      <c r="W5" s="197"/>
      <c r="X5" s="198"/>
      <c r="Y5" s="136"/>
      <c r="Z5" s="139"/>
      <c r="AA5" s="139"/>
      <c r="AB5" s="139"/>
      <c r="AC5" s="139"/>
      <c r="AD5" s="197"/>
      <c r="AE5" s="198"/>
      <c r="AF5" s="136"/>
      <c r="AG5" s="139"/>
      <c r="AH5" s="139"/>
      <c r="AI5" s="139"/>
      <c r="AJ5" s="139"/>
      <c r="AK5" s="197"/>
      <c r="AL5" s="198"/>
      <c r="AM5" s="136"/>
      <c r="AN5" s="139"/>
      <c r="AO5" s="139"/>
      <c r="AP5" s="139"/>
      <c r="AQ5" s="139"/>
      <c r="AR5" s="197"/>
      <c r="AS5" s="198"/>
      <c r="AT5" s="136"/>
      <c r="AU5" s="139"/>
      <c r="AV5" s="139"/>
      <c r="AW5" s="139"/>
      <c r="AX5" s="139"/>
      <c r="AY5" s="197"/>
      <c r="AZ5" s="198"/>
      <c r="BA5" s="136"/>
      <c r="BB5" s="139"/>
      <c r="BC5" s="139"/>
      <c r="BD5" s="139"/>
      <c r="BE5" s="139"/>
      <c r="BF5" s="197"/>
      <c r="BG5" s="198"/>
      <c r="BH5" s="136"/>
      <c r="BI5" s="139"/>
      <c r="BJ5" s="139"/>
      <c r="BK5" s="139"/>
      <c r="BL5" s="139"/>
      <c r="BM5" s="197"/>
      <c r="BN5" s="198"/>
      <c r="BO5" s="136"/>
      <c r="BP5" s="139"/>
      <c r="BQ5" s="139"/>
      <c r="BR5" s="139"/>
      <c r="BS5" s="139"/>
      <c r="BT5" s="197"/>
      <c r="BU5" s="198"/>
      <c r="BV5" s="136"/>
      <c r="BW5" s="139"/>
      <c r="BX5" s="139"/>
      <c r="BY5" s="139"/>
      <c r="BZ5" s="139"/>
      <c r="CA5" s="197"/>
      <c r="CB5" s="198"/>
      <c r="CC5" s="136"/>
      <c r="CD5" s="139"/>
      <c r="CE5" s="139"/>
      <c r="CF5" s="139"/>
      <c r="CG5" s="139"/>
      <c r="CH5" s="197"/>
      <c r="CI5" s="198"/>
      <c r="CJ5" s="136"/>
      <c r="CK5" s="139"/>
      <c r="CL5" s="139"/>
      <c r="CM5" s="139"/>
      <c r="CN5" s="139"/>
      <c r="CO5" s="197"/>
      <c r="CP5" s="198"/>
      <c r="CQ5" s="136"/>
      <c r="CR5" s="139"/>
      <c r="CS5" s="139"/>
      <c r="CT5" s="139"/>
      <c r="CU5" s="139"/>
      <c r="CV5" s="197"/>
      <c r="CW5" s="198"/>
      <c r="CX5" s="136"/>
      <c r="CY5" s="139"/>
      <c r="CZ5" s="139"/>
      <c r="DA5" s="139"/>
      <c r="DB5" s="139"/>
      <c r="DC5" s="197"/>
      <c r="DD5" s="198"/>
      <c r="DE5" s="136"/>
      <c r="DF5" s="139"/>
      <c r="DG5" s="139"/>
      <c r="DH5" s="139"/>
      <c r="DI5" s="139"/>
      <c r="DJ5" s="197"/>
      <c r="DK5" s="198"/>
      <c r="DL5" s="136"/>
      <c r="DM5" s="139"/>
      <c r="DN5" s="139"/>
      <c r="DO5" s="139"/>
      <c r="DP5" s="139"/>
      <c r="DQ5" s="197"/>
      <c r="DR5" s="198"/>
      <c r="DS5" s="136"/>
      <c r="DT5" s="139"/>
      <c r="DU5" s="139"/>
      <c r="DV5" s="139"/>
      <c r="DW5" s="139"/>
      <c r="DX5" s="197"/>
      <c r="DY5" s="198"/>
      <c r="DZ5" s="136"/>
      <c r="EA5" s="139"/>
      <c r="EB5" s="139"/>
      <c r="EC5" s="139"/>
      <c r="ED5" s="139"/>
      <c r="EE5" s="197"/>
      <c r="EF5" s="198"/>
      <c r="EG5" s="136"/>
      <c r="EH5" s="139"/>
      <c r="EI5" s="139"/>
      <c r="EJ5" s="139"/>
      <c r="EK5" s="139"/>
      <c r="EL5" s="197"/>
      <c r="EM5" s="198"/>
      <c r="EN5" s="136"/>
      <c r="EO5" s="139"/>
      <c r="EP5" s="139"/>
      <c r="EQ5" s="139"/>
      <c r="ER5" s="139"/>
      <c r="ES5" s="197"/>
      <c r="ET5" s="198"/>
      <c r="EU5" s="136"/>
      <c r="EV5" s="139"/>
      <c r="EW5" s="139"/>
      <c r="EX5" s="139"/>
      <c r="EY5" s="139"/>
      <c r="EZ5" s="197"/>
      <c r="FA5" s="198"/>
      <c r="FB5" s="136"/>
      <c r="FC5" s="139"/>
      <c r="FD5" s="139"/>
      <c r="FE5" s="139"/>
      <c r="FF5" s="139"/>
      <c r="FG5" s="197"/>
      <c r="FH5" s="198"/>
      <c r="FI5" s="136"/>
      <c r="FJ5" s="139"/>
      <c r="FK5" s="139"/>
      <c r="FL5" s="139"/>
      <c r="FM5" s="139"/>
      <c r="FN5" s="197"/>
      <c r="FO5" s="198"/>
      <c r="FP5" s="136"/>
      <c r="FQ5" s="139"/>
      <c r="FR5" s="139"/>
      <c r="FS5" s="139"/>
      <c r="FT5" s="139"/>
      <c r="FU5" s="197"/>
      <c r="FV5" s="198"/>
      <c r="FW5" s="136"/>
      <c r="FX5" s="139"/>
      <c r="FY5" s="139"/>
      <c r="FZ5" s="139"/>
      <c r="GA5" s="139"/>
      <c r="GB5" s="197"/>
      <c r="GC5" s="198"/>
      <c r="GD5" s="136"/>
      <c r="GE5" s="139"/>
      <c r="GF5" s="139"/>
      <c r="GG5" s="139"/>
      <c r="GH5" s="139"/>
      <c r="GI5" s="197"/>
      <c r="GJ5" s="198"/>
      <c r="GK5" s="136"/>
      <c r="GL5" s="139"/>
      <c r="GM5" s="139"/>
      <c r="GN5" s="139"/>
      <c r="GO5" s="139"/>
      <c r="GP5" s="197"/>
      <c r="GQ5" s="198"/>
      <c r="GR5" s="136"/>
      <c r="GS5" s="139"/>
      <c r="GT5" s="139"/>
      <c r="GU5" s="139"/>
      <c r="GV5" s="139"/>
      <c r="GW5" s="197"/>
      <c r="GX5" s="198"/>
      <c r="GY5" s="136"/>
      <c r="GZ5" s="139"/>
      <c r="HA5" s="139"/>
      <c r="HB5" s="139"/>
      <c r="HC5" s="139"/>
      <c r="HD5" s="197"/>
      <c r="HE5" s="198"/>
      <c r="HF5" s="110"/>
      <c r="HG5" s="110"/>
      <c r="HH5" s="110"/>
      <c r="HI5" s="110"/>
    </row>
    <row r="6" spans="2:217" x14ac:dyDescent="0.3">
      <c r="B6" s="16">
        <v>107804</v>
      </c>
      <c r="C6" s="17">
        <v>35</v>
      </c>
      <c r="D6" s="11" t="s">
        <v>19</v>
      </c>
      <c r="E6" s="11" t="str">
        <f t="shared" si="4"/>
        <v>107804X</v>
      </c>
      <c r="F6" s="192" t="s">
        <v>7</v>
      </c>
      <c r="G6" s="183" t="s">
        <v>26</v>
      </c>
      <c r="H6" s="146" t="s">
        <v>44</v>
      </c>
      <c r="I6" s="147" t="s">
        <v>312</v>
      </c>
      <c r="J6" s="148" t="s">
        <v>313</v>
      </c>
      <c r="K6" s="125" t="s">
        <v>459</v>
      </c>
      <c r="L6" s="41" t="s">
        <v>459</v>
      </c>
      <c r="M6" s="41" t="s">
        <v>459</v>
      </c>
      <c r="N6" s="41" t="s">
        <v>459</v>
      </c>
      <c r="O6" s="41" t="s">
        <v>459</v>
      </c>
      <c r="P6" s="199"/>
      <c r="Q6" s="200"/>
      <c r="R6" s="125" t="s">
        <v>459</v>
      </c>
      <c r="S6" s="41" t="s">
        <v>459</v>
      </c>
      <c r="T6" s="41" t="s">
        <v>459</v>
      </c>
      <c r="U6" s="41" t="s">
        <v>459</v>
      </c>
      <c r="V6" s="41" t="s">
        <v>459</v>
      </c>
      <c r="W6" s="199"/>
      <c r="X6" s="200"/>
      <c r="Y6" s="125"/>
      <c r="Z6" s="41"/>
      <c r="AA6" s="41"/>
      <c r="AB6" s="41"/>
      <c r="AC6" s="41"/>
      <c r="AD6" s="199"/>
      <c r="AE6" s="200"/>
      <c r="AF6" s="125"/>
      <c r="AG6" s="41"/>
      <c r="AH6" s="41"/>
      <c r="AI6" s="41"/>
      <c r="AJ6" s="41"/>
      <c r="AK6" s="199"/>
      <c r="AL6" s="200"/>
      <c r="AM6" s="125"/>
      <c r="AN6" s="41"/>
      <c r="AO6" s="41"/>
      <c r="AP6" s="41"/>
      <c r="AQ6" s="41"/>
      <c r="AR6" s="199"/>
      <c r="AS6" s="200"/>
      <c r="AT6" s="125"/>
      <c r="AU6" s="41"/>
      <c r="AV6" s="41"/>
      <c r="AW6" s="41"/>
      <c r="AX6" s="41"/>
      <c r="AY6" s="199"/>
      <c r="AZ6" s="200"/>
      <c r="BA6" s="125"/>
      <c r="BB6" s="41"/>
      <c r="BC6" s="41"/>
      <c r="BD6" s="41"/>
      <c r="BE6" s="41"/>
      <c r="BF6" s="199"/>
      <c r="BG6" s="200"/>
      <c r="BH6" s="125"/>
      <c r="BI6" s="41"/>
      <c r="BJ6" s="41"/>
      <c r="BK6" s="41"/>
      <c r="BL6" s="41"/>
      <c r="BM6" s="199"/>
      <c r="BN6" s="200"/>
      <c r="BO6" s="125"/>
      <c r="BP6" s="41"/>
      <c r="BQ6" s="41"/>
      <c r="BR6" s="41"/>
      <c r="BS6" s="41"/>
      <c r="BT6" s="199"/>
      <c r="BU6" s="200"/>
      <c r="BV6" s="125"/>
      <c r="BW6" s="41"/>
      <c r="BX6" s="41"/>
      <c r="BY6" s="41"/>
      <c r="BZ6" s="41"/>
      <c r="CA6" s="199"/>
      <c r="CB6" s="200"/>
      <c r="CC6" s="125"/>
      <c r="CD6" s="41"/>
      <c r="CE6" s="41"/>
      <c r="CF6" s="41"/>
      <c r="CG6" s="41"/>
      <c r="CH6" s="199"/>
      <c r="CI6" s="200"/>
      <c r="CJ6" s="125"/>
      <c r="CK6" s="41"/>
      <c r="CL6" s="41"/>
      <c r="CM6" s="41"/>
      <c r="CN6" s="41"/>
      <c r="CO6" s="199"/>
      <c r="CP6" s="200"/>
      <c r="CQ6" s="125"/>
      <c r="CR6" s="41"/>
      <c r="CS6" s="41"/>
      <c r="CT6" s="41"/>
      <c r="CU6" s="41"/>
      <c r="CV6" s="199"/>
      <c r="CW6" s="200"/>
      <c r="CX6" s="125"/>
      <c r="CY6" s="41"/>
      <c r="CZ6" s="41"/>
      <c r="DA6" s="41"/>
      <c r="DB6" s="41"/>
      <c r="DC6" s="199"/>
      <c r="DD6" s="200"/>
      <c r="DE6" s="125"/>
      <c r="DF6" s="41"/>
      <c r="DG6" s="41"/>
      <c r="DH6" s="41"/>
      <c r="DI6" s="41"/>
      <c r="DJ6" s="199"/>
      <c r="DK6" s="200"/>
      <c r="DL6" s="125"/>
      <c r="DM6" s="41"/>
      <c r="DN6" s="41"/>
      <c r="DO6" s="41"/>
      <c r="DP6" s="41"/>
      <c r="DQ6" s="199"/>
      <c r="DR6" s="200"/>
      <c r="DS6" s="125"/>
      <c r="DT6" s="41"/>
      <c r="DU6" s="41"/>
      <c r="DV6" s="41"/>
      <c r="DW6" s="41"/>
      <c r="DX6" s="199"/>
      <c r="DY6" s="200"/>
      <c r="DZ6" s="125"/>
      <c r="EA6" s="41"/>
      <c r="EB6" s="41"/>
      <c r="EC6" s="41"/>
      <c r="ED6" s="41"/>
      <c r="EE6" s="199"/>
      <c r="EF6" s="200"/>
      <c r="EG6" s="125"/>
      <c r="EH6" s="41"/>
      <c r="EI6" s="41"/>
      <c r="EJ6" s="41"/>
      <c r="EK6" s="41"/>
      <c r="EL6" s="199"/>
      <c r="EM6" s="200"/>
      <c r="EN6" s="125"/>
      <c r="EO6" s="41"/>
      <c r="EP6" s="41"/>
      <c r="EQ6" s="41"/>
      <c r="ER6" s="41"/>
      <c r="ES6" s="199"/>
      <c r="ET6" s="200"/>
      <c r="EU6" s="125"/>
      <c r="EV6" s="41"/>
      <c r="EW6" s="41"/>
      <c r="EX6" s="41"/>
      <c r="EY6" s="41"/>
      <c r="EZ6" s="199"/>
      <c r="FA6" s="200"/>
      <c r="FB6" s="125"/>
      <c r="FC6" s="41"/>
      <c r="FD6" s="41"/>
      <c r="FE6" s="41"/>
      <c r="FF6" s="41"/>
      <c r="FG6" s="199"/>
      <c r="FH6" s="200"/>
      <c r="FI6" s="125"/>
      <c r="FJ6" s="41"/>
      <c r="FK6" s="41"/>
      <c r="FL6" s="41"/>
      <c r="FM6" s="41"/>
      <c r="FN6" s="199"/>
      <c r="FO6" s="200"/>
      <c r="FP6" s="125"/>
      <c r="FQ6" s="41"/>
      <c r="FR6" s="41"/>
      <c r="FS6" s="41"/>
      <c r="FT6" s="41"/>
      <c r="FU6" s="199"/>
      <c r="FV6" s="200"/>
      <c r="FW6" s="125"/>
      <c r="FX6" s="41"/>
      <c r="FY6" s="41"/>
      <c r="FZ6" s="41"/>
      <c r="GA6" s="41"/>
      <c r="GB6" s="199"/>
      <c r="GC6" s="200"/>
      <c r="GD6" s="125"/>
      <c r="GE6" s="41"/>
      <c r="GF6" s="41"/>
      <c r="GG6" s="41"/>
      <c r="GH6" s="41"/>
      <c r="GI6" s="199"/>
      <c r="GJ6" s="200"/>
      <c r="GK6" s="125"/>
      <c r="GL6" s="41"/>
      <c r="GM6" s="41"/>
      <c r="GN6" s="41"/>
      <c r="GO6" s="41"/>
      <c r="GP6" s="199"/>
      <c r="GQ6" s="200"/>
      <c r="GR6" s="125"/>
      <c r="GS6" s="41"/>
      <c r="GT6" s="41"/>
      <c r="GU6" s="41"/>
      <c r="GV6" s="41"/>
      <c r="GW6" s="199"/>
      <c r="GX6" s="200"/>
      <c r="GY6" s="125"/>
      <c r="GZ6" s="41"/>
      <c r="HA6" s="41"/>
      <c r="HB6" s="41"/>
      <c r="HC6" s="41"/>
      <c r="HD6" s="199"/>
      <c r="HE6" s="200"/>
      <c r="HF6" s="110"/>
      <c r="HG6" s="110"/>
      <c r="HH6" s="110"/>
      <c r="HI6" s="110"/>
    </row>
    <row r="7" spans="2:217" x14ac:dyDescent="0.3">
      <c r="B7" s="8" t="s">
        <v>292</v>
      </c>
      <c r="C7" s="9">
        <v>35</v>
      </c>
      <c r="D7" s="10" t="s">
        <v>91</v>
      </c>
      <c r="E7" s="11" t="str">
        <f t="shared" si="4"/>
        <v xml:space="preserve"> x</v>
      </c>
      <c r="F7" s="193" t="s">
        <v>7</v>
      </c>
      <c r="G7" s="183" t="s">
        <v>26</v>
      </c>
      <c r="H7" s="146" t="s">
        <v>9</v>
      </c>
      <c r="I7" s="149" t="s">
        <v>336</v>
      </c>
      <c r="J7" s="150" t="s">
        <v>337</v>
      </c>
      <c r="K7" s="125" t="s">
        <v>459</v>
      </c>
      <c r="L7" s="41" t="s">
        <v>459</v>
      </c>
      <c r="M7" s="41" t="s">
        <v>459</v>
      </c>
      <c r="N7" s="41" t="s">
        <v>459</v>
      </c>
      <c r="O7" s="41" t="s">
        <v>459</v>
      </c>
      <c r="P7" s="199"/>
      <c r="Q7" s="200"/>
      <c r="R7" s="125" t="s">
        <v>459</v>
      </c>
      <c r="S7" s="41" t="s">
        <v>459</v>
      </c>
      <c r="T7" s="41" t="s">
        <v>459</v>
      </c>
      <c r="U7" s="41" t="s">
        <v>459</v>
      </c>
      <c r="V7" s="41" t="s">
        <v>459</v>
      </c>
      <c r="W7" s="199"/>
      <c r="X7" s="200"/>
      <c r="Y7" s="125"/>
      <c r="Z7" s="41"/>
      <c r="AA7" s="41"/>
      <c r="AB7" s="41"/>
      <c r="AC7" s="41"/>
      <c r="AD7" s="199"/>
      <c r="AE7" s="200"/>
      <c r="AF7" s="125"/>
      <c r="AG7" s="41"/>
      <c r="AH7" s="41"/>
      <c r="AI7" s="41"/>
      <c r="AJ7" s="41"/>
      <c r="AK7" s="199"/>
      <c r="AL7" s="200"/>
      <c r="AM7" s="125"/>
      <c r="AN7" s="41"/>
      <c r="AO7" s="41"/>
      <c r="AP7" s="41"/>
      <c r="AQ7" s="41"/>
      <c r="AR7" s="199"/>
      <c r="AS7" s="200"/>
      <c r="AT7" s="125"/>
      <c r="AU7" s="41"/>
      <c r="AV7" s="41"/>
      <c r="AW7" s="41"/>
      <c r="AX7" s="41"/>
      <c r="AY7" s="199"/>
      <c r="AZ7" s="200"/>
      <c r="BA7" s="125"/>
      <c r="BB7" s="41"/>
      <c r="BC7" s="41"/>
      <c r="BD7" s="41"/>
      <c r="BE7" s="41"/>
      <c r="BF7" s="199"/>
      <c r="BG7" s="200"/>
      <c r="BH7" s="125"/>
      <c r="BI7" s="41"/>
      <c r="BJ7" s="41"/>
      <c r="BK7" s="41"/>
      <c r="BL7" s="41"/>
      <c r="BM7" s="199"/>
      <c r="BN7" s="200"/>
      <c r="BO7" s="125"/>
      <c r="BP7" s="41"/>
      <c r="BQ7" s="41"/>
      <c r="BR7" s="41"/>
      <c r="BS7" s="41"/>
      <c r="BT7" s="199"/>
      <c r="BU7" s="200"/>
      <c r="BV7" s="125"/>
      <c r="BW7" s="41"/>
      <c r="BX7" s="41"/>
      <c r="BY7" s="41"/>
      <c r="BZ7" s="41"/>
      <c r="CA7" s="199"/>
      <c r="CB7" s="200"/>
      <c r="CC7" s="125"/>
      <c r="CD7" s="41"/>
      <c r="CE7" s="41"/>
      <c r="CF7" s="41"/>
      <c r="CG7" s="41"/>
      <c r="CH7" s="199"/>
      <c r="CI7" s="200"/>
      <c r="CJ7" s="125"/>
      <c r="CK7" s="41"/>
      <c r="CL7" s="41"/>
      <c r="CM7" s="41"/>
      <c r="CN7" s="41"/>
      <c r="CO7" s="199"/>
      <c r="CP7" s="200"/>
      <c r="CQ7" s="125"/>
      <c r="CR7" s="41"/>
      <c r="CS7" s="41"/>
      <c r="CT7" s="41"/>
      <c r="CU7" s="41"/>
      <c r="CV7" s="199"/>
      <c r="CW7" s="200"/>
      <c r="CX7" s="125"/>
      <c r="CY7" s="41"/>
      <c r="CZ7" s="41"/>
      <c r="DA7" s="41"/>
      <c r="DB7" s="41"/>
      <c r="DC7" s="199"/>
      <c r="DD7" s="200"/>
      <c r="DE7" s="125"/>
      <c r="DF7" s="41"/>
      <c r="DG7" s="41"/>
      <c r="DH7" s="41"/>
      <c r="DI7" s="41"/>
      <c r="DJ7" s="199"/>
      <c r="DK7" s="200"/>
      <c r="DL7" s="125"/>
      <c r="DM7" s="41"/>
      <c r="DN7" s="41"/>
      <c r="DO7" s="41"/>
      <c r="DP7" s="41"/>
      <c r="DQ7" s="199"/>
      <c r="DR7" s="200"/>
      <c r="DS7" s="125"/>
      <c r="DT7" s="41"/>
      <c r="DU7" s="41"/>
      <c r="DV7" s="41"/>
      <c r="DW7" s="41"/>
      <c r="DX7" s="199"/>
      <c r="DY7" s="200"/>
      <c r="DZ7" s="125"/>
      <c r="EA7" s="41"/>
      <c r="EB7" s="41"/>
      <c r="EC7" s="41"/>
      <c r="ED7" s="41"/>
      <c r="EE7" s="199"/>
      <c r="EF7" s="200"/>
      <c r="EG7" s="125"/>
      <c r="EH7" s="41"/>
      <c r="EI7" s="41"/>
      <c r="EJ7" s="41"/>
      <c r="EK7" s="41"/>
      <c r="EL7" s="199"/>
      <c r="EM7" s="200"/>
      <c r="EN7" s="125"/>
      <c r="EO7" s="41"/>
      <c r="EP7" s="41"/>
      <c r="EQ7" s="41"/>
      <c r="ER7" s="41"/>
      <c r="ES7" s="199"/>
      <c r="ET7" s="200"/>
      <c r="EU7" s="125"/>
      <c r="EV7" s="41"/>
      <c r="EW7" s="41"/>
      <c r="EX7" s="41"/>
      <c r="EY7" s="41"/>
      <c r="EZ7" s="199"/>
      <c r="FA7" s="200"/>
      <c r="FB7" s="125"/>
      <c r="FC7" s="41"/>
      <c r="FD7" s="41"/>
      <c r="FE7" s="41"/>
      <c r="FF7" s="41"/>
      <c r="FG7" s="199"/>
      <c r="FH7" s="200"/>
      <c r="FI7" s="125"/>
      <c r="FJ7" s="41"/>
      <c r="FK7" s="41"/>
      <c r="FL7" s="41"/>
      <c r="FM7" s="41"/>
      <c r="FN7" s="199"/>
      <c r="FO7" s="200"/>
      <c r="FP7" s="125"/>
      <c r="FQ7" s="41"/>
      <c r="FR7" s="41"/>
      <c r="FS7" s="41"/>
      <c r="FT7" s="41"/>
      <c r="FU7" s="199"/>
      <c r="FV7" s="200"/>
      <c r="FW7" s="125"/>
      <c r="FX7" s="41"/>
      <c r="FY7" s="41"/>
      <c r="FZ7" s="41"/>
      <c r="GA7" s="41"/>
      <c r="GB7" s="199"/>
      <c r="GC7" s="200"/>
      <c r="GD7" s="125"/>
      <c r="GE7" s="41"/>
      <c r="GF7" s="41"/>
      <c r="GG7" s="41"/>
      <c r="GH7" s="41"/>
      <c r="GI7" s="199"/>
      <c r="GJ7" s="200"/>
      <c r="GK7" s="125"/>
      <c r="GL7" s="41"/>
      <c r="GM7" s="41"/>
      <c r="GN7" s="41"/>
      <c r="GO7" s="41"/>
      <c r="GP7" s="199"/>
      <c r="GQ7" s="200"/>
      <c r="GR7" s="125"/>
      <c r="GS7" s="41"/>
      <c r="GT7" s="41"/>
      <c r="GU7" s="41"/>
      <c r="GV7" s="41"/>
      <c r="GW7" s="199"/>
      <c r="GX7" s="200"/>
      <c r="GY7" s="125"/>
      <c r="GZ7" s="41"/>
      <c r="HA7" s="41"/>
      <c r="HB7" s="41"/>
      <c r="HC7" s="41"/>
      <c r="HD7" s="199"/>
      <c r="HE7" s="200"/>
      <c r="HF7" s="110"/>
      <c r="HG7" s="110"/>
      <c r="HH7" s="110"/>
      <c r="HI7" s="110"/>
    </row>
    <row r="8" spans="2:217" x14ac:dyDescent="0.3">
      <c r="B8" s="8">
        <v>104224</v>
      </c>
      <c r="C8" s="9">
        <v>35</v>
      </c>
      <c r="D8" s="10" t="str">
        <f t="shared" ref="D8:D23" si="5">IF(G8="","","X")</f>
        <v>X</v>
      </c>
      <c r="E8" s="11" t="str">
        <f t="shared" si="4"/>
        <v>104224X</v>
      </c>
      <c r="F8" s="193" t="s">
        <v>7</v>
      </c>
      <c r="G8" s="183" t="s">
        <v>26</v>
      </c>
      <c r="H8" s="146" t="s">
        <v>9</v>
      </c>
      <c r="I8" s="151" t="s">
        <v>354</v>
      </c>
      <c r="J8" s="152" t="s">
        <v>106</v>
      </c>
      <c r="K8" s="125" t="s">
        <v>459</v>
      </c>
      <c r="L8" s="41" t="s">
        <v>459</v>
      </c>
      <c r="M8" s="41" t="s">
        <v>459</v>
      </c>
      <c r="N8" s="41" t="s">
        <v>459</v>
      </c>
      <c r="O8" s="41" t="s">
        <v>459</v>
      </c>
      <c r="P8" s="199"/>
      <c r="Q8" s="200"/>
      <c r="R8" s="125" t="s">
        <v>459</v>
      </c>
      <c r="S8" s="41" t="s">
        <v>459</v>
      </c>
      <c r="T8" s="41" t="s">
        <v>459</v>
      </c>
      <c r="U8" s="41" t="s">
        <v>459</v>
      </c>
      <c r="V8" s="41" t="s">
        <v>459</v>
      </c>
      <c r="W8" s="199"/>
      <c r="X8" s="200"/>
      <c r="Y8" s="125"/>
      <c r="Z8" s="41"/>
      <c r="AA8" s="41"/>
      <c r="AB8" s="41"/>
      <c r="AC8" s="41"/>
      <c r="AD8" s="199"/>
      <c r="AE8" s="200"/>
      <c r="AF8" s="125"/>
      <c r="AG8" s="41"/>
      <c r="AH8" s="41"/>
      <c r="AI8" s="41"/>
      <c r="AJ8" s="41"/>
      <c r="AK8" s="199"/>
      <c r="AL8" s="200"/>
      <c r="AM8" s="125"/>
      <c r="AN8" s="41"/>
      <c r="AO8" s="41"/>
      <c r="AP8" s="41"/>
      <c r="AQ8" s="41"/>
      <c r="AR8" s="199"/>
      <c r="AS8" s="200"/>
      <c r="AT8" s="125"/>
      <c r="AU8" s="41"/>
      <c r="AV8" s="41"/>
      <c r="AW8" s="41"/>
      <c r="AX8" s="41"/>
      <c r="AY8" s="199"/>
      <c r="AZ8" s="200"/>
      <c r="BA8" s="125"/>
      <c r="BB8" s="41"/>
      <c r="BC8" s="41"/>
      <c r="BD8" s="41"/>
      <c r="BE8" s="41"/>
      <c r="BF8" s="199"/>
      <c r="BG8" s="200"/>
      <c r="BH8" s="125"/>
      <c r="BI8" s="41"/>
      <c r="BJ8" s="41"/>
      <c r="BK8" s="41"/>
      <c r="BL8" s="41"/>
      <c r="BM8" s="199"/>
      <c r="BN8" s="200"/>
      <c r="BO8" s="125"/>
      <c r="BP8" s="41"/>
      <c r="BQ8" s="41"/>
      <c r="BR8" s="41"/>
      <c r="BS8" s="41"/>
      <c r="BT8" s="199"/>
      <c r="BU8" s="200"/>
      <c r="BV8" s="125"/>
      <c r="BW8" s="41"/>
      <c r="BX8" s="41"/>
      <c r="BY8" s="41"/>
      <c r="BZ8" s="41"/>
      <c r="CA8" s="199"/>
      <c r="CB8" s="200"/>
      <c r="CC8" s="125"/>
      <c r="CD8" s="41"/>
      <c r="CE8" s="41"/>
      <c r="CF8" s="41"/>
      <c r="CG8" s="41"/>
      <c r="CH8" s="199"/>
      <c r="CI8" s="200"/>
      <c r="CJ8" s="125"/>
      <c r="CK8" s="41"/>
      <c r="CL8" s="41"/>
      <c r="CM8" s="41"/>
      <c r="CN8" s="41"/>
      <c r="CO8" s="199"/>
      <c r="CP8" s="200"/>
      <c r="CQ8" s="125"/>
      <c r="CR8" s="41"/>
      <c r="CS8" s="41"/>
      <c r="CT8" s="41"/>
      <c r="CU8" s="41"/>
      <c r="CV8" s="199"/>
      <c r="CW8" s="200"/>
      <c r="CX8" s="125"/>
      <c r="CY8" s="41"/>
      <c r="CZ8" s="41"/>
      <c r="DA8" s="41"/>
      <c r="DB8" s="41"/>
      <c r="DC8" s="199"/>
      <c r="DD8" s="200"/>
      <c r="DE8" s="125"/>
      <c r="DF8" s="41"/>
      <c r="DG8" s="41"/>
      <c r="DH8" s="41"/>
      <c r="DI8" s="41"/>
      <c r="DJ8" s="199"/>
      <c r="DK8" s="200"/>
      <c r="DL8" s="125"/>
      <c r="DM8" s="41"/>
      <c r="DN8" s="41"/>
      <c r="DO8" s="41"/>
      <c r="DP8" s="41"/>
      <c r="DQ8" s="199"/>
      <c r="DR8" s="200"/>
      <c r="DS8" s="125"/>
      <c r="DT8" s="41"/>
      <c r="DU8" s="41"/>
      <c r="DV8" s="41"/>
      <c r="DW8" s="41"/>
      <c r="DX8" s="199"/>
      <c r="DY8" s="200"/>
      <c r="DZ8" s="125"/>
      <c r="EA8" s="41"/>
      <c r="EB8" s="41"/>
      <c r="EC8" s="41"/>
      <c r="ED8" s="41"/>
      <c r="EE8" s="199"/>
      <c r="EF8" s="200"/>
      <c r="EG8" s="125"/>
      <c r="EH8" s="41"/>
      <c r="EI8" s="41"/>
      <c r="EJ8" s="41"/>
      <c r="EK8" s="41"/>
      <c r="EL8" s="199"/>
      <c r="EM8" s="200"/>
      <c r="EN8" s="125"/>
      <c r="EO8" s="41"/>
      <c r="EP8" s="41"/>
      <c r="EQ8" s="41"/>
      <c r="ER8" s="41"/>
      <c r="ES8" s="199"/>
      <c r="ET8" s="200"/>
      <c r="EU8" s="125"/>
      <c r="EV8" s="41"/>
      <c r="EW8" s="41"/>
      <c r="EX8" s="41"/>
      <c r="EY8" s="41"/>
      <c r="EZ8" s="199"/>
      <c r="FA8" s="200"/>
      <c r="FB8" s="125"/>
      <c r="FC8" s="41"/>
      <c r="FD8" s="41"/>
      <c r="FE8" s="41"/>
      <c r="FF8" s="41"/>
      <c r="FG8" s="199"/>
      <c r="FH8" s="200"/>
      <c r="FI8" s="125"/>
      <c r="FJ8" s="41"/>
      <c r="FK8" s="41"/>
      <c r="FL8" s="41"/>
      <c r="FM8" s="41"/>
      <c r="FN8" s="199"/>
      <c r="FO8" s="200"/>
      <c r="FP8" s="125"/>
      <c r="FQ8" s="41"/>
      <c r="FR8" s="41"/>
      <c r="FS8" s="41"/>
      <c r="FT8" s="41"/>
      <c r="FU8" s="199"/>
      <c r="FV8" s="200"/>
      <c r="FW8" s="125"/>
      <c r="FX8" s="41"/>
      <c r="FY8" s="41"/>
      <c r="FZ8" s="41"/>
      <c r="GA8" s="41"/>
      <c r="GB8" s="199"/>
      <c r="GC8" s="200"/>
      <c r="GD8" s="125"/>
      <c r="GE8" s="41"/>
      <c r="GF8" s="41"/>
      <c r="GG8" s="41"/>
      <c r="GH8" s="41"/>
      <c r="GI8" s="199"/>
      <c r="GJ8" s="200"/>
      <c r="GK8" s="125"/>
      <c r="GL8" s="41"/>
      <c r="GM8" s="41"/>
      <c r="GN8" s="41"/>
      <c r="GO8" s="41"/>
      <c r="GP8" s="199"/>
      <c r="GQ8" s="200"/>
      <c r="GR8" s="125"/>
      <c r="GS8" s="41"/>
      <c r="GT8" s="41"/>
      <c r="GU8" s="41"/>
      <c r="GV8" s="41"/>
      <c r="GW8" s="199"/>
      <c r="GX8" s="200"/>
      <c r="GY8" s="125"/>
      <c r="GZ8" s="41"/>
      <c r="HA8" s="41"/>
      <c r="HB8" s="41"/>
      <c r="HC8" s="41"/>
      <c r="HD8" s="199"/>
      <c r="HE8" s="200"/>
      <c r="HF8" s="110"/>
      <c r="HG8" s="110"/>
      <c r="HH8" s="110"/>
      <c r="HI8" s="110"/>
    </row>
    <row r="9" spans="2:217" x14ac:dyDescent="0.3">
      <c r="B9" s="38">
        <v>35714</v>
      </c>
      <c r="C9" s="9">
        <v>35</v>
      </c>
      <c r="D9" s="10" t="str">
        <f t="shared" si="5"/>
        <v>X</v>
      </c>
      <c r="E9" s="11" t="str">
        <f t="shared" si="4"/>
        <v>35714X</v>
      </c>
      <c r="F9" s="193" t="s">
        <v>7</v>
      </c>
      <c r="G9" s="183" t="s">
        <v>26</v>
      </c>
      <c r="H9" s="146" t="s">
        <v>44</v>
      </c>
      <c r="I9" s="159" t="s">
        <v>358</v>
      </c>
      <c r="J9" s="160" t="s">
        <v>138</v>
      </c>
      <c r="K9" s="125" t="s">
        <v>459</v>
      </c>
      <c r="L9" s="41" t="s">
        <v>459</v>
      </c>
      <c r="M9" s="41" t="s">
        <v>459</v>
      </c>
      <c r="N9" s="41" t="s">
        <v>459</v>
      </c>
      <c r="O9" s="41" t="s">
        <v>459</v>
      </c>
      <c r="P9" s="199"/>
      <c r="Q9" s="200"/>
      <c r="R9" s="125" t="s">
        <v>459</v>
      </c>
      <c r="S9" s="41" t="s">
        <v>459</v>
      </c>
      <c r="T9" s="41" t="s">
        <v>459</v>
      </c>
      <c r="U9" s="41" t="s">
        <v>459</v>
      </c>
      <c r="V9" s="41" t="s">
        <v>459</v>
      </c>
      <c r="W9" s="199"/>
      <c r="X9" s="200"/>
      <c r="Y9" s="125"/>
      <c r="Z9" s="41"/>
      <c r="AA9" s="41"/>
      <c r="AB9" s="41"/>
      <c r="AC9" s="41"/>
      <c r="AD9" s="199"/>
      <c r="AE9" s="200"/>
      <c r="AF9" s="125"/>
      <c r="AG9" s="41"/>
      <c r="AH9" s="41"/>
      <c r="AI9" s="41"/>
      <c r="AJ9" s="41"/>
      <c r="AK9" s="199"/>
      <c r="AL9" s="200"/>
      <c r="AM9" s="125"/>
      <c r="AN9" s="41"/>
      <c r="AO9" s="41"/>
      <c r="AP9" s="41"/>
      <c r="AQ9" s="41"/>
      <c r="AR9" s="199"/>
      <c r="AS9" s="200"/>
      <c r="AT9" s="125"/>
      <c r="AU9" s="41"/>
      <c r="AV9" s="41"/>
      <c r="AW9" s="41"/>
      <c r="AX9" s="41"/>
      <c r="AY9" s="199"/>
      <c r="AZ9" s="200"/>
      <c r="BA9" s="125"/>
      <c r="BB9" s="41"/>
      <c r="BC9" s="41"/>
      <c r="BD9" s="41"/>
      <c r="BE9" s="41"/>
      <c r="BF9" s="199"/>
      <c r="BG9" s="200"/>
      <c r="BH9" s="125"/>
      <c r="BI9" s="41"/>
      <c r="BJ9" s="41"/>
      <c r="BK9" s="41"/>
      <c r="BL9" s="41"/>
      <c r="BM9" s="199"/>
      <c r="BN9" s="200"/>
      <c r="BO9" s="125"/>
      <c r="BP9" s="41"/>
      <c r="BQ9" s="41"/>
      <c r="BR9" s="41"/>
      <c r="BS9" s="41"/>
      <c r="BT9" s="199"/>
      <c r="BU9" s="200"/>
      <c r="BV9" s="125"/>
      <c r="BW9" s="41"/>
      <c r="BX9" s="41"/>
      <c r="BY9" s="41"/>
      <c r="BZ9" s="41"/>
      <c r="CA9" s="199"/>
      <c r="CB9" s="200"/>
      <c r="CC9" s="125"/>
      <c r="CD9" s="41"/>
      <c r="CE9" s="41"/>
      <c r="CF9" s="41"/>
      <c r="CG9" s="41"/>
      <c r="CH9" s="199"/>
      <c r="CI9" s="200"/>
      <c r="CJ9" s="125"/>
      <c r="CK9" s="41"/>
      <c r="CL9" s="41"/>
      <c r="CM9" s="41"/>
      <c r="CN9" s="41"/>
      <c r="CO9" s="199"/>
      <c r="CP9" s="200"/>
      <c r="CQ9" s="125"/>
      <c r="CR9" s="41"/>
      <c r="CS9" s="41"/>
      <c r="CT9" s="41"/>
      <c r="CU9" s="41"/>
      <c r="CV9" s="199"/>
      <c r="CW9" s="200"/>
      <c r="CX9" s="125"/>
      <c r="CY9" s="41"/>
      <c r="CZ9" s="41"/>
      <c r="DA9" s="41"/>
      <c r="DB9" s="41"/>
      <c r="DC9" s="199"/>
      <c r="DD9" s="200"/>
      <c r="DE9" s="125"/>
      <c r="DF9" s="41"/>
      <c r="DG9" s="41"/>
      <c r="DH9" s="41"/>
      <c r="DI9" s="41"/>
      <c r="DJ9" s="199"/>
      <c r="DK9" s="200"/>
      <c r="DL9" s="125"/>
      <c r="DM9" s="41"/>
      <c r="DN9" s="41"/>
      <c r="DO9" s="41"/>
      <c r="DP9" s="41"/>
      <c r="DQ9" s="199"/>
      <c r="DR9" s="200"/>
      <c r="DS9" s="125"/>
      <c r="DT9" s="41"/>
      <c r="DU9" s="41"/>
      <c r="DV9" s="41"/>
      <c r="DW9" s="41"/>
      <c r="DX9" s="199"/>
      <c r="DY9" s="200"/>
      <c r="DZ9" s="125"/>
      <c r="EA9" s="41"/>
      <c r="EB9" s="41"/>
      <c r="EC9" s="41"/>
      <c r="ED9" s="41"/>
      <c r="EE9" s="199"/>
      <c r="EF9" s="200"/>
      <c r="EG9" s="125"/>
      <c r="EH9" s="41"/>
      <c r="EI9" s="41"/>
      <c r="EJ9" s="41"/>
      <c r="EK9" s="41"/>
      <c r="EL9" s="199"/>
      <c r="EM9" s="200"/>
      <c r="EN9" s="125"/>
      <c r="EO9" s="41"/>
      <c r="EP9" s="41"/>
      <c r="EQ9" s="41"/>
      <c r="ER9" s="41"/>
      <c r="ES9" s="199"/>
      <c r="ET9" s="200"/>
      <c r="EU9" s="125"/>
      <c r="EV9" s="41"/>
      <c r="EW9" s="41"/>
      <c r="EX9" s="41"/>
      <c r="EY9" s="41"/>
      <c r="EZ9" s="199"/>
      <c r="FA9" s="200"/>
      <c r="FB9" s="125"/>
      <c r="FC9" s="41"/>
      <c r="FD9" s="41"/>
      <c r="FE9" s="41"/>
      <c r="FF9" s="41"/>
      <c r="FG9" s="199"/>
      <c r="FH9" s="200"/>
      <c r="FI9" s="125"/>
      <c r="FJ9" s="41"/>
      <c r="FK9" s="41"/>
      <c r="FL9" s="41"/>
      <c r="FM9" s="41"/>
      <c r="FN9" s="199"/>
      <c r="FO9" s="200"/>
      <c r="FP9" s="125"/>
      <c r="FQ9" s="41"/>
      <c r="FR9" s="41"/>
      <c r="FS9" s="41"/>
      <c r="FT9" s="41"/>
      <c r="FU9" s="199"/>
      <c r="FV9" s="200"/>
      <c r="FW9" s="125"/>
      <c r="FX9" s="41"/>
      <c r="FY9" s="41"/>
      <c r="FZ9" s="41"/>
      <c r="GA9" s="41"/>
      <c r="GB9" s="199"/>
      <c r="GC9" s="200"/>
      <c r="GD9" s="125"/>
      <c r="GE9" s="41"/>
      <c r="GF9" s="41"/>
      <c r="GG9" s="41"/>
      <c r="GH9" s="41"/>
      <c r="GI9" s="199"/>
      <c r="GJ9" s="200"/>
      <c r="GK9" s="125"/>
      <c r="GL9" s="41"/>
      <c r="GM9" s="41"/>
      <c r="GN9" s="41"/>
      <c r="GO9" s="41"/>
      <c r="GP9" s="199"/>
      <c r="GQ9" s="200"/>
      <c r="GR9" s="125"/>
      <c r="GS9" s="41"/>
      <c r="GT9" s="41"/>
      <c r="GU9" s="41"/>
      <c r="GV9" s="41"/>
      <c r="GW9" s="199"/>
      <c r="GX9" s="200"/>
      <c r="GY9" s="125"/>
      <c r="GZ9" s="41"/>
      <c r="HA9" s="41"/>
      <c r="HB9" s="41"/>
      <c r="HC9" s="41"/>
      <c r="HD9" s="199"/>
      <c r="HE9" s="200"/>
      <c r="HF9" s="110"/>
      <c r="HG9" s="110"/>
      <c r="HH9" s="110"/>
      <c r="HI9" s="110"/>
    </row>
    <row r="10" spans="2:217" x14ac:dyDescent="0.3">
      <c r="B10" s="8">
        <v>101143</v>
      </c>
      <c r="C10" s="9">
        <v>35</v>
      </c>
      <c r="D10" s="10" t="str">
        <f t="shared" si="5"/>
        <v>X</v>
      </c>
      <c r="E10" s="11" t="str">
        <f t="shared" si="4"/>
        <v>101143X</v>
      </c>
      <c r="F10" s="193" t="s">
        <v>7</v>
      </c>
      <c r="G10" s="183" t="s">
        <v>8</v>
      </c>
      <c r="H10" s="146" t="s">
        <v>9</v>
      </c>
      <c r="I10" s="151" t="s">
        <v>10</v>
      </c>
      <c r="J10" s="152" t="s">
        <v>11</v>
      </c>
      <c r="K10" s="125" t="s">
        <v>459</v>
      </c>
      <c r="L10" s="41" t="s">
        <v>459</v>
      </c>
      <c r="M10" s="41" t="s">
        <v>459</v>
      </c>
      <c r="N10" s="41" t="s">
        <v>459</v>
      </c>
      <c r="O10" s="41" t="s">
        <v>459</v>
      </c>
      <c r="P10" s="199"/>
      <c r="Q10" s="200"/>
      <c r="R10" s="125" t="s">
        <v>459</v>
      </c>
      <c r="S10" s="41" t="s">
        <v>459</v>
      </c>
      <c r="T10" s="41" t="s">
        <v>459</v>
      </c>
      <c r="U10" s="41" t="s">
        <v>459</v>
      </c>
      <c r="V10" s="41" t="s">
        <v>459</v>
      </c>
      <c r="W10" s="199"/>
      <c r="X10" s="200"/>
      <c r="Y10" s="125"/>
      <c r="Z10" s="41"/>
      <c r="AA10" s="41"/>
      <c r="AB10" s="41"/>
      <c r="AC10" s="41"/>
      <c r="AD10" s="199"/>
      <c r="AE10" s="200"/>
      <c r="AF10" s="125"/>
      <c r="AG10" s="41"/>
      <c r="AH10" s="41"/>
      <c r="AI10" s="41"/>
      <c r="AJ10" s="41"/>
      <c r="AK10" s="199"/>
      <c r="AL10" s="200"/>
      <c r="AM10" s="125"/>
      <c r="AN10" s="41"/>
      <c r="AO10" s="41"/>
      <c r="AP10" s="41"/>
      <c r="AQ10" s="41"/>
      <c r="AR10" s="199"/>
      <c r="AS10" s="200"/>
      <c r="AT10" s="125"/>
      <c r="AU10" s="41"/>
      <c r="AV10" s="41"/>
      <c r="AW10" s="41"/>
      <c r="AX10" s="41"/>
      <c r="AY10" s="199"/>
      <c r="AZ10" s="200"/>
      <c r="BA10" s="125"/>
      <c r="BB10" s="41"/>
      <c r="BC10" s="41"/>
      <c r="BD10" s="41"/>
      <c r="BE10" s="41"/>
      <c r="BF10" s="199"/>
      <c r="BG10" s="200"/>
      <c r="BH10" s="125"/>
      <c r="BI10" s="41"/>
      <c r="BJ10" s="41"/>
      <c r="BK10" s="41"/>
      <c r="BL10" s="41"/>
      <c r="BM10" s="199"/>
      <c r="BN10" s="200"/>
      <c r="BO10" s="125"/>
      <c r="BP10" s="41"/>
      <c r="BQ10" s="41"/>
      <c r="BR10" s="41"/>
      <c r="BS10" s="41"/>
      <c r="BT10" s="199"/>
      <c r="BU10" s="200"/>
      <c r="BV10" s="125"/>
      <c r="BW10" s="41"/>
      <c r="BX10" s="41"/>
      <c r="BY10" s="41"/>
      <c r="BZ10" s="41"/>
      <c r="CA10" s="199"/>
      <c r="CB10" s="200"/>
      <c r="CC10" s="125"/>
      <c r="CD10" s="41"/>
      <c r="CE10" s="41"/>
      <c r="CF10" s="41"/>
      <c r="CG10" s="41"/>
      <c r="CH10" s="199"/>
      <c r="CI10" s="200"/>
      <c r="CJ10" s="125"/>
      <c r="CK10" s="41"/>
      <c r="CL10" s="41"/>
      <c r="CM10" s="41"/>
      <c r="CN10" s="41"/>
      <c r="CO10" s="199"/>
      <c r="CP10" s="200"/>
      <c r="CQ10" s="125"/>
      <c r="CR10" s="41"/>
      <c r="CS10" s="41"/>
      <c r="CT10" s="41"/>
      <c r="CU10" s="41"/>
      <c r="CV10" s="199"/>
      <c r="CW10" s="200"/>
      <c r="CX10" s="125"/>
      <c r="CY10" s="41"/>
      <c r="CZ10" s="41"/>
      <c r="DA10" s="41"/>
      <c r="DB10" s="41"/>
      <c r="DC10" s="199"/>
      <c r="DD10" s="200"/>
      <c r="DE10" s="125"/>
      <c r="DF10" s="41"/>
      <c r="DG10" s="41"/>
      <c r="DH10" s="41"/>
      <c r="DI10" s="41"/>
      <c r="DJ10" s="199"/>
      <c r="DK10" s="200"/>
      <c r="DL10" s="125"/>
      <c r="DM10" s="41"/>
      <c r="DN10" s="41"/>
      <c r="DO10" s="41"/>
      <c r="DP10" s="41"/>
      <c r="DQ10" s="199"/>
      <c r="DR10" s="200"/>
      <c r="DS10" s="125"/>
      <c r="DT10" s="41"/>
      <c r="DU10" s="41"/>
      <c r="DV10" s="41"/>
      <c r="DW10" s="41"/>
      <c r="DX10" s="199"/>
      <c r="DY10" s="200"/>
      <c r="DZ10" s="125"/>
      <c r="EA10" s="41"/>
      <c r="EB10" s="41"/>
      <c r="EC10" s="41"/>
      <c r="ED10" s="41"/>
      <c r="EE10" s="199"/>
      <c r="EF10" s="200"/>
      <c r="EG10" s="125"/>
      <c r="EH10" s="41"/>
      <c r="EI10" s="41"/>
      <c r="EJ10" s="41"/>
      <c r="EK10" s="41"/>
      <c r="EL10" s="199"/>
      <c r="EM10" s="200"/>
      <c r="EN10" s="125"/>
      <c r="EO10" s="41"/>
      <c r="EP10" s="41"/>
      <c r="EQ10" s="41"/>
      <c r="ER10" s="41"/>
      <c r="ES10" s="199"/>
      <c r="ET10" s="200"/>
      <c r="EU10" s="125"/>
      <c r="EV10" s="41"/>
      <c r="EW10" s="41"/>
      <c r="EX10" s="41"/>
      <c r="EY10" s="41"/>
      <c r="EZ10" s="199"/>
      <c r="FA10" s="200"/>
      <c r="FB10" s="125"/>
      <c r="FC10" s="41"/>
      <c r="FD10" s="41"/>
      <c r="FE10" s="41"/>
      <c r="FF10" s="41"/>
      <c r="FG10" s="199"/>
      <c r="FH10" s="200"/>
      <c r="FI10" s="125"/>
      <c r="FJ10" s="41"/>
      <c r="FK10" s="41"/>
      <c r="FL10" s="41"/>
      <c r="FM10" s="41"/>
      <c r="FN10" s="199"/>
      <c r="FO10" s="200"/>
      <c r="FP10" s="125"/>
      <c r="FQ10" s="41"/>
      <c r="FR10" s="41"/>
      <c r="FS10" s="41"/>
      <c r="FT10" s="41"/>
      <c r="FU10" s="199"/>
      <c r="FV10" s="200"/>
      <c r="FW10" s="125"/>
      <c r="FX10" s="41"/>
      <c r="FY10" s="41"/>
      <c r="FZ10" s="41"/>
      <c r="GA10" s="41"/>
      <c r="GB10" s="199"/>
      <c r="GC10" s="200"/>
      <c r="GD10" s="125"/>
      <c r="GE10" s="41"/>
      <c r="GF10" s="41"/>
      <c r="GG10" s="41"/>
      <c r="GH10" s="41"/>
      <c r="GI10" s="199"/>
      <c r="GJ10" s="200"/>
      <c r="GK10" s="125"/>
      <c r="GL10" s="41"/>
      <c r="GM10" s="41"/>
      <c r="GN10" s="41"/>
      <c r="GO10" s="41"/>
      <c r="GP10" s="199"/>
      <c r="GQ10" s="200"/>
      <c r="GR10" s="125"/>
      <c r="GS10" s="41"/>
      <c r="GT10" s="41"/>
      <c r="GU10" s="41"/>
      <c r="GV10" s="41"/>
      <c r="GW10" s="199"/>
      <c r="GX10" s="200"/>
      <c r="GY10" s="125"/>
      <c r="GZ10" s="41"/>
      <c r="HA10" s="41"/>
      <c r="HB10" s="41"/>
      <c r="HC10" s="41"/>
      <c r="HD10" s="199"/>
      <c r="HE10" s="200"/>
      <c r="HF10" s="110"/>
      <c r="HG10" s="110"/>
      <c r="HH10" s="110"/>
      <c r="HI10" s="110"/>
    </row>
    <row r="11" spans="2:217" x14ac:dyDescent="0.3">
      <c r="B11" s="8">
        <v>101276</v>
      </c>
      <c r="C11" s="9">
        <v>35</v>
      </c>
      <c r="D11" s="10" t="str">
        <f t="shared" si="5"/>
        <v>X</v>
      </c>
      <c r="E11" s="11" t="str">
        <f t="shared" si="4"/>
        <v>101276X</v>
      </c>
      <c r="F11" s="193" t="s">
        <v>7</v>
      </c>
      <c r="G11" s="183" t="s">
        <v>8</v>
      </c>
      <c r="H11" s="146" t="s">
        <v>15</v>
      </c>
      <c r="I11" s="161" t="s">
        <v>16</v>
      </c>
      <c r="J11" s="162" t="s">
        <v>17</v>
      </c>
      <c r="K11" s="125" t="s">
        <v>459</v>
      </c>
      <c r="L11" s="41" t="s">
        <v>461</v>
      </c>
      <c r="M11" s="41" t="s">
        <v>461</v>
      </c>
      <c r="N11" s="41" t="s">
        <v>459</v>
      </c>
      <c r="O11" s="41" t="s">
        <v>459</v>
      </c>
      <c r="P11" s="199"/>
      <c r="Q11" s="200"/>
      <c r="R11" s="125" t="s">
        <v>459</v>
      </c>
      <c r="S11" s="41" t="s">
        <v>459</v>
      </c>
      <c r="T11" s="41" t="s">
        <v>459</v>
      </c>
      <c r="U11" s="41" t="s">
        <v>459</v>
      </c>
      <c r="V11" s="41" t="s">
        <v>459</v>
      </c>
      <c r="W11" s="199"/>
      <c r="X11" s="200"/>
      <c r="Y11" s="125"/>
      <c r="Z11" s="41"/>
      <c r="AA11" s="41"/>
      <c r="AB11" s="41"/>
      <c r="AC11" s="41"/>
      <c r="AD11" s="199"/>
      <c r="AE11" s="200"/>
      <c r="AF11" s="125"/>
      <c r="AG11" s="41"/>
      <c r="AH11" s="41"/>
      <c r="AI11" s="41"/>
      <c r="AJ11" s="41"/>
      <c r="AK11" s="199"/>
      <c r="AL11" s="200"/>
      <c r="AM11" s="125"/>
      <c r="AN11" s="41"/>
      <c r="AO11" s="41"/>
      <c r="AP11" s="41"/>
      <c r="AQ11" s="41"/>
      <c r="AR11" s="199"/>
      <c r="AS11" s="200"/>
      <c r="AT11" s="125"/>
      <c r="AU11" s="41"/>
      <c r="AV11" s="41"/>
      <c r="AW11" s="41"/>
      <c r="AX11" s="41"/>
      <c r="AY11" s="199"/>
      <c r="AZ11" s="200"/>
      <c r="BA11" s="125"/>
      <c r="BB11" s="41"/>
      <c r="BC11" s="41"/>
      <c r="BD11" s="41"/>
      <c r="BE11" s="41"/>
      <c r="BF11" s="199"/>
      <c r="BG11" s="200"/>
      <c r="BH11" s="125"/>
      <c r="BI11" s="41"/>
      <c r="BJ11" s="41"/>
      <c r="BK11" s="41"/>
      <c r="BL11" s="41"/>
      <c r="BM11" s="199"/>
      <c r="BN11" s="200"/>
      <c r="BO11" s="125"/>
      <c r="BP11" s="41"/>
      <c r="BQ11" s="41"/>
      <c r="BR11" s="41"/>
      <c r="BS11" s="41"/>
      <c r="BT11" s="199"/>
      <c r="BU11" s="200"/>
      <c r="BV11" s="125"/>
      <c r="BW11" s="41"/>
      <c r="BX11" s="41"/>
      <c r="BY11" s="41"/>
      <c r="BZ11" s="41"/>
      <c r="CA11" s="199"/>
      <c r="CB11" s="200"/>
      <c r="CC11" s="125"/>
      <c r="CD11" s="41"/>
      <c r="CE11" s="41"/>
      <c r="CF11" s="41"/>
      <c r="CG11" s="41"/>
      <c r="CH11" s="199"/>
      <c r="CI11" s="200"/>
      <c r="CJ11" s="125"/>
      <c r="CK11" s="41"/>
      <c r="CL11" s="41"/>
      <c r="CM11" s="41"/>
      <c r="CN11" s="41"/>
      <c r="CO11" s="199"/>
      <c r="CP11" s="200"/>
      <c r="CQ11" s="125"/>
      <c r="CR11" s="41"/>
      <c r="CS11" s="41"/>
      <c r="CT11" s="41"/>
      <c r="CU11" s="41"/>
      <c r="CV11" s="199"/>
      <c r="CW11" s="200"/>
      <c r="CX11" s="125"/>
      <c r="CY11" s="41"/>
      <c r="CZ11" s="41"/>
      <c r="DA11" s="41"/>
      <c r="DB11" s="41"/>
      <c r="DC11" s="199"/>
      <c r="DD11" s="200"/>
      <c r="DE11" s="125"/>
      <c r="DF11" s="41"/>
      <c r="DG11" s="41"/>
      <c r="DH11" s="41"/>
      <c r="DI11" s="41"/>
      <c r="DJ11" s="199"/>
      <c r="DK11" s="200"/>
      <c r="DL11" s="125"/>
      <c r="DM11" s="41"/>
      <c r="DN11" s="41"/>
      <c r="DO11" s="41"/>
      <c r="DP11" s="41"/>
      <c r="DQ11" s="199"/>
      <c r="DR11" s="200"/>
      <c r="DS11" s="125"/>
      <c r="DT11" s="41"/>
      <c r="DU11" s="41"/>
      <c r="DV11" s="41"/>
      <c r="DW11" s="41"/>
      <c r="DX11" s="199"/>
      <c r="DY11" s="200"/>
      <c r="DZ11" s="125"/>
      <c r="EA11" s="41"/>
      <c r="EB11" s="41"/>
      <c r="EC11" s="41"/>
      <c r="ED11" s="41"/>
      <c r="EE11" s="199"/>
      <c r="EF11" s="200"/>
      <c r="EG11" s="125"/>
      <c r="EH11" s="41"/>
      <c r="EI11" s="41"/>
      <c r="EJ11" s="41"/>
      <c r="EK11" s="41"/>
      <c r="EL11" s="199"/>
      <c r="EM11" s="200"/>
      <c r="EN11" s="125"/>
      <c r="EO11" s="41"/>
      <c r="EP11" s="41"/>
      <c r="EQ11" s="41"/>
      <c r="ER11" s="41"/>
      <c r="ES11" s="199"/>
      <c r="ET11" s="200"/>
      <c r="EU11" s="125"/>
      <c r="EV11" s="41"/>
      <c r="EW11" s="41"/>
      <c r="EX11" s="41"/>
      <c r="EY11" s="41"/>
      <c r="EZ11" s="199"/>
      <c r="FA11" s="200"/>
      <c r="FB11" s="125"/>
      <c r="FC11" s="41"/>
      <c r="FD11" s="41"/>
      <c r="FE11" s="41"/>
      <c r="FF11" s="41"/>
      <c r="FG11" s="199"/>
      <c r="FH11" s="200"/>
      <c r="FI11" s="125"/>
      <c r="FJ11" s="41"/>
      <c r="FK11" s="41"/>
      <c r="FL11" s="41"/>
      <c r="FM11" s="41"/>
      <c r="FN11" s="199"/>
      <c r="FO11" s="200"/>
      <c r="FP11" s="125"/>
      <c r="FQ11" s="41"/>
      <c r="FR11" s="41"/>
      <c r="FS11" s="41"/>
      <c r="FT11" s="41"/>
      <c r="FU11" s="199"/>
      <c r="FV11" s="200"/>
      <c r="FW11" s="125"/>
      <c r="FX11" s="41"/>
      <c r="FY11" s="41"/>
      <c r="FZ11" s="41"/>
      <c r="GA11" s="41"/>
      <c r="GB11" s="199"/>
      <c r="GC11" s="200"/>
      <c r="GD11" s="125"/>
      <c r="GE11" s="41"/>
      <c r="GF11" s="41"/>
      <c r="GG11" s="41"/>
      <c r="GH11" s="41"/>
      <c r="GI11" s="199"/>
      <c r="GJ11" s="200"/>
      <c r="GK11" s="125"/>
      <c r="GL11" s="41"/>
      <c r="GM11" s="41"/>
      <c r="GN11" s="41"/>
      <c r="GO11" s="41"/>
      <c r="GP11" s="199"/>
      <c r="GQ11" s="200"/>
      <c r="GR11" s="125"/>
      <c r="GS11" s="41"/>
      <c r="GT11" s="41"/>
      <c r="GU11" s="41"/>
      <c r="GV11" s="41"/>
      <c r="GW11" s="199"/>
      <c r="GX11" s="200"/>
      <c r="GY11" s="125"/>
      <c r="GZ11" s="41"/>
      <c r="HA11" s="41"/>
      <c r="HB11" s="41"/>
      <c r="HC11" s="41"/>
      <c r="HD11" s="199"/>
      <c r="HE11" s="200"/>
      <c r="HF11" s="110"/>
      <c r="HG11" s="110"/>
      <c r="HH11" s="110"/>
      <c r="HI11" s="110"/>
    </row>
    <row r="12" spans="2:217" x14ac:dyDescent="0.3">
      <c r="B12" s="8">
        <v>105076</v>
      </c>
      <c r="C12" s="9">
        <v>35</v>
      </c>
      <c r="D12" s="10" t="str">
        <f t="shared" si="5"/>
        <v>X</v>
      </c>
      <c r="E12" s="11" t="str">
        <f t="shared" si="4"/>
        <v>105076X</v>
      </c>
      <c r="F12" s="193" t="s">
        <v>7</v>
      </c>
      <c r="G12" s="183" t="s">
        <v>8</v>
      </c>
      <c r="H12" s="146" t="s">
        <v>32</v>
      </c>
      <c r="I12" s="161" t="s">
        <v>33</v>
      </c>
      <c r="J12" s="162" t="s">
        <v>34</v>
      </c>
      <c r="K12" s="125" t="s">
        <v>459</v>
      </c>
      <c r="L12" s="41" t="s">
        <v>459</v>
      </c>
      <c r="M12" s="41" t="s">
        <v>459</v>
      </c>
      <c r="N12" s="41" t="s">
        <v>459</v>
      </c>
      <c r="O12" s="41" t="s">
        <v>459</v>
      </c>
      <c r="P12" s="199"/>
      <c r="Q12" s="200"/>
      <c r="R12" s="125" t="s">
        <v>459</v>
      </c>
      <c r="S12" s="41" t="s">
        <v>459</v>
      </c>
      <c r="T12" s="41" t="s">
        <v>459</v>
      </c>
      <c r="U12" s="41" t="s">
        <v>459</v>
      </c>
      <c r="V12" s="41" t="s">
        <v>459</v>
      </c>
      <c r="W12" s="199"/>
      <c r="X12" s="200"/>
      <c r="Y12" s="125"/>
      <c r="Z12" s="41"/>
      <c r="AA12" s="41"/>
      <c r="AB12" s="41"/>
      <c r="AC12" s="41"/>
      <c r="AD12" s="199"/>
      <c r="AE12" s="200"/>
      <c r="AF12" s="125"/>
      <c r="AG12" s="41"/>
      <c r="AH12" s="41"/>
      <c r="AI12" s="41"/>
      <c r="AJ12" s="41"/>
      <c r="AK12" s="199"/>
      <c r="AL12" s="200"/>
      <c r="AM12" s="125"/>
      <c r="AN12" s="41"/>
      <c r="AO12" s="41"/>
      <c r="AP12" s="41"/>
      <c r="AQ12" s="41"/>
      <c r="AR12" s="199"/>
      <c r="AS12" s="200"/>
      <c r="AT12" s="125"/>
      <c r="AU12" s="41"/>
      <c r="AV12" s="41"/>
      <c r="AW12" s="41"/>
      <c r="AX12" s="41"/>
      <c r="AY12" s="199"/>
      <c r="AZ12" s="200"/>
      <c r="BA12" s="125"/>
      <c r="BB12" s="41"/>
      <c r="BC12" s="41"/>
      <c r="BD12" s="41"/>
      <c r="BE12" s="41"/>
      <c r="BF12" s="199"/>
      <c r="BG12" s="200"/>
      <c r="BH12" s="125"/>
      <c r="BI12" s="41"/>
      <c r="BJ12" s="41"/>
      <c r="BK12" s="41"/>
      <c r="BL12" s="41"/>
      <c r="BM12" s="199"/>
      <c r="BN12" s="200"/>
      <c r="BO12" s="125"/>
      <c r="BP12" s="41"/>
      <c r="BQ12" s="41"/>
      <c r="BR12" s="41"/>
      <c r="BS12" s="41"/>
      <c r="BT12" s="199"/>
      <c r="BU12" s="200"/>
      <c r="BV12" s="125"/>
      <c r="BW12" s="41"/>
      <c r="BX12" s="41"/>
      <c r="BY12" s="41"/>
      <c r="BZ12" s="41"/>
      <c r="CA12" s="199"/>
      <c r="CB12" s="200"/>
      <c r="CC12" s="125"/>
      <c r="CD12" s="41"/>
      <c r="CE12" s="41"/>
      <c r="CF12" s="41"/>
      <c r="CG12" s="41"/>
      <c r="CH12" s="199"/>
      <c r="CI12" s="200"/>
      <c r="CJ12" s="125"/>
      <c r="CK12" s="41"/>
      <c r="CL12" s="41"/>
      <c r="CM12" s="41"/>
      <c r="CN12" s="41"/>
      <c r="CO12" s="199"/>
      <c r="CP12" s="200"/>
      <c r="CQ12" s="125"/>
      <c r="CR12" s="41"/>
      <c r="CS12" s="41"/>
      <c r="CT12" s="41"/>
      <c r="CU12" s="41"/>
      <c r="CV12" s="199"/>
      <c r="CW12" s="200"/>
      <c r="CX12" s="125"/>
      <c r="CY12" s="41"/>
      <c r="CZ12" s="41"/>
      <c r="DA12" s="41"/>
      <c r="DB12" s="41"/>
      <c r="DC12" s="199"/>
      <c r="DD12" s="200"/>
      <c r="DE12" s="125"/>
      <c r="DF12" s="41"/>
      <c r="DG12" s="41"/>
      <c r="DH12" s="41"/>
      <c r="DI12" s="41"/>
      <c r="DJ12" s="199"/>
      <c r="DK12" s="200"/>
      <c r="DL12" s="125"/>
      <c r="DM12" s="41"/>
      <c r="DN12" s="41"/>
      <c r="DO12" s="41"/>
      <c r="DP12" s="41"/>
      <c r="DQ12" s="199"/>
      <c r="DR12" s="200"/>
      <c r="DS12" s="125"/>
      <c r="DT12" s="41"/>
      <c r="DU12" s="41"/>
      <c r="DV12" s="41"/>
      <c r="DW12" s="41"/>
      <c r="DX12" s="199"/>
      <c r="DY12" s="200"/>
      <c r="DZ12" s="125"/>
      <c r="EA12" s="41"/>
      <c r="EB12" s="41"/>
      <c r="EC12" s="41"/>
      <c r="ED12" s="41"/>
      <c r="EE12" s="199"/>
      <c r="EF12" s="200"/>
      <c r="EG12" s="125"/>
      <c r="EH12" s="41"/>
      <c r="EI12" s="41"/>
      <c r="EJ12" s="41"/>
      <c r="EK12" s="41"/>
      <c r="EL12" s="199"/>
      <c r="EM12" s="200"/>
      <c r="EN12" s="125"/>
      <c r="EO12" s="41"/>
      <c r="EP12" s="41"/>
      <c r="EQ12" s="41"/>
      <c r="ER12" s="41"/>
      <c r="ES12" s="199"/>
      <c r="ET12" s="200"/>
      <c r="EU12" s="125"/>
      <c r="EV12" s="41"/>
      <c r="EW12" s="41"/>
      <c r="EX12" s="41"/>
      <c r="EY12" s="41"/>
      <c r="EZ12" s="199"/>
      <c r="FA12" s="200"/>
      <c r="FB12" s="125"/>
      <c r="FC12" s="41"/>
      <c r="FD12" s="41"/>
      <c r="FE12" s="41"/>
      <c r="FF12" s="41"/>
      <c r="FG12" s="199"/>
      <c r="FH12" s="200"/>
      <c r="FI12" s="125"/>
      <c r="FJ12" s="41"/>
      <c r="FK12" s="41"/>
      <c r="FL12" s="41"/>
      <c r="FM12" s="41"/>
      <c r="FN12" s="199"/>
      <c r="FO12" s="200"/>
      <c r="FP12" s="125"/>
      <c r="FQ12" s="41"/>
      <c r="FR12" s="41"/>
      <c r="FS12" s="41"/>
      <c r="FT12" s="41"/>
      <c r="FU12" s="199"/>
      <c r="FV12" s="200"/>
      <c r="FW12" s="125"/>
      <c r="FX12" s="41"/>
      <c r="FY12" s="41"/>
      <c r="FZ12" s="41"/>
      <c r="GA12" s="41"/>
      <c r="GB12" s="199"/>
      <c r="GC12" s="200"/>
      <c r="GD12" s="125"/>
      <c r="GE12" s="41"/>
      <c r="GF12" s="41"/>
      <c r="GG12" s="41"/>
      <c r="GH12" s="41"/>
      <c r="GI12" s="199"/>
      <c r="GJ12" s="200"/>
      <c r="GK12" s="125"/>
      <c r="GL12" s="41"/>
      <c r="GM12" s="41"/>
      <c r="GN12" s="41"/>
      <c r="GO12" s="41"/>
      <c r="GP12" s="199"/>
      <c r="GQ12" s="200"/>
      <c r="GR12" s="125"/>
      <c r="GS12" s="41"/>
      <c r="GT12" s="41"/>
      <c r="GU12" s="41"/>
      <c r="GV12" s="41"/>
      <c r="GW12" s="199"/>
      <c r="GX12" s="200"/>
      <c r="GY12" s="125"/>
      <c r="GZ12" s="41"/>
      <c r="HA12" s="41"/>
      <c r="HB12" s="41"/>
      <c r="HC12" s="41"/>
      <c r="HD12" s="199"/>
      <c r="HE12" s="200"/>
      <c r="HF12" s="110"/>
      <c r="HG12" s="110"/>
      <c r="HH12" s="110"/>
      <c r="HI12" s="110"/>
    </row>
    <row r="13" spans="2:217" x14ac:dyDescent="0.3">
      <c r="B13" s="8">
        <v>59970</v>
      </c>
      <c r="C13" s="9">
        <v>35</v>
      </c>
      <c r="D13" s="10" t="str">
        <f t="shared" si="5"/>
        <v>X</v>
      </c>
      <c r="E13" s="10" t="str">
        <f t="shared" si="4"/>
        <v>59970X</v>
      </c>
      <c r="F13" s="193" t="s">
        <v>7</v>
      </c>
      <c r="G13" s="183" t="s">
        <v>8</v>
      </c>
      <c r="H13" s="146" t="s">
        <v>47</v>
      </c>
      <c r="I13" s="163" t="s">
        <v>48</v>
      </c>
      <c r="J13" s="164" t="s">
        <v>49</v>
      </c>
      <c r="K13" s="125" t="s">
        <v>459</v>
      </c>
      <c r="L13" s="41" t="s">
        <v>459</v>
      </c>
      <c r="M13" s="41" t="s">
        <v>459</v>
      </c>
      <c r="N13" s="41" t="s">
        <v>459</v>
      </c>
      <c r="O13" s="41" t="s">
        <v>459</v>
      </c>
      <c r="P13" s="199"/>
      <c r="Q13" s="200"/>
      <c r="R13" s="125" t="s">
        <v>459</v>
      </c>
      <c r="S13" s="41" t="s">
        <v>459</v>
      </c>
      <c r="T13" s="41" t="s">
        <v>459</v>
      </c>
      <c r="U13" s="41" t="s">
        <v>459</v>
      </c>
      <c r="V13" s="41" t="s">
        <v>459</v>
      </c>
      <c r="W13" s="199"/>
      <c r="X13" s="200"/>
      <c r="Y13" s="125"/>
      <c r="Z13" s="41"/>
      <c r="AA13" s="41"/>
      <c r="AB13" s="41"/>
      <c r="AC13" s="41"/>
      <c r="AD13" s="199"/>
      <c r="AE13" s="200"/>
      <c r="AF13" s="125"/>
      <c r="AG13" s="41"/>
      <c r="AH13" s="41"/>
      <c r="AI13" s="41"/>
      <c r="AJ13" s="41"/>
      <c r="AK13" s="199"/>
      <c r="AL13" s="200"/>
      <c r="AM13" s="125"/>
      <c r="AN13" s="41"/>
      <c r="AO13" s="41"/>
      <c r="AP13" s="41"/>
      <c r="AQ13" s="41"/>
      <c r="AR13" s="199"/>
      <c r="AS13" s="200"/>
      <c r="AT13" s="125"/>
      <c r="AU13" s="41"/>
      <c r="AV13" s="41"/>
      <c r="AW13" s="41"/>
      <c r="AX13" s="41"/>
      <c r="AY13" s="199"/>
      <c r="AZ13" s="200"/>
      <c r="BA13" s="125"/>
      <c r="BB13" s="41"/>
      <c r="BC13" s="41"/>
      <c r="BD13" s="41"/>
      <c r="BE13" s="41"/>
      <c r="BF13" s="199"/>
      <c r="BG13" s="200"/>
      <c r="BH13" s="125"/>
      <c r="BI13" s="41"/>
      <c r="BJ13" s="41"/>
      <c r="BK13" s="41"/>
      <c r="BL13" s="41"/>
      <c r="BM13" s="199"/>
      <c r="BN13" s="200"/>
      <c r="BO13" s="125"/>
      <c r="BP13" s="41"/>
      <c r="BQ13" s="41"/>
      <c r="BR13" s="41"/>
      <c r="BS13" s="41"/>
      <c r="BT13" s="199"/>
      <c r="BU13" s="200"/>
      <c r="BV13" s="125"/>
      <c r="BW13" s="41"/>
      <c r="BX13" s="41"/>
      <c r="BY13" s="41"/>
      <c r="BZ13" s="41"/>
      <c r="CA13" s="199"/>
      <c r="CB13" s="200"/>
      <c r="CC13" s="125"/>
      <c r="CD13" s="41"/>
      <c r="CE13" s="41"/>
      <c r="CF13" s="41"/>
      <c r="CG13" s="41"/>
      <c r="CH13" s="199"/>
      <c r="CI13" s="200"/>
      <c r="CJ13" s="125"/>
      <c r="CK13" s="41"/>
      <c r="CL13" s="41"/>
      <c r="CM13" s="41"/>
      <c r="CN13" s="41"/>
      <c r="CO13" s="199"/>
      <c r="CP13" s="200"/>
      <c r="CQ13" s="125"/>
      <c r="CR13" s="41"/>
      <c r="CS13" s="41"/>
      <c r="CT13" s="41"/>
      <c r="CU13" s="41"/>
      <c r="CV13" s="199"/>
      <c r="CW13" s="200"/>
      <c r="CX13" s="125"/>
      <c r="CY13" s="41"/>
      <c r="CZ13" s="41"/>
      <c r="DA13" s="41"/>
      <c r="DB13" s="41"/>
      <c r="DC13" s="199"/>
      <c r="DD13" s="200"/>
      <c r="DE13" s="125"/>
      <c r="DF13" s="41"/>
      <c r="DG13" s="41"/>
      <c r="DH13" s="41"/>
      <c r="DI13" s="41"/>
      <c r="DJ13" s="199"/>
      <c r="DK13" s="200"/>
      <c r="DL13" s="125"/>
      <c r="DM13" s="41"/>
      <c r="DN13" s="41"/>
      <c r="DO13" s="41"/>
      <c r="DP13" s="41"/>
      <c r="DQ13" s="199"/>
      <c r="DR13" s="200"/>
      <c r="DS13" s="125"/>
      <c r="DT13" s="41"/>
      <c r="DU13" s="41"/>
      <c r="DV13" s="41"/>
      <c r="DW13" s="41"/>
      <c r="DX13" s="199"/>
      <c r="DY13" s="200"/>
      <c r="DZ13" s="125"/>
      <c r="EA13" s="41"/>
      <c r="EB13" s="41"/>
      <c r="EC13" s="41"/>
      <c r="ED13" s="41"/>
      <c r="EE13" s="199"/>
      <c r="EF13" s="200"/>
      <c r="EG13" s="125"/>
      <c r="EH13" s="41"/>
      <c r="EI13" s="41"/>
      <c r="EJ13" s="41"/>
      <c r="EK13" s="41"/>
      <c r="EL13" s="199"/>
      <c r="EM13" s="200"/>
      <c r="EN13" s="125"/>
      <c r="EO13" s="41"/>
      <c r="EP13" s="41"/>
      <c r="EQ13" s="41"/>
      <c r="ER13" s="41"/>
      <c r="ES13" s="199"/>
      <c r="ET13" s="200"/>
      <c r="EU13" s="125"/>
      <c r="EV13" s="41"/>
      <c r="EW13" s="41"/>
      <c r="EX13" s="41"/>
      <c r="EY13" s="41"/>
      <c r="EZ13" s="199"/>
      <c r="FA13" s="200"/>
      <c r="FB13" s="125"/>
      <c r="FC13" s="41"/>
      <c r="FD13" s="41"/>
      <c r="FE13" s="41"/>
      <c r="FF13" s="41"/>
      <c r="FG13" s="199"/>
      <c r="FH13" s="200"/>
      <c r="FI13" s="125"/>
      <c r="FJ13" s="41"/>
      <c r="FK13" s="41"/>
      <c r="FL13" s="41"/>
      <c r="FM13" s="41"/>
      <c r="FN13" s="199"/>
      <c r="FO13" s="200"/>
      <c r="FP13" s="125"/>
      <c r="FQ13" s="41"/>
      <c r="FR13" s="41"/>
      <c r="FS13" s="41"/>
      <c r="FT13" s="41"/>
      <c r="FU13" s="199"/>
      <c r="FV13" s="200"/>
      <c r="FW13" s="125"/>
      <c r="FX13" s="41"/>
      <c r="FY13" s="41"/>
      <c r="FZ13" s="41"/>
      <c r="GA13" s="41"/>
      <c r="GB13" s="199"/>
      <c r="GC13" s="200"/>
      <c r="GD13" s="125"/>
      <c r="GE13" s="41"/>
      <c r="GF13" s="41"/>
      <c r="GG13" s="41"/>
      <c r="GH13" s="41"/>
      <c r="GI13" s="199"/>
      <c r="GJ13" s="200"/>
      <c r="GK13" s="125"/>
      <c r="GL13" s="41"/>
      <c r="GM13" s="41"/>
      <c r="GN13" s="41"/>
      <c r="GO13" s="41"/>
      <c r="GP13" s="199"/>
      <c r="GQ13" s="200"/>
      <c r="GR13" s="125"/>
      <c r="GS13" s="41"/>
      <c r="GT13" s="41"/>
      <c r="GU13" s="41"/>
      <c r="GV13" s="41"/>
      <c r="GW13" s="199"/>
      <c r="GX13" s="200"/>
      <c r="GY13" s="125"/>
      <c r="GZ13" s="41"/>
      <c r="HA13" s="41"/>
      <c r="HB13" s="41"/>
      <c r="HC13" s="41"/>
      <c r="HD13" s="199"/>
      <c r="HE13" s="200"/>
      <c r="HF13" s="110"/>
      <c r="HG13" s="110"/>
      <c r="HH13" s="110"/>
      <c r="HI13" s="110"/>
    </row>
    <row r="14" spans="2:217" x14ac:dyDescent="0.3">
      <c r="B14" s="8">
        <v>72844</v>
      </c>
      <c r="C14" s="9">
        <v>35</v>
      </c>
      <c r="D14" s="10" t="str">
        <f t="shared" si="5"/>
        <v>X</v>
      </c>
      <c r="E14" s="11" t="str">
        <f t="shared" si="4"/>
        <v>72844X</v>
      </c>
      <c r="F14" s="193" t="s">
        <v>7</v>
      </c>
      <c r="G14" s="183" t="s">
        <v>8</v>
      </c>
      <c r="H14" s="146" t="s">
        <v>51</v>
      </c>
      <c r="I14" s="161" t="s">
        <v>52</v>
      </c>
      <c r="J14" s="162" t="s">
        <v>53</v>
      </c>
      <c r="K14" s="125" t="s">
        <v>459</v>
      </c>
      <c r="L14" s="41" t="s">
        <v>459</v>
      </c>
      <c r="M14" s="41" t="s">
        <v>459</v>
      </c>
      <c r="N14" s="41" t="s">
        <v>459</v>
      </c>
      <c r="O14" s="41" t="s">
        <v>459</v>
      </c>
      <c r="P14" s="199"/>
      <c r="Q14" s="200"/>
      <c r="R14" s="125" t="s">
        <v>459</v>
      </c>
      <c r="S14" s="41" t="s">
        <v>459</v>
      </c>
      <c r="T14" s="41" t="s">
        <v>459</v>
      </c>
      <c r="U14" s="41" t="s">
        <v>459</v>
      </c>
      <c r="V14" s="41" t="s">
        <v>459</v>
      </c>
      <c r="W14" s="199"/>
      <c r="X14" s="200"/>
      <c r="Y14" s="125"/>
      <c r="Z14" s="41"/>
      <c r="AA14" s="41"/>
      <c r="AB14" s="41"/>
      <c r="AC14" s="41"/>
      <c r="AD14" s="199"/>
      <c r="AE14" s="200"/>
      <c r="AF14" s="125"/>
      <c r="AG14" s="41"/>
      <c r="AH14" s="41"/>
      <c r="AI14" s="41"/>
      <c r="AJ14" s="41"/>
      <c r="AK14" s="199"/>
      <c r="AL14" s="200"/>
      <c r="AM14" s="125"/>
      <c r="AN14" s="41"/>
      <c r="AO14" s="41"/>
      <c r="AP14" s="41"/>
      <c r="AQ14" s="41"/>
      <c r="AR14" s="199"/>
      <c r="AS14" s="200"/>
      <c r="AT14" s="125"/>
      <c r="AU14" s="41"/>
      <c r="AV14" s="41"/>
      <c r="AW14" s="41"/>
      <c r="AX14" s="41"/>
      <c r="AY14" s="199"/>
      <c r="AZ14" s="200"/>
      <c r="BA14" s="125"/>
      <c r="BB14" s="41"/>
      <c r="BC14" s="41"/>
      <c r="BD14" s="41"/>
      <c r="BE14" s="41"/>
      <c r="BF14" s="199"/>
      <c r="BG14" s="200"/>
      <c r="BH14" s="125"/>
      <c r="BI14" s="41"/>
      <c r="BJ14" s="41"/>
      <c r="BK14" s="41"/>
      <c r="BL14" s="41"/>
      <c r="BM14" s="199"/>
      <c r="BN14" s="200"/>
      <c r="BO14" s="125"/>
      <c r="BP14" s="41"/>
      <c r="BQ14" s="41"/>
      <c r="BR14" s="41"/>
      <c r="BS14" s="41"/>
      <c r="BT14" s="199"/>
      <c r="BU14" s="200"/>
      <c r="BV14" s="125"/>
      <c r="BW14" s="41"/>
      <c r="BX14" s="41"/>
      <c r="BY14" s="41"/>
      <c r="BZ14" s="41"/>
      <c r="CA14" s="199"/>
      <c r="CB14" s="200"/>
      <c r="CC14" s="125"/>
      <c r="CD14" s="41"/>
      <c r="CE14" s="41"/>
      <c r="CF14" s="41"/>
      <c r="CG14" s="41"/>
      <c r="CH14" s="199"/>
      <c r="CI14" s="200"/>
      <c r="CJ14" s="125"/>
      <c r="CK14" s="41"/>
      <c r="CL14" s="41"/>
      <c r="CM14" s="41"/>
      <c r="CN14" s="41"/>
      <c r="CO14" s="199"/>
      <c r="CP14" s="200"/>
      <c r="CQ14" s="125"/>
      <c r="CR14" s="41"/>
      <c r="CS14" s="41"/>
      <c r="CT14" s="41"/>
      <c r="CU14" s="41"/>
      <c r="CV14" s="199"/>
      <c r="CW14" s="200"/>
      <c r="CX14" s="125"/>
      <c r="CY14" s="41"/>
      <c r="CZ14" s="41"/>
      <c r="DA14" s="41"/>
      <c r="DB14" s="41"/>
      <c r="DC14" s="199"/>
      <c r="DD14" s="200"/>
      <c r="DE14" s="125"/>
      <c r="DF14" s="41"/>
      <c r="DG14" s="41"/>
      <c r="DH14" s="41"/>
      <c r="DI14" s="41"/>
      <c r="DJ14" s="199"/>
      <c r="DK14" s="200"/>
      <c r="DL14" s="125"/>
      <c r="DM14" s="41"/>
      <c r="DN14" s="41"/>
      <c r="DO14" s="41"/>
      <c r="DP14" s="41"/>
      <c r="DQ14" s="199"/>
      <c r="DR14" s="200"/>
      <c r="DS14" s="125"/>
      <c r="DT14" s="41"/>
      <c r="DU14" s="41"/>
      <c r="DV14" s="41"/>
      <c r="DW14" s="41"/>
      <c r="DX14" s="199"/>
      <c r="DY14" s="200"/>
      <c r="DZ14" s="125"/>
      <c r="EA14" s="41"/>
      <c r="EB14" s="41"/>
      <c r="EC14" s="41"/>
      <c r="ED14" s="41"/>
      <c r="EE14" s="199"/>
      <c r="EF14" s="200"/>
      <c r="EG14" s="125"/>
      <c r="EH14" s="41"/>
      <c r="EI14" s="41"/>
      <c r="EJ14" s="41"/>
      <c r="EK14" s="41"/>
      <c r="EL14" s="199"/>
      <c r="EM14" s="200"/>
      <c r="EN14" s="125"/>
      <c r="EO14" s="41"/>
      <c r="EP14" s="41"/>
      <c r="EQ14" s="41"/>
      <c r="ER14" s="41"/>
      <c r="ES14" s="199"/>
      <c r="ET14" s="200"/>
      <c r="EU14" s="125"/>
      <c r="EV14" s="41"/>
      <c r="EW14" s="41"/>
      <c r="EX14" s="41"/>
      <c r="EY14" s="41"/>
      <c r="EZ14" s="199"/>
      <c r="FA14" s="200"/>
      <c r="FB14" s="125"/>
      <c r="FC14" s="41"/>
      <c r="FD14" s="41"/>
      <c r="FE14" s="41"/>
      <c r="FF14" s="41"/>
      <c r="FG14" s="199"/>
      <c r="FH14" s="200"/>
      <c r="FI14" s="125"/>
      <c r="FJ14" s="41"/>
      <c r="FK14" s="41"/>
      <c r="FL14" s="41"/>
      <c r="FM14" s="41"/>
      <c r="FN14" s="199"/>
      <c r="FO14" s="200"/>
      <c r="FP14" s="125"/>
      <c r="FQ14" s="41"/>
      <c r="FR14" s="41"/>
      <c r="FS14" s="41"/>
      <c r="FT14" s="41"/>
      <c r="FU14" s="199"/>
      <c r="FV14" s="200"/>
      <c r="FW14" s="125"/>
      <c r="FX14" s="41"/>
      <c r="FY14" s="41"/>
      <c r="FZ14" s="41"/>
      <c r="GA14" s="41"/>
      <c r="GB14" s="199"/>
      <c r="GC14" s="200"/>
      <c r="GD14" s="125"/>
      <c r="GE14" s="41"/>
      <c r="GF14" s="41"/>
      <c r="GG14" s="41"/>
      <c r="GH14" s="41"/>
      <c r="GI14" s="199"/>
      <c r="GJ14" s="200"/>
      <c r="GK14" s="125"/>
      <c r="GL14" s="41"/>
      <c r="GM14" s="41"/>
      <c r="GN14" s="41"/>
      <c r="GO14" s="41"/>
      <c r="GP14" s="199"/>
      <c r="GQ14" s="200"/>
      <c r="GR14" s="125"/>
      <c r="GS14" s="41"/>
      <c r="GT14" s="41"/>
      <c r="GU14" s="41"/>
      <c r="GV14" s="41"/>
      <c r="GW14" s="199"/>
      <c r="GX14" s="200"/>
      <c r="GY14" s="125"/>
      <c r="GZ14" s="41"/>
      <c r="HA14" s="41"/>
      <c r="HB14" s="41"/>
      <c r="HC14" s="41"/>
      <c r="HD14" s="199"/>
      <c r="HE14" s="200"/>
      <c r="HF14" s="110"/>
      <c r="HG14" s="110"/>
      <c r="HH14" s="110"/>
      <c r="HI14" s="110"/>
    </row>
    <row r="15" spans="2:217" x14ac:dyDescent="0.3">
      <c r="B15" s="38">
        <v>71355</v>
      </c>
      <c r="C15" s="9">
        <v>35</v>
      </c>
      <c r="D15" s="10" t="str">
        <f t="shared" si="5"/>
        <v>X</v>
      </c>
      <c r="E15" s="11" t="str">
        <f t="shared" si="4"/>
        <v>71355X</v>
      </c>
      <c r="F15" s="193" t="s">
        <v>7</v>
      </c>
      <c r="G15" s="184" t="s">
        <v>8</v>
      </c>
      <c r="H15" s="146" t="s">
        <v>15</v>
      </c>
      <c r="I15" s="161" t="s">
        <v>58</v>
      </c>
      <c r="J15" s="162" t="s">
        <v>59</v>
      </c>
      <c r="K15" s="125" t="s">
        <v>459</v>
      </c>
      <c r="L15" s="41" t="s">
        <v>459</v>
      </c>
      <c r="M15" s="41" t="s">
        <v>459</v>
      </c>
      <c r="N15" s="41" t="s">
        <v>459</v>
      </c>
      <c r="O15" s="41" t="s">
        <v>459</v>
      </c>
      <c r="P15" s="199"/>
      <c r="Q15" s="200"/>
      <c r="R15" s="125" t="s">
        <v>459</v>
      </c>
      <c r="S15" s="41" t="s">
        <v>459</v>
      </c>
      <c r="T15" s="41" t="s">
        <v>459</v>
      </c>
      <c r="U15" s="41" t="s">
        <v>459</v>
      </c>
      <c r="V15" s="41" t="s">
        <v>459</v>
      </c>
      <c r="W15" s="199"/>
      <c r="X15" s="200"/>
      <c r="Y15" s="125"/>
      <c r="Z15" s="41"/>
      <c r="AA15" s="41"/>
      <c r="AB15" s="41"/>
      <c r="AC15" s="41"/>
      <c r="AD15" s="199"/>
      <c r="AE15" s="200"/>
      <c r="AF15" s="125"/>
      <c r="AG15" s="41"/>
      <c r="AH15" s="41"/>
      <c r="AI15" s="41"/>
      <c r="AJ15" s="41"/>
      <c r="AK15" s="199"/>
      <c r="AL15" s="200"/>
      <c r="AM15" s="125"/>
      <c r="AN15" s="41"/>
      <c r="AO15" s="41"/>
      <c r="AP15" s="41"/>
      <c r="AQ15" s="41"/>
      <c r="AR15" s="199"/>
      <c r="AS15" s="200"/>
      <c r="AT15" s="125"/>
      <c r="AU15" s="41"/>
      <c r="AV15" s="41"/>
      <c r="AW15" s="41"/>
      <c r="AX15" s="41"/>
      <c r="AY15" s="199"/>
      <c r="AZ15" s="200"/>
      <c r="BA15" s="125"/>
      <c r="BB15" s="41"/>
      <c r="BC15" s="41"/>
      <c r="BD15" s="41"/>
      <c r="BE15" s="41"/>
      <c r="BF15" s="199"/>
      <c r="BG15" s="200"/>
      <c r="BH15" s="125"/>
      <c r="BI15" s="41"/>
      <c r="BJ15" s="41"/>
      <c r="BK15" s="41"/>
      <c r="BL15" s="41"/>
      <c r="BM15" s="199"/>
      <c r="BN15" s="200"/>
      <c r="BO15" s="125"/>
      <c r="BP15" s="41"/>
      <c r="BQ15" s="41"/>
      <c r="BR15" s="41"/>
      <c r="BS15" s="41"/>
      <c r="BT15" s="199"/>
      <c r="BU15" s="200"/>
      <c r="BV15" s="125"/>
      <c r="BW15" s="41"/>
      <c r="BX15" s="41"/>
      <c r="BY15" s="41"/>
      <c r="BZ15" s="41"/>
      <c r="CA15" s="199"/>
      <c r="CB15" s="200"/>
      <c r="CC15" s="125"/>
      <c r="CD15" s="41"/>
      <c r="CE15" s="41"/>
      <c r="CF15" s="41"/>
      <c r="CG15" s="41"/>
      <c r="CH15" s="199"/>
      <c r="CI15" s="200"/>
      <c r="CJ15" s="125"/>
      <c r="CK15" s="41"/>
      <c r="CL15" s="41"/>
      <c r="CM15" s="41"/>
      <c r="CN15" s="41"/>
      <c r="CO15" s="199"/>
      <c r="CP15" s="200"/>
      <c r="CQ15" s="125"/>
      <c r="CR15" s="41"/>
      <c r="CS15" s="41"/>
      <c r="CT15" s="41"/>
      <c r="CU15" s="41"/>
      <c r="CV15" s="199"/>
      <c r="CW15" s="200"/>
      <c r="CX15" s="125"/>
      <c r="CY15" s="41"/>
      <c r="CZ15" s="41"/>
      <c r="DA15" s="41"/>
      <c r="DB15" s="41"/>
      <c r="DC15" s="199"/>
      <c r="DD15" s="200"/>
      <c r="DE15" s="125"/>
      <c r="DF15" s="41"/>
      <c r="DG15" s="41"/>
      <c r="DH15" s="41"/>
      <c r="DI15" s="41"/>
      <c r="DJ15" s="199"/>
      <c r="DK15" s="200"/>
      <c r="DL15" s="125"/>
      <c r="DM15" s="41"/>
      <c r="DN15" s="41"/>
      <c r="DO15" s="41"/>
      <c r="DP15" s="41"/>
      <c r="DQ15" s="199"/>
      <c r="DR15" s="200"/>
      <c r="DS15" s="125"/>
      <c r="DT15" s="41"/>
      <c r="DU15" s="41"/>
      <c r="DV15" s="41"/>
      <c r="DW15" s="41"/>
      <c r="DX15" s="199"/>
      <c r="DY15" s="200"/>
      <c r="DZ15" s="125"/>
      <c r="EA15" s="41"/>
      <c r="EB15" s="41"/>
      <c r="EC15" s="41"/>
      <c r="ED15" s="41"/>
      <c r="EE15" s="199"/>
      <c r="EF15" s="200"/>
      <c r="EG15" s="125"/>
      <c r="EH15" s="41"/>
      <c r="EI15" s="41"/>
      <c r="EJ15" s="41"/>
      <c r="EK15" s="41"/>
      <c r="EL15" s="199"/>
      <c r="EM15" s="200"/>
      <c r="EN15" s="125"/>
      <c r="EO15" s="41"/>
      <c r="EP15" s="41"/>
      <c r="EQ15" s="41"/>
      <c r="ER15" s="41"/>
      <c r="ES15" s="199"/>
      <c r="ET15" s="200"/>
      <c r="EU15" s="125"/>
      <c r="EV15" s="41"/>
      <c r="EW15" s="41"/>
      <c r="EX15" s="41"/>
      <c r="EY15" s="41"/>
      <c r="EZ15" s="199"/>
      <c r="FA15" s="200"/>
      <c r="FB15" s="125"/>
      <c r="FC15" s="41"/>
      <c r="FD15" s="41"/>
      <c r="FE15" s="41"/>
      <c r="FF15" s="41"/>
      <c r="FG15" s="199"/>
      <c r="FH15" s="200"/>
      <c r="FI15" s="125"/>
      <c r="FJ15" s="41"/>
      <c r="FK15" s="41"/>
      <c r="FL15" s="41"/>
      <c r="FM15" s="41"/>
      <c r="FN15" s="199"/>
      <c r="FO15" s="200"/>
      <c r="FP15" s="125"/>
      <c r="FQ15" s="41"/>
      <c r="FR15" s="41"/>
      <c r="FS15" s="41"/>
      <c r="FT15" s="41"/>
      <c r="FU15" s="199"/>
      <c r="FV15" s="200"/>
      <c r="FW15" s="125"/>
      <c r="FX15" s="41"/>
      <c r="FY15" s="41"/>
      <c r="FZ15" s="41"/>
      <c r="GA15" s="41"/>
      <c r="GB15" s="199"/>
      <c r="GC15" s="200"/>
      <c r="GD15" s="125"/>
      <c r="GE15" s="41"/>
      <c r="GF15" s="41"/>
      <c r="GG15" s="41"/>
      <c r="GH15" s="41"/>
      <c r="GI15" s="199"/>
      <c r="GJ15" s="200"/>
      <c r="GK15" s="125"/>
      <c r="GL15" s="41"/>
      <c r="GM15" s="41"/>
      <c r="GN15" s="41"/>
      <c r="GO15" s="41"/>
      <c r="GP15" s="199"/>
      <c r="GQ15" s="200"/>
      <c r="GR15" s="125"/>
      <c r="GS15" s="41"/>
      <c r="GT15" s="41"/>
      <c r="GU15" s="41"/>
      <c r="GV15" s="41"/>
      <c r="GW15" s="199"/>
      <c r="GX15" s="200"/>
      <c r="GY15" s="125"/>
      <c r="GZ15" s="41"/>
      <c r="HA15" s="41"/>
      <c r="HB15" s="41"/>
      <c r="HC15" s="41"/>
      <c r="HD15" s="199"/>
      <c r="HE15" s="200"/>
      <c r="HF15" s="110"/>
      <c r="HG15" s="110"/>
      <c r="HH15" s="110"/>
      <c r="HI15" s="110"/>
    </row>
    <row r="16" spans="2:217" x14ac:dyDescent="0.3">
      <c r="B16" s="38">
        <v>40688</v>
      </c>
      <c r="C16" s="9">
        <v>35</v>
      </c>
      <c r="D16" s="10" t="str">
        <f t="shared" si="5"/>
        <v>X</v>
      </c>
      <c r="E16" s="11" t="str">
        <f t="shared" si="4"/>
        <v>40688X</v>
      </c>
      <c r="F16" s="193" t="s">
        <v>7</v>
      </c>
      <c r="G16" s="184" t="s">
        <v>8</v>
      </c>
      <c r="H16" s="146" t="s">
        <v>9</v>
      </c>
      <c r="I16" s="159" t="s">
        <v>62</v>
      </c>
      <c r="J16" s="160" t="s">
        <v>63</v>
      </c>
      <c r="K16" s="125" t="s">
        <v>459</v>
      </c>
      <c r="L16" s="41" t="s">
        <v>459</v>
      </c>
      <c r="M16" s="41" t="s">
        <v>459</v>
      </c>
      <c r="N16" s="41" t="s">
        <v>459</v>
      </c>
      <c r="O16" s="41" t="s">
        <v>459</v>
      </c>
      <c r="P16" s="199"/>
      <c r="Q16" s="200"/>
      <c r="R16" s="125" t="s">
        <v>459</v>
      </c>
      <c r="S16" s="41" t="s">
        <v>459</v>
      </c>
      <c r="T16" s="41" t="s">
        <v>459</v>
      </c>
      <c r="U16" s="41" t="s">
        <v>459</v>
      </c>
      <c r="V16" s="41" t="s">
        <v>459</v>
      </c>
      <c r="W16" s="199"/>
      <c r="X16" s="200"/>
      <c r="Y16" s="125"/>
      <c r="Z16" s="41"/>
      <c r="AA16" s="41"/>
      <c r="AB16" s="41"/>
      <c r="AC16" s="41"/>
      <c r="AD16" s="199"/>
      <c r="AE16" s="200"/>
      <c r="AF16" s="125"/>
      <c r="AG16" s="41"/>
      <c r="AH16" s="41"/>
      <c r="AI16" s="41"/>
      <c r="AJ16" s="41"/>
      <c r="AK16" s="199"/>
      <c r="AL16" s="200"/>
      <c r="AM16" s="125"/>
      <c r="AN16" s="41"/>
      <c r="AO16" s="41"/>
      <c r="AP16" s="41"/>
      <c r="AQ16" s="41"/>
      <c r="AR16" s="199"/>
      <c r="AS16" s="200"/>
      <c r="AT16" s="125"/>
      <c r="AU16" s="41"/>
      <c r="AV16" s="41"/>
      <c r="AW16" s="41"/>
      <c r="AX16" s="41"/>
      <c r="AY16" s="199"/>
      <c r="AZ16" s="200"/>
      <c r="BA16" s="125"/>
      <c r="BB16" s="41"/>
      <c r="BC16" s="41"/>
      <c r="BD16" s="41"/>
      <c r="BE16" s="41"/>
      <c r="BF16" s="199"/>
      <c r="BG16" s="200"/>
      <c r="BH16" s="125"/>
      <c r="BI16" s="41"/>
      <c r="BJ16" s="41"/>
      <c r="BK16" s="41"/>
      <c r="BL16" s="41"/>
      <c r="BM16" s="199"/>
      <c r="BN16" s="200"/>
      <c r="BO16" s="125"/>
      <c r="BP16" s="41"/>
      <c r="BQ16" s="41"/>
      <c r="BR16" s="41"/>
      <c r="BS16" s="41"/>
      <c r="BT16" s="199"/>
      <c r="BU16" s="200"/>
      <c r="BV16" s="125"/>
      <c r="BW16" s="41"/>
      <c r="BX16" s="41"/>
      <c r="BY16" s="41"/>
      <c r="BZ16" s="41"/>
      <c r="CA16" s="199"/>
      <c r="CB16" s="200"/>
      <c r="CC16" s="125"/>
      <c r="CD16" s="41"/>
      <c r="CE16" s="41"/>
      <c r="CF16" s="41"/>
      <c r="CG16" s="41"/>
      <c r="CH16" s="199"/>
      <c r="CI16" s="200"/>
      <c r="CJ16" s="125"/>
      <c r="CK16" s="41"/>
      <c r="CL16" s="41"/>
      <c r="CM16" s="41"/>
      <c r="CN16" s="41"/>
      <c r="CO16" s="199"/>
      <c r="CP16" s="200"/>
      <c r="CQ16" s="125"/>
      <c r="CR16" s="41"/>
      <c r="CS16" s="41"/>
      <c r="CT16" s="41"/>
      <c r="CU16" s="41"/>
      <c r="CV16" s="199"/>
      <c r="CW16" s="200"/>
      <c r="CX16" s="125"/>
      <c r="CY16" s="41"/>
      <c r="CZ16" s="41"/>
      <c r="DA16" s="41"/>
      <c r="DB16" s="41"/>
      <c r="DC16" s="199"/>
      <c r="DD16" s="200"/>
      <c r="DE16" s="125"/>
      <c r="DF16" s="41"/>
      <c r="DG16" s="41"/>
      <c r="DH16" s="41"/>
      <c r="DI16" s="41"/>
      <c r="DJ16" s="199"/>
      <c r="DK16" s="200"/>
      <c r="DL16" s="125"/>
      <c r="DM16" s="41"/>
      <c r="DN16" s="41"/>
      <c r="DO16" s="41"/>
      <c r="DP16" s="41"/>
      <c r="DQ16" s="199"/>
      <c r="DR16" s="200"/>
      <c r="DS16" s="125"/>
      <c r="DT16" s="41"/>
      <c r="DU16" s="41"/>
      <c r="DV16" s="41"/>
      <c r="DW16" s="41"/>
      <c r="DX16" s="199"/>
      <c r="DY16" s="200"/>
      <c r="DZ16" s="125"/>
      <c r="EA16" s="41"/>
      <c r="EB16" s="41"/>
      <c r="EC16" s="41"/>
      <c r="ED16" s="41"/>
      <c r="EE16" s="199"/>
      <c r="EF16" s="200"/>
      <c r="EG16" s="125"/>
      <c r="EH16" s="41"/>
      <c r="EI16" s="41"/>
      <c r="EJ16" s="41"/>
      <c r="EK16" s="41"/>
      <c r="EL16" s="199"/>
      <c r="EM16" s="200"/>
      <c r="EN16" s="125"/>
      <c r="EO16" s="41"/>
      <c r="EP16" s="41"/>
      <c r="EQ16" s="41"/>
      <c r="ER16" s="41"/>
      <c r="ES16" s="199"/>
      <c r="ET16" s="200"/>
      <c r="EU16" s="125"/>
      <c r="EV16" s="41"/>
      <c r="EW16" s="41"/>
      <c r="EX16" s="41"/>
      <c r="EY16" s="41"/>
      <c r="EZ16" s="199"/>
      <c r="FA16" s="200"/>
      <c r="FB16" s="125"/>
      <c r="FC16" s="41"/>
      <c r="FD16" s="41"/>
      <c r="FE16" s="41"/>
      <c r="FF16" s="41"/>
      <c r="FG16" s="199"/>
      <c r="FH16" s="200"/>
      <c r="FI16" s="125"/>
      <c r="FJ16" s="41"/>
      <c r="FK16" s="41"/>
      <c r="FL16" s="41"/>
      <c r="FM16" s="41"/>
      <c r="FN16" s="199"/>
      <c r="FO16" s="200"/>
      <c r="FP16" s="125"/>
      <c r="FQ16" s="41"/>
      <c r="FR16" s="41"/>
      <c r="FS16" s="41"/>
      <c r="FT16" s="41"/>
      <c r="FU16" s="199"/>
      <c r="FV16" s="200"/>
      <c r="FW16" s="125"/>
      <c r="FX16" s="41"/>
      <c r="FY16" s="41"/>
      <c r="FZ16" s="41"/>
      <c r="GA16" s="41"/>
      <c r="GB16" s="199"/>
      <c r="GC16" s="200"/>
      <c r="GD16" s="125"/>
      <c r="GE16" s="41"/>
      <c r="GF16" s="41"/>
      <c r="GG16" s="41"/>
      <c r="GH16" s="41"/>
      <c r="GI16" s="199"/>
      <c r="GJ16" s="200"/>
      <c r="GK16" s="125"/>
      <c r="GL16" s="41"/>
      <c r="GM16" s="41"/>
      <c r="GN16" s="41"/>
      <c r="GO16" s="41"/>
      <c r="GP16" s="199"/>
      <c r="GQ16" s="200"/>
      <c r="GR16" s="125"/>
      <c r="GS16" s="41"/>
      <c r="GT16" s="41"/>
      <c r="GU16" s="41"/>
      <c r="GV16" s="41"/>
      <c r="GW16" s="199"/>
      <c r="GX16" s="200"/>
      <c r="GY16" s="125"/>
      <c r="GZ16" s="41"/>
      <c r="HA16" s="41"/>
      <c r="HB16" s="41"/>
      <c r="HC16" s="41"/>
      <c r="HD16" s="199"/>
      <c r="HE16" s="200"/>
      <c r="HF16" s="110"/>
      <c r="HG16" s="110"/>
      <c r="HH16" s="110"/>
      <c r="HI16" s="110"/>
    </row>
    <row r="17" spans="2:217" x14ac:dyDescent="0.3">
      <c r="B17" s="69">
        <v>105600</v>
      </c>
      <c r="C17" s="9">
        <v>35</v>
      </c>
      <c r="D17" s="41" t="str">
        <f t="shared" si="5"/>
        <v>X</v>
      </c>
      <c r="E17" s="10" t="str">
        <f t="shared" si="4"/>
        <v>105600X</v>
      </c>
      <c r="F17" s="193" t="s">
        <v>7</v>
      </c>
      <c r="G17" s="185" t="s">
        <v>8</v>
      </c>
      <c r="H17" s="146" t="s">
        <v>44</v>
      </c>
      <c r="I17" s="153" t="s">
        <v>84</v>
      </c>
      <c r="J17" s="154" t="s">
        <v>85</v>
      </c>
      <c r="K17" s="125" t="s">
        <v>459</v>
      </c>
      <c r="L17" s="41" t="s">
        <v>459</v>
      </c>
      <c r="M17" s="41" t="s">
        <v>459</v>
      </c>
      <c r="N17" s="41" t="s">
        <v>459</v>
      </c>
      <c r="O17" s="41" t="s">
        <v>459</v>
      </c>
      <c r="P17" s="199"/>
      <c r="Q17" s="200"/>
      <c r="R17" s="125" t="s">
        <v>459</v>
      </c>
      <c r="S17" s="41" t="s">
        <v>459</v>
      </c>
      <c r="T17" s="41" t="s">
        <v>459</v>
      </c>
      <c r="U17" s="41" t="s">
        <v>459</v>
      </c>
      <c r="V17" s="41" t="s">
        <v>459</v>
      </c>
      <c r="W17" s="199"/>
      <c r="X17" s="200"/>
      <c r="Y17" s="125"/>
      <c r="Z17" s="41"/>
      <c r="AA17" s="41"/>
      <c r="AB17" s="41"/>
      <c r="AC17" s="41"/>
      <c r="AD17" s="199"/>
      <c r="AE17" s="200"/>
      <c r="AF17" s="125"/>
      <c r="AG17" s="41"/>
      <c r="AH17" s="41"/>
      <c r="AI17" s="41"/>
      <c r="AJ17" s="41"/>
      <c r="AK17" s="199"/>
      <c r="AL17" s="200"/>
      <c r="AM17" s="125"/>
      <c r="AN17" s="41"/>
      <c r="AO17" s="41"/>
      <c r="AP17" s="41"/>
      <c r="AQ17" s="41"/>
      <c r="AR17" s="199"/>
      <c r="AS17" s="200"/>
      <c r="AT17" s="125"/>
      <c r="AU17" s="41"/>
      <c r="AV17" s="41"/>
      <c r="AW17" s="41"/>
      <c r="AX17" s="41"/>
      <c r="AY17" s="199"/>
      <c r="AZ17" s="200"/>
      <c r="BA17" s="125"/>
      <c r="BB17" s="41"/>
      <c r="BC17" s="41"/>
      <c r="BD17" s="41"/>
      <c r="BE17" s="41"/>
      <c r="BF17" s="199"/>
      <c r="BG17" s="200"/>
      <c r="BH17" s="125"/>
      <c r="BI17" s="41"/>
      <c r="BJ17" s="41"/>
      <c r="BK17" s="41"/>
      <c r="BL17" s="41"/>
      <c r="BM17" s="199"/>
      <c r="BN17" s="200"/>
      <c r="BO17" s="125"/>
      <c r="BP17" s="41"/>
      <c r="BQ17" s="41"/>
      <c r="BR17" s="41"/>
      <c r="BS17" s="41"/>
      <c r="BT17" s="199"/>
      <c r="BU17" s="200"/>
      <c r="BV17" s="125"/>
      <c r="BW17" s="41"/>
      <c r="BX17" s="41"/>
      <c r="BY17" s="41"/>
      <c r="BZ17" s="41"/>
      <c r="CA17" s="199"/>
      <c r="CB17" s="200"/>
      <c r="CC17" s="125"/>
      <c r="CD17" s="41"/>
      <c r="CE17" s="41"/>
      <c r="CF17" s="41"/>
      <c r="CG17" s="41"/>
      <c r="CH17" s="199"/>
      <c r="CI17" s="200"/>
      <c r="CJ17" s="125"/>
      <c r="CK17" s="41"/>
      <c r="CL17" s="41"/>
      <c r="CM17" s="41"/>
      <c r="CN17" s="41"/>
      <c r="CO17" s="199"/>
      <c r="CP17" s="200"/>
      <c r="CQ17" s="125"/>
      <c r="CR17" s="41"/>
      <c r="CS17" s="41"/>
      <c r="CT17" s="41"/>
      <c r="CU17" s="41"/>
      <c r="CV17" s="199"/>
      <c r="CW17" s="200"/>
      <c r="CX17" s="125"/>
      <c r="CY17" s="41"/>
      <c r="CZ17" s="41"/>
      <c r="DA17" s="41"/>
      <c r="DB17" s="41"/>
      <c r="DC17" s="199"/>
      <c r="DD17" s="200"/>
      <c r="DE17" s="125"/>
      <c r="DF17" s="41"/>
      <c r="DG17" s="41"/>
      <c r="DH17" s="41"/>
      <c r="DI17" s="41"/>
      <c r="DJ17" s="199"/>
      <c r="DK17" s="200"/>
      <c r="DL17" s="125"/>
      <c r="DM17" s="41"/>
      <c r="DN17" s="41"/>
      <c r="DO17" s="41"/>
      <c r="DP17" s="41"/>
      <c r="DQ17" s="199"/>
      <c r="DR17" s="200"/>
      <c r="DS17" s="125"/>
      <c r="DT17" s="41"/>
      <c r="DU17" s="41"/>
      <c r="DV17" s="41"/>
      <c r="DW17" s="41"/>
      <c r="DX17" s="199"/>
      <c r="DY17" s="200"/>
      <c r="DZ17" s="125"/>
      <c r="EA17" s="41"/>
      <c r="EB17" s="41"/>
      <c r="EC17" s="41"/>
      <c r="ED17" s="41"/>
      <c r="EE17" s="199"/>
      <c r="EF17" s="200"/>
      <c r="EG17" s="125"/>
      <c r="EH17" s="41"/>
      <c r="EI17" s="41"/>
      <c r="EJ17" s="41"/>
      <c r="EK17" s="41"/>
      <c r="EL17" s="199"/>
      <c r="EM17" s="200"/>
      <c r="EN17" s="125"/>
      <c r="EO17" s="41"/>
      <c r="EP17" s="41"/>
      <c r="EQ17" s="41"/>
      <c r="ER17" s="41"/>
      <c r="ES17" s="199"/>
      <c r="ET17" s="200"/>
      <c r="EU17" s="125"/>
      <c r="EV17" s="41"/>
      <c r="EW17" s="41"/>
      <c r="EX17" s="41"/>
      <c r="EY17" s="41"/>
      <c r="EZ17" s="199"/>
      <c r="FA17" s="200"/>
      <c r="FB17" s="125"/>
      <c r="FC17" s="41"/>
      <c r="FD17" s="41"/>
      <c r="FE17" s="41"/>
      <c r="FF17" s="41"/>
      <c r="FG17" s="199"/>
      <c r="FH17" s="200"/>
      <c r="FI17" s="125"/>
      <c r="FJ17" s="41"/>
      <c r="FK17" s="41"/>
      <c r="FL17" s="41"/>
      <c r="FM17" s="41"/>
      <c r="FN17" s="199"/>
      <c r="FO17" s="200"/>
      <c r="FP17" s="125"/>
      <c r="FQ17" s="41"/>
      <c r="FR17" s="41"/>
      <c r="FS17" s="41"/>
      <c r="FT17" s="41"/>
      <c r="FU17" s="199"/>
      <c r="FV17" s="200"/>
      <c r="FW17" s="125"/>
      <c r="FX17" s="41"/>
      <c r="FY17" s="41"/>
      <c r="FZ17" s="41"/>
      <c r="GA17" s="41"/>
      <c r="GB17" s="199"/>
      <c r="GC17" s="200"/>
      <c r="GD17" s="125"/>
      <c r="GE17" s="41"/>
      <c r="GF17" s="41"/>
      <c r="GG17" s="41"/>
      <c r="GH17" s="41"/>
      <c r="GI17" s="199"/>
      <c r="GJ17" s="200"/>
      <c r="GK17" s="125"/>
      <c r="GL17" s="41"/>
      <c r="GM17" s="41"/>
      <c r="GN17" s="41"/>
      <c r="GO17" s="41"/>
      <c r="GP17" s="199"/>
      <c r="GQ17" s="200"/>
      <c r="GR17" s="125"/>
      <c r="GS17" s="41"/>
      <c r="GT17" s="41"/>
      <c r="GU17" s="41"/>
      <c r="GV17" s="41"/>
      <c r="GW17" s="199"/>
      <c r="GX17" s="200"/>
      <c r="GY17" s="125"/>
      <c r="GZ17" s="41"/>
      <c r="HA17" s="41"/>
      <c r="HB17" s="41"/>
      <c r="HC17" s="41"/>
      <c r="HD17" s="199"/>
      <c r="HE17" s="200"/>
      <c r="HF17" s="110"/>
      <c r="HG17" s="110"/>
      <c r="HH17" s="110"/>
      <c r="HI17" s="110"/>
    </row>
    <row r="18" spans="2:217" x14ac:dyDescent="0.3">
      <c r="B18" s="38">
        <v>56995</v>
      </c>
      <c r="C18" s="9">
        <v>35</v>
      </c>
      <c r="D18" s="10" t="str">
        <f t="shared" si="5"/>
        <v>X</v>
      </c>
      <c r="E18" s="11" t="str">
        <f t="shared" si="4"/>
        <v>56995X</v>
      </c>
      <c r="F18" s="193" t="s">
        <v>7</v>
      </c>
      <c r="G18" s="183" t="s">
        <v>8</v>
      </c>
      <c r="H18" s="146" t="s">
        <v>9</v>
      </c>
      <c r="I18" s="157" t="s">
        <v>96</v>
      </c>
      <c r="J18" s="158" t="s">
        <v>97</v>
      </c>
      <c r="K18" s="125" t="s">
        <v>459</v>
      </c>
      <c r="L18" s="41" t="s">
        <v>459</v>
      </c>
      <c r="M18" s="41" t="s">
        <v>459</v>
      </c>
      <c r="N18" s="41" t="s">
        <v>459</v>
      </c>
      <c r="O18" s="41" t="s">
        <v>459</v>
      </c>
      <c r="P18" s="199"/>
      <c r="Q18" s="200"/>
      <c r="R18" s="125" t="s">
        <v>460</v>
      </c>
      <c r="S18" s="41" t="s">
        <v>460</v>
      </c>
      <c r="T18" s="41" t="s">
        <v>460</v>
      </c>
      <c r="U18" s="41" t="s">
        <v>460</v>
      </c>
      <c r="V18" s="41" t="s">
        <v>460</v>
      </c>
      <c r="W18" s="199"/>
      <c r="X18" s="200"/>
      <c r="Y18" s="125"/>
      <c r="Z18" s="41"/>
      <c r="AA18" s="41"/>
      <c r="AB18" s="41"/>
      <c r="AC18" s="41"/>
      <c r="AD18" s="199"/>
      <c r="AE18" s="200"/>
      <c r="AF18" s="125"/>
      <c r="AG18" s="41"/>
      <c r="AH18" s="41"/>
      <c r="AI18" s="41"/>
      <c r="AJ18" s="41"/>
      <c r="AK18" s="199"/>
      <c r="AL18" s="200"/>
      <c r="AM18" s="125"/>
      <c r="AN18" s="41"/>
      <c r="AO18" s="41"/>
      <c r="AP18" s="41"/>
      <c r="AQ18" s="41"/>
      <c r="AR18" s="199"/>
      <c r="AS18" s="200"/>
      <c r="AT18" s="125"/>
      <c r="AU18" s="41"/>
      <c r="AV18" s="41"/>
      <c r="AW18" s="41"/>
      <c r="AX18" s="41"/>
      <c r="AY18" s="199"/>
      <c r="AZ18" s="200"/>
      <c r="BA18" s="125"/>
      <c r="BB18" s="41"/>
      <c r="BC18" s="41"/>
      <c r="BD18" s="41"/>
      <c r="BE18" s="41"/>
      <c r="BF18" s="199"/>
      <c r="BG18" s="200"/>
      <c r="BH18" s="125"/>
      <c r="BI18" s="41"/>
      <c r="BJ18" s="41"/>
      <c r="BK18" s="41"/>
      <c r="BL18" s="41"/>
      <c r="BM18" s="199"/>
      <c r="BN18" s="200"/>
      <c r="BO18" s="125"/>
      <c r="BP18" s="41"/>
      <c r="BQ18" s="41"/>
      <c r="BR18" s="41"/>
      <c r="BS18" s="41"/>
      <c r="BT18" s="199"/>
      <c r="BU18" s="200"/>
      <c r="BV18" s="125"/>
      <c r="BW18" s="41"/>
      <c r="BX18" s="41"/>
      <c r="BY18" s="41"/>
      <c r="BZ18" s="41"/>
      <c r="CA18" s="199"/>
      <c r="CB18" s="200"/>
      <c r="CC18" s="125"/>
      <c r="CD18" s="41"/>
      <c r="CE18" s="41"/>
      <c r="CF18" s="41"/>
      <c r="CG18" s="41"/>
      <c r="CH18" s="199"/>
      <c r="CI18" s="200"/>
      <c r="CJ18" s="125"/>
      <c r="CK18" s="41"/>
      <c r="CL18" s="41"/>
      <c r="CM18" s="41"/>
      <c r="CN18" s="41"/>
      <c r="CO18" s="199"/>
      <c r="CP18" s="200"/>
      <c r="CQ18" s="125"/>
      <c r="CR18" s="41"/>
      <c r="CS18" s="41"/>
      <c r="CT18" s="41"/>
      <c r="CU18" s="41"/>
      <c r="CV18" s="199"/>
      <c r="CW18" s="200"/>
      <c r="CX18" s="125"/>
      <c r="CY18" s="41"/>
      <c r="CZ18" s="41"/>
      <c r="DA18" s="41"/>
      <c r="DB18" s="41"/>
      <c r="DC18" s="199"/>
      <c r="DD18" s="200"/>
      <c r="DE18" s="125"/>
      <c r="DF18" s="41"/>
      <c r="DG18" s="41"/>
      <c r="DH18" s="41"/>
      <c r="DI18" s="41"/>
      <c r="DJ18" s="199"/>
      <c r="DK18" s="200"/>
      <c r="DL18" s="125"/>
      <c r="DM18" s="41"/>
      <c r="DN18" s="41"/>
      <c r="DO18" s="41"/>
      <c r="DP18" s="41"/>
      <c r="DQ18" s="199"/>
      <c r="DR18" s="200"/>
      <c r="DS18" s="125"/>
      <c r="DT18" s="41"/>
      <c r="DU18" s="41"/>
      <c r="DV18" s="41"/>
      <c r="DW18" s="41"/>
      <c r="DX18" s="199"/>
      <c r="DY18" s="200"/>
      <c r="DZ18" s="125"/>
      <c r="EA18" s="41"/>
      <c r="EB18" s="41"/>
      <c r="EC18" s="41"/>
      <c r="ED18" s="41"/>
      <c r="EE18" s="199"/>
      <c r="EF18" s="200"/>
      <c r="EG18" s="125"/>
      <c r="EH18" s="41"/>
      <c r="EI18" s="41"/>
      <c r="EJ18" s="41"/>
      <c r="EK18" s="41"/>
      <c r="EL18" s="199"/>
      <c r="EM18" s="200"/>
      <c r="EN18" s="125"/>
      <c r="EO18" s="41"/>
      <c r="EP18" s="41"/>
      <c r="EQ18" s="41"/>
      <c r="ER18" s="41"/>
      <c r="ES18" s="199"/>
      <c r="ET18" s="200"/>
      <c r="EU18" s="125"/>
      <c r="EV18" s="41"/>
      <c r="EW18" s="41"/>
      <c r="EX18" s="41"/>
      <c r="EY18" s="41"/>
      <c r="EZ18" s="199"/>
      <c r="FA18" s="200"/>
      <c r="FB18" s="125"/>
      <c r="FC18" s="41"/>
      <c r="FD18" s="41"/>
      <c r="FE18" s="41"/>
      <c r="FF18" s="41"/>
      <c r="FG18" s="199"/>
      <c r="FH18" s="200"/>
      <c r="FI18" s="125"/>
      <c r="FJ18" s="41"/>
      <c r="FK18" s="41"/>
      <c r="FL18" s="41"/>
      <c r="FM18" s="41"/>
      <c r="FN18" s="199"/>
      <c r="FO18" s="200"/>
      <c r="FP18" s="125"/>
      <c r="FQ18" s="41"/>
      <c r="FR18" s="41"/>
      <c r="FS18" s="41"/>
      <c r="FT18" s="41"/>
      <c r="FU18" s="199"/>
      <c r="FV18" s="200"/>
      <c r="FW18" s="125"/>
      <c r="FX18" s="41"/>
      <c r="FY18" s="41"/>
      <c r="FZ18" s="41"/>
      <c r="GA18" s="41"/>
      <c r="GB18" s="199"/>
      <c r="GC18" s="200"/>
      <c r="GD18" s="125"/>
      <c r="GE18" s="41"/>
      <c r="GF18" s="41"/>
      <c r="GG18" s="41"/>
      <c r="GH18" s="41"/>
      <c r="GI18" s="199"/>
      <c r="GJ18" s="200"/>
      <c r="GK18" s="125"/>
      <c r="GL18" s="41"/>
      <c r="GM18" s="41"/>
      <c r="GN18" s="41"/>
      <c r="GO18" s="41"/>
      <c r="GP18" s="199"/>
      <c r="GQ18" s="200"/>
      <c r="GR18" s="125"/>
      <c r="GS18" s="41"/>
      <c r="GT18" s="41"/>
      <c r="GU18" s="41"/>
      <c r="GV18" s="41"/>
      <c r="GW18" s="199"/>
      <c r="GX18" s="200"/>
      <c r="GY18" s="125"/>
      <c r="GZ18" s="41"/>
      <c r="HA18" s="41"/>
      <c r="HB18" s="41"/>
      <c r="HC18" s="41"/>
      <c r="HD18" s="199"/>
      <c r="HE18" s="200"/>
      <c r="HF18" s="110"/>
      <c r="HG18" s="110"/>
      <c r="HH18" s="110"/>
      <c r="HI18" s="110"/>
    </row>
    <row r="19" spans="2:217" x14ac:dyDescent="0.3">
      <c r="B19" s="38">
        <v>104817</v>
      </c>
      <c r="C19" s="9">
        <v>35</v>
      </c>
      <c r="D19" s="10" t="str">
        <f t="shared" si="5"/>
        <v>X</v>
      </c>
      <c r="E19" s="10" t="str">
        <f t="shared" si="4"/>
        <v>104817X</v>
      </c>
      <c r="F19" s="193" t="s">
        <v>7</v>
      </c>
      <c r="G19" s="183" t="s">
        <v>8</v>
      </c>
      <c r="H19" s="146" t="s">
        <v>9</v>
      </c>
      <c r="I19" s="149" t="s">
        <v>103</v>
      </c>
      <c r="J19" s="150" t="s">
        <v>104</v>
      </c>
      <c r="K19" s="125" t="s">
        <v>459</v>
      </c>
      <c r="L19" s="41" t="s">
        <v>459</v>
      </c>
      <c r="M19" s="41" t="s">
        <v>459</v>
      </c>
      <c r="N19" s="41" t="s">
        <v>459</v>
      </c>
      <c r="O19" s="41" t="s">
        <v>459</v>
      </c>
      <c r="P19" s="199"/>
      <c r="Q19" s="200"/>
      <c r="R19" s="125" t="s">
        <v>459</v>
      </c>
      <c r="S19" s="41" t="s">
        <v>459</v>
      </c>
      <c r="T19" s="41" t="s">
        <v>459</v>
      </c>
      <c r="U19" s="41" t="s">
        <v>459</v>
      </c>
      <c r="V19" s="41" t="s">
        <v>459</v>
      </c>
      <c r="W19" s="199"/>
      <c r="X19" s="200"/>
      <c r="Y19" s="125"/>
      <c r="Z19" s="41"/>
      <c r="AA19" s="41"/>
      <c r="AB19" s="41"/>
      <c r="AC19" s="41"/>
      <c r="AD19" s="199"/>
      <c r="AE19" s="200"/>
      <c r="AF19" s="125"/>
      <c r="AG19" s="41"/>
      <c r="AH19" s="41"/>
      <c r="AI19" s="41"/>
      <c r="AJ19" s="41"/>
      <c r="AK19" s="199"/>
      <c r="AL19" s="200"/>
      <c r="AM19" s="125"/>
      <c r="AN19" s="41"/>
      <c r="AO19" s="41"/>
      <c r="AP19" s="41"/>
      <c r="AQ19" s="41"/>
      <c r="AR19" s="199"/>
      <c r="AS19" s="200"/>
      <c r="AT19" s="125"/>
      <c r="AU19" s="41"/>
      <c r="AV19" s="41"/>
      <c r="AW19" s="41"/>
      <c r="AX19" s="41"/>
      <c r="AY19" s="199"/>
      <c r="AZ19" s="200"/>
      <c r="BA19" s="125"/>
      <c r="BB19" s="41"/>
      <c r="BC19" s="41"/>
      <c r="BD19" s="41"/>
      <c r="BE19" s="41"/>
      <c r="BF19" s="199"/>
      <c r="BG19" s="200"/>
      <c r="BH19" s="125"/>
      <c r="BI19" s="41"/>
      <c r="BJ19" s="41"/>
      <c r="BK19" s="41"/>
      <c r="BL19" s="41"/>
      <c r="BM19" s="199"/>
      <c r="BN19" s="200"/>
      <c r="BO19" s="125"/>
      <c r="BP19" s="41"/>
      <c r="BQ19" s="41"/>
      <c r="BR19" s="41"/>
      <c r="BS19" s="41"/>
      <c r="BT19" s="199"/>
      <c r="BU19" s="200"/>
      <c r="BV19" s="125"/>
      <c r="BW19" s="41"/>
      <c r="BX19" s="41"/>
      <c r="BY19" s="41"/>
      <c r="BZ19" s="41"/>
      <c r="CA19" s="199"/>
      <c r="CB19" s="200"/>
      <c r="CC19" s="125"/>
      <c r="CD19" s="41"/>
      <c r="CE19" s="41"/>
      <c r="CF19" s="41"/>
      <c r="CG19" s="41"/>
      <c r="CH19" s="199"/>
      <c r="CI19" s="200"/>
      <c r="CJ19" s="125"/>
      <c r="CK19" s="41"/>
      <c r="CL19" s="41"/>
      <c r="CM19" s="41"/>
      <c r="CN19" s="41"/>
      <c r="CO19" s="199"/>
      <c r="CP19" s="200"/>
      <c r="CQ19" s="125"/>
      <c r="CR19" s="41"/>
      <c r="CS19" s="41"/>
      <c r="CT19" s="41"/>
      <c r="CU19" s="41"/>
      <c r="CV19" s="199"/>
      <c r="CW19" s="200"/>
      <c r="CX19" s="125"/>
      <c r="CY19" s="41"/>
      <c r="CZ19" s="41"/>
      <c r="DA19" s="41"/>
      <c r="DB19" s="41"/>
      <c r="DC19" s="199"/>
      <c r="DD19" s="200"/>
      <c r="DE19" s="125"/>
      <c r="DF19" s="41"/>
      <c r="DG19" s="41"/>
      <c r="DH19" s="41"/>
      <c r="DI19" s="41"/>
      <c r="DJ19" s="199"/>
      <c r="DK19" s="200"/>
      <c r="DL19" s="125"/>
      <c r="DM19" s="41"/>
      <c r="DN19" s="41"/>
      <c r="DO19" s="41"/>
      <c r="DP19" s="41"/>
      <c r="DQ19" s="199"/>
      <c r="DR19" s="200"/>
      <c r="DS19" s="125"/>
      <c r="DT19" s="41"/>
      <c r="DU19" s="41"/>
      <c r="DV19" s="41"/>
      <c r="DW19" s="41"/>
      <c r="DX19" s="199"/>
      <c r="DY19" s="200"/>
      <c r="DZ19" s="125"/>
      <c r="EA19" s="41"/>
      <c r="EB19" s="41"/>
      <c r="EC19" s="41"/>
      <c r="ED19" s="41"/>
      <c r="EE19" s="199"/>
      <c r="EF19" s="200"/>
      <c r="EG19" s="125"/>
      <c r="EH19" s="41"/>
      <c r="EI19" s="41"/>
      <c r="EJ19" s="41"/>
      <c r="EK19" s="41"/>
      <c r="EL19" s="199"/>
      <c r="EM19" s="200"/>
      <c r="EN19" s="125"/>
      <c r="EO19" s="41"/>
      <c r="EP19" s="41"/>
      <c r="EQ19" s="41"/>
      <c r="ER19" s="41"/>
      <c r="ES19" s="199"/>
      <c r="ET19" s="200"/>
      <c r="EU19" s="125"/>
      <c r="EV19" s="41"/>
      <c r="EW19" s="41"/>
      <c r="EX19" s="41"/>
      <c r="EY19" s="41"/>
      <c r="EZ19" s="199"/>
      <c r="FA19" s="200"/>
      <c r="FB19" s="125"/>
      <c r="FC19" s="41"/>
      <c r="FD19" s="41"/>
      <c r="FE19" s="41"/>
      <c r="FF19" s="41"/>
      <c r="FG19" s="199"/>
      <c r="FH19" s="200"/>
      <c r="FI19" s="125"/>
      <c r="FJ19" s="41"/>
      <c r="FK19" s="41"/>
      <c r="FL19" s="41"/>
      <c r="FM19" s="41"/>
      <c r="FN19" s="199"/>
      <c r="FO19" s="200"/>
      <c r="FP19" s="125"/>
      <c r="FQ19" s="41"/>
      <c r="FR19" s="41"/>
      <c r="FS19" s="41"/>
      <c r="FT19" s="41"/>
      <c r="FU19" s="199"/>
      <c r="FV19" s="200"/>
      <c r="FW19" s="125"/>
      <c r="FX19" s="41"/>
      <c r="FY19" s="41"/>
      <c r="FZ19" s="41"/>
      <c r="GA19" s="41"/>
      <c r="GB19" s="199"/>
      <c r="GC19" s="200"/>
      <c r="GD19" s="125"/>
      <c r="GE19" s="41"/>
      <c r="GF19" s="41"/>
      <c r="GG19" s="41"/>
      <c r="GH19" s="41"/>
      <c r="GI19" s="199"/>
      <c r="GJ19" s="200"/>
      <c r="GK19" s="125"/>
      <c r="GL19" s="41"/>
      <c r="GM19" s="41"/>
      <c r="GN19" s="41"/>
      <c r="GO19" s="41"/>
      <c r="GP19" s="199"/>
      <c r="GQ19" s="200"/>
      <c r="GR19" s="125"/>
      <c r="GS19" s="41"/>
      <c r="GT19" s="41"/>
      <c r="GU19" s="41"/>
      <c r="GV19" s="41"/>
      <c r="GW19" s="199"/>
      <c r="GX19" s="200"/>
      <c r="GY19" s="125"/>
      <c r="GZ19" s="41"/>
      <c r="HA19" s="41"/>
      <c r="HB19" s="41"/>
      <c r="HC19" s="41"/>
      <c r="HD19" s="199"/>
      <c r="HE19" s="200"/>
      <c r="HF19" s="110"/>
      <c r="HG19" s="110"/>
      <c r="HH19" s="110"/>
      <c r="HI19" s="110"/>
    </row>
    <row r="20" spans="2:217" x14ac:dyDescent="0.3">
      <c r="B20" s="38">
        <v>27609</v>
      </c>
      <c r="C20" s="9">
        <v>35</v>
      </c>
      <c r="D20" s="10" t="str">
        <f t="shared" si="5"/>
        <v>X</v>
      </c>
      <c r="E20" s="11" t="str">
        <f t="shared" si="4"/>
        <v>27609X</v>
      </c>
      <c r="F20" s="193" t="s">
        <v>7</v>
      </c>
      <c r="G20" s="183" t="s">
        <v>8</v>
      </c>
      <c r="H20" s="146" t="s">
        <v>9</v>
      </c>
      <c r="I20" s="149" t="s">
        <v>111</v>
      </c>
      <c r="J20" s="150" t="s">
        <v>112</v>
      </c>
      <c r="K20" s="125" t="s">
        <v>459</v>
      </c>
      <c r="L20" s="41" t="s">
        <v>459</v>
      </c>
      <c r="M20" s="41" t="s">
        <v>459</v>
      </c>
      <c r="N20" s="41" t="s">
        <v>459</v>
      </c>
      <c r="O20" s="41" t="s">
        <v>459</v>
      </c>
      <c r="P20" s="199"/>
      <c r="Q20" s="200"/>
      <c r="R20" s="125" t="s">
        <v>459</v>
      </c>
      <c r="S20" s="41" t="s">
        <v>459</v>
      </c>
      <c r="T20" s="41" t="s">
        <v>459</v>
      </c>
      <c r="U20" s="41" t="s">
        <v>459</v>
      </c>
      <c r="V20" s="41" t="s">
        <v>459</v>
      </c>
      <c r="W20" s="199"/>
      <c r="X20" s="200"/>
      <c r="Y20" s="125"/>
      <c r="Z20" s="41"/>
      <c r="AA20" s="41"/>
      <c r="AB20" s="41"/>
      <c r="AC20" s="41"/>
      <c r="AD20" s="199"/>
      <c r="AE20" s="200"/>
      <c r="AF20" s="125"/>
      <c r="AG20" s="41"/>
      <c r="AH20" s="41"/>
      <c r="AI20" s="41"/>
      <c r="AJ20" s="41"/>
      <c r="AK20" s="199"/>
      <c r="AL20" s="200"/>
      <c r="AM20" s="125"/>
      <c r="AN20" s="41"/>
      <c r="AO20" s="41"/>
      <c r="AP20" s="41"/>
      <c r="AQ20" s="41"/>
      <c r="AR20" s="199"/>
      <c r="AS20" s="200"/>
      <c r="AT20" s="125"/>
      <c r="AU20" s="41"/>
      <c r="AV20" s="41"/>
      <c r="AW20" s="41"/>
      <c r="AX20" s="41"/>
      <c r="AY20" s="199"/>
      <c r="AZ20" s="200"/>
      <c r="BA20" s="125"/>
      <c r="BB20" s="41"/>
      <c r="BC20" s="41"/>
      <c r="BD20" s="41"/>
      <c r="BE20" s="41"/>
      <c r="BF20" s="199"/>
      <c r="BG20" s="200"/>
      <c r="BH20" s="125"/>
      <c r="BI20" s="41"/>
      <c r="BJ20" s="41"/>
      <c r="BK20" s="41"/>
      <c r="BL20" s="41"/>
      <c r="BM20" s="199"/>
      <c r="BN20" s="200"/>
      <c r="BO20" s="125"/>
      <c r="BP20" s="41"/>
      <c r="BQ20" s="41"/>
      <c r="BR20" s="41"/>
      <c r="BS20" s="41"/>
      <c r="BT20" s="199"/>
      <c r="BU20" s="200"/>
      <c r="BV20" s="125"/>
      <c r="BW20" s="41"/>
      <c r="BX20" s="41"/>
      <c r="BY20" s="41"/>
      <c r="BZ20" s="41"/>
      <c r="CA20" s="199"/>
      <c r="CB20" s="200"/>
      <c r="CC20" s="125"/>
      <c r="CD20" s="41"/>
      <c r="CE20" s="41"/>
      <c r="CF20" s="41"/>
      <c r="CG20" s="41"/>
      <c r="CH20" s="199"/>
      <c r="CI20" s="200"/>
      <c r="CJ20" s="125"/>
      <c r="CK20" s="41"/>
      <c r="CL20" s="41"/>
      <c r="CM20" s="41"/>
      <c r="CN20" s="41"/>
      <c r="CO20" s="199"/>
      <c r="CP20" s="200"/>
      <c r="CQ20" s="125"/>
      <c r="CR20" s="41"/>
      <c r="CS20" s="41"/>
      <c r="CT20" s="41"/>
      <c r="CU20" s="41"/>
      <c r="CV20" s="199"/>
      <c r="CW20" s="200"/>
      <c r="CX20" s="125"/>
      <c r="CY20" s="41"/>
      <c r="CZ20" s="41"/>
      <c r="DA20" s="41"/>
      <c r="DB20" s="41"/>
      <c r="DC20" s="199"/>
      <c r="DD20" s="200"/>
      <c r="DE20" s="125"/>
      <c r="DF20" s="41"/>
      <c r="DG20" s="41"/>
      <c r="DH20" s="41"/>
      <c r="DI20" s="41"/>
      <c r="DJ20" s="199"/>
      <c r="DK20" s="200"/>
      <c r="DL20" s="125"/>
      <c r="DM20" s="41"/>
      <c r="DN20" s="41"/>
      <c r="DO20" s="41"/>
      <c r="DP20" s="41"/>
      <c r="DQ20" s="199"/>
      <c r="DR20" s="200"/>
      <c r="DS20" s="125"/>
      <c r="DT20" s="41"/>
      <c r="DU20" s="41"/>
      <c r="DV20" s="41"/>
      <c r="DW20" s="41"/>
      <c r="DX20" s="199"/>
      <c r="DY20" s="200"/>
      <c r="DZ20" s="125"/>
      <c r="EA20" s="41"/>
      <c r="EB20" s="41"/>
      <c r="EC20" s="41"/>
      <c r="ED20" s="41"/>
      <c r="EE20" s="199"/>
      <c r="EF20" s="200"/>
      <c r="EG20" s="125"/>
      <c r="EH20" s="41"/>
      <c r="EI20" s="41"/>
      <c r="EJ20" s="41"/>
      <c r="EK20" s="41"/>
      <c r="EL20" s="199"/>
      <c r="EM20" s="200"/>
      <c r="EN20" s="125"/>
      <c r="EO20" s="41"/>
      <c r="EP20" s="41"/>
      <c r="EQ20" s="41"/>
      <c r="ER20" s="41"/>
      <c r="ES20" s="199"/>
      <c r="ET20" s="200"/>
      <c r="EU20" s="125"/>
      <c r="EV20" s="41"/>
      <c r="EW20" s="41"/>
      <c r="EX20" s="41"/>
      <c r="EY20" s="41"/>
      <c r="EZ20" s="199"/>
      <c r="FA20" s="200"/>
      <c r="FB20" s="125"/>
      <c r="FC20" s="41"/>
      <c r="FD20" s="41"/>
      <c r="FE20" s="41"/>
      <c r="FF20" s="41"/>
      <c r="FG20" s="199"/>
      <c r="FH20" s="200"/>
      <c r="FI20" s="125"/>
      <c r="FJ20" s="41"/>
      <c r="FK20" s="41"/>
      <c r="FL20" s="41"/>
      <c r="FM20" s="41"/>
      <c r="FN20" s="199"/>
      <c r="FO20" s="200"/>
      <c r="FP20" s="125"/>
      <c r="FQ20" s="41"/>
      <c r="FR20" s="41"/>
      <c r="FS20" s="41"/>
      <c r="FT20" s="41"/>
      <c r="FU20" s="199"/>
      <c r="FV20" s="200"/>
      <c r="FW20" s="125"/>
      <c r="FX20" s="41"/>
      <c r="FY20" s="41"/>
      <c r="FZ20" s="41"/>
      <c r="GA20" s="41"/>
      <c r="GB20" s="199"/>
      <c r="GC20" s="200"/>
      <c r="GD20" s="125"/>
      <c r="GE20" s="41"/>
      <c r="GF20" s="41"/>
      <c r="GG20" s="41"/>
      <c r="GH20" s="41"/>
      <c r="GI20" s="199"/>
      <c r="GJ20" s="200"/>
      <c r="GK20" s="125"/>
      <c r="GL20" s="41"/>
      <c r="GM20" s="41"/>
      <c r="GN20" s="41"/>
      <c r="GO20" s="41"/>
      <c r="GP20" s="199"/>
      <c r="GQ20" s="200"/>
      <c r="GR20" s="125"/>
      <c r="GS20" s="41"/>
      <c r="GT20" s="41"/>
      <c r="GU20" s="41"/>
      <c r="GV20" s="41"/>
      <c r="GW20" s="199"/>
      <c r="GX20" s="200"/>
      <c r="GY20" s="125"/>
      <c r="GZ20" s="41"/>
      <c r="HA20" s="41"/>
      <c r="HB20" s="41"/>
      <c r="HC20" s="41"/>
      <c r="HD20" s="199"/>
      <c r="HE20" s="200"/>
      <c r="HF20" s="110"/>
      <c r="HG20" s="110"/>
      <c r="HH20" s="110"/>
      <c r="HI20" s="110"/>
    </row>
    <row r="21" spans="2:217" x14ac:dyDescent="0.3">
      <c r="B21" s="38">
        <v>105254</v>
      </c>
      <c r="C21" s="9">
        <v>35</v>
      </c>
      <c r="D21" s="10" t="str">
        <f t="shared" si="5"/>
        <v>X</v>
      </c>
      <c r="E21" s="10" t="str">
        <f t="shared" si="4"/>
        <v>105254X</v>
      </c>
      <c r="F21" s="193" t="s">
        <v>7</v>
      </c>
      <c r="G21" s="183" t="s">
        <v>8</v>
      </c>
      <c r="H21" s="146" t="s">
        <v>44</v>
      </c>
      <c r="I21" s="151" t="s">
        <v>145</v>
      </c>
      <c r="J21" s="152" t="s">
        <v>146</v>
      </c>
      <c r="K21" s="125" t="s">
        <v>459</v>
      </c>
      <c r="L21" s="41" t="s">
        <v>459</v>
      </c>
      <c r="M21" s="41" t="s">
        <v>459</v>
      </c>
      <c r="N21" s="41" t="s">
        <v>459</v>
      </c>
      <c r="O21" s="41" t="s">
        <v>459</v>
      </c>
      <c r="P21" s="199"/>
      <c r="Q21" s="200"/>
      <c r="R21" s="125" t="s">
        <v>459</v>
      </c>
      <c r="S21" s="41" t="s">
        <v>459</v>
      </c>
      <c r="T21" s="41" t="s">
        <v>459</v>
      </c>
      <c r="U21" s="41" t="s">
        <v>459</v>
      </c>
      <c r="V21" s="41" t="s">
        <v>459</v>
      </c>
      <c r="W21" s="199"/>
      <c r="X21" s="200"/>
      <c r="Y21" s="125"/>
      <c r="Z21" s="41"/>
      <c r="AA21" s="41"/>
      <c r="AB21" s="41"/>
      <c r="AC21" s="41"/>
      <c r="AD21" s="199"/>
      <c r="AE21" s="200"/>
      <c r="AF21" s="125"/>
      <c r="AG21" s="41"/>
      <c r="AH21" s="41"/>
      <c r="AI21" s="41"/>
      <c r="AJ21" s="41"/>
      <c r="AK21" s="199"/>
      <c r="AL21" s="200"/>
      <c r="AM21" s="125"/>
      <c r="AN21" s="41"/>
      <c r="AO21" s="41"/>
      <c r="AP21" s="41"/>
      <c r="AQ21" s="41"/>
      <c r="AR21" s="199"/>
      <c r="AS21" s="200"/>
      <c r="AT21" s="125"/>
      <c r="AU21" s="41"/>
      <c r="AV21" s="41"/>
      <c r="AW21" s="41"/>
      <c r="AX21" s="41"/>
      <c r="AY21" s="199"/>
      <c r="AZ21" s="200"/>
      <c r="BA21" s="125"/>
      <c r="BB21" s="41"/>
      <c r="BC21" s="41"/>
      <c r="BD21" s="41"/>
      <c r="BE21" s="41"/>
      <c r="BF21" s="199"/>
      <c r="BG21" s="200"/>
      <c r="BH21" s="125"/>
      <c r="BI21" s="41"/>
      <c r="BJ21" s="41"/>
      <c r="BK21" s="41"/>
      <c r="BL21" s="41"/>
      <c r="BM21" s="199"/>
      <c r="BN21" s="200"/>
      <c r="BO21" s="125"/>
      <c r="BP21" s="41"/>
      <c r="BQ21" s="41"/>
      <c r="BR21" s="41"/>
      <c r="BS21" s="41"/>
      <c r="BT21" s="199"/>
      <c r="BU21" s="200"/>
      <c r="BV21" s="125"/>
      <c r="BW21" s="41"/>
      <c r="BX21" s="41"/>
      <c r="BY21" s="41"/>
      <c r="BZ21" s="41"/>
      <c r="CA21" s="199"/>
      <c r="CB21" s="200"/>
      <c r="CC21" s="125"/>
      <c r="CD21" s="41"/>
      <c r="CE21" s="41"/>
      <c r="CF21" s="41"/>
      <c r="CG21" s="41"/>
      <c r="CH21" s="199"/>
      <c r="CI21" s="200"/>
      <c r="CJ21" s="125"/>
      <c r="CK21" s="41"/>
      <c r="CL21" s="41"/>
      <c r="CM21" s="41"/>
      <c r="CN21" s="41"/>
      <c r="CO21" s="199"/>
      <c r="CP21" s="200"/>
      <c r="CQ21" s="125"/>
      <c r="CR21" s="41"/>
      <c r="CS21" s="41"/>
      <c r="CT21" s="41"/>
      <c r="CU21" s="41"/>
      <c r="CV21" s="199"/>
      <c r="CW21" s="200"/>
      <c r="CX21" s="125"/>
      <c r="CY21" s="41"/>
      <c r="CZ21" s="41"/>
      <c r="DA21" s="41"/>
      <c r="DB21" s="41"/>
      <c r="DC21" s="199"/>
      <c r="DD21" s="200"/>
      <c r="DE21" s="125"/>
      <c r="DF21" s="41"/>
      <c r="DG21" s="41"/>
      <c r="DH21" s="41"/>
      <c r="DI21" s="41"/>
      <c r="DJ21" s="199"/>
      <c r="DK21" s="200"/>
      <c r="DL21" s="125"/>
      <c r="DM21" s="41"/>
      <c r="DN21" s="41"/>
      <c r="DO21" s="41"/>
      <c r="DP21" s="41"/>
      <c r="DQ21" s="199"/>
      <c r="DR21" s="200"/>
      <c r="DS21" s="125"/>
      <c r="DT21" s="41"/>
      <c r="DU21" s="41"/>
      <c r="DV21" s="41"/>
      <c r="DW21" s="41"/>
      <c r="DX21" s="199"/>
      <c r="DY21" s="200"/>
      <c r="DZ21" s="125"/>
      <c r="EA21" s="41"/>
      <c r="EB21" s="41"/>
      <c r="EC21" s="41"/>
      <c r="ED21" s="41"/>
      <c r="EE21" s="199"/>
      <c r="EF21" s="200"/>
      <c r="EG21" s="125"/>
      <c r="EH21" s="41"/>
      <c r="EI21" s="41"/>
      <c r="EJ21" s="41"/>
      <c r="EK21" s="41"/>
      <c r="EL21" s="199"/>
      <c r="EM21" s="200"/>
      <c r="EN21" s="125"/>
      <c r="EO21" s="41"/>
      <c r="EP21" s="41"/>
      <c r="EQ21" s="41"/>
      <c r="ER21" s="41"/>
      <c r="ES21" s="199"/>
      <c r="ET21" s="200"/>
      <c r="EU21" s="125"/>
      <c r="EV21" s="41"/>
      <c r="EW21" s="41"/>
      <c r="EX21" s="41"/>
      <c r="EY21" s="41"/>
      <c r="EZ21" s="199"/>
      <c r="FA21" s="200"/>
      <c r="FB21" s="125"/>
      <c r="FC21" s="41"/>
      <c r="FD21" s="41"/>
      <c r="FE21" s="41"/>
      <c r="FF21" s="41"/>
      <c r="FG21" s="199"/>
      <c r="FH21" s="200"/>
      <c r="FI21" s="125"/>
      <c r="FJ21" s="41"/>
      <c r="FK21" s="41"/>
      <c r="FL21" s="41"/>
      <c r="FM21" s="41"/>
      <c r="FN21" s="199"/>
      <c r="FO21" s="200"/>
      <c r="FP21" s="125"/>
      <c r="FQ21" s="41"/>
      <c r="FR21" s="41"/>
      <c r="FS21" s="41"/>
      <c r="FT21" s="41"/>
      <c r="FU21" s="199"/>
      <c r="FV21" s="200"/>
      <c r="FW21" s="125"/>
      <c r="FX21" s="41"/>
      <c r="FY21" s="41"/>
      <c r="FZ21" s="41"/>
      <c r="GA21" s="41"/>
      <c r="GB21" s="199"/>
      <c r="GC21" s="200"/>
      <c r="GD21" s="125"/>
      <c r="GE21" s="41"/>
      <c r="GF21" s="41"/>
      <c r="GG21" s="41"/>
      <c r="GH21" s="41"/>
      <c r="GI21" s="199"/>
      <c r="GJ21" s="200"/>
      <c r="GK21" s="125"/>
      <c r="GL21" s="41"/>
      <c r="GM21" s="41"/>
      <c r="GN21" s="41"/>
      <c r="GO21" s="41"/>
      <c r="GP21" s="199"/>
      <c r="GQ21" s="200"/>
      <c r="GR21" s="125"/>
      <c r="GS21" s="41"/>
      <c r="GT21" s="41"/>
      <c r="GU21" s="41"/>
      <c r="GV21" s="41"/>
      <c r="GW21" s="199"/>
      <c r="GX21" s="200"/>
      <c r="GY21" s="125"/>
      <c r="GZ21" s="41"/>
      <c r="HA21" s="41"/>
      <c r="HB21" s="41"/>
      <c r="HC21" s="41"/>
      <c r="HD21" s="199"/>
      <c r="HE21" s="200"/>
      <c r="HF21" s="110"/>
      <c r="HG21" s="110"/>
      <c r="HH21" s="110"/>
      <c r="HI21" s="110"/>
    </row>
    <row r="22" spans="2:217" x14ac:dyDescent="0.3">
      <c r="B22" s="38">
        <v>104227</v>
      </c>
      <c r="C22" s="9">
        <v>35</v>
      </c>
      <c r="D22" s="10" t="str">
        <f t="shared" si="5"/>
        <v>X</v>
      </c>
      <c r="E22" s="11" t="str">
        <f t="shared" si="4"/>
        <v>104227X</v>
      </c>
      <c r="F22" s="193" t="s">
        <v>7</v>
      </c>
      <c r="G22" s="183" t="s">
        <v>8</v>
      </c>
      <c r="H22" s="146" t="s">
        <v>44</v>
      </c>
      <c r="I22" s="151" t="s">
        <v>153</v>
      </c>
      <c r="J22" s="152" t="s">
        <v>154</v>
      </c>
      <c r="K22" s="125" t="s">
        <v>459</v>
      </c>
      <c r="L22" s="41" t="s">
        <v>459</v>
      </c>
      <c r="M22" s="41" t="s">
        <v>459</v>
      </c>
      <c r="N22" s="41" t="s">
        <v>459</v>
      </c>
      <c r="O22" s="41" t="s">
        <v>459</v>
      </c>
      <c r="P22" s="199"/>
      <c r="Q22" s="200"/>
      <c r="R22" s="125" t="s">
        <v>459</v>
      </c>
      <c r="S22" s="41" t="s">
        <v>459</v>
      </c>
      <c r="T22" s="41" t="s">
        <v>459</v>
      </c>
      <c r="U22" s="41" t="s">
        <v>459</v>
      </c>
      <c r="V22" s="41" t="s">
        <v>459</v>
      </c>
      <c r="W22" s="199"/>
      <c r="X22" s="200"/>
      <c r="Y22" s="125"/>
      <c r="Z22" s="41"/>
      <c r="AA22" s="41"/>
      <c r="AB22" s="41"/>
      <c r="AC22" s="41"/>
      <c r="AD22" s="199"/>
      <c r="AE22" s="200"/>
      <c r="AF22" s="125"/>
      <c r="AG22" s="41"/>
      <c r="AH22" s="41"/>
      <c r="AI22" s="41"/>
      <c r="AJ22" s="41"/>
      <c r="AK22" s="199"/>
      <c r="AL22" s="200"/>
      <c r="AM22" s="125"/>
      <c r="AN22" s="41"/>
      <c r="AO22" s="41"/>
      <c r="AP22" s="41"/>
      <c r="AQ22" s="41"/>
      <c r="AR22" s="199"/>
      <c r="AS22" s="200"/>
      <c r="AT22" s="125"/>
      <c r="AU22" s="41"/>
      <c r="AV22" s="41"/>
      <c r="AW22" s="41"/>
      <c r="AX22" s="41"/>
      <c r="AY22" s="199"/>
      <c r="AZ22" s="200"/>
      <c r="BA22" s="125"/>
      <c r="BB22" s="41"/>
      <c r="BC22" s="41"/>
      <c r="BD22" s="41"/>
      <c r="BE22" s="41"/>
      <c r="BF22" s="199"/>
      <c r="BG22" s="200"/>
      <c r="BH22" s="125"/>
      <c r="BI22" s="41"/>
      <c r="BJ22" s="41"/>
      <c r="BK22" s="41"/>
      <c r="BL22" s="41"/>
      <c r="BM22" s="199"/>
      <c r="BN22" s="200"/>
      <c r="BO22" s="125"/>
      <c r="BP22" s="41"/>
      <c r="BQ22" s="41"/>
      <c r="BR22" s="41"/>
      <c r="BS22" s="41"/>
      <c r="BT22" s="199"/>
      <c r="BU22" s="200"/>
      <c r="BV22" s="125"/>
      <c r="BW22" s="41"/>
      <c r="BX22" s="41"/>
      <c r="BY22" s="41"/>
      <c r="BZ22" s="41"/>
      <c r="CA22" s="199"/>
      <c r="CB22" s="200"/>
      <c r="CC22" s="125"/>
      <c r="CD22" s="41"/>
      <c r="CE22" s="41"/>
      <c r="CF22" s="41"/>
      <c r="CG22" s="41"/>
      <c r="CH22" s="199"/>
      <c r="CI22" s="200"/>
      <c r="CJ22" s="125"/>
      <c r="CK22" s="41"/>
      <c r="CL22" s="41"/>
      <c r="CM22" s="41"/>
      <c r="CN22" s="41"/>
      <c r="CO22" s="199"/>
      <c r="CP22" s="200"/>
      <c r="CQ22" s="125"/>
      <c r="CR22" s="41"/>
      <c r="CS22" s="41"/>
      <c r="CT22" s="41"/>
      <c r="CU22" s="41"/>
      <c r="CV22" s="199"/>
      <c r="CW22" s="200"/>
      <c r="CX22" s="125"/>
      <c r="CY22" s="41"/>
      <c r="CZ22" s="41"/>
      <c r="DA22" s="41"/>
      <c r="DB22" s="41"/>
      <c r="DC22" s="199"/>
      <c r="DD22" s="200"/>
      <c r="DE22" s="125"/>
      <c r="DF22" s="41"/>
      <c r="DG22" s="41"/>
      <c r="DH22" s="41"/>
      <c r="DI22" s="41"/>
      <c r="DJ22" s="199"/>
      <c r="DK22" s="200"/>
      <c r="DL22" s="125"/>
      <c r="DM22" s="41"/>
      <c r="DN22" s="41"/>
      <c r="DO22" s="41"/>
      <c r="DP22" s="41"/>
      <c r="DQ22" s="199"/>
      <c r="DR22" s="200"/>
      <c r="DS22" s="125"/>
      <c r="DT22" s="41"/>
      <c r="DU22" s="41"/>
      <c r="DV22" s="41"/>
      <c r="DW22" s="41"/>
      <c r="DX22" s="199"/>
      <c r="DY22" s="200"/>
      <c r="DZ22" s="125"/>
      <c r="EA22" s="41"/>
      <c r="EB22" s="41"/>
      <c r="EC22" s="41"/>
      <c r="ED22" s="41"/>
      <c r="EE22" s="199"/>
      <c r="EF22" s="200"/>
      <c r="EG22" s="125"/>
      <c r="EH22" s="41"/>
      <c r="EI22" s="41"/>
      <c r="EJ22" s="41"/>
      <c r="EK22" s="41"/>
      <c r="EL22" s="199"/>
      <c r="EM22" s="200"/>
      <c r="EN22" s="125"/>
      <c r="EO22" s="41"/>
      <c r="EP22" s="41"/>
      <c r="EQ22" s="41"/>
      <c r="ER22" s="41"/>
      <c r="ES22" s="199"/>
      <c r="ET22" s="200"/>
      <c r="EU22" s="125"/>
      <c r="EV22" s="41"/>
      <c r="EW22" s="41"/>
      <c r="EX22" s="41"/>
      <c r="EY22" s="41"/>
      <c r="EZ22" s="199"/>
      <c r="FA22" s="200"/>
      <c r="FB22" s="125"/>
      <c r="FC22" s="41"/>
      <c r="FD22" s="41"/>
      <c r="FE22" s="41"/>
      <c r="FF22" s="41"/>
      <c r="FG22" s="199"/>
      <c r="FH22" s="200"/>
      <c r="FI22" s="125"/>
      <c r="FJ22" s="41"/>
      <c r="FK22" s="41"/>
      <c r="FL22" s="41"/>
      <c r="FM22" s="41"/>
      <c r="FN22" s="199"/>
      <c r="FO22" s="200"/>
      <c r="FP22" s="125"/>
      <c r="FQ22" s="41"/>
      <c r="FR22" s="41"/>
      <c r="FS22" s="41"/>
      <c r="FT22" s="41"/>
      <c r="FU22" s="199"/>
      <c r="FV22" s="200"/>
      <c r="FW22" s="125"/>
      <c r="FX22" s="41"/>
      <c r="FY22" s="41"/>
      <c r="FZ22" s="41"/>
      <c r="GA22" s="41"/>
      <c r="GB22" s="199"/>
      <c r="GC22" s="200"/>
      <c r="GD22" s="125"/>
      <c r="GE22" s="41"/>
      <c r="GF22" s="41"/>
      <c r="GG22" s="41"/>
      <c r="GH22" s="41"/>
      <c r="GI22" s="199"/>
      <c r="GJ22" s="200"/>
      <c r="GK22" s="125"/>
      <c r="GL22" s="41"/>
      <c r="GM22" s="41"/>
      <c r="GN22" s="41"/>
      <c r="GO22" s="41"/>
      <c r="GP22" s="199"/>
      <c r="GQ22" s="200"/>
      <c r="GR22" s="125"/>
      <c r="GS22" s="41"/>
      <c r="GT22" s="41"/>
      <c r="GU22" s="41"/>
      <c r="GV22" s="41"/>
      <c r="GW22" s="199"/>
      <c r="GX22" s="200"/>
      <c r="GY22" s="125"/>
      <c r="GZ22" s="41"/>
      <c r="HA22" s="41"/>
      <c r="HB22" s="41"/>
      <c r="HC22" s="41"/>
      <c r="HD22" s="199"/>
      <c r="HE22" s="200"/>
      <c r="HF22" s="110"/>
      <c r="HG22" s="110"/>
      <c r="HH22" s="110"/>
      <c r="HI22" s="110"/>
    </row>
    <row r="23" spans="2:217" x14ac:dyDescent="0.3">
      <c r="B23" s="38">
        <v>50139</v>
      </c>
      <c r="C23" s="9">
        <v>39</v>
      </c>
      <c r="D23" s="10" t="str">
        <f t="shared" si="5"/>
        <v>X</v>
      </c>
      <c r="E23" s="10" t="str">
        <f t="shared" si="4"/>
        <v>50139X</v>
      </c>
      <c r="F23" s="193" t="s">
        <v>7</v>
      </c>
      <c r="G23" s="184" t="s">
        <v>8</v>
      </c>
      <c r="H23" s="146" t="s">
        <v>44</v>
      </c>
      <c r="I23" s="157" t="s">
        <v>161</v>
      </c>
      <c r="J23" s="158" t="s">
        <v>162</v>
      </c>
      <c r="K23" s="125" t="s">
        <v>459</v>
      </c>
      <c r="L23" s="41" t="s">
        <v>459</v>
      </c>
      <c r="M23" s="41" t="s">
        <v>459</v>
      </c>
      <c r="N23" s="41" t="s">
        <v>459</v>
      </c>
      <c r="O23" s="41" t="s">
        <v>459</v>
      </c>
      <c r="P23" s="199"/>
      <c r="Q23" s="200"/>
      <c r="R23" s="125" t="s">
        <v>459</v>
      </c>
      <c r="S23" s="41" t="s">
        <v>459</v>
      </c>
      <c r="T23" s="41" t="s">
        <v>459</v>
      </c>
      <c r="U23" s="41" t="s">
        <v>459</v>
      </c>
      <c r="V23" s="41" t="s">
        <v>459</v>
      </c>
      <c r="W23" s="199"/>
      <c r="X23" s="200"/>
      <c r="Y23" s="125"/>
      <c r="Z23" s="41"/>
      <c r="AA23" s="41"/>
      <c r="AB23" s="41"/>
      <c r="AC23" s="41"/>
      <c r="AD23" s="199"/>
      <c r="AE23" s="200"/>
      <c r="AF23" s="125"/>
      <c r="AG23" s="41"/>
      <c r="AH23" s="41"/>
      <c r="AI23" s="41"/>
      <c r="AJ23" s="41"/>
      <c r="AK23" s="199"/>
      <c r="AL23" s="200"/>
      <c r="AM23" s="125"/>
      <c r="AN23" s="41"/>
      <c r="AO23" s="41"/>
      <c r="AP23" s="41"/>
      <c r="AQ23" s="41"/>
      <c r="AR23" s="199"/>
      <c r="AS23" s="200"/>
      <c r="AT23" s="125"/>
      <c r="AU23" s="41"/>
      <c r="AV23" s="41"/>
      <c r="AW23" s="41"/>
      <c r="AX23" s="41"/>
      <c r="AY23" s="199"/>
      <c r="AZ23" s="200"/>
      <c r="BA23" s="125"/>
      <c r="BB23" s="41"/>
      <c r="BC23" s="41"/>
      <c r="BD23" s="41"/>
      <c r="BE23" s="41"/>
      <c r="BF23" s="199"/>
      <c r="BG23" s="200"/>
      <c r="BH23" s="125"/>
      <c r="BI23" s="41"/>
      <c r="BJ23" s="41"/>
      <c r="BK23" s="41"/>
      <c r="BL23" s="41"/>
      <c r="BM23" s="199"/>
      <c r="BN23" s="200"/>
      <c r="BO23" s="125"/>
      <c r="BP23" s="41"/>
      <c r="BQ23" s="41"/>
      <c r="BR23" s="41"/>
      <c r="BS23" s="41"/>
      <c r="BT23" s="199"/>
      <c r="BU23" s="200"/>
      <c r="BV23" s="125"/>
      <c r="BW23" s="41"/>
      <c r="BX23" s="41"/>
      <c r="BY23" s="41"/>
      <c r="BZ23" s="41"/>
      <c r="CA23" s="199"/>
      <c r="CB23" s="200"/>
      <c r="CC23" s="125"/>
      <c r="CD23" s="41"/>
      <c r="CE23" s="41"/>
      <c r="CF23" s="41"/>
      <c r="CG23" s="41"/>
      <c r="CH23" s="199"/>
      <c r="CI23" s="200"/>
      <c r="CJ23" s="125"/>
      <c r="CK23" s="41"/>
      <c r="CL23" s="41"/>
      <c r="CM23" s="41"/>
      <c r="CN23" s="41"/>
      <c r="CO23" s="199"/>
      <c r="CP23" s="200"/>
      <c r="CQ23" s="125"/>
      <c r="CR23" s="41"/>
      <c r="CS23" s="41"/>
      <c r="CT23" s="41"/>
      <c r="CU23" s="41"/>
      <c r="CV23" s="199"/>
      <c r="CW23" s="200"/>
      <c r="CX23" s="125"/>
      <c r="CY23" s="41"/>
      <c r="CZ23" s="41"/>
      <c r="DA23" s="41"/>
      <c r="DB23" s="41"/>
      <c r="DC23" s="199"/>
      <c r="DD23" s="200"/>
      <c r="DE23" s="125"/>
      <c r="DF23" s="41"/>
      <c r="DG23" s="41"/>
      <c r="DH23" s="41"/>
      <c r="DI23" s="41"/>
      <c r="DJ23" s="199"/>
      <c r="DK23" s="200"/>
      <c r="DL23" s="125"/>
      <c r="DM23" s="41"/>
      <c r="DN23" s="41"/>
      <c r="DO23" s="41"/>
      <c r="DP23" s="41"/>
      <c r="DQ23" s="199"/>
      <c r="DR23" s="200"/>
      <c r="DS23" s="125"/>
      <c r="DT23" s="41"/>
      <c r="DU23" s="41"/>
      <c r="DV23" s="41"/>
      <c r="DW23" s="41"/>
      <c r="DX23" s="199"/>
      <c r="DY23" s="200"/>
      <c r="DZ23" s="125"/>
      <c r="EA23" s="41"/>
      <c r="EB23" s="41"/>
      <c r="EC23" s="41"/>
      <c r="ED23" s="41"/>
      <c r="EE23" s="199"/>
      <c r="EF23" s="200"/>
      <c r="EG23" s="125"/>
      <c r="EH23" s="41"/>
      <c r="EI23" s="41"/>
      <c r="EJ23" s="41"/>
      <c r="EK23" s="41"/>
      <c r="EL23" s="199"/>
      <c r="EM23" s="200"/>
      <c r="EN23" s="125"/>
      <c r="EO23" s="41"/>
      <c r="EP23" s="41"/>
      <c r="EQ23" s="41"/>
      <c r="ER23" s="41"/>
      <c r="ES23" s="199"/>
      <c r="ET23" s="200"/>
      <c r="EU23" s="125"/>
      <c r="EV23" s="41"/>
      <c r="EW23" s="41"/>
      <c r="EX23" s="41"/>
      <c r="EY23" s="41"/>
      <c r="EZ23" s="199"/>
      <c r="FA23" s="200"/>
      <c r="FB23" s="125"/>
      <c r="FC23" s="41"/>
      <c r="FD23" s="41"/>
      <c r="FE23" s="41"/>
      <c r="FF23" s="41"/>
      <c r="FG23" s="199"/>
      <c r="FH23" s="200"/>
      <c r="FI23" s="125"/>
      <c r="FJ23" s="41"/>
      <c r="FK23" s="41"/>
      <c r="FL23" s="41"/>
      <c r="FM23" s="41"/>
      <c r="FN23" s="199"/>
      <c r="FO23" s="200"/>
      <c r="FP23" s="125"/>
      <c r="FQ23" s="41"/>
      <c r="FR23" s="41"/>
      <c r="FS23" s="41"/>
      <c r="FT23" s="41"/>
      <c r="FU23" s="199"/>
      <c r="FV23" s="200"/>
      <c r="FW23" s="125"/>
      <c r="FX23" s="41"/>
      <c r="FY23" s="41"/>
      <c r="FZ23" s="41"/>
      <c r="GA23" s="41"/>
      <c r="GB23" s="199"/>
      <c r="GC23" s="200"/>
      <c r="GD23" s="125"/>
      <c r="GE23" s="41"/>
      <c r="GF23" s="41"/>
      <c r="GG23" s="41"/>
      <c r="GH23" s="41"/>
      <c r="GI23" s="199"/>
      <c r="GJ23" s="200"/>
      <c r="GK23" s="125"/>
      <c r="GL23" s="41"/>
      <c r="GM23" s="41"/>
      <c r="GN23" s="41"/>
      <c r="GO23" s="41"/>
      <c r="GP23" s="199"/>
      <c r="GQ23" s="200"/>
      <c r="GR23" s="125"/>
      <c r="GS23" s="41"/>
      <c r="GT23" s="41"/>
      <c r="GU23" s="41"/>
      <c r="GV23" s="41"/>
      <c r="GW23" s="199"/>
      <c r="GX23" s="200"/>
      <c r="GY23" s="125"/>
      <c r="GZ23" s="41"/>
      <c r="HA23" s="41"/>
      <c r="HB23" s="41"/>
      <c r="HC23" s="41"/>
      <c r="HD23" s="199"/>
      <c r="HE23" s="200"/>
      <c r="HF23" s="110"/>
      <c r="HG23" s="110"/>
      <c r="HH23" s="110"/>
      <c r="HI23" s="110"/>
    </row>
    <row r="24" spans="2:217" x14ac:dyDescent="0.3">
      <c r="B24" s="24" t="s">
        <v>18</v>
      </c>
      <c r="C24" s="25">
        <v>35</v>
      </c>
      <c r="D24" s="26" t="s">
        <v>19</v>
      </c>
      <c r="E24" s="27" t="str">
        <f t="shared" si="4"/>
        <v>IX</v>
      </c>
      <c r="F24" s="193" t="s">
        <v>7</v>
      </c>
      <c r="G24" s="183" t="s">
        <v>8</v>
      </c>
      <c r="H24" s="146" t="s">
        <v>44</v>
      </c>
      <c r="I24" s="176" t="s">
        <v>161</v>
      </c>
      <c r="J24" s="152" t="s">
        <v>163</v>
      </c>
      <c r="K24" s="125" t="s">
        <v>459</v>
      </c>
      <c r="L24" s="41" t="s">
        <v>459</v>
      </c>
      <c r="M24" s="41" t="s">
        <v>459</v>
      </c>
      <c r="N24" s="41" t="s">
        <v>459</v>
      </c>
      <c r="O24" s="41" t="s">
        <v>459</v>
      </c>
      <c r="P24" s="199"/>
      <c r="Q24" s="200"/>
      <c r="R24" s="125" t="s">
        <v>459</v>
      </c>
      <c r="S24" s="41" t="s">
        <v>459</v>
      </c>
      <c r="T24" s="41" t="s">
        <v>459</v>
      </c>
      <c r="U24" s="41" t="s">
        <v>459</v>
      </c>
      <c r="V24" s="41" t="s">
        <v>459</v>
      </c>
      <c r="W24" s="199"/>
      <c r="X24" s="200"/>
      <c r="Y24" s="125"/>
      <c r="Z24" s="41"/>
      <c r="AA24" s="41"/>
      <c r="AB24" s="41"/>
      <c r="AC24" s="41"/>
      <c r="AD24" s="199"/>
      <c r="AE24" s="200"/>
      <c r="AF24" s="125"/>
      <c r="AG24" s="41"/>
      <c r="AH24" s="41"/>
      <c r="AI24" s="41"/>
      <c r="AJ24" s="41"/>
      <c r="AK24" s="199"/>
      <c r="AL24" s="200"/>
      <c r="AM24" s="125"/>
      <c r="AN24" s="41"/>
      <c r="AO24" s="41"/>
      <c r="AP24" s="41"/>
      <c r="AQ24" s="41"/>
      <c r="AR24" s="199"/>
      <c r="AS24" s="200"/>
      <c r="AT24" s="125"/>
      <c r="AU24" s="41"/>
      <c r="AV24" s="41"/>
      <c r="AW24" s="41"/>
      <c r="AX24" s="41"/>
      <c r="AY24" s="199"/>
      <c r="AZ24" s="200"/>
      <c r="BA24" s="125"/>
      <c r="BB24" s="41"/>
      <c r="BC24" s="41"/>
      <c r="BD24" s="41"/>
      <c r="BE24" s="41"/>
      <c r="BF24" s="199"/>
      <c r="BG24" s="200"/>
      <c r="BH24" s="125"/>
      <c r="BI24" s="41"/>
      <c r="BJ24" s="41"/>
      <c r="BK24" s="41"/>
      <c r="BL24" s="41"/>
      <c r="BM24" s="199"/>
      <c r="BN24" s="200"/>
      <c r="BO24" s="125"/>
      <c r="BP24" s="41"/>
      <c r="BQ24" s="41"/>
      <c r="BR24" s="41"/>
      <c r="BS24" s="41"/>
      <c r="BT24" s="199"/>
      <c r="BU24" s="200"/>
      <c r="BV24" s="125"/>
      <c r="BW24" s="41"/>
      <c r="BX24" s="41"/>
      <c r="BY24" s="41"/>
      <c r="BZ24" s="41"/>
      <c r="CA24" s="199"/>
      <c r="CB24" s="200"/>
      <c r="CC24" s="125"/>
      <c r="CD24" s="41"/>
      <c r="CE24" s="41"/>
      <c r="CF24" s="41"/>
      <c r="CG24" s="41"/>
      <c r="CH24" s="199"/>
      <c r="CI24" s="200"/>
      <c r="CJ24" s="125"/>
      <c r="CK24" s="41"/>
      <c r="CL24" s="41"/>
      <c r="CM24" s="41"/>
      <c r="CN24" s="41"/>
      <c r="CO24" s="199"/>
      <c r="CP24" s="200"/>
      <c r="CQ24" s="125"/>
      <c r="CR24" s="41"/>
      <c r="CS24" s="41"/>
      <c r="CT24" s="41"/>
      <c r="CU24" s="41"/>
      <c r="CV24" s="199"/>
      <c r="CW24" s="200"/>
      <c r="CX24" s="125"/>
      <c r="CY24" s="41"/>
      <c r="CZ24" s="41"/>
      <c r="DA24" s="41"/>
      <c r="DB24" s="41"/>
      <c r="DC24" s="199"/>
      <c r="DD24" s="200"/>
      <c r="DE24" s="125"/>
      <c r="DF24" s="41"/>
      <c r="DG24" s="41"/>
      <c r="DH24" s="41"/>
      <c r="DI24" s="41"/>
      <c r="DJ24" s="199"/>
      <c r="DK24" s="200"/>
      <c r="DL24" s="125"/>
      <c r="DM24" s="41"/>
      <c r="DN24" s="41"/>
      <c r="DO24" s="41"/>
      <c r="DP24" s="41"/>
      <c r="DQ24" s="199"/>
      <c r="DR24" s="200"/>
      <c r="DS24" s="125"/>
      <c r="DT24" s="41"/>
      <c r="DU24" s="41"/>
      <c r="DV24" s="41"/>
      <c r="DW24" s="41"/>
      <c r="DX24" s="199"/>
      <c r="DY24" s="200"/>
      <c r="DZ24" s="125"/>
      <c r="EA24" s="41"/>
      <c r="EB24" s="41"/>
      <c r="EC24" s="41"/>
      <c r="ED24" s="41"/>
      <c r="EE24" s="199"/>
      <c r="EF24" s="200"/>
      <c r="EG24" s="125"/>
      <c r="EH24" s="41"/>
      <c r="EI24" s="41"/>
      <c r="EJ24" s="41"/>
      <c r="EK24" s="41"/>
      <c r="EL24" s="199"/>
      <c r="EM24" s="200"/>
      <c r="EN24" s="125"/>
      <c r="EO24" s="41"/>
      <c r="EP24" s="41"/>
      <c r="EQ24" s="41"/>
      <c r="ER24" s="41"/>
      <c r="ES24" s="199"/>
      <c r="ET24" s="200"/>
      <c r="EU24" s="125"/>
      <c r="EV24" s="41"/>
      <c r="EW24" s="41"/>
      <c r="EX24" s="41"/>
      <c r="EY24" s="41"/>
      <c r="EZ24" s="199"/>
      <c r="FA24" s="200"/>
      <c r="FB24" s="125"/>
      <c r="FC24" s="41"/>
      <c r="FD24" s="41"/>
      <c r="FE24" s="41"/>
      <c r="FF24" s="41"/>
      <c r="FG24" s="199"/>
      <c r="FH24" s="200"/>
      <c r="FI24" s="125"/>
      <c r="FJ24" s="41"/>
      <c r="FK24" s="41"/>
      <c r="FL24" s="41"/>
      <c r="FM24" s="41"/>
      <c r="FN24" s="199"/>
      <c r="FO24" s="200"/>
      <c r="FP24" s="125"/>
      <c r="FQ24" s="41"/>
      <c r="FR24" s="41"/>
      <c r="FS24" s="41"/>
      <c r="FT24" s="41"/>
      <c r="FU24" s="199"/>
      <c r="FV24" s="200"/>
      <c r="FW24" s="125"/>
      <c r="FX24" s="41"/>
      <c r="FY24" s="41"/>
      <c r="FZ24" s="41"/>
      <c r="GA24" s="41"/>
      <c r="GB24" s="199"/>
      <c r="GC24" s="200"/>
      <c r="GD24" s="125"/>
      <c r="GE24" s="41"/>
      <c r="GF24" s="41"/>
      <c r="GG24" s="41"/>
      <c r="GH24" s="41"/>
      <c r="GI24" s="199"/>
      <c r="GJ24" s="200"/>
      <c r="GK24" s="125"/>
      <c r="GL24" s="41"/>
      <c r="GM24" s="41"/>
      <c r="GN24" s="41"/>
      <c r="GO24" s="41"/>
      <c r="GP24" s="199"/>
      <c r="GQ24" s="200"/>
      <c r="GR24" s="125"/>
      <c r="GS24" s="41"/>
      <c r="GT24" s="41"/>
      <c r="GU24" s="41"/>
      <c r="GV24" s="41"/>
      <c r="GW24" s="199"/>
      <c r="GX24" s="200"/>
      <c r="GY24" s="125"/>
      <c r="GZ24" s="41"/>
      <c r="HA24" s="41"/>
      <c r="HB24" s="41"/>
      <c r="HC24" s="41"/>
      <c r="HD24" s="199"/>
      <c r="HE24" s="200"/>
      <c r="HF24" s="110"/>
      <c r="HG24" s="110"/>
      <c r="HH24" s="110"/>
      <c r="HI24" s="110"/>
    </row>
    <row r="25" spans="2:217" x14ac:dyDescent="0.3">
      <c r="B25" s="24" t="s">
        <v>18</v>
      </c>
      <c r="C25" s="25">
        <v>35</v>
      </c>
      <c r="D25" s="26" t="s">
        <v>91</v>
      </c>
      <c r="E25" s="27" t="str">
        <f t="shared" si="4"/>
        <v>Ix</v>
      </c>
      <c r="F25" s="193" t="s">
        <v>7</v>
      </c>
      <c r="G25" s="184" t="s">
        <v>8</v>
      </c>
      <c r="H25" s="146" t="s">
        <v>44</v>
      </c>
      <c r="I25" s="153" t="s">
        <v>169</v>
      </c>
      <c r="J25" s="154" t="s">
        <v>170</v>
      </c>
      <c r="K25" s="125" t="s">
        <v>459</v>
      </c>
      <c r="L25" s="41" t="s">
        <v>459</v>
      </c>
      <c r="M25" s="41" t="s">
        <v>459</v>
      </c>
      <c r="N25" s="41" t="s">
        <v>459</v>
      </c>
      <c r="O25" s="41" t="s">
        <v>459</v>
      </c>
      <c r="P25" s="199"/>
      <c r="Q25" s="200"/>
      <c r="R25" s="125" t="s">
        <v>459</v>
      </c>
      <c r="S25" s="41" t="s">
        <v>459</v>
      </c>
      <c r="T25" s="41" t="s">
        <v>459</v>
      </c>
      <c r="U25" s="41" t="s">
        <v>459</v>
      </c>
      <c r="V25" s="41" t="s">
        <v>459</v>
      </c>
      <c r="W25" s="199"/>
      <c r="X25" s="200"/>
      <c r="Y25" s="125"/>
      <c r="Z25" s="41"/>
      <c r="AA25" s="41"/>
      <c r="AB25" s="41"/>
      <c r="AC25" s="41"/>
      <c r="AD25" s="199"/>
      <c r="AE25" s="200"/>
      <c r="AF25" s="125"/>
      <c r="AG25" s="41"/>
      <c r="AH25" s="41"/>
      <c r="AI25" s="41"/>
      <c r="AJ25" s="41"/>
      <c r="AK25" s="199"/>
      <c r="AL25" s="200"/>
      <c r="AM25" s="125"/>
      <c r="AN25" s="41"/>
      <c r="AO25" s="41"/>
      <c r="AP25" s="41"/>
      <c r="AQ25" s="41"/>
      <c r="AR25" s="199"/>
      <c r="AS25" s="200"/>
      <c r="AT25" s="125"/>
      <c r="AU25" s="41"/>
      <c r="AV25" s="41"/>
      <c r="AW25" s="41"/>
      <c r="AX25" s="41"/>
      <c r="AY25" s="199"/>
      <c r="AZ25" s="200"/>
      <c r="BA25" s="125"/>
      <c r="BB25" s="41"/>
      <c r="BC25" s="41"/>
      <c r="BD25" s="41"/>
      <c r="BE25" s="41"/>
      <c r="BF25" s="199"/>
      <c r="BG25" s="200"/>
      <c r="BH25" s="125"/>
      <c r="BI25" s="41"/>
      <c r="BJ25" s="41"/>
      <c r="BK25" s="41"/>
      <c r="BL25" s="41"/>
      <c r="BM25" s="199"/>
      <c r="BN25" s="200"/>
      <c r="BO25" s="125"/>
      <c r="BP25" s="41"/>
      <c r="BQ25" s="41"/>
      <c r="BR25" s="41"/>
      <c r="BS25" s="41"/>
      <c r="BT25" s="199"/>
      <c r="BU25" s="200"/>
      <c r="BV25" s="125"/>
      <c r="BW25" s="41"/>
      <c r="BX25" s="41"/>
      <c r="BY25" s="41"/>
      <c r="BZ25" s="41"/>
      <c r="CA25" s="199"/>
      <c r="CB25" s="200"/>
      <c r="CC25" s="125"/>
      <c r="CD25" s="41"/>
      <c r="CE25" s="41"/>
      <c r="CF25" s="41"/>
      <c r="CG25" s="41"/>
      <c r="CH25" s="199"/>
      <c r="CI25" s="200"/>
      <c r="CJ25" s="125"/>
      <c r="CK25" s="41"/>
      <c r="CL25" s="41"/>
      <c r="CM25" s="41"/>
      <c r="CN25" s="41"/>
      <c r="CO25" s="199"/>
      <c r="CP25" s="200"/>
      <c r="CQ25" s="125"/>
      <c r="CR25" s="41"/>
      <c r="CS25" s="41"/>
      <c r="CT25" s="41"/>
      <c r="CU25" s="41"/>
      <c r="CV25" s="199"/>
      <c r="CW25" s="200"/>
      <c r="CX25" s="125"/>
      <c r="CY25" s="41"/>
      <c r="CZ25" s="41"/>
      <c r="DA25" s="41"/>
      <c r="DB25" s="41"/>
      <c r="DC25" s="199"/>
      <c r="DD25" s="200"/>
      <c r="DE25" s="125"/>
      <c r="DF25" s="41"/>
      <c r="DG25" s="41"/>
      <c r="DH25" s="41"/>
      <c r="DI25" s="41"/>
      <c r="DJ25" s="199"/>
      <c r="DK25" s="200"/>
      <c r="DL25" s="125"/>
      <c r="DM25" s="41"/>
      <c r="DN25" s="41"/>
      <c r="DO25" s="41"/>
      <c r="DP25" s="41"/>
      <c r="DQ25" s="199"/>
      <c r="DR25" s="200"/>
      <c r="DS25" s="125"/>
      <c r="DT25" s="41"/>
      <c r="DU25" s="41"/>
      <c r="DV25" s="41"/>
      <c r="DW25" s="41"/>
      <c r="DX25" s="199"/>
      <c r="DY25" s="200"/>
      <c r="DZ25" s="125"/>
      <c r="EA25" s="41"/>
      <c r="EB25" s="41"/>
      <c r="EC25" s="41"/>
      <c r="ED25" s="41"/>
      <c r="EE25" s="199"/>
      <c r="EF25" s="200"/>
      <c r="EG25" s="125"/>
      <c r="EH25" s="41"/>
      <c r="EI25" s="41"/>
      <c r="EJ25" s="41"/>
      <c r="EK25" s="41"/>
      <c r="EL25" s="199"/>
      <c r="EM25" s="200"/>
      <c r="EN25" s="125"/>
      <c r="EO25" s="41"/>
      <c r="EP25" s="41"/>
      <c r="EQ25" s="41"/>
      <c r="ER25" s="41"/>
      <c r="ES25" s="199"/>
      <c r="ET25" s="200"/>
      <c r="EU25" s="125"/>
      <c r="EV25" s="41"/>
      <c r="EW25" s="41"/>
      <c r="EX25" s="41"/>
      <c r="EY25" s="41"/>
      <c r="EZ25" s="199"/>
      <c r="FA25" s="200"/>
      <c r="FB25" s="125"/>
      <c r="FC25" s="41"/>
      <c r="FD25" s="41"/>
      <c r="FE25" s="41"/>
      <c r="FF25" s="41"/>
      <c r="FG25" s="199"/>
      <c r="FH25" s="200"/>
      <c r="FI25" s="125"/>
      <c r="FJ25" s="41"/>
      <c r="FK25" s="41"/>
      <c r="FL25" s="41"/>
      <c r="FM25" s="41"/>
      <c r="FN25" s="199"/>
      <c r="FO25" s="200"/>
      <c r="FP25" s="125"/>
      <c r="FQ25" s="41"/>
      <c r="FR25" s="41"/>
      <c r="FS25" s="41"/>
      <c r="FT25" s="41"/>
      <c r="FU25" s="199"/>
      <c r="FV25" s="200"/>
      <c r="FW25" s="125"/>
      <c r="FX25" s="41"/>
      <c r="FY25" s="41"/>
      <c r="FZ25" s="41"/>
      <c r="GA25" s="41"/>
      <c r="GB25" s="199"/>
      <c r="GC25" s="200"/>
      <c r="GD25" s="125"/>
      <c r="GE25" s="41"/>
      <c r="GF25" s="41"/>
      <c r="GG25" s="41"/>
      <c r="GH25" s="41"/>
      <c r="GI25" s="199"/>
      <c r="GJ25" s="200"/>
      <c r="GK25" s="125"/>
      <c r="GL25" s="41"/>
      <c r="GM25" s="41"/>
      <c r="GN25" s="41"/>
      <c r="GO25" s="41"/>
      <c r="GP25" s="199"/>
      <c r="GQ25" s="200"/>
      <c r="GR25" s="125"/>
      <c r="GS25" s="41"/>
      <c r="GT25" s="41"/>
      <c r="GU25" s="41"/>
      <c r="GV25" s="41"/>
      <c r="GW25" s="199"/>
      <c r="GX25" s="200"/>
      <c r="GY25" s="125"/>
      <c r="GZ25" s="41"/>
      <c r="HA25" s="41"/>
      <c r="HB25" s="41"/>
      <c r="HC25" s="41"/>
      <c r="HD25" s="199"/>
      <c r="HE25" s="200"/>
    </row>
    <row r="26" spans="2:217" x14ac:dyDescent="0.3">
      <c r="B26" s="66" t="s">
        <v>18</v>
      </c>
      <c r="C26" s="25">
        <v>35</v>
      </c>
      <c r="D26" s="25" t="s">
        <v>19</v>
      </c>
      <c r="E26" s="26" t="str">
        <f t="shared" si="4"/>
        <v>IX</v>
      </c>
      <c r="F26" s="193" t="s">
        <v>7</v>
      </c>
      <c r="G26" s="184" t="s">
        <v>8</v>
      </c>
      <c r="H26" s="146" t="s">
        <v>44</v>
      </c>
      <c r="I26" s="172" t="s">
        <v>197</v>
      </c>
      <c r="J26" s="175" t="s">
        <v>198</v>
      </c>
      <c r="K26" s="125" t="s">
        <v>459</v>
      </c>
      <c r="L26" s="41" t="s">
        <v>459</v>
      </c>
      <c r="M26" s="41" t="s">
        <v>459</v>
      </c>
      <c r="N26" s="41" t="s">
        <v>459</v>
      </c>
      <c r="O26" s="41" t="s">
        <v>459</v>
      </c>
      <c r="P26" s="199"/>
      <c r="Q26" s="200"/>
      <c r="R26" s="125" t="s">
        <v>459</v>
      </c>
      <c r="S26" s="41" t="s">
        <v>459</v>
      </c>
      <c r="T26" s="41" t="s">
        <v>459</v>
      </c>
      <c r="U26" s="41" t="s">
        <v>459</v>
      </c>
      <c r="V26" s="41" t="s">
        <v>459</v>
      </c>
      <c r="W26" s="199"/>
      <c r="X26" s="200"/>
      <c r="Y26" s="125"/>
      <c r="Z26" s="41"/>
      <c r="AA26" s="41"/>
      <c r="AB26" s="41"/>
      <c r="AC26" s="41"/>
      <c r="AD26" s="199"/>
      <c r="AE26" s="200"/>
      <c r="AF26" s="125"/>
      <c r="AG26" s="41"/>
      <c r="AH26" s="41"/>
      <c r="AI26" s="41"/>
      <c r="AJ26" s="41"/>
      <c r="AK26" s="199"/>
      <c r="AL26" s="200"/>
      <c r="AM26" s="125"/>
      <c r="AN26" s="41"/>
      <c r="AO26" s="41"/>
      <c r="AP26" s="41"/>
      <c r="AQ26" s="41"/>
      <c r="AR26" s="199"/>
      <c r="AS26" s="200"/>
      <c r="AT26" s="125"/>
      <c r="AU26" s="41"/>
      <c r="AV26" s="41"/>
      <c r="AW26" s="41"/>
      <c r="AX26" s="41"/>
      <c r="AY26" s="199"/>
      <c r="AZ26" s="200"/>
      <c r="BA26" s="125"/>
      <c r="BB26" s="41"/>
      <c r="BC26" s="41"/>
      <c r="BD26" s="41"/>
      <c r="BE26" s="41"/>
      <c r="BF26" s="199"/>
      <c r="BG26" s="200"/>
      <c r="BH26" s="125"/>
      <c r="BI26" s="41"/>
      <c r="BJ26" s="41"/>
      <c r="BK26" s="41"/>
      <c r="BL26" s="41"/>
      <c r="BM26" s="199"/>
      <c r="BN26" s="200"/>
      <c r="BO26" s="125"/>
      <c r="BP26" s="41"/>
      <c r="BQ26" s="41"/>
      <c r="BR26" s="41"/>
      <c r="BS26" s="41"/>
      <c r="BT26" s="199"/>
      <c r="BU26" s="200"/>
      <c r="BV26" s="125"/>
      <c r="BW26" s="41"/>
      <c r="BX26" s="41"/>
      <c r="BY26" s="41"/>
      <c r="BZ26" s="41"/>
      <c r="CA26" s="199"/>
      <c r="CB26" s="200"/>
      <c r="CC26" s="125"/>
      <c r="CD26" s="41"/>
      <c r="CE26" s="41"/>
      <c r="CF26" s="41"/>
      <c r="CG26" s="41"/>
      <c r="CH26" s="199"/>
      <c r="CI26" s="200"/>
      <c r="CJ26" s="125"/>
      <c r="CK26" s="41"/>
      <c r="CL26" s="41"/>
      <c r="CM26" s="41"/>
      <c r="CN26" s="41"/>
      <c r="CO26" s="199"/>
      <c r="CP26" s="200"/>
      <c r="CQ26" s="125"/>
      <c r="CR26" s="41"/>
      <c r="CS26" s="41"/>
      <c r="CT26" s="41"/>
      <c r="CU26" s="41"/>
      <c r="CV26" s="199"/>
      <c r="CW26" s="200"/>
      <c r="CX26" s="125"/>
      <c r="CY26" s="41"/>
      <c r="CZ26" s="41"/>
      <c r="DA26" s="41"/>
      <c r="DB26" s="41"/>
      <c r="DC26" s="199"/>
      <c r="DD26" s="200"/>
      <c r="DE26" s="125"/>
      <c r="DF26" s="41"/>
      <c r="DG26" s="41"/>
      <c r="DH26" s="41"/>
      <c r="DI26" s="41"/>
      <c r="DJ26" s="199"/>
      <c r="DK26" s="200"/>
      <c r="DL26" s="125"/>
      <c r="DM26" s="41"/>
      <c r="DN26" s="41"/>
      <c r="DO26" s="41"/>
      <c r="DP26" s="41"/>
      <c r="DQ26" s="199"/>
      <c r="DR26" s="200"/>
      <c r="DS26" s="125"/>
      <c r="DT26" s="41"/>
      <c r="DU26" s="41"/>
      <c r="DV26" s="41"/>
      <c r="DW26" s="41"/>
      <c r="DX26" s="199"/>
      <c r="DY26" s="200"/>
      <c r="DZ26" s="125"/>
      <c r="EA26" s="41"/>
      <c r="EB26" s="41"/>
      <c r="EC26" s="41"/>
      <c r="ED26" s="41"/>
      <c r="EE26" s="199"/>
      <c r="EF26" s="200"/>
      <c r="EG26" s="125"/>
      <c r="EH26" s="41"/>
      <c r="EI26" s="41"/>
      <c r="EJ26" s="41"/>
      <c r="EK26" s="41"/>
      <c r="EL26" s="199"/>
      <c r="EM26" s="200"/>
      <c r="EN26" s="125"/>
      <c r="EO26" s="41"/>
      <c r="EP26" s="41"/>
      <c r="EQ26" s="41"/>
      <c r="ER26" s="41"/>
      <c r="ES26" s="199"/>
      <c r="ET26" s="200"/>
      <c r="EU26" s="125"/>
      <c r="EV26" s="41"/>
      <c r="EW26" s="41"/>
      <c r="EX26" s="41"/>
      <c r="EY26" s="41"/>
      <c r="EZ26" s="199"/>
      <c r="FA26" s="200"/>
      <c r="FB26" s="125"/>
      <c r="FC26" s="41"/>
      <c r="FD26" s="41"/>
      <c r="FE26" s="41"/>
      <c r="FF26" s="41"/>
      <c r="FG26" s="199"/>
      <c r="FH26" s="200"/>
      <c r="FI26" s="125"/>
      <c r="FJ26" s="41"/>
      <c r="FK26" s="41"/>
      <c r="FL26" s="41"/>
      <c r="FM26" s="41"/>
      <c r="FN26" s="199"/>
      <c r="FO26" s="200"/>
      <c r="FP26" s="125"/>
      <c r="FQ26" s="41"/>
      <c r="FR26" s="41"/>
      <c r="FS26" s="41"/>
      <c r="FT26" s="41"/>
      <c r="FU26" s="199"/>
      <c r="FV26" s="200"/>
      <c r="FW26" s="125"/>
      <c r="FX26" s="41"/>
      <c r="FY26" s="41"/>
      <c r="FZ26" s="41"/>
      <c r="GA26" s="41"/>
      <c r="GB26" s="199"/>
      <c r="GC26" s="200"/>
      <c r="GD26" s="125"/>
      <c r="GE26" s="41"/>
      <c r="GF26" s="41"/>
      <c r="GG26" s="41"/>
      <c r="GH26" s="41"/>
      <c r="GI26" s="199"/>
      <c r="GJ26" s="200"/>
      <c r="GK26" s="125"/>
      <c r="GL26" s="41"/>
      <c r="GM26" s="41"/>
      <c r="GN26" s="41"/>
      <c r="GO26" s="41"/>
      <c r="GP26" s="199"/>
      <c r="GQ26" s="200"/>
      <c r="GR26" s="125"/>
      <c r="GS26" s="41"/>
      <c r="GT26" s="41"/>
      <c r="GU26" s="41"/>
      <c r="GV26" s="41"/>
      <c r="GW26" s="199"/>
      <c r="GX26" s="200"/>
      <c r="GY26" s="125"/>
      <c r="GZ26" s="41"/>
      <c r="HA26" s="41"/>
      <c r="HB26" s="41"/>
      <c r="HC26" s="41"/>
      <c r="HD26" s="199"/>
      <c r="HE26" s="200"/>
    </row>
    <row r="27" spans="2:217" x14ac:dyDescent="0.3">
      <c r="B27" s="24" t="s">
        <v>18</v>
      </c>
      <c r="C27" s="25">
        <v>35</v>
      </c>
      <c r="D27" s="26" t="s">
        <v>19</v>
      </c>
      <c r="E27" s="27" t="str">
        <f t="shared" si="4"/>
        <v>IX</v>
      </c>
      <c r="F27" s="193" t="s">
        <v>7</v>
      </c>
      <c r="G27" s="183" t="s">
        <v>8</v>
      </c>
      <c r="H27" s="146" t="s">
        <v>44</v>
      </c>
      <c r="I27" s="153" t="s">
        <v>237</v>
      </c>
      <c r="J27" s="154" t="s">
        <v>238</v>
      </c>
      <c r="K27" s="125" t="s">
        <v>459</v>
      </c>
      <c r="L27" s="41" t="s">
        <v>459</v>
      </c>
      <c r="M27" s="41" t="s">
        <v>459</v>
      </c>
      <c r="N27" s="41" t="s">
        <v>459</v>
      </c>
      <c r="O27" s="41" t="s">
        <v>459</v>
      </c>
      <c r="P27" s="199"/>
      <c r="Q27" s="200"/>
      <c r="R27" s="125" t="s">
        <v>459</v>
      </c>
      <c r="S27" s="41" t="s">
        <v>459</v>
      </c>
      <c r="T27" s="41" t="s">
        <v>459</v>
      </c>
      <c r="U27" s="41" t="s">
        <v>459</v>
      </c>
      <c r="V27" s="41" t="s">
        <v>459</v>
      </c>
      <c r="W27" s="199"/>
      <c r="X27" s="200"/>
      <c r="Y27" s="125"/>
      <c r="Z27" s="41"/>
      <c r="AA27" s="41"/>
      <c r="AB27" s="41"/>
      <c r="AC27" s="41"/>
      <c r="AD27" s="199"/>
      <c r="AE27" s="200"/>
      <c r="AF27" s="125"/>
      <c r="AG27" s="41"/>
      <c r="AH27" s="41"/>
      <c r="AI27" s="41"/>
      <c r="AJ27" s="41"/>
      <c r="AK27" s="199"/>
      <c r="AL27" s="200"/>
      <c r="AM27" s="125"/>
      <c r="AN27" s="41"/>
      <c r="AO27" s="41"/>
      <c r="AP27" s="41"/>
      <c r="AQ27" s="41"/>
      <c r="AR27" s="199"/>
      <c r="AS27" s="200"/>
      <c r="AT27" s="125"/>
      <c r="AU27" s="41"/>
      <c r="AV27" s="41"/>
      <c r="AW27" s="41"/>
      <c r="AX27" s="41"/>
      <c r="AY27" s="199"/>
      <c r="AZ27" s="200"/>
      <c r="BA27" s="125"/>
      <c r="BB27" s="41"/>
      <c r="BC27" s="41"/>
      <c r="BD27" s="41"/>
      <c r="BE27" s="41"/>
      <c r="BF27" s="199"/>
      <c r="BG27" s="200"/>
      <c r="BH27" s="125"/>
      <c r="BI27" s="41"/>
      <c r="BJ27" s="41"/>
      <c r="BK27" s="41"/>
      <c r="BL27" s="41"/>
      <c r="BM27" s="199"/>
      <c r="BN27" s="200"/>
      <c r="BO27" s="125"/>
      <c r="BP27" s="41"/>
      <c r="BQ27" s="41"/>
      <c r="BR27" s="41"/>
      <c r="BS27" s="41"/>
      <c r="BT27" s="199"/>
      <c r="BU27" s="200"/>
      <c r="BV27" s="125"/>
      <c r="BW27" s="41"/>
      <c r="BX27" s="41"/>
      <c r="BY27" s="41"/>
      <c r="BZ27" s="41"/>
      <c r="CA27" s="199"/>
      <c r="CB27" s="200"/>
      <c r="CC27" s="125"/>
      <c r="CD27" s="41"/>
      <c r="CE27" s="41"/>
      <c r="CF27" s="41"/>
      <c r="CG27" s="41"/>
      <c r="CH27" s="199"/>
      <c r="CI27" s="200"/>
      <c r="CJ27" s="125"/>
      <c r="CK27" s="41"/>
      <c r="CL27" s="41"/>
      <c r="CM27" s="41"/>
      <c r="CN27" s="41"/>
      <c r="CO27" s="199"/>
      <c r="CP27" s="200"/>
      <c r="CQ27" s="125"/>
      <c r="CR27" s="41"/>
      <c r="CS27" s="41"/>
      <c r="CT27" s="41"/>
      <c r="CU27" s="41"/>
      <c r="CV27" s="199"/>
      <c r="CW27" s="200"/>
      <c r="CX27" s="125"/>
      <c r="CY27" s="41"/>
      <c r="CZ27" s="41"/>
      <c r="DA27" s="41"/>
      <c r="DB27" s="41"/>
      <c r="DC27" s="199"/>
      <c r="DD27" s="200"/>
      <c r="DE27" s="125"/>
      <c r="DF27" s="41"/>
      <c r="DG27" s="41"/>
      <c r="DH27" s="41"/>
      <c r="DI27" s="41"/>
      <c r="DJ27" s="199"/>
      <c r="DK27" s="200"/>
      <c r="DL27" s="125"/>
      <c r="DM27" s="41"/>
      <c r="DN27" s="41"/>
      <c r="DO27" s="41"/>
      <c r="DP27" s="41"/>
      <c r="DQ27" s="199"/>
      <c r="DR27" s="200"/>
      <c r="DS27" s="125"/>
      <c r="DT27" s="41"/>
      <c r="DU27" s="41"/>
      <c r="DV27" s="41"/>
      <c r="DW27" s="41"/>
      <c r="DX27" s="199"/>
      <c r="DY27" s="200"/>
      <c r="DZ27" s="125"/>
      <c r="EA27" s="41"/>
      <c r="EB27" s="41"/>
      <c r="EC27" s="41"/>
      <c r="ED27" s="41"/>
      <c r="EE27" s="199"/>
      <c r="EF27" s="200"/>
      <c r="EG27" s="125"/>
      <c r="EH27" s="41"/>
      <c r="EI27" s="41"/>
      <c r="EJ27" s="41"/>
      <c r="EK27" s="41"/>
      <c r="EL27" s="199"/>
      <c r="EM27" s="200"/>
      <c r="EN27" s="125"/>
      <c r="EO27" s="41"/>
      <c r="EP27" s="41"/>
      <c r="EQ27" s="41"/>
      <c r="ER27" s="41"/>
      <c r="ES27" s="199"/>
      <c r="ET27" s="200"/>
      <c r="EU27" s="125"/>
      <c r="EV27" s="41"/>
      <c r="EW27" s="41"/>
      <c r="EX27" s="41"/>
      <c r="EY27" s="41"/>
      <c r="EZ27" s="199"/>
      <c r="FA27" s="200"/>
      <c r="FB27" s="125"/>
      <c r="FC27" s="41"/>
      <c r="FD27" s="41"/>
      <c r="FE27" s="41"/>
      <c r="FF27" s="41"/>
      <c r="FG27" s="199"/>
      <c r="FH27" s="200"/>
      <c r="FI27" s="125"/>
      <c r="FJ27" s="41"/>
      <c r="FK27" s="41"/>
      <c r="FL27" s="41"/>
      <c r="FM27" s="41"/>
      <c r="FN27" s="199"/>
      <c r="FO27" s="200"/>
      <c r="FP27" s="125"/>
      <c r="FQ27" s="41"/>
      <c r="FR27" s="41"/>
      <c r="FS27" s="41"/>
      <c r="FT27" s="41"/>
      <c r="FU27" s="199"/>
      <c r="FV27" s="200"/>
      <c r="FW27" s="125"/>
      <c r="FX27" s="41"/>
      <c r="FY27" s="41"/>
      <c r="FZ27" s="41"/>
      <c r="GA27" s="41"/>
      <c r="GB27" s="199"/>
      <c r="GC27" s="200"/>
      <c r="GD27" s="125"/>
      <c r="GE27" s="41"/>
      <c r="GF27" s="41"/>
      <c r="GG27" s="41"/>
      <c r="GH27" s="41"/>
      <c r="GI27" s="199"/>
      <c r="GJ27" s="200"/>
      <c r="GK27" s="125"/>
      <c r="GL27" s="41"/>
      <c r="GM27" s="41"/>
      <c r="GN27" s="41"/>
      <c r="GO27" s="41"/>
      <c r="GP27" s="199"/>
      <c r="GQ27" s="200"/>
      <c r="GR27" s="125"/>
      <c r="GS27" s="41"/>
      <c r="GT27" s="41"/>
      <c r="GU27" s="41"/>
      <c r="GV27" s="41"/>
      <c r="GW27" s="199"/>
      <c r="GX27" s="200"/>
      <c r="GY27" s="125"/>
      <c r="GZ27" s="41"/>
      <c r="HA27" s="41"/>
      <c r="HB27" s="41"/>
      <c r="HC27" s="41"/>
      <c r="HD27" s="199"/>
      <c r="HE27" s="200"/>
    </row>
    <row r="28" spans="2:217" x14ac:dyDescent="0.3">
      <c r="B28" s="8">
        <v>101370</v>
      </c>
      <c r="C28" s="9">
        <v>35</v>
      </c>
      <c r="D28" s="10" t="s">
        <v>19</v>
      </c>
      <c r="E28" s="10" t="str">
        <f t="shared" si="4"/>
        <v>101370X</v>
      </c>
      <c r="F28" s="193" t="s">
        <v>7</v>
      </c>
      <c r="G28" s="184" t="s">
        <v>8</v>
      </c>
      <c r="H28" s="146" t="s">
        <v>9</v>
      </c>
      <c r="I28" s="179" t="s">
        <v>243</v>
      </c>
      <c r="J28" s="158" t="s">
        <v>245</v>
      </c>
      <c r="K28" s="125" t="s">
        <v>459</v>
      </c>
      <c r="L28" s="41" t="s">
        <v>459</v>
      </c>
      <c r="M28" s="41" t="s">
        <v>459</v>
      </c>
      <c r="N28" s="41" t="s">
        <v>459</v>
      </c>
      <c r="O28" s="41" t="s">
        <v>459</v>
      </c>
      <c r="P28" s="199"/>
      <c r="Q28" s="200"/>
      <c r="R28" s="125" t="s">
        <v>459</v>
      </c>
      <c r="S28" s="41" t="s">
        <v>459</v>
      </c>
      <c r="T28" s="41" t="s">
        <v>459</v>
      </c>
      <c r="U28" s="41" t="s">
        <v>459</v>
      </c>
      <c r="V28" s="41" t="s">
        <v>459</v>
      </c>
      <c r="W28" s="199"/>
      <c r="X28" s="200"/>
      <c r="Y28" s="125"/>
      <c r="Z28" s="41"/>
      <c r="AA28" s="41"/>
      <c r="AB28" s="41"/>
      <c r="AC28" s="41"/>
      <c r="AD28" s="199"/>
      <c r="AE28" s="200"/>
      <c r="AF28" s="125"/>
      <c r="AG28" s="41"/>
      <c r="AH28" s="41"/>
      <c r="AI28" s="41"/>
      <c r="AJ28" s="41"/>
      <c r="AK28" s="199"/>
      <c r="AL28" s="200"/>
      <c r="AM28" s="125"/>
      <c r="AN28" s="41"/>
      <c r="AO28" s="41"/>
      <c r="AP28" s="41"/>
      <c r="AQ28" s="41"/>
      <c r="AR28" s="199"/>
      <c r="AS28" s="200"/>
      <c r="AT28" s="125"/>
      <c r="AU28" s="41"/>
      <c r="AV28" s="41"/>
      <c r="AW28" s="41"/>
      <c r="AX28" s="41"/>
      <c r="AY28" s="199"/>
      <c r="AZ28" s="200"/>
      <c r="BA28" s="125"/>
      <c r="BB28" s="41"/>
      <c r="BC28" s="41"/>
      <c r="BD28" s="41"/>
      <c r="BE28" s="41"/>
      <c r="BF28" s="199"/>
      <c r="BG28" s="200"/>
      <c r="BH28" s="125"/>
      <c r="BI28" s="41"/>
      <c r="BJ28" s="41"/>
      <c r="BK28" s="41"/>
      <c r="BL28" s="41"/>
      <c r="BM28" s="199"/>
      <c r="BN28" s="200"/>
      <c r="BO28" s="125"/>
      <c r="BP28" s="41"/>
      <c r="BQ28" s="41"/>
      <c r="BR28" s="41"/>
      <c r="BS28" s="41"/>
      <c r="BT28" s="199"/>
      <c r="BU28" s="200"/>
      <c r="BV28" s="125"/>
      <c r="BW28" s="41"/>
      <c r="BX28" s="41"/>
      <c r="BY28" s="41"/>
      <c r="BZ28" s="41"/>
      <c r="CA28" s="199"/>
      <c r="CB28" s="200"/>
      <c r="CC28" s="125"/>
      <c r="CD28" s="41"/>
      <c r="CE28" s="41"/>
      <c r="CF28" s="41"/>
      <c r="CG28" s="41"/>
      <c r="CH28" s="199"/>
      <c r="CI28" s="200"/>
      <c r="CJ28" s="125"/>
      <c r="CK28" s="41"/>
      <c r="CL28" s="41"/>
      <c r="CM28" s="41"/>
      <c r="CN28" s="41"/>
      <c r="CO28" s="199"/>
      <c r="CP28" s="200"/>
      <c r="CQ28" s="125"/>
      <c r="CR28" s="41"/>
      <c r="CS28" s="41"/>
      <c r="CT28" s="41"/>
      <c r="CU28" s="41"/>
      <c r="CV28" s="199"/>
      <c r="CW28" s="200"/>
      <c r="CX28" s="125"/>
      <c r="CY28" s="41"/>
      <c r="CZ28" s="41"/>
      <c r="DA28" s="41"/>
      <c r="DB28" s="41"/>
      <c r="DC28" s="199"/>
      <c r="DD28" s="200"/>
      <c r="DE28" s="125"/>
      <c r="DF28" s="41"/>
      <c r="DG28" s="41"/>
      <c r="DH28" s="41"/>
      <c r="DI28" s="41"/>
      <c r="DJ28" s="199"/>
      <c r="DK28" s="200"/>
      <c r="DL28" s="125"/>
      <c r="DM28" s="41"/>
      <c r="DN28" s="41"/>
      <c r="DO28" s="41"/>
      <c r="DP28" s="41"/>
      <c r="DQ28" s="199"/>
      <c r="DR28" s="200"/>
      <c r="DS28" s="125"/>
      <c r="DT28" s="41"/>
      <c r="DU28" s="41"/>
      <c r="DV28" s="41"/>
      <c r="DW28" s="41"/>
      <c r="DX28" s="199"/>
      <c r="DY28" s="200"/>
      <c r="DZ28" s="125"/>
      <c r="EA28" s="41"/>
      <c r="EB28" s="41"/>
      <c r="EC28" s="41"/>
      <c r="ED28" s="41"/>
      <c r="EE28" s="199"/>
      <c r="EF28" s="200"/>
      <c r="EG28" s="125"/>
      <c r="EH28" s="41"/>
      <c r="EI28" s="41"/>
      <c r="EJ28" s="41"/>
      <c r="EK28" s="41"/>
      <c r="EL28" s="199"/>
      <c r="EM28" s="200"/>
      <c r="EN28" s="125"/>
      <c r="EO28" s="41"/>
      <c r="EP28" s="41"/>
      <c r="EQ28" s="41"/>
      <c r="ER28" s="41"/>
      <c r="ES28" s="199"/>
      <c r="ET28" s="200"/>
      <c r="EU28" s="125"/>
      <c r="EV28" s="41"/>
      <c r="EW28" s="41"/>
      <c r="EX28" s="41"/>
      <c r="EY28" s="41"/>
      <c r="EZ28" s="199"/>
      <c r="FA28" s="200"/>
      <c r="FB28" s="125"/>
      <c r="FC28" s="41"/>
      <c r="FD28" s="41"/>
      <c r="FE28" s="41"/>
      <c r="FF28" s="41"/>
      <c r="FG28" s="199"/>
      <c r="FH28" s="200"/>
      <c r="FI28" s="125"/>
      <c r="FJ28" s="41"/>
      <c r="FK28" s="41"/>
      <c r="FL28" s="41"/>
      <c r="FM28" s="41"/>
      <c r="FN28" s="199"/>
      <c r="FO28" s="200"/>
      <c r="FP28" s="125"/>
      <c r="FQ28" s="41"/>
      <c r="FR28" s="41"/>
      <c r="FS28" s="41"/>
      <c r="FT28" s="41"/>
      <c r="FU28" s="199"/>
      <c r="FV28" s="200"/>
      <c r="FW28" s="125"/>
      <c r="FX28" s="41"/>
      <c r="FY28" s="41"/>
      <c r="FZ28" s="41"/>
      <c r="GA28" s="41"/>
      <c r="GB28" s="199"/>
      <c r="GC28" s="200"/>
      <c r="GD28" s="125"/>
      <c r="GE28" s="41"/>
      <c r="GF28" s="41"/>
      <c r="GG28" s="41"/>
      <c r="GH28" s="41"/>
      <c r="GI28" s="199"/>
      <c r="GJ28" s="200"/>
      <c r="GK28" s="125"/>
      <c r="GL28" s="41"/>
      <c r="GM28" s="41"/>
      <c r="GN28" s="41"/>
      <c r="GO28" s="41"/>
      <c r="GP28" s="199"/>
      <c r="GQ28" s="200"/>
      <c r="GR28" s="125"/>
      <c r="GS28" s="41"/>
      <c r="GT28" s="41"/>
      <c r="GU28" s="41"/>
      <c r="GV28" s="41"/>
      <c r="GW28" s="199"/>
      <c r="GX28" s="200"/>
      <c r="GY28" s="125"/>
      <c r="GZ28" s="41"/>
      <c r="HA28" s="41"/>
      <c r="HB28" s="41"/>
      <c r="HC28" s="41"/>
      <c r="HD28" s="199"/>
      <c r="HE28" s="200"/>
    </row>
    <row r="29" spans="2:217" x14ac:dyDescent="0.3">
      <c r="B29" s="8">
        <v>107722</v>
      </c>
      <c r="C29" s="9">
        <v>35</v>
      </c>
      <c r="D29" s="10" t="s">
        <v>91</v>
      </c>
      <c r="E29" s="11" t="str">
        <f t="shared" si="4"/>
        <v>107722x</v>
      </c>
      <c r="F29" s="193" t="s">
        <v>7</v>
      </c>
      <c r="G29" s="183" t="s">
        <v>8</v>
      </c>
      <c r="H29" s="146" t="s">
        <v>35</v>
      </c>
      <c r="I29" s="153" t="s">
        <v>246</v>
      </c>
      <c r="J29" s="154" t="s">
        <v>247</v>
      </c>
      <c r="K29" s="125" t="s">
        <v>459</v>
      </c>
      <c r="L29" s="41" t="s">
        <v>459</v>
      </c>
      <c r="M29" s="41" t="s">
        <v>459</v>
      </c>
      <c r="N29" s="41" t="s">
        <v>459</v>
      </c>
      <c r="O29" s="41" t="s">
        <v>459</v>
      </c>
      <c r="P29" s="199"/>
      <c r="Q29" s="200"/>
      <c r="R29" s="125" t="s">
        <v>459</v>
      </c>
      <c r="S29" s="41" t="s">
        <v>459</v>
      </c>
      <c r="T29" s="41" t="s">
        <v>459</v>
      </c>
      <c r="U29" s="41" t="s">
        <v>459</v>
      </c>
      <c r="V29" s="41" t="s">
        <v>459</v>
      </c>
      <c r="W29" s="199"/>
      <c r="X29" s="200"/>
      <c r="Y29" s="125"/>
      <c r="Z29" s="41"/>
      <c r="AA29" s="41"/>
      <c r="AB29" s="41"/>
      <c r="AC29" s="41"/>
      <c r="AD29" s="199"/>
      <c r="AE29" s="200"/>
      <c r="AF29" s="125"/>
      <c r="AG29" s="41"/>
      <c r="AH29" s="41"/>
      <c r="AI29" s="41"/>
      <c r="AJ29" s="41"/>
      <c r="AK29" s="199"/>
      <c r="AL29" s="200"/>
      <c r="AM29" s="125"/>
      <c r="AN29" s="41"/>
      <c r="AO29" s="41"/>
      <c r="AP29" s="41"/>
      <c r="AQ29" s="41"/>
      <c r="AR29" s="199"/>
      <c r="AS29" s="200"/>
      <c r="AT29" s="125"/>
      <c r="AU29" s="41"/>
      <c r="AV29" s="41"/>
      <c r="AW29" s="41"/>
      <c r="AX29" s="41"/>
      <c r="AY29" s="199"/>
      <c r="AZ29" s="200"/>
      <c r="BA29" s="125"/>
      <c r="BB29" s="41"/>
      <c r="BC29" s="41"/>
      <c r="BD29" s="41"/>
      <c r="BE29" s="41"/>
      <c r="BF29" s="199"/>
      <c r="BG29" s="200"/>
      <c r="BH29" s="125"/>
      <c r="BI29" s="41"/>
      <c r="BJ29" s="41"/>
      <c r="BK29" s="41"/>
      <c r="BL29" s="41"/>
      <c r="BM29" s="199"/>
      <c r="BN29" s="200"/>
      <c r="BO29" s="125"/>
      <c r="BP29" s="41"/>
      <c r="BQ29" s="41"/>
      <c r="BR29" s="41"/>
      <c r="BS29" s="41"/>
      <c r="BT29" s="199"/>
      <c r="BU29" s="200"/>
      <c r="BV29" s="125"/>
      <c r="BW29" s="41"/>
      <c r="BX29" s="41"/>
      <c r="BY29" s="41"/>
      <c r="BZ29" s="41"/>
      <c r="CA29" s="199"/>
      <c r="CB29" s="200"/>
      <c r="CC29" s="125"/>
      <c r="CD29" s="41"/>
      <c r="CE29" s="41"/>
      <c r="CF29" s="41"/>
      <c r="CG29" s="41"/>
      <c r="CH29" s="199"/>
      <c r="CI29" s="200"/>
      <c r="CJ29" s="125"/>
      <c r="CK29" s="41"/>
      <c r="CL29" s="41"/>
      <c r="CM29" s="41"/>
      <c r="CN29" s="41"/>
      <c r="CO29" s="199"/>
      <c r="CP29" s="200"/>
      <c r="CQ29" s="125"/>
      <c r="CR29" s="41"/>
      <c r="CS29" s="41"/>
      <c r="CT29" s="41"/>
      <c r="CU29" s="41"/>
      <c r="CV29" s="199"/>
      <c r="CW29" s="200"/>
      <c r="CX29" s="125"/>
      <c r="CY29" s="41"/>
      <c r="CZ29" s="41"/>
      <c r="DA29" s="41"/>
      <c r="DB29" s="41"/>
      <c r="DC29" s="199"/>
      <c r="DD29" s="200"/>
      <c r="DE29" s="125"/>
      <c r="DF29" s="41"/>
      <c r="DG29" s="41"/>
      <c r="DH29" s="41"/>
      <c r="DI29" s="41"/>
      <c r="DJ29" s="199"/>
      <c r="DK29" s="200"/>
      <c r="DL29" s="125"/>
      <c r="DM29" s="41"/>
      <c r="DN29" s="41"/>
      <c r="DO29" s="41"/>
      <c r="DP29" s="41"/>
      <c r="DQ29" s="199"/>
      <c r="DR29" s="200"/>
      <c r="DS29" s="125"/>
      <c r="DT29" s="41"/>
      <c r="DU29" s="41"/>
      <c r="DV29" s="41"/>
      <c r="DW29" s="41"/>
      <c r="DX29" s="199"/>
      <c r="DY29" s="200"/>
      <c r="DZ29" s="125"/>
      <c r="EA29" s="41"/>
      <c r="EB29" s="41"/>
      <c r="EC29" s="41"/>
      <c r="ED29" s="41"/>
      <c r="EE29" s="199"/>
      <c r="EF29" s="200"/>
      <c r="EG29" s="125"/>
      <c r="EH29" s="41"/>
      <c r="EI29" s="41"/>
      <c r="EJ29" s="41"/>
      <c r="EK29" s="41"/>
      <c r="EL29" s="199"/>
      <c r="EM29" s="200"/>
      <c r="EN29" s="125"/>
      <c r="EO29" s="41"/>
      <c r="EP29" s="41"/>
      <c r="EQ29" s="41"/>
      <c r="ER29" s="41"/>
      <c r="ES29" s="199"/>
      <c r="ET29" s="200"/>
      <c r="EU29" s="125"/>
      <c r="EV29" s="41"/>
      <c r="EW29" s="41"/>
      <c r="EX29" s="41"/>
      <c r="EY29" s="41"/>
      <c r="EZ29" s="199"/>
      <c r="FA29" s="200"/>
      <c r="FB29" s="125"/>
      <c r="FC29" s="41"/>
      <c r="FD29" s="41"/>
      <c r="FE29" s="41"/>
      <c r="FF29" s="41"/>
      <c r="FG29" s="199"/>
      <c r="FH29" s="200"/>
      <c r="FI29" s="125"/>
      <c r="FJ29" s="41"/>
      <c r="FK29" s="41"/>
      <c r="FL29" s="41"/>
      <c r="FM29" s="41"/>
      <c r="FN29" s="199"/>
      <c r="FO29" s="200"/>
      <c r="FP29" s="125"/>
      <c r="FQ29" s="41"/>
      <c r="FR29" s="41"/>
      <c r="FS29" s="41"/>
      <c r="FT29" s="41"/>
      <c r="FU29" s="199"/>
      <c r="FV29" s="200"/>
      <c r="FW29" s="125"/>
      <c r="FX29" s="41"/>
      <c r="FY29" s="41"/>
      <c r="FZ29" s="41"/>
      <c r="GA29" s="41"/>
      <c r="GB29" s="199"/>
      <c r="GC29" s="200"/>
      <c r="GD29" s="125"/>
      <c r="GE29" s="41"/>
      <c r="GF29" s="41"/>
      <c r="GG29" s="41"/>
      <c r="GH29" s="41"/>
      <c r="GI29" s="199"/>
      <c r="GJ29" s="200"/>
      <c r="GK29" s="125"/>
      <c r="GL29" s="41"/>
      <c r="GM29" s="41"/>
      <c r="GN29" s="41"/>
      <c r="GO29" s="41"/>
      <c r="GP29" s="199"/>
      <c r="GQ29" s="200"/>
      <c r="GR29" s="125"/>
      <c r="GS29" s="41"/>
      <c r="GT29" s="41"/>
      <c r="GU29" s="41"/>
      <c r="GV29" s="41"/>
      <c r="GW29" s="199"/>
      <c r="GX29" s="200"/>
      <c r="GY29" s="125"/>
      <c r="GZ29" s="41"/>
      <c r="HA29" s="41"/>
      <c r="HB29" s="41"/>
      <c r="HC29" s="41"/>
      <c r="HD29" s="199"/>
      <c r="HE29" s="200"/>
    </row>
    <row r="30" spans="2:217" x14ac:dyDescent="0.3">
      <c r="B30" s="8">
        <v>106565</v>
      </c>
      <c r="C30" s="9">
        <v>35</v>
      </c>
      <c r="D30" s="10" t="s">
        <v>19</v>
      </c>
      <c r="E30" s="11" t="str">
        <f t="shared" si="4"/>
        <v>106565X</v>
      </c>
      <c r="F30" s="193" t="s">
        <v>7</v>
      </c>
      <c r="G30" s="183" t="s">
        <v>8</v>
      </c>
      <c r="H30" s="146" t="s">
        <v>9</v>
      </c>
      <c r="I30" s="157" t="s">
        <v>258</v>
      </c>
      <c r="J30" s="158" t="s">
        <v>259</v>
      </c>
      <c r="K30" s="125" t="s">
        <v>459</v>
      </c>
      <c r="L30" s="41" t="s">
        <v>459</v>
      </c>
      <c r="M30" s="41" t="s">
        <v>459</v>
      </c>
      <c r="N30" s="41" t="s">
        <v>459</v>
      </c>
      <c r="O30" s="41" t="s">
        <v>459</v>
      </c>
      <c r="P30" s="199"/>
      <c r="Q30" s="200"/>
      <c r="R30" s="125" t="s">
        <v>459</v>
      </c>
      <c r="S30" s="41" t="s">
        <v>459</v>
      </c>
      <c r="T30" s="41" t="s">
        <v>459</v>
      </c>
      <c r="U30" s="41" t="s">
        <v>459</v>
      </c>
      <c r="V30" s="41" t="s">
        <v>459</v>
      </c>
      <c r="W30" s="199"/>
      <c r="X30" s="200"/>
      <c r="Y30" s="125"/>
      <c r="Z30" s="41"/>
      <c r="AA30" s="41"/>
      <c r="AB30" s="41"/>
      <c r="AC30" s="41"/>
      <c r="AD30" s="199"/>
      <c r="AE30" s="200"/>
      <c r="AF30" s="125"/>
      <c r="AG30" s="41"/>
      <c r="AH30" s="41"/>
      <c r="AI30" s="41"/>
      <c r="AJ30" s="41"/>
      <c r="AK30" s="199"/>
      <c r="AL30" s="200"/>
      <c r="AM30" s="125"/>
      <c r="AN30" s="41"/>
      <c r="AO30" s="41"/>
      <c r="AP30" s="41"/>
      <c r="AQ30" s="41"/>
      <c r="AR30" s="199"/>
      <c r="AS30" s="200"/>
      <c r="AT30" s="125"/>
      <c r="AU30" s="41"/>
      <c r="AV30" s="41"/>
      <c r="AW30" s="41"/>
      <c r="AX30" s="41"/>
      <c r="AY30" s="199"/>
      <c r="AZ30" s="200"/>
      <c r="BA30" s="125"/>
      <c r="BB30" s="41"/>
      <c r="BC30" s="41"/>
      <c r="BD30" s="41"/>
      <c r="BE30" s="41"/>
      <c r="BF30" s="199"/>
      <c r="BG30" s="200"/>
      <c r="BH30" s="125"/>
      <c r="BI30" s="41"/>
      <c r="BJ30" s="41"/>
      <c r="BK30" s="41"/>
      <c r="BL30" s="41"/>
      <c r="BM30" s="199"/>
      <c r="BN30" s="200"/>
      <c r="BO30" s="125"/>
      <c r="BP30" s="41"/>
      <c r="BQ30" s="41"/>
      <c r="BR30" s="41"/>
      <c r="BS30" s="41"/>
      <c r="BT30" s="199"/>
      <c r="BU30" s="200"/>
      <c r="BV30" s="125"/>
      <c r="BW30" s="41"/>
      <c r="BX30" s="41"/>
      <c r="BY30" s="41"/>
      <c r="BZ30" s="41"/>
      <c r="CA30" s="199"/>
      <c r="CB30" s="200"/>
      <c r="CC30" s="125"/>
      <c r="CD30" s="41"/>
      <c r="CE30" s="41"/>
      <c r="CF30" s="41"/>
      <c r="CG30" s="41"/>
      <c r="CH30" s="199"/>
      <c r="CI30" s="200"/>
      <c r="CJ30" s="125"/>
      <c r="CK30" s="41"/>
      <c r="CL30" s="41"/>
      <c r="CM30" s="41"/>
      <c r="CN30" s="41"/>
      <c r="CO30" s="199"/>
      <c r="CP30" s="200"/>
      <c r="CQ30" s="125"/>
      <c r="CR30" s="41"/>
      <c r="CS30" s="41"/>
      <c r="CT30" s="41"/>
      <c r="CU30" s="41"/>
      <c r="CV30" s="199"/>
      <c r="CW30" s="200"/>
      <c r="CX30" s="125"/>
      <c r="CY30" s="41"/>
      <c r="CZ30" s="41"/>
      <c r="DA30" s="41"/>
      <c r="DB30" s="41"/>
      <c r="DC30" s="199"/>
      <c r="DD30" s="200"/>
      <c r="DE30" s="125"/>
      <c r="DF30" s="41"/>
      <c r="DG30" s="41"/>
      <c r="DH30" s="41"/>
      <c r="DI30" s="41"/>
      <c r="DJ30" s="199"/>
      <c r="DK30" s="200"/>
      <c r="DL30" s="125"/>
      <c r="DM30" s="41"/>
      <c r="DN30" s="41"/>
      <c r="DO30" s="41"/>
      <c r="DP30" s="41"/>
      <c r="DQ30" s="199"/>
      <c r="DR30" s="200"/>
      <c r="DS30" s="125"/>
      <c r="DT30" s="41"/>
      <c r="DU30" s="41"/>
      <c r="DV30" s="41"/>
      <c r="DW30" s="41"/>
      <c r="DX30" s="199"/>
      <c r="DY30" s="200"/>
      <c r="DZ30" s="125"/>
      <c r="EA30" s="41"/>
      <c r="EB30" s="41"/>
      <c r="EC30" s="41"/>
      <c r="ED30" s="41"/>
      <c r="EE30" s="199"/>
      <c r="EF30" s="200"/>
      <c r="EG30" s="125"/>
      <c r="EH30" s="41"/>
      <c r="EI30" s="41"/>
      <c r="EJ30" s="41"/>
      <c r="EK30" s="41"/>
      <c r="EL30" s="199"/>
      <c r="EM30" s="200"/>
      <c r="EN30" s="125"/>
      <c r="EO30" s="41"/>
      <c r="EP30" s="41"/>
      <c r="EQ30" s="41"/>
      <c r="ER30" s="41"/>
      <c r="ES30" s="199"/>
      <c r="ET30" s="200"/>
      <c r="EU30" s="125"/>
      <c r="EV30" s="41"/>
      <c r="EW30" s="41"/>
      <c r="EX30" s="41"/>
      <c r="EY30" s="41"/>
      <c r="EZ30" s="199"/>
      <c r="FA30" s="200"/>
      <c r="FB30" s="125"/>
      <c r="FC30" s="41"/>
      <c r="FD30" s="41"/>
      <c r="FE30" s="41"/>
      <c r="FF30" s="41"/>
      <c r="FG30" s="199"/>
      <c r="FH30" s="200"/>
      <c r="FI30" s="125"/>
      <c r="FJ30" s="41"/>
      <c r="FK30" s="41"/>
      <c r="FL30" s="41"/>
      <c r="FM30" s="41"/>
      <c r="FN30" s="199"/>
      <c r="FO30" s="200"/>
      <c r="FP30" s="125"/>
      <c r="FQ30" s="41"/>
      <c r="FR30" s="41"/>
      <c r="FS30" s="41"/>
      <c r="FT30" s="41"/>
      <c r="FU30" s="199"/>
      <c r="FV30" s="200"/>
      <c r="FW30" s="125"/>
      <c r="FX30" s="41"/>
      <c r="FY30" s="41"/>
      <c r="FZ30" s="41"/>
      <c r="GA30" s="41"/>
      <c r="GB30" s="199"/>
      <c r="GC30" s="200"/>
      <c r="GD30" s="125"/>
      <c r="GE30" s="41"/>
      <c r="GF30" s="41"/>
      <c r="GG30" s="41"/>
      <c r="GH30" s="41"/>
      <c r="GI30" s="199"/>
      <c r="GJ30" s="200"/>
      <c r="GK30" s="125"/>
      <c r="GL30" s="41"/>
      <c r="GM30" s="41"/>
      <c r="GN30" s="41"/>
      <c r="GO30" s="41"/>
      <c r="GP30" s="199"/>
      <c r="GQ30" s="200"/>
      <c r="GR30" s="125"/>
      <c r="GS30" s="41"/>
      <c r="GT30" s="41"/>
      <c r="GU30" s="41"/>
      <c r="GV30" s="41"/>
      <c r="GW30" s="199"/>
      <c r="GX30" s="200"/>
      <c r="GY30" s="125"/>
      <c r="GZ30" s="41"/>
      <c r="HA30" s="41"/>
      <c r="HB30" s="41"/>
      <c r="HC30" s="41"/>
      <c r="HD30" s="199"/>
      <c r="HE30" s="200"/>
    </row>
    <row r="31" spans="2:217" x14ac:dyDescent="0.3">
      <c r="B31" s="8">
        <v>107892</v>
      </c>
      <c r="C31" s="9">
        <v>35</v>
      </c>
      <c r="D31" s="10" t="s">
        <v>19</v>
      </c>
      <c r="E31" s="11" t="str">
        <f t="shared" si="4"/>
        <v>107892X</v>
      </c>
      <c r="F31" s="193" t="s">
        <v>7</v>
      </c>
      <c r="G31" s="184" t="s">
        <v>8</v>
      </c>
      <c r="H31" s="146" t="s">
        <v>44</v>
      </c>
      <c r="I31" s="153" t="s">
        <v>277</v>
      </c>
      <c r="J31" s="154" t="s">
        <v>278</v>
      </c>
      <c r="K31" s="125" t="s">
        <v>459</v>
      </c>
      <c r="L31" s="41" t="s">
        <v>459</v>
      </c>
      <c r="M31" s="41" t="s">
        <v>459</v>
      </c>
      <c r="N31" s="41" t="s">
        <v>459</v>
      </c>
      <c r="O31" s="41" t="s">
        <v>459</v>
      </c>
      <c r="P31" s="199"/>
      <c r="Q31" s="200"/>
      <c r="R31" s="125" t="s">
        <v>459</v>
      </c>
      <c r="S31" s="41" t="s">
        <v>459</v>
      </c>
      <c r="T31" s="41" t="s">
        <v>459</v>
      </c>
      <c r="U31" s="41" t="s">
        <v>459</v>
      </c>
      <c r="V31" s="41" t="s">
        <v>459</v>
      </c>
      <c r="W31" s="199"/>
      <c r="X31" s="200"/>
      <c r="Y31" s="125"/>
      <c r="Z31" s="41"/>
      <c r="AA31" s="41"/>
      <c r="AB31" s="41"/>
      <c r="AC31" s="41"/>
      <c r="AD31" s="199"/>
      <c r="AE31" s="200"/>
      <c r="AF31" s="125"/>
      <c r="AG31" s="41"/>
      <c r="AH31" s="41"/>
      <c r="AI31" s="41"/>
      <c r="AJ31" s="41"/>
      <c r="AK31" s="199"/>
      <c r="AL31" s="200"/>
      <c r="AM31" s="125"/>
      <c r="AN31" s="41"/>
      <c r="AO31" s="41"/>
      <c r="AP31" s="41"/>
      <c r="AQ31" s="41"/>
      <c r="AR31" s="199"/>
      <c r="AS31" s="200"/>
      <c r="AT31" s="125"/>
      <c r="AU31" s="41"/>
      <c r="AV31" s="41"/>
      <c r="AW31" s="41"/>
      <c r="AX31" s="41"/>
      <c r="AY31" s="199"/>
      <c r="AZ31" s="200"/>
      <c r="BA31" s="125"/>
      <c r="BB31" s="41"/>
      <c r="BC31" s="41"/>
      <c r="BD31" s="41"/>
      <c r="BE31" s="41"/>
      <c r="BF31" s="199"/>
      <c r="BG31" s="200"/>
      <c r="BH31" s="125"/>
      <c r="BI31" s="41"/>
      <c r="BJ31" s="41"/>
      <c r="BK31" s="41"/>
      <c r="BL31" s="41"/>
      <c r="BM31" s="199"/>
      <c r="BN31" s="200"/>
      <c r="BO31" s="125"/>
      <c r="BP31" s="41"/>
      <c r="BQ31" s="41"/>
      <c r="BR31" s="41"/>
      <c r="BS31" s="41"/>
      <c r="BT31" s="199"/>
      <c r="BU31" s="200"/>
      <c r="BV31" s="125"/>
      <c r="BW31" s="41"/>
      <c r="BX31" s="41"/>
      <c r="BY31" s="41"/>
      <c r="BZ31" s="41"/>
      <c r="CA31" s="199"/>
      <c r="CB31" s="200"/>
      <c r="CC31" s="125"/>
      <c r="CD31" s="41"/>
      <c r="CE31" s="41"/>
      <c r="CF31" s="41"/>
      <c r="CG31" s="41"/>
      <c r="CH31" s="199"/>
      <c r="CI31" s="200"/>
      <c r="CJ31" s="125"/>
      <c r="CK31" s="41"/>
      <c r="CL31" s="41"/>
      <c r="CM31" s="41"/>
      <c r="CN31" s="41"/>
      <c r="CO31" s="199"/>
      <c r="CP31" s="200"/>
      <c r="CQ31" s="125"/>
      <c r="CR31" s="41"/>
      <c r="CS31" s="41"/>
      <c r="CT31" s="41"/>
      <c r="CU31" s="41"/>
      <c r="CV31" s="199"/>
      <c r="CW31" s="200"/>
      <c r="CX31" s="125"/>
      <c r="CY31" s="41"/>
      <c r="CZ31" s="41"/>
      <c r="DA31" s="41"/>
      <c r="DB31" s="41"/>
      <c r="DC31" s="199"/>
      <c r="DD31" s="200"/>
      <c r="DE31" s="125"/>
      <c r="DF31" s="41"/>
      <c r="DG31" s="41"/>
      <c r="DH31" s="41"/>
      <c r="DI31" s="41"/>
      <c r="DJ31" s="199"/>
      <c r="DK31" s="200"/>
      <c r="DL31" s="125"/>
      <c r="DM31" s="41"/>
      <c r="DN31" s="41"/>
      <c r="DO31" s="41"/>
      <c r="DP31" s="41"/>
      <c r="DQ31" s="199"/>
      <c r="DR31" s="200"/>
      <c r="DS31" s="125"/>
      <c r="DT31" s="41"/>
      <c r="DU31" s="41"/>
      <c r="DV31" s="41"/>
      <c r="DW31" s="41"/>
      <c r="DX31" s="199"/>
      <c r="DY31" s="200"/>
      <c r="DZ31" s="125"/>
      <c r="EA31" s="41"/>
      <c r="EB31" s="41"/>
      <c r="EC31" s="41"/>
      <c r="ED31" s="41"/>
      <c r="EE31" s="199"/>
      <c r="EF31" s="200"/>
      <c r="EG31" s="125"/>
      <c r="EH31" s="41"/>
      <c r="EI31" s="41"/>
      <c r="EJ31" s="41"/>
      <c r="EK31" s="41"/>
      <c r="EL31" s="199"/>
      <c r="EM31" s="200"/>
      <c r="EN31" s="125"/>
      <c r="EO31" s="41"/>
      <c r="EP31" s="41"/>
      <c r="EQ31" s="41"/>
      <c r="ER31" s="41"/>
      <c r="ES31" s="199"/>
      <c r="ET31" s="200"/>
      <c r="EU31" s="125"/>
      <c r="EV31" s="41"/>
      <c r="EW31" s="41"/>
      <c r="EX31" s="41"/>
      <c r="EY31" s="41"/>
      <c r="EZ31" s="199"/>
      <c r="FA31" s="200"/>
      <c r="FB31" s="125"/>
      <c r="FC31" s="41"/>
      <c r="FD31" s="41"/>
      <c r="FE31" s="41"/>
      <c r="FF31" s="41"/>
      <c r="FG31" s="199"/>
      <c r="FH31" s="200"/>
      <c r="FI31" s="125"/>
      <c r="FJ31" s="41"/>
      <c r="FK31" s="41"/>
      <c r="FL31" s="41"/>
      <c r="FM31" s="41"/>
      <c r="FN31" s="199"/>
      <c r="FO31" s="200"/>
      <c r="FP31" s="125"/>
      <c r="FQ31" s="41"/>
      <c r="FR31" s="41"/>
      <c r="FS31" s="41"/>
      <c r="FT31" s="41"/>
      <c r="FU31" s="199"/>
      <c r="FV31" s="200"/>
      <c r="FW31" s="125"/>
      <c r="FX31" s="41"/>
      <c r="FY31" s="41"/>
      <c r="FZ31" s="41"/>
      <c r="GA31" s="41"/>
      <c r="GB31" s="199"/>
      <c r="GC31" s="200"/>
      <c r="GD31" s="125"/>
      <c r="GE31" s="41"/>
      <c r="GF31" s="41"/>
      <c r="GG31" s="41"/>
      <c r="GH31" s="41"/>
      <c r="GI31" s="199"/>
      <c r="GJ31" s="200"/>
      <c r="GK31" s="125"/>
      <c r="GL31" s="41"/>
      <c r="GM31" s="41"/>
      <c r="GN31" s="41"/>
      <c r="GO31" s="41"/>
      <c r="GP31" s="199"/>
      <c r="GQ31" s="200"/>
      <c r="GR31" s="125"/>
      <c r="GS31" s="41"/>
      <c r="GT31" s="41"/>
      <c r="GU31" s="41"/>
      <c r="GV31" s="41"/>
      <c r="GW31" s="199"/>
      <c r="GX31" s="200"/>
      <c r="GY31" s="125"/>
      <c r="GZ31" s="41"/>
      <c r="HA31" s="41"/>
      <c r="HB31" s="41"/>
      <c r="HC31" s="41"/>
      <c r="HD31" s="199"/>
      <c r="HE31" s="200"/>
    </row>
    <row r="32" spans="2:217" x14ac:dyDescent="0.3">
      <c r="B32" s="8">
        <v>102329</v>
      </c>
      <c r="C32" s="9">
        <v>35</v>
      </c>
      <c r="D32" s="10" t="s">
        <v>19</v>
      </c>
      <c r="E32" s="11" t="str">
        <f t="shared" si="4"/>
        <v>102329X</v>
      </c>
      <c r="F32" s="193" t="s">
        <v>7</v>
      </c>
      <c r="G32" s="183" t="s">
        <v>8</v>
      </c>
      <c r="H32" s="146" t="s">
        <v>47</v>
      </c>
      <c r="I32" s="155" t="s">
        <v>156</v>
      </c>
      <c r="J32" s="156" t="s">
        <v>269</v>
      </c>
      <c r="K32" s="125" t="s">
        <v>459</v>
      </c>
      <c r="L32" s="41" t="s">
        <v>459</v>
      </c>
      <c r="M32" s="41" t="s">
        <v>459</v>
      </c>
      <c r="N32" s="41" t="s">
        <v>459</v>
      </c>
      <c r="O32" s="41" t="s">
        <v>459</v>
      </c>
      <c r="P32" s="199"/>
      <c r="Q32" s="200"/>
      <c r="R32" s="125" t="s">
        <v>459</v>
      </c>
      <c r="S32" s="41" t="s">
        <v>459</v>
      </c>
      <c r="T32" s="41" t="s">
        <v>459</v>
      </c>
      <c r="U32" s="41" t="s">
        <v>459</v>
      </c>
      <c r="V32" s="41" t="s">
        <v>459</v>
      </c>
      <c r="W32" s="199"/>
      <c r="X32" s="200"/>
      <c r="Y32" s="125"/>
      <c r="Z32" s="41"/>
      <c r="AA32" s="41"/>
      <c r="AB32" s="41"/>
      <c r="AC32" s="41"/>
      <c r="AD32" s="199"/>
      <c r="AE32" s="200"/>
      <c r="AF32" s="125"/>
      <c r="AG32" s="41"/>
      <c r="AH32" s="41"/>
      <c r="AI32" s="41"/>
      <c r="AJ32" s="41"/>
      <c r="AK32" s="199"/>
      <c r="AL32" s="200"/>
      <c r="AM32" s="125"/>
      <c r="AN32" s="41"/>
      <c r="AO32" s="41"/>
      <c r="AP32" s="41"/>
      <c r="AQ32" s="41"/>
      <c r="AR32" s="199"/>
      <c r="AS32" s="200"/>
      <c r="AT32" s="125"/>
      <c r="AU32" s="41"/>
      <c r="AV32" s="41"/>
      <c r="AW32" s="41"/>
      <c r="AX32" s="41"/>
      <c r="AY32" s="199"/>
      <c r="AZ32" s="200"/>
      <c r="BA32" s="125"/>
      <c r="BB32" s="41"/>
      <c r="BC32" s="41"/>
      <c r="BD32" s="41"/>
      <c r="BE32" s="41"/>
      <c r="BF32" s="199"/>
      <c r="BG32" s="200"/>
      <c r="BH32" s="125"/>
      <c r="BI32" s="41"/>
      <c r="BJ32" s="41"/>
      <c r="BK32" s="41"/>
      <c r="BL32" s="41"/>
      <c r="BM32" s="199"/>
      <c r="BN32" s="200"/>
      <c r="BO32" s="125"/>
      <c r="BP32" s="41"/>
      <c r="BQ32" s="41"/>
      <c r="BR32" s="41"/>
      <c r="BS32" s="41"/>
      <c r="BT32" s="199"/>
      <c r="BU32" s="200"/>
      <c r="BV32" s="125"/>
      <c r="BW32" s="41"/>
      <c r="BX32" s="41"/>
      <c r="BY32" s="41"/>
      <c r="BZ32" s="41"/>
      <c r="CA32" s="199"/>
      <c r="CB32" s="200"/>
      <c r="CC32" s="125"/>
      <c r="CD32" s="41"/>
      <c r="CE32" s="41"/>
      <c r="CF32" s="41"/>
      <c r="CG32" s="41"/>
      <c r="CH32" s="199"/>
      <c r="CI32" s="200"/>
      <c r="CJ32" s="125"/>
      <c r="CK32" s="41"/>
      <c r="CL32" s="41"/>
      <c r="CM32" s="41"/>
      <c r="CN32" s="41"/>
      <c r="CO32" s="199"/>
      <c r="CP32" s="200"/>
      <c r="CQ32" s="125"/>
      <c r="CR32" s="41"/>
      <c r="CS32" s="41"/>
      <c r="CT32" s="41"/>
      <c r="CU32" s="41"/>
      <c r="CV32" s="199"/>
      <c r="CW32" s="200"/>
      <c r="CX32" s="125"/>
      <c r="CY32" s="41"/>
      <c r="CZ32" s="41"/>
      <c r="DA32" s="41"/>
      <c r="DB32" s="41"/>
      <c r="DC32" s="199"/>
      <c r="DD32" s="200"/>
      <c r="DE32" s="125"/>
      <c r="DF32" s="41"/>
      <c r="DG32" s="41"/>
      <c r="DH32" s="41"/>
      <c r="DI32" s="41"/>
      <c r="DJ32" s="199"/>
      <c r="DK32" s="200"/>
      <c r="DL32" s="125"/>
      <c r="DM32" s="41"/>
      <c r="DN32" s="41"/>
      <c r="DO32" s="41"/>
      <c r="DP32" s="41"/>
      <c r="DQ32" s="199"/>
      <c r="DR32" s="200"/>
      <c r="DS32" s="125"/>
      <c r="DT32" s="41"/>
      <c r="DU32" s="41"/>
      <c r="DV32" s="41"/>
      <c r="DW32" s="41"/>
      <c r="DX32" s="199"/>
      <c r="DY32" s="200"/>
      <c r="DZ32" s="125"/>
      <c r="EA32" s="41"/>
      <c r="EB32" s="41"/>
      <c r="EC32" s="41"/>
      <c r="ED32" s="41"/>
      <c r="EE32" s="199"/>
      <c r="EF32" s="200"/>
      <c r="EG32" s="125"/>
      <c r="EH32" s="41"/>
      <c r="EI32" s="41"/>
      <c r="EJ32" s="41"/>
      <c r="EK32" s="41"/>
      <c r="EL32" s="199"/>
      <c r="EM32" s="200"/>
      <c r="EN32" s="125"/>
      <c r="EO32" s="41"/>
      <c r="EP32" s="41"/>
      <c r="EQ32" s="41"/>
      <c r="ER32" s="41"/>
      <c r="ES32" s="199"/>
      <c r="ET32" s="200"/>
      <c r="EU32" s="125"/>
      <c r="EV32" s="41"/>
      <c r="EW32" s="41"/>
      <c r="EX32" s="41"/>
      <c r="EY32" s="41"/>
      <c r="EZ32" s="199"/>
      <c r="FA32" s="200"/>
      <c r="FB32" s="125"/>
      <c r="FC32" s="41"/>
      <c r="FD32" s="41"/>
      <c r="FE32" s="41"/>
      <c r="FF32" s="41"/>
      <c r="FG32" s="199"/>
      <c r="FH32" s="200"/>
      <c r="FI32" s="125"/>
      <c r="FJ32" s="41"/>
      <c r="FK32" s="41"/>
      <c r="FL32" s="41"/>
      <c r="FM32" s="41"/>
      <c r="FN32" s="199"/>
      <c r="FO32" s="200"/>
      <c r="FP32" s="125"/>
      <c r="FQ32" s="41"/>
      <c r="FR32" s="41"/>
      <c r="FS32" s="41"/>
      <c r="FT32" s="41"/>
      <c r="FU32" s="199"/>
      <c r="FV32" s="200"/>
      <c r="FW32" s="125"/>
      <c r="FX32" s="41"/>
      <c r="FY32" s="41"/>
      <c r="FZ32" s="41"/>
      <c r="GA32" s="41"/>
      <c r="GB32" s="199"/>
      <c r="GC32" s="200"/>
      <c r="GD32" s="125"/>
      <c r="GE32" s="41"/>
      <c r="GF32" s="41"/>
      <c r="GG32" s="41"/>
      <c r="GH32" s="41"/>
      <c r="GI32" s="199"/>
      <c r="GJ32" s="200"/>
      <c r="GK32" s="125"/>
      <c r="GL32" s="41"/>
      <c r="GM32" s="41"/>
      <c r="GN32" s="41"/>
      <c r="GO32" s="41"/>
      <c r="GP32" s="199"/>
      <c r="GQ32" s="200"/>
      <c r="GR32" s="125"/>
      <c r="GS32" s="41"/>
      <c r="GT32" s="41"/>
      <c r="GU32" s="41"/>
      <c r="GV32" s="41"/>
      <c r="GW32" s="199"/>
      <c r="GX32" s="200"/>
      <c r="GY32" s="125"/>
      <c r="GZ32" s="41"/>
      <c r="HA32" s="41"/>
      <c r="HB32" s="41"/>
      <c r="HC32" s="41"/>
      <c r="HD32" s="199"/>
      <c r="HE32" s="200"/>
    </row>
    <row r="33" spans="2:213" x14ac:dyDescent="0.3">
      <c r="B33" s="8">
        <v>106564</v>
      </c>
      <c r="C33" s="9">
        <v>35</v>
      </c>
      <c r="D33" s="10" t="s">
        <v>19</v>
      </c>
      <c r="E33" s="11" t="str">
        <f t="shared" si="4"/>
        <v>106564X</v>
      </c>
      <c r="F33" s="193" t="s">
        <v>7</v>
      </c>
      <c r="G33" s="183" t="s">
        <v>8</v>
      </c>
      <c r="H33" s="146" t="s">
        <v>35</v>
      </c>
      <c r="I33" s="159" t="s">
        <v>305</v>
      </c>
      <c r="J33" s="160" t="s">
        <v>146</v>
      </c>
      <c r="K33" s="125" t="s">
        <v>459</v>
      </c>
      <c r="L33" s="41" t="s">
        <v>459</v>
      </c>
      <c r="M33" s="41" t="s">
        <v>459</v>
      </c>
      <c r="N33" s="41" t="s">
        <v>459</v>
      </c>
      <c r="O33" s="41" t="s">
        <v>459</v>
      </c>
      <c r="P33" s="199"/>
      <c r="Q33" s="200"/>
      <c r="R33" s="125" t="s">
        <v>459</v>
      </c>
      <c r="S33" s="41" t="s">
        <v>459</v>
      </c>
      <c r="T33" s="41" t="s">
        <v>459</v>
      </c>
      <c r="U33" s="41" t="s">
        <v>459</v>
      </c>
      <c r="V33" s="41" t="s">
        <v>459</v>
      </c>
      <c r="W33" s="199"/>
      <c r="X33" s="200"/>
      <c r="Y33" s="125"/>
      <c r="Z33" s="41"/>
      <c r="AA33" s="41"/>
      <c r="AB33" s="41"/>
      <c r="AC33" s="41"/>
      <c r="AD33" s="199"/>
      <c r="AE33" s="200"/>
      <c r="AF33" s="125"/>
      <c r="AG33" s="41"/>
      <c r="AH33" s="41"/>
      <c r="AI33" s="41"/>
      <c r="AJ33" s="41"/>
      <c r="AK33" s="199"/>
      <c r="AL33" s="200"/>
      <c r="AM33" s="125"/>
      <c r="AN33" s="41"/>
      <c r="AO33" s="41"/>
      <c r="AP33" s="41"/>
      <c r="AQ33" s="41"/>
      <c r="AR33" s="199"/>
      <c r="AS33" s="200"/>
      <c r="AT33" s="125"/>
      <c r="AU33" s="41"/>
      <c r="AV33" s="41"/>
      <c r="AW33" s="41"/>
      <c r="AX33" s="41"/>
      <c r="AY33" s="199"/>
      <c r="AZ33" s="200"/>
      <c r="BA33" s="125"/>
      <c r="BB33" s="41"/>
      <c r="BC33" s="41"/>
      <c r="BD33" s="41"/>
      <c r="BE33" s="41"/>
      <c r="BF33" s="199"/>
      <c r="BG33" s="200"/>
      <c r="BH33" s="125"/>
      <c r="BI33" s="41"/>
      <c r="BJ33" s="41"/>
      <c r="BK33" s="41"/>
      <c r="BL33" s="41"/>
      <c r="BM33" s="199"/>
      <c r="BN33" s="200"/>
      <c r="BO33" s="125"/>
      <c r="BP33" s="41"/>
      <c r="BQ33" s="41"/>
      <c r="BR33" s="41"/>
      <c r="BS33" s="41"/>
      <c r="BT33" s="199"/>
      <c r="BU33" s="200"/>
      <c r="BV33" s="125"/>
      <c r="BW33" s="41"/>
      <c r="BX33" s="41"/>
      <c r="BY33" s="41"/>
      <c r="BZ33" s="41"/>
      <c r="CA33" s="199"/>
      <c r="CB33" s="200"/>
      <c r="CC33" s="125"/>
      <c r="CD33" s="41"/>
      <c r="CE33" s="41"/>
      <c r="CF33" s="41"/>
      <c r="CG33" s="41"/>
      <c r="CH33" s="199"/>
      <c r="CI33" s="200"/>
      <c r="CJ33" s="125"/>
      <c r="CK33" s="41"/>
      <c r="CL33" s="41"/>
      <c r="CM33" s="41"/>
      <c r="CN33" s="41"/>
      <c r="CO33" s="199"/>
      <c r="CP33" s="200"/>
      <c r="CQ33" s="125"/>
      <c r="CR33" s="41"/>
      <c r="CS33" s="41"/>
      <c r="CT33" s="41"/>
      <c r="CU33" s="41"/>
      <c r="CV33" s="199"/>
      <c r="CW33" s="200"/>
      <c r="CX33" s="125"/>
      <c r="CY33" s="41"/>
      <c r="CZ33" s="41"/>
      <c r="DA33" s="41"/>
      <c r="DB33" s="41"/>
      <c r="DC33" s="199"/>
      <c r="DD33" s="200"/>
      <c r="DE33" s="125"/>
      <c r="DF33" s="41"/>
      <c r="DG33" s="41"/>
      <c r="DH33" s="41"/>
      <c r="DI33" s="41"/>
      <c r="DJ33" s="199"/>
      <c r="DK33" s="200"/>
      <c r="DL33" s="125"/>
      <c r="DM33" s="41"/>
      <c r="DN33" s="41"/>
      <c r="DO33" s="41"/>
      <c r="DP33" s="41"/>
      <c r="DQ33" s="199"/>
      <c r="DR33" s="200"/>
      <c r="DS33" s="125"/>
      <c r="DT33" s="41"/>
      <c r="DU33" s="41"/>
      <c r="DV33" s="41"/>
      <c r="DW33" s="41"/>
      <c r="DX33" s="199"/>
      <c r="DY33" s="200"/>
      <c r="DZ33" s="125"/>
      <c r="EA33" s="41"/>
      <c r="EB33" s="41"/>
      <c r="EC33" s="41"/>
      <c r="ED33" s="41"/>
      <c r="EE33" s="199"/>
      <c r="EF33" s="200"/>
      <c r="EG33" s="125"/>
      <c r="EH33" s="41"/>
      <c r="EI33" s="41"/>
      <c r="EJ33" s="41"/>
      <c r="EK33" s="41"/>
      <c r="EL33" s="199"/>
      <c r="EM33" s="200"/>
      <c r="EN33" s="125"/>
      <c r="EO33" s="41"/>
      <c r="EP33" s="41"/>
      <c r="EQ33" s="41"/>
      <c r="ER33" s="41"/>
      <c r="ES33" s="199"/>
      <c r="ET33" s="200"/>
      <c r="EU33" s="125"/>
      <c r="EV33" s="41"/>
      <c r="EW33" s="41"/>
      <c r="EX33" s="41"/>
      <c r="EY33" s="41"/>
      <c r="EZ33" s="199"/>
      <c r="FA33" s="200"/>
      <c r="FB33" s="125"/>
      <c r="FC33" s="41"/>
      <c r="FD33" s="41"/>
      <c r="FE33" s="41"/>
      <c r="FF33" s="41"/>
      <c r="FG33" s="199"/>
      <c r="FH33" s="200"/>
      <c r="FI33" s="125"/>
      <c r="FJ33" s="41"/>
      <c r="FK33" s="41"/>
      <c r="FL33" s="41"/>
      <c r="FM33" s="41"/>
      <c r="FN33" s="199"/>
      <c r="FO33" s="200"/>
      <c r="FP33" s="125"/>
      <c r="FQ33" s="41"/>
      <c r="FR33" s="41"/>
      <c r="FS33" s="41"/>
      <c r="FT33" s="41"/>
      <c r="FU33" s="199"/>
      <c r="FV33" s="200"/>
      <c r="FW33" s="125"/>
      <c r="FX33" s="41"/>
      <c r="FY33" s="41"/>
      <c r="FZ33" s="41"/>
      <c r="GA33" s="41"/>
      <c r="GB33" s="199"/>
      <c r="GC33" s="200"/>
      <c r="GD33" s="125"/>
      <c r="GE33" s="41"/>
      <c r="GF33" s="41"/>
      <c r="GG33" s="41"/>
      <c r="GH33" s="41"/>
      <c r="GI33" s="199"/>
      <c r="GJ33" s="200"/>
      <c r="GK33" s="125"/>
      <c r="GL33" s="41"/>
      <c r="GM33" s="41"/>
      <c r="GN33" s="41"/>
      <c r="GO33" s="41"/>
      <c r="GP33" s="199"/>
      <c r="GQ33" s="200"/>
      <c r="GR33" s="125"/>
      <c r="GS33" s="41"/>
      <c r="GT33" s="41"/>
      <c r="GU33" s="41"/>
      <c r="GV33" s="41"/>
      <c r="GW33" s="199"/>
      <c r="GX33" s="200"/>
      <c r="GY33" s="125"/>
      <c r="GZ33" s="41"/>
      <c r="HA33" s="41"/>
      <c r="HB33" s="41"/>
      <c r="HC33" s="41"/>
      <c r="HD33" s="199"/>
      <c r="HE33" s="200"/>
    </row>
    <row r="34" spans="2:213" x14ac:dyDescent="0.3">
      <c r="B34" s="32">
        <v>32116</v>
      </c>
      <c r="C34" s="9">
        <v>35</v>
      </c>
      <c r="D34" s="10" t="str">
        <f t="shared" ref="D34:D40" si="6">IF(G34="","","X")</f>
        <v>X</v>
      </c>
      <c r="E34" s="11" t="str">
        <f t="shared" si="4"/>
        <v>32116X</v>
      </c>
      <c r="F34" s="193" t="s">
        <v>7</v>
      </c>
      <c r="G34" s="184" t="s">
        <v>8</v>
      </c>
      <c r="H34" s="146" t="s">
        <v>9</v>
      </c>
      <c r="I34" s="153" t="s">
        <v>306</v>
      </c>
      <c r="J34" s="154" t="s">
        <v>232</v>
      </c>
      <c r="K34" s="125" t="s">
        <v>459</v>
      </c>
      <c r="L34" s="41" t="s">
        <v>459</v>
      </c>
      <c r="M34" s="41" t="s">
        <v>459</v>
      </c>
      <c r="N34" s="41" t="s">
        <v>459</v>
      </c>
      <c r="O34" s="41" t="s">
        <v>459</v>
      </c>
      <c r="P34" s="199"/>
      <c r="Q34" s="200"/>
      <c r="R34" s="125" t="s">
        <v>459</v>
      </c>
      <c r="S34" s="41" t="s">
        <v>459</v>
      </c>
      <c r="T34" s="41" t="s">
        <v>459</v>
      </c>
      <c r="U34" s="41" t="s">
        <v>459</v>
      </c>
      <c r="V34" s="41" t="s">
        <v>459</v>
      </c>
      <c r="W34" s="199"/>
      <c r="X34" s="200"/>
      <c r="Y34" s="125"/>
      <c r="Z34" s="41"/>
      <c r="AA34" s="41"/>
      <c r="AB34" s="41"/>
      <c r="AC34" s="41"/>
      <c r="AD34" s="199"/>
      <c r="AE34" s="200"/>
      <c r="AF34" s="125"/>
      <c r="AG34" s="41"/>
      <c r="AH34" s="41"/>
      <c r="AI34" s="41"/>
      <c r="AJ34" s="41"/>
      <c r="AK34" s="199"/>
      <c r="AL34" s="200"/>
      <c r="AM34" s="125"/>
      <c r="AN34" s="41"/>
      <c r="AO34" s="41"/>
      <c r="AP34" s="41"/>
      <c r="AQ34" s="41"/>
      <c r="AR34" s="199"/>
      <c r="AS34" s="200"/>
      <c r="AT34" s="125"/>
      <c r="AU34" s="41"/>
      <c r="AV34" s="41"/>
      <c r="AW34" s="41"/>
      <c r="AX34" s="41"/>
      <c r="AY34" s="199"/>
      <c r="AZ34" s="200"/>
      <c r="BA34" s="125"/>
      <c r="BB34" s="41"/>
      <c r="BC34" s="41"/>
      <c r="BD34" s="41"/>
      <c r="BE34" s="41"/>
      <c r="BF34" s="199"/>
      <c r="BG34" s="200"/>
      <c r="BH34" s="125"/>
      <c r="BI34" s="41"/>
      <c r="BJ34" s="41"/>
      <c r="BK34" s="41"/>
      <c r="BL34" s="41"/>
      <c r="BM34" s="199"/>
      <c r="BN34" s="200"/>
      <c r="BO34" s="125"/>
      <c r="BP34" s="41"/>
      <c r="BQ34" s="41"/>
      <c r="BR34" s="41"/>
      <c r="BS34" s="41"/>
      <c r="BT34" s="199"/>
      <c r="BU34" s="200"/>
      <c r="BV34" s="125"/>
      <c r="BW34" s="41"/>
      <c r="BX34" s="41"/>
      <c r="BY34" s="41"/>
      <c r="BZ34" s="41"/>
      <c r="CA34" s="199"/>
      <c r="CB34" s="200"/>
      <c r="CC34" s="125"/>
      <c r="CD34" s="41"/>
      <c r="CE34" s="41"/>
      <c r="CF34" s="41"/>
      <c r="CG34" s="41"/>
      <c r="CH34" s="199"/>
      <c r="CI34" s="200"/>
      <c r="CJ34" s="125"/>
      <c r="CK34" s="41"/>
      <c r="CL34" s="41"/>
      <c r="CM34" s="41"/>
      <c r="CN34" s="41"/>
      <c r="CO34" s="199"/>
      <c r="CP34" s="200"/>
      <c r="CQ34" s="125"/>
      <c r="CR34" s="41"/>
      <c r="CS34" s="41"/>
      <c r="CT34" s="41"/>
      <c r="CU34" s="41"/>
      <c r="CV34" s="199"/>
      <c r="CW34" s="200"/>
      <c r="CX34" s="125"/>
      <c r="CY34" s="41"/>
      <c r="CZ34" s="41"/>
      <c r="DA34" s="41"/>
      <c r="DB34" s="41"/>
      <c r="DC34" s="199"/>
      <c r="DD34" s="200"/>
      <c r="DE34" s="125"/>
      <c r="DF34" s="41"/>
      <c r="DG34" s="41"/>
      <c r="DH34" s="41"/>
      <c r="DI34" s="41"/>
      <c r="DJ34" s="199"/>
      <c r="DK34" s="200"/>
      <c r="DL34" s="125"/>
      <c r="DM34" s="41"/>
      <c r="DN34" s="41"/>
      <c r="DO34" s="41"/>
      <c r="DP34" s="41"/>
      <c r="DQ34" s="199"/>
      <c r="DR34" s="200"/>
      <c r="DS34" s="125"/>
      <c r="DT34" s="41"/>
      <c r="DU34" s="41"/>
      <c r="DV34" s="41"/>
      <c r="DW34" s="41"/>
      <c r="DX34" s="199"/>
      <c r="DY34" s="200"/>
      <c r="DZ34" s="125"/>
      <c r="EA34" s="41"/>
      <c r="EB34" s="41"/>
      <c r="EC34" s="41"/>
      <c r="ED34" s="41"/>
      <c r="EE34" s="199"/>
      <c r="EF34" s="200"/>
      <c r="EG34" s="125"/>
      <c r="EH34" s="41"/>
      <c r="EI34" s="41"/>
      <c r="EJ34" s="41"/>
      <c r="EK34" s="41"/>
      <c r="EL34" s="199"/>
      <c r="EM34" s="200"/>
      <c r="EN34" s="125"/>
      <c r="EO34" s="41"/>
      <c r="EP34" s="41"/>
      <c r="EQ34" s="41"/>
      <c r="ER34" s="41"/>
      <c r="ES34" s="199"/>
      <c r="ET34" s="200"/>
      <c r="EU34" s="125"/>
      <c r="EV34" s="41"/>
      <c r="EW34" s="41"/>
      <c r="EX34" s="41"/>
      <c r="EY34" s="41"/>
      <c r="EZ34" s="199"/>
      <c r="FA34" s="200"/>
      <c r="FB34" s="125"/>
      <c r="FC34" s="41"/>
      <c r="FD34" s="41"/>
      <c r="FE34" s="41"/>
      <c r="FF34" s="41"/>
      <c r="FG34" s="199"/>
      <c r="FH34" s="200"/>
      <c r="FI34" s="125"/>
      <c r="FJ34" s="41"/>
      <c r="FK34" s="41"/>
      <c r="FL34" s="41"/>
      <c r="FM34" s="41"/>
      <c r="FN34" s="199"/>
      <c r="FO34" s="200"/>
      <c r="FP34" s="125"/>
      <c r="FQ34" s="41"/>
      <c r="FR34" s="41"/>
      <c r="FS34" s="41"/>
      <c r="FT34" s="41"/>
      <c r="FU34" s="199"/>
      <c r="FV34" s="200"/>
      <c r="FW34" s="125"/>
      <c r="FX34" s="41"/>
      <c r="FY34" s="41"/>
      <c r="FZ34" s="41"/>
      <c r="GA34" s="41"/>
      <c r="GB34" s="199"/>
      <c r="GC34" s="200"/>
      <c r="GD34" s="125"/>
      <c r="GE34" s="41"/>
      <c r="GF34" s="41"/>
      <c r="GG34" s="41"/>
      <c r="GH34" s="41"/>
      <c r="GI34" s="199"/>
      <c r="GJ34" s="200"/>
      <c r="GK34" s="125"/>
      <c r="GL34" s="41"/>
      <c r="GM34" s="41"/>
      <c r="GN34" s="41"/>
      <c r="GO34" s="41"/>
      <c r="GP34" s="199"/>
      <c r="GQ34" s="200"/>
      <c r="GR34" s="125"/>
      <c r="GS34" s="41"/>
      <c r="GT34" s="41"/>
      <c r="GU34" s="41"/>
      <c r="GV34" s="41"/>
      <c r="GW34" s="199"/>
      <c r="GX34" s="200"/>
      <c r="GY34" s="125"/>
      <c r="GZ34" s="41"/>
      <c r="HA34" s="41"/>
      <c r="HB34" s="41"/>
      <c r="HC34" s="41"/>
      <c r="HD34" s="199"/>
      <c r="HE34" s="200"/>
    </row>
    <row r="35" spans="2:213" x14ac:dyDescent="0.3">
      <c r="B35" s="8">
        <v>101839</v>
      </c>
      <c r="C35" s="9">
        <v>35</v>
      </c>
      <c r="D35" s="10" t="str">
        <f t="shared" si="6"/>
        <v>X</v>
      </c>
      <c r="E35" s="11" t="str">
        <f t="shared" si="4"/>
        <v>101839X</v>
      </c>
      <c r="F35" s="193" t="s">
        <v>7</v>
      </c>
      <c r="G35" s="183" t="s">
        <v>8</v>
      </c>
      <c r="H35" s="146" t="s">
        <v>44</v>
      </c>
      <c r="I35" s="153" t="s">
        <v>311</v>
      </c>
      <c r="J35" s="154" t="s">
        <v>202</v>
      </c>
      <c r="K35" s="125" t="s">
        <v>459</v>
      </c>
      <c r="L35" s="41" t="s">
        <v>459</v>
      </c>
      <c r="M35" s="41" t="s">
        <v>459</v>
      </c>
      <c r="N35" s="41" t="s">
        <v>459</v>
      </c>
      <c r="O35" s="41" t="s">
        <v>459</v>
      </c>
      <c r="P35" s="199"/>
      <c r="Q35" s="200"/>
      <c r="R35" s="125" t="s">
        <v>459</v>
      </c>
      <c r="S35" s="41" t="s">
        <v>459</v>
      </c>
      <c r="T35" s="41" t="s">
        <v>459</v>
      </c>
      <c r="U35" s="41" t="s">
        <v>459</v>
      </c>
      <c r="V35" s="41" t="s">
        <v>459</v>
      </c>
      <c r="W35" s="199"/>
      <c r="X35" s="200"/>
      <c r="Y35" s="125"/>
      <c r="Z35" s="41"/>
      <c r="AA35" s="41"/>
      <c r="AB35" s="41"/>
      <c r="AC35" s="41"/>
      <c r="AD35" s="199"/>
      <c r="AE35" s="200"/>
      <c r="AF35" s="125"/>
      <c r="AG35" s="41"/>
      <c r="AH35" s="41"/>
      <c r="AI35" s="41"/>
      <c r="AJ35" s="41"/>
      <c r="AK35" s="199"/>
      <c r="AL35" s="200"/>
      <c r="AM35" s="125"/>
      <c r="AN35" s="41"/>
      <c r="AO35" s="41"/>
      <c r="AP35" s="41"/>
      <c r="AQ35" s="41"/>
      <c r="AR35" s="199"/>
      <c r="AS35" s="200"/>
      <c r="AT35" s="125"/>
      <c r="AU35" s="41"/>
      <c r="AV35" s="41"/>
      <c r="AW35" s="41"/>
      <c r="AX35" s="41"/>
      <c r="AY35" s="199"/>
      <c r="AZ35" s="200"/>
      <c r="BA35" s="125"/>
      <c r="BB35" s="41"/>
      <c r="BC35" s="41"/>
      <c r="BD35" s="41"/>
      <c r="BE35" s="41"/>
      <c r="BF35" s="199"/>
      <c r="BG35" s="200"/>
      <c r="BH35" s="125"/>
      <c r="BI35" s="41"/>
      <c r="BJ35" s="41"/>
      <c r="BK35" s="41"/>
      <c r="BL35" s="41"/>
      <c r="BM35" s="199"/>
      <c r="BN35" s="200"/>
      <c r="BO35" s="125"/>
      <c r="BP35" s="41"/>
      <c r="BQ35" s="41"/>
      <c r="BR35" s="41"/>
      <c r="BS35" s="41"/>
      <c r="BT35" s="199"/>
      <c r="BU35" s="200"/>
      <c r="BV35" s="125"/>
      <c r="BW35" s="41"/>
      <c r="BX35" s="41"/>
      <c r="BY35" s="41"/>
      <c r="BZ35" s="41"/>
      <c r="CA35" s="199"/>
      <c r="CB35" s="200"/>
      <c r="CC35" s="125"/>
      <c r="CD35" s="41"/>
      <c r="CE35" s="41"/>
      <c r="CF35" s="41"/>
      <c r="CG35" s="41"/>
      <c r="CH35" s="199"/>
      <c r="CI35" s="200"/>
      <c r="CJ35" s="125"/>
      <c r="CK35" s="41"/>
      <c r="CL35" s="41"/>
      <c r="CM35" s="41"/>
      <c r="CN35" s="41"/>
      <c r="CO35" s="199"/>
      <c r="CP35" s="200"/>
      <c r="CQ35" s="125"/>
      <c r="CR35" s="41"/>
      <c r="CS35" s="41"/>
      <c r="CT35" s="41"/>
      <c r="CU35" s="41"/>
      <c r="CV35" s="199"/>
      <c r="CW35" s="200"/>
      <c r="CX35" s="125"/>
      <c r="CY35" s="41"/>
      <c r="CZ35" s="41"/>
      <c r="DA35" s="41"/>
      <c r="DB35" s="41"/>
      <c r="DC35" s="199"/>
      <c r="DD35" s="200"/>
      <c r="DE35" s="125"/>
      <c r="DF35" s="41"/>
      <c r="DG35" s="41"/>
      <c r="DH35" s="41"/>
      <c r="DI35" s="41"/>
      <c r="DJ35" s="199"/>
      <c r="DK35" s="200"/>
      <c r="DL35" s="125"/>
      <c r="DM35" s="41"/>
      <c r="DN35" s="41"/>
      <c r="DO35" s="41"/>
      <c r="DP35" s="41"/>
      <c r="DQ35" s="199"/>
      <c r="DR35" s="200"/>
      <c r="DS35" s="125"/>
      <c r="DT35" s="41"/>
      <c r="DU35" s="41"/>
      <c r="DV35" s="41"/>
      <c r="DW35" s="41"/>
      <c r="DX35" s="199"/>
      <c r="DY35" s="200"/>
      <c r="DZ35" s="125"/>
      <c r="EA35" s="41"/>
      <c r="EB35" s="41"/>
      <c r="EC35" s="41"/>
      <c r="ED35" s="41"/>
      <c r="EE35" s="199"/>
      <c r="EF35" s="200"/>
      <c r="EG35" s="125"/>
      <c r="EH35" s="41"/>
      <c r="EI35" s="41"/>
      <c r="EJ35" s="41"/>
      <c r="EK35" s="41"/>
      <c r="EL35" s="199"/>
      <c r="EM35" s="200"/>
      <c r="EN35" s="125"/>
      <c r="EO35" s="41"/>
      <c r="EP35" s="41"/>
      <c r="EQ35" s="41"/>
      <c r="ER35" s="41"/>
      <c r="ES35" s="199"/>
      <c r="ET35" s="200"/>
      <c r="EU35" s="125"/>
      <c r="EV35" s="41"/>
      <c r="EW35" s="41"/>
      <c r="EX35" s="41"/>
      <c r="EY35" s="41"/>
      <c r="EZ35" s="199"/>
      <c r="FA35" s="200"/>
      <c r="FB35" s="125"/>
      <c r="FC35" s="41"/>
      <c r="FD35" s="41"/>
      <c r="FE35" s="41"/>
      <c r="FF35" s="41"/>
      <c r="FG35" s="199"/>
      <c r="FH35" s="200"/>
      <c r="FI35" s="125"/>
      <c r="FJ35" s="41"/>
      <c r="FK35" s="41"/>
      <c r="FL35" s="41"/>
      <c r="FM35" s="41"/>
      <c r="FN35" s="199"/>
      <c r="FO35" s="200"/>
      <c r="FP35" s="125"/>
      <c r="FQ35" s="41"/>
      <c r="FR35" s="41"/>
      <c r="FS35" s="41"/>
      <c r="FT35" s="41"/>
      <c r="FU35" s="199"/>
      <c r="FV35" s="200"/>
      <c r="FW35" s="125"/>
      <c r="FX35" s="41"/>
      <c r="FY35" s="41"/>
      <c r="FZ35" s="41"/>
      <c r="GA35" s="41"/>
      <c r="GB35" s="199"/>
      <c r="GC35" s="200"/>
      <c r="GD35" s="125"/>
      <c r="GE35" s="41"/>
      <c r="GF35" s="41"/>
      <c r="GG35" s="41"/>
      <c r="GH35" s="41"/>
      <c r="GI35" s="199"/>
      <c r="GJ35" s="200"/>
      <c r="GK35" s="125"/>
      <c r="GL35" s="41"/>
      <c r="GM35" s="41"/>
      <c r="GN35" s="41"/>
      <c r="GO35" s="41"/>
      <c r="GP35" s="199"/>
      <c r="GQ35" s="200"/>
      <c r="GR35" s="125"/>
      <c r="GS35" s="41"/>
      <c r="GT35" s="41"/>
      <c r="GU35" s="41"/>
      <c r="GV35" s="41"/>
      <c r="GW35" s="199"/>
      <c r="GX35" s="200"/>
      <c r="GY35" s="125"/>
      <c r="GZ35" s="41"/>
      <c r="HA35" s="41"/>
      <c r="HB35" s="41"/>
      <c r="HC35" s="41"/>
      <c r="HD35" s="199"/>
      <c r="HE35" s="200"/>
    </row>
    <row r="36" spans="2:213" x14ac:dyDescent="0.3">
      <c r="B36" s="38">
        <v>56999</v>
      </c>
      <c r="C36" s="9">
        <v>35</v>
      </c>
      <c r="D36" s="10" t="str">
        <f t="shared" si="6"/>
        <v>X</v>
      </c>
      <c r="E36" s="11" t="str">
        <f t="shared" si="4"/>
        <v>56999X</v>
      </c>
      <c r="F36" s="193" t="s">
        <v>7</v>
      </c>
      <c r="G36" s="184" t="s">
        <v>8</v>
      </c>
      <c r="H36" s="146" t="s">
        <v>44</v>
      </c>
      <c r="I36" s="151" t="s">
        <v>321</v>
      </c>
      <c r="J36" s="152" t="s">
        <v>322</v>
      </c>
      <c r="K36" s="125" t="s">
        <v>459</v>
      </c>
      <c r="L36" s="41" t="s">
        <v>459</v>
      </c>
      <c r="M36" s="41" t="s">
        <v>459</v>
      </c>
      <c r="N36" s="41" t="s">
        <v>459</v>
      </c>
      <c r="O36" s="41" t="s">
        <v>459</v>
      </c>
      <c r="P36" s="199"/>
      <c r="Q36" s="200"/>
      <c r="R36" s="125" t="s">
        <v>459</v>
      </c>
      <c r="S36" s="41" t="s">
        <v>459</v>
      </c>
      <c r="T36" s="41" t="s">
        <v>459</v>
      </c>
      <c r="U36" s="41" t="s">
        <v>459</v>
      </c>
      <c r="V36" s="41" t="s">
        <v>459</v>
      </c>
      <c r="W36" s="199"/>
      <c r="X36" s="200"/>
      <c r="Y36" s="125"/>
      <c r="Z36" s="41"/>
      <c r="AA36" s="41"/>
      <c r="AB36" s="41"/>
      <c r="AC36" s="41"/>
      <c r="AD36" s="199"/>
      <c r="AE36" s="200"/>
      <c r="AF36" s="125"/>
      <c r="AG36" s="41"/>
      <c r="AH36" s="41"/>
      <c r="AI36" s="41"/>
      <c r="AJ36" s="41"/>
      <c r="AK36" s="199"/>
      <c r="AL36" s="200"/>
      <c r="AM36" s="125"/>
      <c r="AN36" s="41"/>
      <c r="AO36" s="41"/>
      <c r="AP36" s="41"/>
      <c r="AQ36" s="41"/>
      <c r="AR36" s="199"/>
      <c r="AS36" s="200"/>
      <c r="AT36" s="125"/>
      <c r="AU36" s="41"/>
      <c r="AV36" s="41"/>
      <c r="AW36" s="41"/>
      <c r="AX36" s="41"/>
      <c r="AY36" s="199"/>
      <c r="AZ36" s="200"/>
      <c r="BA36" s="125"/>
      <c r="BB36" s="41"/>
      <c r="BC36" s="41"/>
      <c r="BD36" s="41"/>
      <c r="BE36" s="41"/>
      <c r="BF36" s="199"/>
      <c r="BG36" s="200"/>
      <c r="BH36" s="125"/>
      <c r="BI36" s="41"/>
      <c r="BJ36" s="41"/>
      <c r="BK36" s="41"/>
      <c r="BL36" s="41"/>
      <c r="BM36" s="199"/>
      <c r="BN36" s="200"/>
      <c r="BO36" s="125"/>
      <c r="BP36" s="41"/>
      <c r="BQ36" s="41"/>
      <c r="BR36" s="41"/>
      <c r="BS36" s="41"/>
      <c r="BT36" s="199"/>
      <c r="BU36" s="200"/>
      <c r="BV36" s="125"/>
      <c r="BW36" s="41"/>
      <c r="BX36" s="41"/>
      <c r="BY36" s="41"/>
      <c r="BZ36" s="41"/>
      <c r="CA36" s="199"/>
      <c r="CB36" s="200"/>
      <c r="CC36" s="125"/>
      <c r="CD36" s="41"/>
      <c r="CE36" s="41"/>
      <c r="CF36" s="41"/>
      <c r="CG36" s="41"/>
      <c r="CH36" s="199"/>
      <c r="CI36" s="200"/>
      <c r="CJ36" s="125"/>
      <c r="CK36" s="41"/>
      <c r="CL36" s="41"/>
      <c r="CM36" s="41"/>
      <c r="CN36" s="41"/>
      <c r="CO36" s="199"/>
      <c r="CP36" s="200"/>
      <c r="CQ36" s="125"/>
      <c r="CR36" s="41"/>
      <c r="CS36" s="41"/>
      <c r="CT36" s="41"/>
      <c r="CU36" s="41"/>
      <c r="CV36" s="199"/>
      <c r="CW36" s="200"/>
      <c r="CX36" s="125"/>
      <c r="CY36" s="41"/>
      <c r="CZ36" s="41"/>
      <c r="DA36" s="41"/>
      <c r="DB36" s="41"/>
      <c r="DC36" s="199"/>
      <c r="DD36" s="200"/>
      <c r="DE36" s="125"/>
      <c r="DF36" s="41"/>
      <c r="DG36" s="41"/>
      <c r="DH36" s="41"/>
      <c r="DI36" s="41"/>
      <c r="DJ36" s="199"/>
      <c r="DK36" s="200"/>
      <c r="DL36" s="125"/>
      <c r="DM36" s="41"/>
      <c r="DN36" s="41"/>
      <c r="DO36" s="41"/>
      <c r="DP36" s="41"/>
      <c r="DQ36" s="199"/>
      <c r="DR36" s="200"/>
      <c r="DS36" s="125"/>
      <c r="DT36" s="41"/>
      <c r="DU36" s="41"/>
      <c r="DV36" s="41"/>
      <c r="DW36" s="41"/>
      <c r="DX36" s="199"/>
      <c r="DY36" s="200"/>
      <c r="DZ36" s="125"/>
      <c r="EA36" s="41"/>
      <c r="EB36" s="41"/>
      <c r="EC36" s="41"/>
      <c r="ED36" s="41"/>
      <c r="EE36" s="199"/>
      <c r="EF36" s="200"/>
      <c r="EG36" s="125"/>
      <c r="EH36" s="41"/>
      <c r="EI36" s="41"/>
      <c r="EJ36" s="41"/>
      <c r="EK36" s="41"/>
      <c r="EL36" s="199"/>
      <c r="EM36" s="200"/>
      <c r="EN36" s="125"/>
      <c r="EO36" s="41"/>
      <c r="EP36" s="41"/>
      <c r="EQ36" s="41"/>
      <c r="ER36" s="41"/>
      <c r="ES36" s="199"/>
      <c r="ET36" s="200"/>
      <c r="EU36" s="125"/>
      <c r="EV36" s="41"/>
      <c r="EW36" s="41"/>
      <c r="EX36" s="41"/>
      <c r="EY36" s="41"/>
      <c r="EZ36" s="199"/>
      <c r="FA36" s="200"/>
      <c r="FB36" s="125"/>
      <c r="FC36" s="41"/>
      <c r="FD36" s="41"/>
      <c r="FE36" s="41"/>
      <c r="FF36" s="41"/>
      <c r="FG36" s="199"/>
      <c r="FH36" s="200"/>
      <c r="FI36" s="125"/>
      <c r="FJ36" s="41"/>
      <c r="FK36" s="41"/>
      <c r="FL36" s="41"/>
      <c r="FM36" s="41"/>
      <c r="FN36" s="199"/>
      <c r="FO36" s="200"/>
      <c r="FP36" s="125"/>
      <c r="FQ36" s="41"/>
      <c r="FR36" s="41"/>
      <c r="FS36" s="41"/>
      <c r="FT36" s="41"/>
      <c r="FU36" s="199"/>
      <c r="FV36" s="200"/>
      <c r="FW36" s="125"/>
      <c r="FX36" s="41"/>
      <c r="FY36" s="41"/>
      <c r="FZ36" s="41"/>
      <c r="GA36" s="41"/>
      <c r="GB36" s="199"/>
      <c r="GC36" s="200"/>
      <c r="GD36" s="125"/>
      <c r="GE36" s="41"/>
      <c r="GF36" s="41"/>
      <c r="GG36" s="41"/>
      <c r="GH36" s="41"/>
      <c r="GI36" s="199"/>
      <c r="GJ36" s="200"/>
      <c r="GK36" s="125"/>
      <c r="GL36" s="41"/>
      <c r="GM36" s="41"/>
      <c r="GN36" s="41"/>
      <c r="GO36" s="41"/>
      <c r="GP36" s="199"/>
      <c r="GQ36" s="200"/>
      <c r="GR36" s="125"/>
      <c r="GS36" s="41"/>
      <c r="GT36" s="41"/>
      <c r="GU36" s="41"/>
      <c r="GV36" s="41"/>
      <c r="GW36" s="199"/>
      <c r="GX36" s="200"/>
      <c r="GY36" s="125"/>
      <c r="GZ36" s="41"/>
      <c r="HA36" s="41"/>
      <c r="HB36" s="41"/>
      <c r="HC36" s="41"/>
      <c r="HD36" s="199"/>
      <c r="HE36" s="200"/>
    </row>
    <row r="37" spans="2:213" x14ac:dyDescent="0.3">
      <c r="B37" s="38">
        <v>36705</v>
      </c>
      <c r="C37" s="9">
        <v>35</v>
      </c>
      <c r="D37" s="10" t="str">
        <f t="shared" si="6"/>
        <v>X</v>
      </c>
      <c r="E37" s="10" t="str">
        <f t="shared" si="4"/>
        <v>36705X</v>
      </c>
      <c r="F37" s="193" t="s">
        <v>7</v>
      </c>
      <c r="G37" s="184" t="s">
        <v>8</v>
      </c>
      <c r="H37" s="146" t="s">
        <v>44</v>
      </c>
      <c r="I37" s="157" t="s">
        <v>329</v>
      </c>
      <c r="J37" s="158" t="s">
        <v>330</v>
      </c>
      <c r="K37" s="125" t="s">
        <v>459</v>
      </c>
      <c r="L37" s="41" t="s">
        <v>459</v>
      </c>
      <c r="M37" s="41" t="s">
        <v>459</v>
      </c>
      <c r="N37" s="41" t="s">
        <v>459</v>
      </c>
      <c r="O37" s="41" t="s">
        <v>459</v>
      </c>
      <c r="P37" s="199"/>
      <c r="Q37" s="200"/>
      <c r="R37" s="125" t="s">
        <v>459</v>
      </c>
      <c r="S37" s="41" t="s">
        <v>459</v>
      </c>
      <c r="T37" s="41" t="s">
        <v>459</v>
      </c>
      <c r="U37" s="41" t="s">
        <v>459</v>
      </c>
      <c r="V37" s="41" t="s">
        <v>459</v>
      </c>
      <c r="W37" s="199"/>
      <c r="X37" s="200"/>
      <c r="Y37" s="125"/>
      <c r="Z37" s="41"/>
      <c r="AA37" s="41"/>
      <c r="AB37" s="41"/>
      <c r="AC37" s="41"/>
      <c r="AD37" s="199"/>
      <c r="AE37" s="200"/>
      <c r="AF37" s="125"/>
      <c r="AG37" s="41"/>
      <c r="AH37" s="41"/>
      <c r="AI37" s="41"/>
      <c r="AJ37" s="41"/>
      <c r="AK37" s="199"/>
      <c r="AL37" s="200"/>
      <c r="AM37" s="125"/>
      <c r="AN37" s="41"/>
      <c r="AO37" s="41"/>
      <c r="AP37" s="41"/>
      <c r="AQ37" s="41"/>
      <c r="AR37" s="199"/>
      <c r="AS37" s="200"/>
      <c r="AT37" s="125"/>
      <c r="AU37" s="41"/>
      <c r="AV37" s="41"/>
      <c r="AW37" s="41"/>
      <c r="AX37" s="41"/>
      <c r="AY37" s="199"/>
      <c r="AZ37" s="200"/>
      <c r="BA37" s="125"/>
      <c r="BB37" s="41"/>
      <c r="BC37" s="41"/>
      <c r="BD37" s="41"/>
      <c r="BE37" s="41"/>
      <c r="BF37" s="199"/>
      <c r="BG37" s="200"/>
      <c r="BH37" s="125"/>
      <c r="BI37" s="41"/>
      <c r="BJ37" s="41"/>
      <c r="BK37" s="41"/>
      <c r="BL37" s="41"/>
      <c r="BM37" s="199"/>
      <c r="BN37" s="200"/>
      <c r="BO37" s="125"/>
      <c r="BP37" s="41"/>
      <c r="BQ37" s="41"/>
      <c r="BR37" s="41"/>
      <c r="BS37" s="41"/>
      <c r="BT37" s="199"/>
      <c r="BU37" s="200"/>
      <c r="BV37" s="125"/>
      <c r="BW37" s="41"/>
      <c r="BX37" s="41"/>
      <c r="BY37" s="41"/>
      <c r="BZ37" s="41"/>
      <c r="CA37" s="199"/>
      <c r="CB37" s="200"/>
      <c r="CC37" s="125"/>
      <c r="CD37" s="41"/>
      <c r="CE37" s="41"/>
      <c r="CF37" s="41"/>
      <c r="CG37" s="41"/>
      <c r="CH37" s="199"/>
      <c r="CI37" s="200"/>
      <c r="CJ37" s="125"/>
      <c r="CK37" s="41"/>
      <c r="CL37" s="41"/>
      <c r="CM37" s="41"/>
      <c r="CN37" s="41"/>
      <c r="CO37" s="199"/>
      <c r="CP37" s="200"/>
      <c r="CQ37" s="125"/>
      <c r="CR37" s="41"/>
      <c r="CS37" s="41"/>
      <c r="CT37" s="41"/>
      <c r="CU37" s="41"/>
      <c r="CV37" s="199"/>
      <c r="CW37" s="200"/>
      <c r="CX37" s="125"/>
      <c r="CY37" s="41"/>
      <c r="CZ37" s="41"/>
      <c r="DA37" s="41"/>
      <c r="DB37" s="41"/>
      <c r="DC37" s="199"/>
      <c r="DD37" s="200"/>
      <c r="DE37" s="125"/>
      <c r="DF37" s="41"/>
      <c r="DG37" s="41"/>
      <c r="DH37" s="41"/>
      <c r="DI37" s="41"/>
      <c r="DJ37" s="199"/>
      <c r="DK37" s="200"/>
      <c r="DL37" s="125"/>
      <c r="DM37" s="41"/>
      <c r="DN37" s="41"/>
      <c r="DO37" s="41"/>
      <c r="DP37" s="41"/>
      <c r="DQ37" s="199"/>
      <c r="DR37" s="200"/>
      <c r="DS37" s="125"/>
      <c r="DT37" s="41"/>
      <c r="DU37" s="41"/>
      <c r="DV37" s="41"/>
      <c r="DW37" s="41"/>
      <c r="DX37" s="199"/>
      <c r="DY37" s="200"/>
      <c r="DZ37" s="125"/>
      <c r="EA37" s="41"/>
      <c r="EB37" s="41"/>
      <c r="EC37" s="41"/>
      <c r="ED37" s="41"/>
      <c r="EE37" s="199"/>
      <c r="EF37" s="200"/>
      <c r="EG37" s="125"/>
      <c r="EH37" s="41"/>
      <c r="EI37" s="41"/>
      <c r="EJ37" s="41"/>
      <c r="EK37" s="41"/>
      <c r="EL37" s="199"/>
      <c r="EM37" s="200"/>
      <c r="EN37" s="125"/>
      <c r="EO37" s="41"/>
      <c r="EP37" s="41"/>
      <c r="EQ37" s="41"/>
      <c r="ER37" s="41"/>
      <c r="ES37" s="199"/>
      <c r="ET37" s="200"/>
      <c r="EU37" s="125"/>
      <c r="EV37" s="41"/>
      <c r="EW37" s="41"/>
      <c r="EX37" s="41"/>
      <c r="EY37" s="41"/>
      <c r="EZ37" s="199"/>
      <c r="FA37" s="200"/>
      <c r="FB37" s="125"/>
      <c r="FC37" s="41"/>
      <c r="FD37" s="41"/>
      <c r="FE37" s="41"/>
      <c r="FF37" s="41"/>
      <c r="FG37" s="199"/>
      <c r="FH37" s="200"/>
      <c r="FI37" s="125"/>
      <c r="FJ37" s="41"/>
      <c r="FK37" s="41"/>
      <c r="FL37" s="41"/>
      <c r="FM37" s="41"/>
      <c r="FN37" s="199"/>
      <c r="FO37" s="200"/>
      <c r="FP37" s="125"/>
      <c r="FQ37" s="41"/>
      <c r="FR37" s="41"/>
      <c r="FS37" s="41"/>
      <c r="FT37" s="41"/>
      <c r="FU37" s="199"/>
      <c r="FV37" s="200"/>
      <c r="FW37" s="125"/>
      <c r="FX37" s="41"/>
      <c r="FY37" s="41"/>
      <c r="FZ37" s="41"/>
      <c r="GA37" s="41"/>
      <c r="GB37" s="199"/>
      <c r="GC37" s="200"/>
      <c r="GD37" s="125"/>
      <c r="GE37" s="41"/>
      <c r="GF37" s="41"/>
      <c r="GG37" s="41"/>
      <c r="GH37" s="41"/>
      <c r="GI37" s="199"/>
      <c r="GJ37" s="200"/>
      <c r="GK37" s="125"/>
      <c r="GL37" s="41"/>
      <c r="GM37" s="41"/>
      <c r="GN37" s="41"/>
      <c r="GO37" s="41"/>
      <c r="GP37" s="199"/>
      <c r="GQ37" s="200"/>
      <c r="GR37" s="125"/>
      <c r="GS37" s="41"/>
      <c r="GT37" s="41"/>
      <c r="GU37" s="41"/>
      <c r="GV37" s="41"/>
      <c r="GW37" s="199"/>
      <c r="GX37" s="200"/>
      <c r="GY37" s="125"/>
      <c r="GZ37" s="41"/>
      <c r="HA37" s="41"/>
      <c r="HB37" s="41"/>
      <c r="HC37" s="41"/>
      <c r="HD37" s="199"/>
      <c r="HE37" s="200"/>
    </row>
    <row r="38" spans="2:213" x14ac:dyDescent="0.3">
      <c r="B38" s="8">
        <v>33008</v>
      </c>
      <c r="C38" s="9">
        <v>35</v>
      </c>
      <c r="D38" s="10" t="str">
        <f t="shared" si="6"/>
        <v>X</v>
      </c>
      <c r="E38" s="11" t="str">
        <f t="shared" si="4"/>
        <v>33008X</v>
      </c>
      <c r="F38" s="193" t="s">
        <v>7</v>
      </c>
      <c r="G38" s="184" t="s">
        <v>8</v>
      </c>
      <c r="H38" s="146" t="s">
        <v>44</v>
      </c>
      <c r="I38" s="159" t="s">
        <v>334</v>
      </c>
      <c r="J38" s="160" t="s">
        <v>335</v>
      </c>
      <c r="K38" s="125" t="s">
        <v>459</v>
      </c>
      <c r="L38" s="41" t="s">
        <v>459</v>
      </c>
      <c r="M38" s="41" t="s">
        <v>459</v>
      </c>
      <c r="N38" s="41" t="s">
        <v>459</v>
      </c>
      <c r="O38" s="41" t="s">
        <v>459</v>
      </c>
      <c r="P38" s="199"/>
      <c r="Q38" s="200"/>
      <c r="R38" s="125" t="s">
        <v>459</v>
      </c>
      <c r="S38" s="41" t="s">
        <v>459</v>
      </c>
      <c r="T38" s="41" t="s">
        <v>459</v>
      </c>
      <c r="U38" s="41" t="s">
        <v>459</v>
      </c>
      <c r="V38" s="41" t="s">
        <v>459</v>
      </c>
      <c r="W38" s="199"/>
      <c r="X38" s="200"/>
      <c r="Y38" s="125"/>
      <c r="Z38" s="41"/>
      <c r="AA38" s="41"/>
      <c r="AB38" s="41"/>
      <c r="AC38" s="41"/>
      <c r="AD38" s="199"/>
      <c r="AE38" s="200"/>
      <c r="AF38" s="125"/>
      <c r="AG38" s="41"/>
      <c r="AH38" s="41"/>
      <c r="AI38" s="41"/>
      <c r="AJ38" s="41"/>
      <c r="AK38" s="199"/>
      <c r="AL38" s="200"/>
      <c r="AM38" s="125"/>
      <c r="AN38" s="41"/>
      <c r="AO38" s="41"/>
      <c r="AP38" s="41"/>
      <c r="AQ38" s="41"/>
      <c r="AR38" s="199"/>
      <c r="AS38" s="200"/>
      <c r="AT38" s="125"/>
      <c r="AU38" s="41"/>
      <c r="AV38" s="41"/>
      <c r="AW38" s="41"/>
      <c r="AX38" s="41"/>
      <c r="AY38" s="199"/>
      <c r="AZ38" s="200"/>
      <c r="BA38" s="125"/>
      <c r="BB38" s="41"/>
      <c r="BC38" s="41"/>
      <c r="BD38" s="41"/>
      <c r="BE38" s="41"/>
      <c r="BF38" s="199"/>
      <c r="BG38" s="200"/>
      <c r="BH38" s="125"/>
      <c r="BI38" s="41"/>
      <c r="BJ38" s="41"/>
      <c r="BK38" s="41"/>
      <c r="BL38" s="41"/>
      <c r="BM38" s="199"/>
      <c r="BN38" s="200"/>
      <c r="BO38" s="125"/>
      <c r="BP38" s="41"/>
      <c r="BQ38" s="41"/>
      <c r="BR38" s="41"/>
      <c r="BS38" s="41"/>
      <c r="BT38" s="199"/>
      <c r="BU38" s="200"/>
      <c r="BV38" s="125"/>
      <c r="BW38" s="41"/>
      <c r="BX38" s="41"/>
      <c r="BY38" s="41"/>
      <c r="BZ38" s="41"/>
      <c r="CA38" s="199"/>
      <c r="CB38" s="200"/>
      <c r="CC38" s="125"/>
      <c r="CD38" s="41"/>
      <c r="CE38" s="41"/>
      <c r="CF38" s="41"/>
      <c r="CG38" s="41"/>
      <c r="CH38" s="199"/>
      <c r="CI38" s="200"/>
      <c r="CJ38" s="125"/>
      <c r="CK38" s="41"/>
      <c r="CL38" s="41"/>
      <c r="CM38" s="41"/>
      <c r="CN38" s="41"/>
      <c r="CO38" s="199"/>
      <c r="CP38" s="200"/>
      <c r="CQ38" s="125"/>
      <c r="CR38" s="41"/>
      <c r="CS38" s="41"/>
      <c r="CT38" s="41"/>
      <c r="CU38" s="41"/>
      <c r="CV38" s="199"/>
      <c r="CW38" s="200"/>
      <c r="CX38" s="125"/>
      <c r="CY38" s="41"/>
      <c r="CZ38" s="41"/>
      <c r="DA38" s="41"/>
      <c r="DB38" s="41"/>
      <c r="DC38" s="199"/>
      <c r="DD38" s="200"/>
      <c r="DE38" s="125"/>
      <c r="DF38" s="41"/>
      <c r="DG38" s="41"/>
      <c r="DH38" s="41"/>
      <c r="DI38" s="41"/>
      <c r="DJ38" s="199"/>
      <c r="DK38" s="200"/>
      <c r="DL38" s="125"/>
      <c r="DM38" s="41"/>
      <c r="DN38" s="41"/>
      <c r="DO38" s="41"/>
      <c r="DP38" s="41"/>
      <c r="DQ38" s="199"/>
      <c r="DR38" s="200"/>
      <c r="DS38" s="125"/>
      <c r="DT38" s="41"/>
      <c r="DU38" s="41"/>
      <c r="DV38" s="41"/>
      <c r="DW38" s="41"/>
      <c r="DX38" s="199"/>
      <c r="DY38" s="200"/>
      <c r="DZ38" s="125"/>
      <c r="EA38" s="41"/>
      <c r="EB38" s="41"/>
      <c r="EC38" s="41"/>
      <c r="ED38" s="41"/>
      <c r="EE38" s="199"/>
      <c r="EF38" s="200"/>
      <c r="EG38" s="125"/>
      <c r="EH38" s="41"/>
      <c r="EI38" s="41"/>
      <c r="EJ38" s="41"/>
      <c r="EK38" s="41"/>
      <c r="EL38" s="199"/>
      <c r="EM38" s="200"/>
      <c r="EN38" s="125"/>
      <c r="EO38" s="41"/>
      <c r="EP38" s="41"/>
      <c r="EQ38" s="41"/>
      <c r="ER38" s="41"/>
      <c r="ES38" s="199"/>
      <c r="ET38" s="200"/>
      <c r="EU38" s="125"/>
      <c r="EV38" s="41"/>
      <c r="EW38" s="41"/>
      <c r="EX38" s="41"/>
      <c r="EY38" s="41"/>
      <c r="EZ38" s="199"/>
      <c r="FA38" s="200"/>
      <c r="FB38" s="125"/>
      <c r="FC38" s="41"/>
      <c r="FD38" s="41"/>
      <c r="FE38" s="41"/>
      <c r="FF38" s="41"/>
      <c r="FG38" s="199"/>
      <c r="FH38" s="200"/>
      <c r="FI38" s="125"/>
      <c r="FJ38" s="41"/>
      <c r="FK38" s="41"/>
      <c r="FL38" s="41"/>
      <c r="FM38" s="41"/>
      <c r="FN38" s="199"/>
      <c r="FO38" s="200"/>
      <c r="FP38" s="125"/>
      <c r="FQ38" s="41"/>
      <c r="FR38" s="41"/>
      <c r="FS38" s="41"/>
      <c r="FT38" s="41"/>
      <c r="FU38" s="199"/>
      <c r="FV38" s="200"/>
      <c r="FW38" s="125"/>
      <c r="FX38" s="41"/>
      <c r="FY38" s="41"/>
      <c r="FZ38" s="41"/>
      <c r="GA38" s="41"/>
      <c r="GB38" s="199"/>
      <c r="GC38" s="200"/>
      <c r="GD38" s="125"/>
      <c r="GE38" s="41"/>
      <c r="GF38" s="41"/>
      <c r="GG38" s="41"/>
      <c r="GH38" s="41"/>
      <c r="GI38" s="199"/>
      <c r="GJ38" s="200"/>
      <c r="GK38" s="125"/>
      <c r="GL38" s="41"/>
      <c r="GM38" s="41"/>
      <c r="GN38" s="41"/>
      <c r="GO38" s="41"/>
      <c r="GP38" s="199"/>
      <c r="GQ38" s="200"/>
      <c r="GR38" s="125"/>
      <c r="GS38" s="41"/>
      <c r="GT38" s="41"/>
      <c r="GU38" s="41"/>
      <c r="GV38" s="41"/>
      <c r="GW38" s="199"/>
      <c r="GX38" s="200"/>
      <c r="GY38" s="125"/>
      <c r="GZ38" s="41"/>
      <c r="HA38" s="41"/>
      <c r="HB38" s="41"/>
      <c r="HC38" s="41"/>
      <c r="HD38" s="199"/>
      <c r="HE38" s="200"/>
    </row>
    <row r="39" spans="2:213" x14ac:dyDescent="0.3">
      <c r="B39" s="38">
        <v>33388</v>
      </c>
      <c r="C39" s="9">
        <v>35</v>
      </c>
      <c r="D39" s="10" t="str">
        <f t="shared" si="6"/>
        <v>X</v>
      </c>
      <c r="E39" s="11" t="str">
        <f t="shared" si="4"/>
        <v>33388X</v>
      </c>
      <c r="F39" s="193" t="s">
        <v>7</v>
      </c>
      <c r="G39" s="183" t="s">
        <v>8</v>
      </c>
      <c r="H39" s="146" t="s">
        <v>44</v>
      </c>
      <c r="I39" s="151" t="s">
        <v>376</v>
      </c>
      <c r="J39" s="152" t="s">
        <v>272</v>
      </c>
      <c r="K39" s="125" t="s">
        <v>459</v>
      </c>
      <c r="L39" s="41" t="s">
        <v>459</v>
      </c>
      <c r="M39" s="41" t="s">
        <v>459</v>
      </c>
      <c r="N39" s="41" t="s">
        <v>459</v>
      </c>
      <c r="O39" s="41" t="s">
        <v>459</v>
      </c>
      <c r="P39" s="199"/>
      <c r="Q39" s="200"/>
      <c r="R39" s="125" t="s">
        <v>459</v>
      </c>
      <c r="S39" s="41" t="s">
        <v>459</v>
      </c>
      <c r="T39" s="41" t="s">
        <v>459</v>
      </c>
      <c r="U39" s="41" t="s">
        <v>459</v>
      </c>
      <c r="V39" s="41" t="s">
        <v>459</v>
      </c>
      <c r="W39" s="199"/>
      <c r="X39" s="200"/>
      <c r="Y39" s="125"/>
      <c r="Z39" s="41"/>
      <c r="AA39" s="41"/>
      <c r="AB39" s="41"/>
      <c r="AC39" s="41"/>
      <c r="AD39" s="199"/>
      <c r="AE39" s="200"/>
      <c r="AF39" s="125"/>
      <c r="AG39" s="41"/>
      <c r="AH39" s="41"/>
      <c r="AI39" s="41"/>
      <c r="AJ39" s="41"/>
      <c r="AK39" s="199"/>
      <c r="AL39" s="200"/>
      <c r="AM39" s="125"/>
      <c r="AN39" s="41"/>
      <c r="AO39" s="41"/>
      <c r="AP39" s="41"/>
      <c r="AQ39" s="41"/>
      <c r="AR39" s="199"/>
      <c r="AS39" s="200"/>
      <c r="AT39" s="125"/>
      <c r="AU39" s="41"/>
      <c r="AV39" s="41"/>
      <c r="AW39" s="41"/>
      <c r="AX39" s="41"/>
      <c r="AY39" s="199"/>
      <c r="AZ39" s="200"/>
      <c r="BA39" s="125"/>
      <c r="BB39" s="41"/>
      <c r="BC39" s="41"/>
      <c r="BD39" s="41"/>
      <c r="BE39" s="41"/>
      <c r="BF39" s="199"/>
      <c r="BG39" s="200"/>
      <c r="BH39" s="125"/>
      <c r="BI39" s="41"/>
      <c r="BJ39" s="41"/>
      <c r="BK39" s="41"/>
      <c r="BL39" s="41"/>
      <c r="BM39" s="199"/>
      <c r="BN39" s="200"/>
      <c r="BO39" s="125"/>
      <c r="BP39" s="41"/>
      <c r="BQ39" s="41"/>
      <c r="BR39" s="41"/>
      <c r="BS39" s="41"/>
      <c r="BT39" s="199"/>
      <c r="BU39" s="200"/>
      <c r="BV39" s="125"/>
      <c r="BW39" s="41"/>
      <c r="BX39" s="41"/>
      <c r="BY39" s="41"/>
      <c r="BZ39" s="41"/>
      <c r="CA39" s="199"/>
      <c r="CB39" s="200"/>
      <c r="CC39" s="125"/>
      <c r="CD39" s="41"/>
      <c r="CE39" s="41"/>
      <c r="CF39" s="41"/>
      <c r="CG39" s="41"/>
      <c r="CH39" s="199"/>
      <c r="CI39" s="200"/>
      <c r="CJ39" s="125"/>
      <c r="CK39" s="41"/>
      <c r="CL39" s="41"/>
      <c r="CM39" s="41"/>
      <c r="CN39" s="41"/>
      <c r="CO39" s="199"/>
      <c r="CP39" s="200"/>
      <c r="CQ39" s="125"/>
      <c r="CR39" s="41"/>
      <c r="CS39" s="41"/>
      <c r="CT39" s="41"/>
      <c r="CU39" s="41"/>
      <c r="CV39" s="199"/>
      <c r="CW39" s="200"/>
      <c r="CX39" s="125"/>
      <c r="CY39" s="41"/>
      <c r="CZ39" s="41"/>
      <c r="DA39" s="41"/>
      <c r="DB39" s="41"/>
      <c r="DC39" s="199"/>
      <c r="DD39" s="200"/>
      <c r="DE39" s="125"/>
      <c r="DF39" s="41"/>
      <c r="DG39" s="41"/>
      <c r="DH39" s="41"/>
      <c r="DI39" s="41"/>
      <c r="DJ39" s="199"/>
      <c r="DK39" s="200"/>
      <c r="DL39" s="125"/>
      <c r="DM39" s="41"/>
      <c r="DN39" s="41"/>
      <c r="DO39" s="41"/>
      <c r="DP39" s="41"/>
      <c r="DQ39" s="199"/>
      <c r="DR39" s="200"/>
      <c r="DS39" s="125"/>
      <c r="DT39" s="41"/>
      <c r="DU39" s="41"/>
      <c r="DV39" s="41"/>
      <c r="DW39" s="41"/>
      <c r="DX39" s="199"/>
      <c r="DY39" s="200"/>
      <c r="DZ39" s="125"/>
      <c r="EA39" s="41"/>
      <c r="EB39" s="41"/>
      <c r="EC39" s="41"/>
      <c r="ED39" s="41"/>
      <c r="EE39" s="199"/>
      <c r="EF39" s="200"/>
      <c r="EG39" s="125"/>
      <c r="EH39" s="41"/>
      <c r="EI39" s="41"/>
      <c r="EJ39" s="41"/>
      <c r="EK39" s="41"/>
      <c r="EL39" s="199"/>
      <c r="EM39" s="200"/>
      <c r="EN39" s="125"/>
      <c r="EO39" s="41"/>
      <c r="EP39" s="41"/>
      <c r="EQ39" s="41"/>
      <c r="ER39" s="41"/>
      <c r="ES39" s="199"/>
      <c r="ET39" s="200"/>
      <c r="EU39" s="125"/>
      <c r="EV39" s="41"/>
      <c r="EW39" s="41"/>
      <c r="EX39" s="41"/>
      <c r="EY39" s="41"/>
      <c r="EZ39" s="199"/>
      <c r="FA39" s="200"/>
      <c r="FB39" s="125"/>
      <c r="FC39" s="41"/>
      <c r="FD39" s="41"/>
      <c r="FE39" s="41"/>
      <c r="FF39" s="41"/>
      <c r="FG39" s="199"/>
      <c r="FH39" s="200"/>
      <c r="FI39" s="125"/>
      <c r="FJ39" s="41"/>
      <c r="FK39" s="41"/>
      <c r="FL39" s="41"/>
      <c r="FM39" s="41"/>
      <c r="FN39" s="199"/>
      <c r="FO39" s="200"/>
      <c r="FP39" s="125"/>
      <c r="FQ39" s="41"/>
      <c r="FR39" s="41"/>
      <c r="FS39" s="41"/>
      <c r="FT39" s="41"/>
      <c r="FU39" s="199"/>
      <c r="FV39" s="200"/>
      <c r="FW39" s="125"/>
      <c r="FX39" s="41"/>
      <c r="FY39" s="41"/>
      <c r="FZ39" s="41"/>
      <c r="GA39" s="41"/>
      <c r="GB39" s="199"/>
      <c r="GC39" s="200"/>
      <c r="GD39" s="125"/>
      <c r="GE39" s="41"/>
      <c r="GF39" s="41"/>
      <c r="GG39" s="41"/>
      <c r="GH39" s="41"/>
      <c r="GI39" s="199"/>
      <c r="GJ39" s="200"/>
      <c r="GK39" s="125"/>
      <c r="GL39" s="41"/>
      <c r="GM39" s="41"/>
      <c r="GN39" s="41"/>
      <c r="GO39" s="41"/>
      <c r="GP39" s="199"/>
      <c r="GQ39" s="200"/>
      <c r="GR39" s="125"/>
      <c r="GS39" s="41"/>
      <c r="GT39" s="41"/>
      <c r="GU39" s="41"/>
      <c r="GV39" s="41"/>
      <c r="GW39" s="199"/>
      <c r="GX39" s="200"/>
      <c r="GY39" s="125"/>
      <c r="GZ39" s="41"/>
      <c r="HA39" s="41"/>
      <c r="HB39" s="41"/>
      <c r="HC39" s="41"/>
      <c r="HD39" s="199"/>
      <c r="HE39" s="200"/>
    </row>
    <row r="40" spans="2:213" x14ac:dyDescent="0.3">
      <c r="B40" s="8">
        <v>51530</v>
      </c>
      <c r="C40" s="9">
        <v>35</v>
      </c>
      <c r="D40" s="10" t="str">
        <f t="shared" si="6"/>
        <v>X</v>
      </c>
      <c r="E40" s="10" t="str">
        <f t="shared" si="4"/>
        <v>51530X</v>
      </c>
      <c r="F40" s="193" t="s">
        <v>7</v>
      </c>
      <c r="G40" s="186" t="s">
        <v>29</v>
      </c>
      <c r="H40" s="146" t="s">
        <v>35</v>
      </c>
      <c r="I40" s="149" t="s">
        <v>42</v>
      </c>
      <c r="J40" s="150" t="s">
        <v>43</v>
      </c>
      <c r="K40" s="125" t="s">
        <v>459</v>
      </c>
      <c r="L40" s="41" t="s">
        <v>459</v>
      </c>
      <c r="M40" s="41" t="s">
        <v>459</v>
      </c>
      <c r="N40" s="41" t="s">
        <v>459</v>
      </c>
      <c r="O40" s="41" t="s">
        <v>459</v>
      </c>
      <c r="P40" s="199"/>
      <c r="Q40" s="200"/>
      <c r="R40" s="125" t="s">
        <v>459</v>
      </c>
      <c r="S40" s="41" t="s">
        <v>459</v>
      </c>
      <c r="T40" s="41" t="s">
        <v>459</v>
      </c>
      <c r="U40" s="41" t="s">
        <v>459</v>
      </c>
      <c r="V40" s="41" t="s">
        <v>459</v>
      </c>
      <c r="W40" s="199"/>
      <c r="X40" s="200"/>
      <c r="Y40" s="125"/>
      <c r="Z40" s="41"/>
      <c r="AA40" s="41"/>
      <c r="AB40" s="41"/>
      <c r="AC40" s="41"/>
      <c r="AD40" s="199"/>
      <c r="AE40" s="200"/>
      <c r="AF40" s="125"/>
      <c r="AG40" s="41"/>
      <c r="AH40" s="41"/>
      <c r="AI40" s="41"/>
      <c r="AJ40" s="41"/>
      <c r="AK40" s="199"/>
      <c r="AL40" s="200"/>
      <c r="AM40" s="125"/>
      <c r="AN40" s="41"/>
      <c r="AO40" s="41"/>
      <c r="AP40" s="41"/>
      <c r="AQ40" s="41"/>
      <c r="AR40" s="199"/>
      <c r="AS40" s="200"/>
      <c r="AT40" s="125"/>
      <c r="AU40" s="41"/>
      <c r="AV40" s="41"/>
      <c r="AW40" s="41"/>
      <c r="AX40" s="41"/>
      <c r="AY40" s="199"/>
      <c r="AZ40" s="200"/>
      <c r="BA40" s="125"/>
      <c r="BB40" s="41"/>
      <c r="BC40" s="41"/>
      <c r="BD40" s="41"/>
      <c r="BE40" s="41"/>
      <c r="BF40" s="199"/>
      <c r="BG40" s="200"/>
      <c r="BH40" s="125"/>
      <c r="BI40" s="41"/>
      <c r="BJ40" s="41"/>
      <c r="BK40" s="41"/>
      <c r="BL40" s="41"/>
      <c r="BM40" s="199"/>
      <c r="BN40" s="200"/>
      <c r="BO40" s="125"/>
      <c r="BP40" s="41"/>
      <c r="BQ40" s="41"/>
      <c r="BR40" s="41"/>
      <c r="BS40" s="41"/>
      <c r="BT40" s="199"/>
      <c r="BU40" s="200"/>
      <c r="BV40" s="125"/>
      <c r="BW40" s="41"/>
      <c r="BX40" s="41"/>
      <c r="BY40" s="41"/>
      <c r="BZ40" s="41"/>
      <c r="CA40" s="199"/>
      <c r="CB40" s="200"/>
      <c r="CC40" s="125"/>
      <c r="CD40" s="41"/>
      <c r="CE40" s="41"/>
      <c r="CF40" s="41"/>
      <c r="CG40" s="41"/>
      <c r="CH40" s="199"/>
      <c r="CI40" s="200"/>
      <c r="CJ40" s="125"/>
      <c r="CK40" s="41"/>
      <c r="CL40" s="41"/>
      <c r="CM40" s="41"/>
      <c r="CN40" s="41"/>
      <c r="CO40" s="199"/>
      <c r="CP40" s="200"/>
      <c r="CQ40" s="125"/>
      <c r="CR40" s="41"/>
      <c r="CS40" s="41"/>
      <c r="CT40" s="41"/>
      <c r="CU40" s="41"/>
      <c r="CV40" s="199"/>
      <c r="CW40" s="200"/>
      <c r="CX40" s="125"/>
      <c r="CY40" s="41"/>
      <c r="CZ40" s="41"/>
      <c r="DA40" s="41"/>
      <c r="DB40" s="41"/>
      <c r="DC40" s="199"/>
      <c r="DD40" s="200"/>
      <c r="DE40" s="125"/>
      <c r="DF40" s="41"/>
      <c r="DG40" s="41"/>
      <c r="DH40" s="41"/>
      <c r="DI40" s="41"/>
      <c r="DJ40" s="199"/>
      <c r="DK40" s="200"/>
      <c r="DL40" s="125"/>
      <c r="DM40" s="41"/>
      <c r="DN40" s="41"/>
      <c r="DO40" s="41"/>
      <c r="DP40" s="41"/>
      <c r="DQ40" s="199"/>
      <c r="DR40" s="200"/>
      <c r="DS40" s="125"/>
      <c r="DT40" s="41"/>
      <c r="DU40" s="41"/>
      <c r="DV40" s="41"/>
      <c r="DW40" s="41"/>
      <c r="DX40" s="199"/>
      <c r="DY40" s="200"/>
      <c r="DZ40" s="125"/>
      <c r="EA40" s="41"/>
      <c r="EB40" s="41"/>
      <c r="EC40" s="41"/>
      <c r="ED40" s="41"/>
      <c r="EE40" s="199"/>
      <c r="EF40" s="200"/>
      <c r="EG40" s="125"/>
      <c r="EH40" s="41"/>
      <c r="EI40" s="41"/>
      <c r="EJ40" s="41"/>
      <c r="EK40" s="41"/>
      <c r="EL40" s="199"/>
      <c r="EM40" s="200"/>
      <c r="EN40" s="125"/>
      <c r="EO40" s="41"/>
      <c r="EP40" s="41"/>
      <c r="EQ40" s="41"/>
      <c r="ER40" s="41"/>
      <c r="ES40" s="199"/>
      <c r="ET40" s="200"/>
      <c r="EU40" s="125"/>
      <c r="EV40" s="41"/>
      <c r="EW40" s="41"/>
      <c r="EX40" s="41"/>
      <c r="EY40" s="41"/>
      <c r="EZ40" s="199"/>
      <c r="FA40" s="200"/>
      <c r="FB40" s="125"/>
      <c r="FC40" s="41"/>
      <c r="FD40" s="41"/>
      <c r="FE40" s="41"/>
      <c r="FF40" s="41"/>
      <c r="FG40" s="199"/>
      <c r="FH40" s="200"/>
      <c r="FI40" s="125"/>
      <c r="FJ40" s="41"/>
      <c r="FK40" s="41"/>
      <c r="FL40" s="41"/>
      <c r="FM40" s="41"/>
      <c r="FN40" s="199"/>
      <c r="FO40" s="200"/>
      <c r="FP40" s="125"/>
      <c r="FQ40" s="41"/>
      <c r="FR40" s="41"/>
      <c r="FS40" s="41"/>
      <c r="FT40" s="41"/>
      <c r="FU40" s="199"/>
      <c r="FV40" s="200"/>
      <c r="FW40" s="125"/>
      <c r="FX40" s="41"/>
      <c r="FY40" s="41"/>
      <c r="FZ40" s="41"/>
      <c r="GA40" s="41"/>
      <c r="GB40" s="199"/>
      <c r="GC40" s="200"/>
      <c r="GD40" s="125"/>
      <c r="GE40" s="41"/>
      <c r="GF40" s="41"/>
      <c r="GG40" s="41"/>
      <c r="GH40" s="41"/>
      <c r="GI40" s="199"/>
      <c r="GJ40" s="200"/>
      <c r="GK40" s="125"/>
      <c r="GL40" s="41"/>
      <c r="GM40" s="41"/>
      <c r="GN40" s="41"/>
      <c r="GO40" s="41"/>
      <c r="GP40" s="199"/>
      <c r="GQ40" s="200"/>
      <c r="GR40" s="125"/>
      <c r="GS40" s="41"/>
      <c r="GT40" s="41"/>
      <c r="GU40" s="41"/>
      <c r="GV40" s="41"/>
      <c r="GW40" s="199"/>
      <c r="GX40" s="200"/>
      <c r="GY40" s="125"/>
      <c r="GZ40" s="41"/>
      <c r="HA40" s="41"/>
      <c r="HB40" s="41"/>
      <c r="HC40" s="41"/>
      <c r="HD40" s="199"/>
      <c r="HE40" s="200"/>
    </row>
    <row r="41" spans="2:213" x14ac:dyDescent="0.3">
      <c r="B41" s="38">
        <v>105536</v>
      </c>
      <c r="C41" s="9">
        <v>35</v>
      </c>
      <c r="D41" s="10" t="s">
        <v>19</v>
      </c>
      <c r="E41" s="11" t="str">
        <f t="shared" si="4"/>
        <v>105536X</v>
      </c>
      <c r="F41" s="193" t="s">
        <v>7</v>
      </c>
      <c r="G41" s="187" t="s">
        <v>29</v>
      </c>
      <c r="H41" s="146" t="s">
        <v>35</v>
      </c>
      <c r="I41" s="159" t="s">
        <v>92</v>
      </c>
      <c r="J41" s="160" t="s">
        <v>93</v>
      </c>
      <c r="K41" s="125" t="s">
        <v>459</v>
      </c>
      <c r="L41" s="41" t="s">
        <v>459</v>
      </c>
      <c r="M41" s="41" t="s">
        <v>459</v>
      </c>
      <c r="N41" s="41" t="s">
        <v>459</v>
      </c>
      <c r="O41" s="41" t="s">
        <v>459</v>
      </c>
      <c r="P41" s="199"/>
      <c r="Q41" s="200"/>
      <c r="R41" s="125" t="s">
        <v>459</v>
      </c>
      <c r="S41" s="41" t="s">
        <v>459</v>
      </c>
      <c r="T41" s="41" t="s">
        <v>459</v>
      </c>
      <c r="U41" s="41" t="s">
        <v>459</v>
      </c>
      <c r="V41" s="41" t="s">
        <v>459</v>
      </c>
      <c r="W41" s="199"/>
      <c r="X41" s="200"/>
      <c r="Y41" s="125"/>
      <c r="Z41" s="41"/>
      <c r="AA41" s="41"/>
      <c r="AB41" s="41"/>
      <c r="AC41" s="41"/>
      <c r="AD41" s="199"/>
      <c r="AE41" s="200"/>
      <c r="AF41" s="125"/>
      <c r="AG41" s="41"/>
      <c r="AH41" s="41"/>
      <c r="AI41" s="41"/>
      <c r="AJ41" s="41"/>
      <c r="AK41" s="199"/>
      <c r="AL41" s="200"/>
      <c r="AM41" s="125"/>
      <c r="AN41" s="41"/>
      <c r="AO41" s="41"/>
      <c r="AP41" s="41"/>
      <c r="AQ41" s="41"/>
      <c r="AR41" s="199"/>
      <c r="AS41" s="200"/>
      <c r="AT41" s="125"/>
      <c r="AU41" s="41"/>
      <c r="AV41" s="41"/>
      <c r="AW41" s="41"/>
      <c r="AX41" s="41"/>
      <c r="AY41" s="199"/>
      <c r="AZ41" s="200"/>
      <c r="BA41" s="125"/>
      <c r="BB41" s="41"/>
      <c r="BC41" s="41"/>
      <c r="BD41" s="41"/>
      <c r="BE41" s="41"/>
      <c r="BF41" s="199"/>
      <c r="BG41" s="200"/>
      <c r="BH41" s="125"/>
      <c r="BI41" s="41"/>
      <c r="BJ41" s="41"/>
      <c r="BK41" s="41"/>
      <c r="BL41" s="41"/>
      <c r="BM41" s="199"/>
      <c r="BN41" s="200"/>
      <c r="BO41" s="125"/>
      <c r="BP41" s="41"/>
      <c r="BQ41" s="41"/>
      <c r="BR41" s="41"/>
      <c r="BS41" s="41"/>
      <c r="BT41" s="199"/>
      <c r="BU41" s="200"/>
      <c r="BV41" s="125"/>
      <c r="BW41" s="41"/>
      <c r="BX41" s="41"/>
      <c r="BY41" s="41"/>
      <c r="BZ41" s="41"/>
      <c r="CA41" s="199"/>
      <c r="CB41" s="200"/>
      <c r="CC41" s="125"/>
      <c r="CD41" s="41"/>
      <c r="CE41" s="41"/>
      <c r="CF41" s="41"/>
      <c r="CG41" s="41"/>
      <c r="CH41" s="199"/>
      <c r="CI41" s="200"/>
      <c r="CJ41" s="125"/>
      <c r="CK41" s="41"/>
      <c r="CL41" s="41"/>
      <c r="CM41" s="41"/>
      <c r="CN41" s="41"/>
      <c r="CO41" s="199"/>
      <c r="CP41" s="200"/>
      <c r="CQ41" s="125"/>
      <c r="CR41" s="41"/>
      <c r="CS41" s="41"/>
      <c r="CT41" s="41"/>
      <c r="CU41" s="41"/>
      <c r="CV41" s="199"/>
      <c r="CW41" s="200"/>
      <c r="CX41" s="125"/>
      <c r="CY41" s="41"/>
      <c r="CZ41" s="41"/>
      <c r="DA41" s="41"/>
      <c r="DB41" s="41"/>
      <c r="DC41" s="199"/>
      <c r="DD41" s="200"/>
      <c r="DE41" s="125"/>
      <c r="DF41" s="41"/>
      <c r="DG41" s="41"/>
      <c r="DH41" s="41"/>
      <c r="DI41" s="41"/>
      <c r="DJ41" s="199"/>
      <c r="DK41" s="200"/>
      <c r="DL41" s="125"/>
      <c r="DM41" s="41"/>
      <c r="DN41" s="41"/>
      <c r="DO41" s="41"/>
      <c r="DP41" s="41"/>
      <c r="DQ41" s="199"/>
      <c r="DR41" s="200"/>
      <c r="DS41" s="125"/>
      <c r="DT41" s="41"/>
      <c r="DU41" s="41"/>
      <c r="DV41" s="41"/>
      <c r="DW41" s="41"/>
      <c r="DX41" s="199"/>
      <c r="DY41" s="200"/>
      <c r="DZ41" s="125"/>
      <c r="EA41" s="41"/>
      <c r="EB41" s="41"/>
      <c r="EC41" s="41"/>
      <c r="ED41" s="41"/>
      <c r="EE41" s="199"/>
      <c r="EF41" s="200"/>
      <c r="EG41" s="125"/>
      <c r="EH41" s="41"/>
      <c r="EI41" s="41"/>
      <c r="EJ41" s="41"/>
      <c r="EK41" s="41"/>
      <c r="EL41" s="199"/>
      <c r="EM41" s="200"/>
      <c r="EN41" s="125"/>
      <c r="EO41" s="41"/>
      <c r="EP41" s="41"/>
      <c r="EQ41" s="41"/>
      <c r="ER41" s="41"/>
      <c r="ES41" s="199"/>
      <c r="ET41" s="200"/>
      <c r="EU41" s="125"/>
      <c r="EV41" s="41"/>
      <c r="EW41" s="41"/>
      <c r="EX41" s="41"/>
      <c r="EY41" s="41"/>
      <c r="EZ41" s="199"/>
      <c r="FA41" s="200"/>
      <c r="FB41" s="125"/>
      <c r="FC41" s="41"/>
      <c r="FD41" s="41"/>
      <c r="FE41" s="41"/>
      <c r="FF41" s="41"/>
      <c r="FG41" s="199"/>
      <c r="FH41" s="200"/>
      <c r="FI41" s="125"/>
      <c r="FJ41" s="41"/>
      <c r="FK41" s="41"/>
      <c r="FL41" s="41"/>
      <c r="FM41" s="41"/>
      <c r="FN41" s="199"/>
      <c r="FO41" s="200"/>
      <c r="FP41" s="125"/>
      <c r="FQ41" s="41"/>
      <c r="FR41" s="41"/>
      <c r="FS41" s="41"/>
      <c r="FT41" s="41"/>
      <c r="FU41" s="199"/>
      <c r="FV41" s="200"/>
      <c r="FW41" s="125"/>
      <c r="FX41" s="41"/>
      <c r="FY41" s="41"/>
      <c r="FZ41" s="41"/>
      <c r="GA41" s="41"/>
      <c r="GB41" s="199"/>
      <c r="GC41" s="200"/>
      <c r="GD41" s="125"/>
      <c r="GE41" s="41"/>
      <c r="GF41" s="41"/>
      <c r="GG41" s="41"/>
      <c r="GH41" s="41"/>
      <c r="GI41" s="199"/>
      <c r="GJ41" s="200"/>
      <c r="GK41" s="125"/>
      <c r="GL41" s="41"/>
      <c r="GM41" s="41"/>
      <c r="GN41" s="41"/>
      <c r="GO41" s="41"/>
      <c r="GP41" s="199"/>
      <c r="GQ41" s="200"/>
      <c r="GR41" s="125"/>
      <c r="GS41" s="41"/>
      <c r="GT41" s="41"/>
      <c r="GU41" s="41"/>
      <c r="GV41" s="41"/>
      <c r="GW41" s="199"/>
      <c r="GX41" s="200"/>
      <c r="GY41" s="125"/>
      <c r="GZ41" s="41"/>
      <c r="HA41" s="41"/>
      <c r="HB41" s="41"/>
      <c r="HC41" s="41"/>
      <c r="HD41" s="199"/>
      <c r="HE41" s="200"/>
    </row>
    <row r="42" spans="2:213" x14ac:dyDescent="0.3">
      <c r="B42" s="38">
        <v>71336</v>
      </c>
      <c r="C42" s="9">
        <v>35</v>
      </c>
      <c r="D42" s="10" t="str">
        <f>IF(G42="","","X")</f>
        <v>X</v>
      </c>
      <c r="E42" s="11" t="str">
        <f t="shared" si="4"/>
        <v>71336X</v>
      </c>
      <c r="F42" s="193" t="s">
        <v>7</v>
      </c>
      <c r="G42" s="187" t="s">
        <v>29</v>
      </c>
      <c r="H42" s="146" t="s">
        <v>9</v>
      </c>
      <c r="I42" s="159" t="s">
        <v>105</v>
      </c>
      <c r="J42" s="160" t="s">
        <v>106</v>
      </c>
      <c r="K42" s="125" t="s">
        <v>459</v>
      </c>
      <c r="L42" s="41" t="s">
        <v>459</v>
      </c>
      <c r="M42" s="41" t="s">
        <v>459</v>
      </c>
      <c r="N42" s="41" t="s">
        <v>459</v>
      </c>
      <c r="O42" s="41" t="s">
        <v>459</v>
      </c>
      <c r="P42" s="199"/>
      <c r="Q42" s="200"/>
      <c r="R42" s="125" t="s">
        <v>459</v>
      </c>
      <c r="S42" s="41" t="s">
        <v>459</v>
      </c>
      <c r="T42" s="41" t="s">
        <v>459</v>
      </c>
      <c r="U42" s="41" t="s">
        <v>459</v>
      </c>
      <c r="V42" s="41" t="s">
        <v>459</v>
      </c>
      <c r="W42" s="199"/>
      <c r="X42" s="200"/>
      <c r="Y42" s="125"/>
      <c r="Z42" s="41"/>
      <c r="AA42" s="41"/>
      <c r="AB42" s="41"/>
      <c r="AC42" s="41"/>
      <c r="AD42" s="199"/>
      <c r="AE42" s="200"/>
      <c r="AF42" s="125"/>
      <c r="AG42" s="41"/>
      <c r="AH42" s="41"/>
      <c r="AI42" s="41"/>
      <c r="AJ42" s="41"/>
      <c r="AK42" s="199"/>
      <c r="AL42" s="200"/>
      <c r="AM42" s="125"/>
      <c r="AN42" s="41"/>
      <c r="AO42" s="41"/>
      <c r="AP42" s="41"/>
      <c r="AQ42" s="41"/>
      <c r="AR42" s="199"/>
      <c r="AS42" s="200"/>
      <c r="AT42" s="125"/>
      <c r="AU42" s="41"/>
      <c r="AV42" s="41"/>
      <c r="AW42" s="41"/>
      <c r="AX42" s="41"/>
      <c r="AY42" s="199"/>
      <c r="AZ42" s="200"/>
      <c r="BA42" s="125"/>
      <c r="BB42" s="41"/>
      <c r="BC42" s="41"/>
      <c r="BD42" s="41"/>
      <c r="BE42" s="41"/>
      <c r="BF42" s="199"/>
      <c r="BG42" s="200"/>
      <c r="BH42" s="125"/>
      <c r="BI42" s="41"/>
      <c r="BJ42" s="41"/>
      <c r="BK42" s="41"/>
      <c r="BL42" s="41"/>
      <c r="BM42" s="199"/>
      <c r="BN42" s="200"/>
      <c r="BO42" s="125"/>
      <c r="BP42" s="41"/>
      <c r="BQ42" s="41"/>
      <c r="BR42" s="41"/>
      <c r="BS42" s="41"/>
      <c r="BT42" s="199"/>
      <c r="BU42" s="200"/>
      <c r="BV42" s="125"/>
      <c r="BW42" s="41"/>
      <c r="BX42" s="41"/>
      <c r="BY42" s="41"/>
      <c r="BZ42" s="41"/>
      <c r="CA42" s="199"/>
      <c r="CB42" s="200"/>
      <c r="CC42" s="125"/>
      <c r="CD42" s="41"/>
      <c r="CE42" s="41"/>
      <c r="CF42" s="41"/>
      <c r="CG42" s="41"/>
      <c r="CH42" s="199"/>
      <c r="CI42" s="200"/>
      <c r="CJ42" s="125"/>
      <c r="CK42" s="41"/>
      <c r="CL42" s="41"/>
      <c r="CM42" s="41"/>
      <c r="CN42" s="41"/>
      <c r="CO42" s="199"/>
      <c r="CP42" s="200"/>
      <c r="CQ42" s="125"/>
      <c r="CR42" s="41"/>
      <c r="CS42" s="41"/>
      <c r="CT42" s="41"/>
      <c r="CU42" s="41"/>
      <c r="CV42" s="199"/>
      <c r="CW42" s="200"/>
      <c r="CX42" s="125"/>
      <c r="CY42" s="41"/>
      <c r="CZ42" s="41"/>
      <c r="DA42" s="41"/>
      <c r="DB42" s="41"/>
      <c r="DC42" s="199"/>
      <c r="DD42" s="200"/>
      <c r="DE42" s="125"/>
      <c r="DF42" s="41"/>
      <c r="DG42" s="41"/>
      <c r="DH42" s="41"/>
      <c r="DI42" s="41"/>
      <c r="DJ42" s="199"/>
      <c r="DK42" s="200"/>
      <c r="DL42" s="125"/>
      <c r="DM42" s="41"/>
      <c r="DN42" s="41"/>
      <c r="DO42" s="41"/>
      <c r="DP42" s="41"/>
      <c r="DQ42" s="199"/>
      <c r="DR42" s="200"/>
      <c r="DS42" s="125"/>
      <c r="DT42" s="41"/>
      <c r="DU42" s="41"/>
      <c r="DV42" s="41"/>
      <c r="DW42" s="41"/>
      <c r="DX42" s="199"/>
      <c r="DY42" s="200"/>
      <c r="DZ42" s="125"/>
      <c r="EA42" s="41"/>
      <c r="EB42" s="41"/>
      <c r="EC42" s="41"/>
      <c r="ED42" s="41"/>
      <c r="EE42" s="199"/>
      <c r="EF42" s="200"/>
      <c r="EG42" s="125"/>
      <c r="EH42" s="41"/>
      <c r="EI42" s="41"/>
      <c r="EJ42" s="41"/>
      <c r="EK42" s="41"/>
      <c r="EL42" s="199"/>
      <c r="EM42" s="200"/>
      <c r="EN42" s="125"/>
      <c r="EO42" s="41"/>
      <c r="EP42" s="41"/>
      <c r="EQ42" s="41"/>
      <c r="ER42" s="41"/>
      <c r="ES42" s="199"/>
      <c r="ET42" s="200"/>
      <c r="EU42" s="125"/>
      <c r="EV42" s="41"/>
      <c r="EW42" s="41"/>
      <c r="EX42" s="41"/>
      <c r="EY42" s="41"/>
      <c r="EZ42" s="199"/>
      <c r="FA42" s="200"/>
      <c r="FB42" s="125"/>
      <c r="FC42" s="41"/>
      <c r="FD42" s="41"/>
      <c r="FE42" s="41"/>
      <c r="FF42" s="41"/>
      <c r="FG42" s="199"/>
      <c r="FH42" s="200"/>
      <c r="FI42" s="125"/>
      <c r="FJ42" s="41"/>
      <c r="FK42" s="41"/>
      <c r="FL42" s="41"/>
      <c r="FM42" s="41"/>
      <c r="FN42" s="199"/>
      <c r="FO42" s="200"/>
      <c r="FP42" s="125"/>
      <c r="FQ42" s="41"/>
      <c r="FR42" s="41"/>
      <c r="FS42" s="41"/>
      <c r="FT42" s="41"/>
      <c r="FU42" s="199"/>
      <c r="FV42" s="200"/>
      <c r="FW42" s="125"/>
      <c r="FX42" s="41"/>
      <c r="FY42" s="41"/>
      <c r="FZ42" s="41"/>
      <c r="GA42" s="41"/>
      <c r="GB42" s="199"/>
      <c r="GC42" s="200"/>
      <c r="GD42" s="125"/>
      <c r="GE42" s="41"/>
      <c r="GF42" s="41"/>
      <c r="GG42" s="41"/>
      <c r="GH42" s="41"/>
      <c r="GI42" s="199"/>
      <c r="GJ42" s="200"/>
      <c r="GK42" s="125"/>
      <c r="GL42" s="41"/>
      <c r="GM42" s="41"/>
      <c r="GN42" s="41"/>
      <c r="GO42" s="41"/>
      <c r="GP42" s="199"/>
      <c r="GQ42" s="200"/>
      <c r="GR42" s="125"/>
      <c r="GS42" s="41"/>
      <c r="GT42" s="41"/>
      <c r="GU42" s="41"/>
      <c r="GV42" s="41"/>
      <c r="GW42" s="199"/>
      <c r="GX42" s="200"/>
      <c r="GY42" s="125"/>
      <c r="GZ42" s="41"/>
      <c r="HA42" s="41"/>
      <c r="HB42" s="41"/>
      <c r="HC42" s="41"/>
      <c r="HD42" s="199"/>
      <c r="HE42" s="200"/>
    </row>
    <row r="43" spans="2:213" x14ac:dyDescent="0.3">
      <c r="B43" s="38">
        <v>34246</v>
      </c>
      <c r="C43" s="9">
        <v>35</v>
      </c>
      <c r="D43" s="10" t="str">
        <f>IF(G43="","","X")</f>
        <v>X</v>
      </c>
      <c r="E43" s="11" t="str">
        <f t="shared" si="4"/>
        <v>34246X</v>
      </c>
      <c r="F43" s="193" t="s">
        <v>7</v>
      </c>
      <c r="G43" s="187" t="s">
        <v>29</v>
      </c>
      <c r="H43" s="146" t="s">
        <v>35</v>
      </c>
      <c r="I43" s="159" t="s">
        <v>177</v>
      </c>
      <c r="J43" s="160" t="s">
        <v>178</v>
      </c>
      <c r="K43" s="125" t="s">
        <v>459</v>
      </c>
      <c r="L43" s="41" t="s">
        <v>459</v>
      </c>
      <c r="M43" s="41" t="s">
        <v>459</v>
      </c>
      <c r="N43" s="41" t="s">
        <v>459</v>
      </c>
      <c r="O43" s="41" t="s">
        <v>459</v>
      </c>
      <c r="P43" s="199"/>
      <c r="Q43" s="200"/>
      <c r="R43" s="125" t="s">
        <v>459</v>
      </c>
      <c r="S43" s="41" t="s">
        <v>459</v>
      </c>
      <c r="T43" s="41" t="s">
        <v>459</v>
      </c>
      <c r="U43" s="41" t="s">
        <v>459</v>
      </c>
      <c r="V43" s="41" t="s">
        <v>459</v>
      </c>
      <c r="W43" s="199"/>
      <c r="X43" s="200"/>
      <c r="Y43" s="125"/>
      <c r="Z43" s="41"/>
      <c r="AA43" s="41"/>
      <c r="AB43" s="41"/>
      <c r="AC43" s="41"/>
      <c r="AD43" s="199"/>
      <c r="AE43" s="200"/>
      <c r="AF43" s="125"/>
      <c r="AG43" s="41"/>
      <c r="AH43" s="41"/>
      <c r="AI43" s="41"/>
      <c r="AJ43" s="41"/>
      <c r="AK43" s="199"/>
      <c r="AL43" s="200"/>
      <c r="AM43" s="125"/>
      <c r="AN43" s="41"/>
      <c r="AO43" s="41"/>
      <c r="AP43" s="41"/>
      <c r="AQ43" s="41"/>
      <c r="AR43" s="199"/>
      <c r="AS43" s="200"/>
      <c r="AT43" s="125"/>
      <c r="AU43" s="41"/>
      <c r="AV43" s="41"/>
      <c r="AW43" s="41"/>
      <c r="AX43" s="41"/>
      <c r="AY43" s="199"/>
      <c r="AZ43" s="200"/>
      <c r="BA43" s="125"/>
      <c r="BB43" s="41"/>
      <c r="BC43" s="41"/>
      <c r="BD43" s="41"/>
      <c r="BE43" s="41"/>
      <c r="BF43" s="199"/>
      <c r="BG43" s="200"/>
      <c r="BH43" s="125"/>
      <c r="BI43" s="41"/>
      <c r="BJ43" s="41"/>
      <c r="BK43" s="41"/>
      <c r="BL43" s="41"/>
      <c r="BM43" s="199"/>
      <c r="BN43" s="200"/>
      <c r="BO43" s="125"/>
      <c r="BP43" s="41"/>
      <c r="BQ43" s="41"/>
      <c r="BR43" s="41"/>
      <c r="BS43" s="41"/>
      <c r="BT43" s="199"/>
      <c r="BU43" s="200"/>
      <c r="BV43" s="125"/>
      <c r="BW43" s="41"/>
      <c r="BX43" s="41"/>
      <c r="BY43" s="41"/>
      <c r="BZ43" s="41"/>
      <c r="CA43" s="199"/>
      <c r="CB43" s="200"/>
      <c r="CC43" s="125"/>
      <c r="CD43" s="41"/>
      <c r="CE43" s="41"/>
      <c r="CF43" s="41"/>
      <c r="CG43" s="41"/>
      <c r="CH43" s="199"/>
      <c r="CI43" s="200"/>
      <c r="CJ43" s="125"/>
      <c r="CK43" s="41"/>
      <c r="CL43" s="41"/>
      <c r="CM43" s="41"/>
      <c r="CN43" s="41"/>
      <c r="CO43" s="199"/>
      <c r="CP43" s="200"/>
      <c r="CQ43" s="125"/>
      <c r="CR43" s="41"/>
      <c r="CS43" s="41"/>
      <c r="CT43" s="41"/>
      <c r="CU43" s="41"/>
      <c r="CV43" s="199"/>
      <c r="CW43" s="200"/>
      <c r="CX43" s="125"/>
      <c r="CY43" s="41"/>
      <c r="CZ43" s="41"/>
      <c r="DA43" s="41"/>
      <c r="DB43" s="41"/>
      <c r="DC43" s="199"/>
      <c r="DD43" s="200"/>
      <c r="DE43" s="125"/>
      <c r="DF43" s="41"/>
      <c r="DG43" s="41"/>
      <c r="DH43" s="41"/>
      <c r="DI43" s="41"/>
      <c r="DJ43" s="199"/>
      <c r="DK43" s="200"/>
      <c r="DL43" s="125"/>
      <c r="DM43" s="41"/>
      <c r="DN43" s="41"/>
      <c r="DO43" s="41"/>
      <c r="DP43" s="41"/>
      <c r="DQ43" s="199"/>
      <c r="DR43" s="200"/>
      <c r="DS43" s="125"/>
      <c r="DT43" s="41"/>
      <c r="DU43" s="41"/>
      <c r="DV43" s="41"/>
      <c r="DW43" s="41"/>
      <c r="DX43" s="199"/>
      <c r="DY43" s="200"/>
      <c r="DZ43" s="125"/>
      <c r="EA43" s="41"/>
      <c r="EB43" s="41"/>
      <c r="EC43" s="41"/>
      <c r="ED43" s="41"/>
      <c r="EE43" s="199"/>
      <c r="EF43" s="200"/>
      <c r="EG43" s="125"/>
      <c r="EH43" s="41"/>
      <c r="EI43" s="41"/>
      <c r="EJ43" s="41"/>
      <c r="EK43" s="41"/>
      <c r="EL43" s="199"/>
      <c r="EM43" s="200"/>
      <c r="EN43" s="125"/>
      <c r="EO43" s="41"/>
      <c r="EP43" s="41"/>
      <c r="EQ43" s="41"/>
      <c r="ER43" s="41"/>
      <c r="ES43" s="199"/>
      <c r="ET43" s="200"/>
      <c r="EU43" s="125"/>
      <c r="EV43" s="41"/>
      <c r="EW43" s="41"/>
      <c r="EX43" s="41"/>
      <c r="EY43" s="41"/>
      <c r="EZ43" s="199"/>
      <c r="FA43" s="200"/>
      <c r="FB43" s="125"/>
      <c r="FC43" s="41"/>
      <c r="FD43" s="41"/>
      <c r="FE43" s="41"/>
      <c r="FF43" s="41"/>
      <c r="FG43" s="199"/>
      <c r="FH43" s="200"/>
      <c r="FI43" s="125"/>
      <c r="FJ43" s="41"/>
      <c r="FK43" s="41"/>
      <c r="FL43" s="41"/>
      <c r="FM43" s="41"/>
      <c r="FN43" s="199"/>
      <c r="FO43" s="200"/>
      <c r="FP43" s="125"/>
      <c r="FQ43" s="41"/>
      <c r="FR43" s="41"/>
      <c r="FS43" s="41"/>
      <c r="FT43" s="41"/>
      <c r="FU43" s="199"/>
      <c r="FV43" s="200"/>
      <c r="FW43" s="125"/>
      <c r="FX43" s="41"/>
      <c r="FY43" s="41"/>
      <c r="FZ43" s="41"/>
      <c r="GA43" s="41"/>
      <c r="GB43" s="199"/>
      <c r="GC43" s="200"/>
      <c r="GD43" s="125"/>
      <c r="GE43" s="41"/>
      <c r="GF43" s="41"/>
      <c r="GG43" s="41"/>
      <c r="GH43" s="41"/>
      <c r="GI43" s="199"/>
      <c r="GJ43" s="200"/>
      <c r="GK43" s="125"/>
      <c r="GL43" s="41"/>
      <c r="GM43" s="41"/>
      <c r="GN43" s="41"/>
      <c r="GO43" s="41"/>
      <c r="GP43" s="199"/>
      <c r="GQ43" s="200"/>
      <c r="GR43" s="125"/>
      <c r="GS43" s="41"/>
      <c r="GT43" s="41"/>
      <c r="GU43" s="41"/>
      <c r="GV43" s="41"/>
      <c r="GW43" s="199"/>
      <c r="GX43" s="200"/>
      <c r="GY43" s="125"/>
      <c r="GZ43" s="41"/>
      <c r="HA43" s="41"/>
      <c r="HB43" s="41"/>
      <c r="HC43" s="41"/>
      <c r="HD43" s="199"/>
      <c r="HE43" s="200"/>
    </row>
    <row r="44" spans="2:213" x14ac:dyDescent="0.3">
      <c r="B44" s="38">
        <v>34254</v>
      </c>
      <c r="C44" s="9">
        <v>35</v>
      </c>
      <c r="D44" s="10" t="str">
        <f>IF(G44="","","X")</f>
        <v>X</v>
      </c>
      <c r="E44" s="10" t="str">
        <f t="shared" si="4"/>
        <v>34254X</v>
      </c>
      <c r="F44" s="193" t="s">
        <v>7</v>
      </c>
      <c r="G44" s="187" t="s">
        <v>29</v>
      </c>
      <c r="H44" s="146" t="s">
        <v>35</v>
      </c>
      <c r="I44" s="149" t="s">
        <v>214</v>
      </c>
      <c r="J44" s="150" t="s">
        <v>215</v>
      </c>
      <c r="K44" s="125" t="s">
        <v>459</v>
      </c>
      <c r="L44" s="41" t="s">
        <v>459</v>
      </c>
      <c r="M44" s="41" t="s">
        <v>459</v>
      </c>
      <c r="N44" s="41" t="s">
        <v>459</v>
      </c>
      <c r="O44" s="41" t="s">
        <v>459</v>
      </c>
      <c r="P44" s="199"/>
      <c r="Q44" s="200"/>
      <c r="R44" s="125" t="s">
        <v>459</v>
      </c>
      <c r="S44" s="41" t="s">
        <v>459</v>
      </c>
      <c r="T44" s="41" t="s">
        <v>459</v>
      </c>
      <c r="U44" s="41" t="s">
        <v>459</v>
      </c>
      <c r="V44" s="41" t="s">
        <v>459</v>
      </c>
      <c r="W44" s="199"/>
      <c r="X44" s="200"/>
      <c r="Y44" s="125"/>
      <c r="Z44" s="41"/>
      <c r="AA44" s="41"/>
      <c r="AB44" s="41"/>
      <c r="AC44" s="41"/>
      <c r="AD44" s="199"/>
      <c r="AE44" s="200"/>
      <c r="AF44" s="125"/>
      <c r="AG44" s="41"/>
      <c r="AH44" s="41"/>
      <c r="AI44" s="41"/>
      <c r="AJ44" s="41"/>
      <c r="AK44" s="199"/>
      <c r="AL44" s="200"/>
      <c r="AM44" s="125"/>
      <c r="AN44" s="41"/>
      <c r="AO44" s="41"/>
      <c r="AP44" s="41"/>
      <c r="AQ44" s="41"/>
      <c r="AR44" s="199"/>
      <c r="AS44" s="200"/>
      <c r="AT44" s="125"/>
      <c r="AU44" s="41"/>
      <c r="AV44" s="41"/>
      <c r="AW44" s="41"/>
      <c r="AX44" s="41"/>
      <c r="AY44" s="199"/>
      <c r="AZ44" s="200"/>
      <c r="BA44" s="125"/>
      <c r="BB44" s="41"/>
      <c r="BC44" s="41"/>
      <c r="BD44" s="41"/>
      <c r="BE44" s="41"/>
      <c r="BF44" s="199"/>
      <c r="BG44" s="200"/>
      <c r="BH44" s="125"/>
      <c r="BI44" s="41"/>
      <c r="BJ44" s="41"/>
      <c r="BK44" s="41"/>
      <c r="BL44" s="41"/>
      <c r="BM44" s="199"/>
      <c r="BN44" s="200"/>
      <c r="BO44" s="125"/>
      <c r="BP44" s="41"/>
      <c r="BQ44" s="41"/>
      <c r="BR44" s="41"/>
      <c r="BS44" s="41"/>
      <c r="BT44" s="199"/>
      <c r="BU44" s="200"/>
      <c r="BV44" s="125"/>
      <c r="BW44" s="41"/>
      <c r="BX44" s="41"/>
      <c r="BY44" s="41"/>
      <c r="BZ44" s="41"/>
      <c r="CA44" s="199"/>
      <c r="CB44" s="200"/>
      <c r="CC44" s="125"/>
      <c r="CD44" s="41"/>
      <c r="CE44" s="41"/>
      <c r="CF44" s="41"/>
      <c r="CG44" s="41"/>
      <c r="CH44" s="199"/>
      <c r="CI44" s="200"/>
      <c r="CJ44" s="125"/>
      <c r="CK44" s="41"/>
      <c r="CL44" s="41"/>
      <c r="CM44" s="41"/>
      <c r="CN44" s="41"/>
      <c r="CO44" s="199"/>
      <c r="CP44" s="200"/>
      <c r="CQ44" s="125"/>
      <c r="CR44" s="41"/>
      <c r="CS44" s="41"/>
      <c r="CT44" s="41"/>
      <c r="CU44" s="41"/>
      <c r="CV44" s="199"/>
      <c r="CW44" s="200"/>
      <c r="CX44" s="125"/>
      <c r="CY44" s="41"/>
      <c r="CZ44" s="41"/>
      <c r="DA44" s="41"/>
      <c r="DB44" s="41"/>
      <c r="DC44" s="199"/>
      <c r="DD44" s="200"/>
      <c r="DE44" s="125"/>
      <c r="DF44" s="41"/>
      <c r="DG44" s="41"/>
      <c r="DH44" s="41"/>
      <c r="DI44" s="41"/>
      <c r="DJ44" s="199"/>
      <c r="DK44" s="200"/>
      <c r="DL44" s="125"/>
      <c r="DM44" s="41"/>
      <c r="DN44" s="41"/>
      <c r="DO44" s="41"/>
      <c r="DP44" s="41"/>
      <c r="DQ44" s="199"/>
      <c r="DR44" s="200"/>
      <c r="DS44" s="125"/>
      <c r="DT44" s="41"/>
      <c r="DU44" s="41"/>
      <c r="DV44" s="41"/>
      <c r="DW44" s="41"/>
      <c r="DX44" s="199"/>
      <c r="DY44" s="200"/>
      <c r="DZ44" s="125"/>
      <c r="EA44" s="41"/>
      <c r="EB44" s="41"/>
      <c r="EC44" s="41"/>
      <c r="ED44" s="41"/>
      <c r="EE44" s="199"/>
      <c r="EF44" s="200"/>
      <c r="EG44" s="125"/>
      <c r="EH44" s="41"/>
      <c r="EI44" s="41"/>
      <c r="EJ44" s="41"/>
      <c r="EK44" s="41"/>
      <c r="EL44" s="199"/>
      <c r="EM44" s="200"/>
      <c r="EN44" s="125"/>
      <c r="EO44" s="41"/>
      <c r="EP44" s="41"/>
      <c r="EQ44" s="41"/>
      <c r="ER44" s="41"/>
      <c r="ES44" s="199"/>
      <c r="ET44" s="200"/>
      <c r="EU44" s="125"/>
      <c r="EV44" s="41"/>
      <c r="EW44" s="41"/>
      <c r="EX44" s="41"/>
      <c r="EY44" s="41"/>
      <c r="EZ44" s="199"/>
      <c r="FA44" s="200"/>
      <c r="FB44" s="125"/>
      <c r="FC44" s="41"/>
      <c r="FD44" s="41"/>
      <c r="FE44" s="41"/>
      <c r="FF44" s="41"/>
      <c r="FG44" s="199"/>
      <c r="FH44" s="200"/>
      <c r="FI44" s="125"/>
      <c r="FJ44" s="41"/>
      <c r="FK44" s="41"/>
      <c r="FL44" s="41"/>
      <c r="FM44" s="41"/>
      <c r="FN44" s="199"/>
      <c r="FO44" s="200"/>
      <c r="FP44" s="125"/>
      <c r="FQ44" s="41"/>
      <c r="FR44" s="41"/>
      <c r="FS44" s="41"/>
      <c r="FT44" s="41"/>
      <c r="FU44" s="199"/>
      <c r="FV44" s="200"/>
      <c r="FW44" s="125"/>
      <c r="FX44" s="41"/>
      <c r="FY44" s="41"/>
      <c r="FZ44" s="41"/>
      <c r="GA44" s="41"/>
      <c r="GB44" s="199"/>
      <c r="GC44" s="200"/>
      <c r="GD44" s="125"/>
      <c r="GE44" s="41"/>
      <c r="GF44" s="41"/>
      <c r="GG44" s="41"/>
      <c r="GH44" s="41"/>
      <c r="GI44" s="199"/>
      <c r="GJ44" s="200"/>
      <c r="GK44" s="125"/>
      <c r="GL44" s="41"/>
      <c r="GM44" s="41"/>
      <c r="GN44" s="41"/>
      <c r="GO44" s="41"/>
      <c r="GP44" s="199"/>
      <c r="GQ44" s="200"/>
      <c r="GR44" s="125"/>
      <c r="GS44" s="41"/>
      <c r="GT44" s="41"/>
      <c r="GU44" s="41"/>
      <c r="GV44" s="41"/>
      <c r="GW44" s="199"/>
      <c r="GX44" s="200"/>
      <c r="GY44" s="125"/>
      <c r="GZ44" s="41"/>
      <c r="HA44" s="41"/>
      <c r="HB44" s="41"/>
      <c r="HC44" s="41"/>
      <c r="HD44" s="199"/>
      <c r="HE44" s="200"/>
    </row>
    <row r="45" spans="2:213" x14ac:dyDescent="0.3">
      <c r="B45" s="68">
        <v>105924</v>
      </c>
      <c r="C45" s="41">
        <v>35</v>
      </c>
      <c r="D45" s="10" t="s">
        <v>91</v>
      </c>
      <c r="E45" s="11" t="str">
        <f t="shared" si="4"/>
        <v>105924x</v>
      </c>
      <c r="F45" s="193" t="s">
        <v>7</v>
      </c>
      <c r="G45" s="187" t="s">
        <v>29</v>
      </c>
      <c r="H45" s="146" t="s">
        <v>9</v>
      </c>
      <c r="I45" s="159" t="s">
        <v>235</v>
      </c>
      <c r="J45" s="160" t="s">
        <v>236</v>
      </c>
      <c r="K45" s="125" t="s">
        <v>459</v>
      </c>
      <c r="L45" s="41" t="s">
        <v>459</v>
      </c>
      <c r="M45" s="41" t="s">
        <v>459</v>
      </c>
      <c r="N45" s="41" t="s">
        <v>459</v>
      </c>
      <c r="O45" s="41" t="s">
        <v>459</v>
      </c>
      <c r="P45" s="199"/>
      <c r="Q45" s="200"/>
      <c r="R45" s="125" t="s">
        <v>459</v>
      </c>
      <c r="S45" s="41" t="s">
        <v>459</v>
      </c>
      <c r="T45" s="41" t="s">
        <v>459</v>
      </c>
      <c r="U45" s="41" t="s">
        <v>459</v>
      </c>
      <c r="V45" s="41" t="s">
        <v>459</v>
      </c>
      <c r="W45" s="199"/>
      <c r="X45" s="200"/>
      <c r="Y45" s="125"/>
      <c r="Z45" s="41"/>
      <c r="AA45" s="41"/>
      <c r="AB45" s="41"/>
      <c r="AC45" s="41"/>
      <c r="AD45" s="199"/>
      <c r="AE45" s="200"/>
      <c r="AF45" s="125"/>
      <c r="AG45" s="41"/>
      <c r="AH45" s="41"/>
      <c r="AI45" s="41"/>
      <c r="AJ45" s="41"/>
      <c r="AK45" s="199"/>
      <c r="AL45" s="200"/>
      <c r="AM45" s="125"/>
      <c r="AN45" s="41"/>
      <c r="AO45" s="41"/>
      <c r="AP45" s="41"/>
      <c r="AQ45" s="41"/>
      <c r="AR45" s="199"/>
      <c r="AS45" s="200"/>
      <c r="AT45" s="125"/>
      <c r="AU45" s="41"/>
      <c r="AV45" s="41"/>
      <c r="AW45" s="41"/>
      <c r="AX45" s="41"/>
      <c r="AY45" s="199"/>
      <c r="AZ45" s="200"/>
      <c r="BA45" s="125"/>
      <c r="BB45" s="41"/>
      <c r="BC45" s="41"/>
      <c r="BD45" s="41"/>
      <c r="BE45" s="41"/>
      <c r="BF45" s="199"/>
      <c r="BG45" s="200"/>
      <c r="BH45" s="125"/>
      <c r="BI45" s="41"/>
      <c r="BJ45" s="41"/>
      <c r="BK45" s="41"/>
      <c r="BL45" s="41"/>
      <c r="BM45" s="199"/>
      <c r="BN45" s="200"/>
      <c r="BO45" s="125"/>
      <c r="BP45" s="41"/>
      <c r="BQ45" s="41"/>
      <c r="BR45" s="41"/>
      <c r="BS45" s="41"/>
      <c r="BT45" s="199"/>
      <c r="BU45" s="200"/>
      <c r="BV45" s="125"/>
      <c r="BW45" s="41"/>
      <c r="BX45" s="41"/>
      <c r="BY45" s="41"/>
      <c r="BZ45" s="41"/>
      <c r="CA45" s="199"/>
      <c r="CB45" s="200"/>
      <c r="CC45" s="125"/>
      <c r="CD45" s="41"/>
      <c r="CE45" s="41"/>
      <c r="CF45" s="41"/>
      <c r="CG45" s="41"/>
      <c r="CH45" s="199"/>
      <c r="CI45" s="200"/>
      <c r="CJ45" s="125"/>
      <c r="CK45" s="41"/>
      <c r="CL45" s="41"/>
      <c r="CM45" s="41"/>
      <c r="CN45" s="41"/>
      <c r="CO45" s="199"/>
      <c r="CP45" s="200"/>
      <c r="CQ45" s="125"/>
      <c r="CR45" s="41"/>
      <c r="CS45" s="41"/>
      <c r="CT45" s="41"/>
      <c r="CU45" s="41"/>
      <c r="CV45" s="199"/>
      <c r="CW45" s="200"/>
      <c r="CX45" s="125"/>
      <c r="CY45" s="41"/>
      <c r="CZ45" s="41"/>
      <c r="DA45" s="41"/>
      <c r="DB45" s="41"/>
      <c r="DC45" s="199"/>
      <c r="DD45" s="200"/>
      <c r="DE45" s="125"/>
      <c r="DF45" s="41"/>
      <c r="DG45" s="41"/>
      <c r="DH45" s="41"/>
      <c r="DI45" s="41"/>
      <c r="DJ45" s="199"/>
      <c r="DK45" s="200"/>
      <c r="DL45" s="125"/>
      <c r="DM45" s="41"/>
      <c r="DN45" s="41"/>
      <c r="DO45" s="41"/>
      <c r="DP45" s="41"/>
      <c r="DQ45" s="199"/>
      <c r="DR45" s="200"/>
      <c r="DS45" s="125"/>
      <c r="DT45" s="41"/>
      <c r="DU45" s="41"/>
      <c r="DV45" s="41"/>
      <c r="DW45" s="41"/>
      <c r="DX45" s="199"/>
      <c r="DY45" s="200"/>
      <c r="DZ45" s="125"/>
      <c r="EA45" s="41"/>
      <c r="EB45" s="41"/>
      <c r="EC45" s="41"/>
      <c r="ED45" s="41"/>
      <c r="EE45" s="199"/>
      <c r="EF45" s="200"/>
      <c r="EG45" s="125"/>
      <c r="EH45" s="41"/>
      <c r="EI45" s="41"/>
      <c r="EJ45" s="41"/>
      <c r="EK45" s="41"/>
      <c r="EL45" s="199"/>
      <c r="EM45" s="200"/>
      <c r="EN45" s="125"/>
      <c r="EO45" s="41"/>
      <c r="EP45" s="41"/>
      <c r="EQ45" s="41"/>
      <c r="ER45" s="41"/>
      <c r="ES45" s="199"/>
      <c r="ET45" s="200"/>
      <c r="EU45" s="125"/>
      <c r="EV45" s="41"/>
      <c r="EW45" s="41"/>
      <c r="EX45" s="41"/>
      <c r="EY45" s="41"/>
      <c r="EZ45" s="199"/>
      <c r="FA45" s="200"/>
      <c r="FB45" s="125"/>
      <c r="FC45" s="41"/>
      <c r="FD45" s="41"/>
      <c r="FE45" s="41"/>
      <c r="FF45" s="41"/>
      <c r="FG45" s="199"/>
      <c r="FH45" s="200"/>
      <c r="FI45" s="125"/>
      <c r="FJ45" s="41"/>
      <c r="FK45" s="41"/>
      <c r="FL45" s="41"/>
      <c r="FM45" s="41"/>
      <c r="FN45" s="199"/>
      <c r="FO45" s="200"/>
      <c r="FP45" s="125"/>
      <c r="FQ45" s="41"/>
      <c r="FR45" s="41"/>
      <c r="FS45" s="41"/>
      <c r="FT45" s="41"/>
      <c r="FU45" s="199"/>
      <c r="FV45" s="200"/>
      <c r="FW45" s="125"/>
      <c r="FX45" s="41"/>
      <c r="FY45" s="41"/>
      <c r="FZ45" s="41"/>
      <c r="GA45" s="41"/>
      <c r="GB45" s="199"/>
      <c r="GC45" s="200"/>
      <c r="GD45" s="125"/>
      <c r="GE45" s="41"/>
      <c r="GF45" s="41"/>
      <c r="GG45" s="41"/>
      <c r="GH45" s="41"/>
      <c r="GI45" s="199"/>
      <c r="GJ45" s="200"/>
      <c r="GK45" s="125"/>
      <c r="GL45" s="41"/>
      <c r="GM45" s="41"/>
      <c r="GN45" s="41"/>
      <c r="GO45" s="41"/>
      <c r="GP45" s="199"/>
      <c r="GQ45" s="200"/>
      <c r="GR45" s="125"/>
      <c r="GS45" s="41"/>
      <c r="GT45" s="41"/>
      <c r="GU45" s="41"/>
      <c r="GV45" s="41"/>
      <c r="GW45" s="199"/>
      <c r="GX45" s="200"/>
      <c r="GY45" s="125"/>
      <c r="GZ45" s="41"/>
      <c r="HA45" s="41"/>
      <c r="HB45" s="41"/>
      <c r="HC45" s="41"/>
      <c r="HD45" s="199"/>
      <c r="HE45" s="200"/>
    </row>
    <row r="46" spans="2:213" x14ac:dyDescent="0.3">
      <c r="B46" s="8">
        <v>63720</v>
      </c>
      <c r="C46" s="9">
        <v>35</v>
      </c>
      <c r="D46" s="10" t="str">
        <f t="shared" ref="D46:D52" si="7">IF(G46="","","X")</f>
        <v>X</v>
      </c>
      <c r="E46" s="11" t="str">
        <f t="shared" si="4"/>
        <v>63720X</v>
      </c>
      <c r="F46" s="193" t="s">
        <v>7</v>
      </c>
      <c r="G46" s="186" t="s">
        <v>29</v>
      </c>
      <c r="H46" s="146" t="s">
        <v>35</v>
      </c>
      <c r="I46" s="159" t="s">
        <v>348</v>
      </c>
      <c r="J46" s="160" t="s">
        <v>349</v>
      </c>
      <c r="K46" s="125" t="s">
        <v>459</v>
      </c>
      <c r="L46" s="41" t="s">
        <v>459</v>
      </c>
      <c r="M46" s="41" t="s">
        <v>459</v>
      </c>
      <c r="N46" s="41" t="s">
        <v>459</v>
      </c>
      <c r="O46" s="41" t="s">
        <v>459</v>
      </c>
      <c r="P46" s="199"/>
      <c r="Q46" s="200"/>
      <c r="R46" s="125" t="s">
        <v>459</v>
      </c>
      <c r="S46" s="41" t="s">
        <v>459</v>
      </c>
      <c r="T46" s="41" t="s">
        <v>459</v>
      </c>
      <c r="U46" s="41" t="s">
        <v>459</v>
      </c>
      <c r="V46" s="41" t="s">
        <v>459</v>
      </c>
      <c r="W46" s="199"/>
      <c r="X46" s="200"/>
      <c r="Y46" s="125"/>
      <c r="Z46" s="41"/>
      <c r="AA46" s="41"/>
      <c r="AB46" s="41"/>
      <c r="AC46" s="41"/>
      <c r="AD46" s="199"/>
      <c r="AE46" s="200"/>
      <c r="AF46" s="125"/>
      <c r="AG46" s="41"/>
      <c r="AH46" s="41"/>
      <c r="AI46" s="41"/>
      <c r="AJ46" s="41"/>
      <c r="AK46" s="199"/>
      <c r="AL46" s="200"/>
      <c r="AM46" s="125"/>
      <c r="AN46" s="41"/>
      <c r="AO46" s="41"/>
      <c r="AP46" s="41"/>
      <c r="AQ46" s="41"/>
      <c r="AR46" s="199"/>
      <c r="AS46" s="200"/>
      <c r="AT46" s="125"/>
      <c r="AU46" s="41"/>
      <c r="AV46" s="41"/>
      <c r="AW46" s="41"/>
      <c r="AX46" s="41"/>
      <c r="AY46" s="199"/>
      <c r="AZ46" s="200"/>
      <c r="BA46" s="125"/>
      <c r="BB46" s="41"/>
      <c r="BC46" s="41"/>
      <c r="BD46" s="41"/>
      <c r="BE46" s="41"/>
      <c r="BF46" s="199"/>
      <c r="BG46" s="200"/>
      <c r="BH46" s="125"/>
      <c r="BI46" s="41"/>
      <c r="BJ46" s="41"/>
      <c r="BK46" s="41"/>
      <c r="BL46" s="41"/>
      <c r="BM46" s="199"/>
      <c r="BN46" s="200"/>
      <c r="BO46" s="125"/>
      <c r="BP46" s="41"/>
      <c r="BQ46" s="41"/>
      <c r="BR46" s="41"/>
      <c r="BS46" s="41"/>
      <c r="BT46" s="199"/>
      <c r="BU46" s="200"/>
      <c r="BV46" s="125"/>
      <c r="BW46" s="41"/>
      <c r="BX46" s="41"/>
      <c r="BY46" s="41"/>
      <c r="BZ46" s="41"/>
      <c r="CA46" s="199"/>
      <c r="CB46" s="200"/>
      <c r="CC46" s="125"/>
      <c r="CD46" s="41"/>
      <c r="CE46" s="41"/>
      <c r="CF46" s="41"/>
      <c r="CG46" s="41"/>
      <c r="CH46" s="199"/>
      <c r="CI46" s="200"/>
      <c r="CJ46" s="125"/>
      <c r="CK46" s="41"/>
      <c r="CL46" s="41"/>
      <c r="CM46" s="41"/>
      <c r="CN46" s="41"/>
      <c r="CO46" s="199"/>
      <c r="CP46" s="200"/>
      <c r="CQ46" s="125"/>
      <c r="CR46" s="41"/>
      <c r="CS46" s="41"/>
      <c r="CT46" s="41"/>
      <c r="CU46" s="41"/>
      <c r="CV46" s="199"/>
      <c r="CW46" s="200"/>
      <c r="CX46" s="125"/>
      <c r="CY46" s="41"/>
      <c r="CZ46" s="41"/>
      <c r="DA46" s="41"/>
      <c r="DB46" s="41"/>
      <c r="DC46" s="199"/>
      <c r="DD46" s="200"/>
      <c r="DE46" s="125"/>
      <c r="DF46" s="41"/>
      <c r="DG46" s="41"/>
      <c r="DH46" s="41"/>
      <c r="DI46" s="41"/>
      <c r="DJ46" s="199"/>
      <c r="DK46" s="200"/>
      <c r="DL46" s="125"/>
      <c r="DM46" s="41"/>
      <c r="DN46" s="41"/>
      <c r="DO46" s="41"/>
      <c r="DP46" s="41"/>
      <c r="DQ46" s="199"/>
      <c r="DR46" s="200"/>
      <c r="DS46" s="125"/>
      <c r="DT46" s="41"/>
      <c r="DU46" s="41"/>
      <c r="DV46" s="41"/>
      <c r="DW46" s="41"/>
      <c r="DX46" s="199"/>
      <c r="DY46" s="200"/>
      <c r="DZ46" s="125"/>
      <c r="EA46" s="41"/>
      <c r="EB46" s="41"/>
      <c r="EC46" s="41"/>
      <c r="ED46" s="41"/>
      <c r="EE46" s="199"/>
      <c r="EF46" s="200"/>
      <c r="EG46" s="125"/>
      <c r="EH46" s="41"/>
      <c r="EI46" s="41"/>
      <c r="EJ46" s="41"/>
      <c r="EK46" s="41"/>
      <c r="EL46" s="199"/>
      <c r="EM46" s="200"/>
      <c r="EN46" s="125"/>
      <c r="EO46" s="41"/>
      <c r="EP46" s="41"/>
      <c r="EQ46" s="41"/>
      <c r="ER46" s="41"/>
      <c r="ES46" s="199"/>
      <c r="ET46" s="200"/>
      <c r="EU46" s="125"/>
      <c r="EV46" s="41"/>
      <c r="EW46" s="41"/>
      <c r="EX46" s="41"/>
      <c r="EY46" s="41"/>
      <c r="EZ46" s="199"/>
      <c r="FA46" s="200"/>
      <c r="FB46" s="125"/>
      <c r="FC46" s="41"/>
      <c r="FD46" s="41"/>
      <c r="FE46" s="41"/>
      <c r="FF46" s="41"/>
      <c r="FG46" s="199"/>
      <c r="FH46" s="200"/>
      <c r="FI46" s="125"/>
      <c r="FJ46" s="41"/>
      <c r="FK46" s="41"/>
      <c r="FL46" s="41"/>
      <c r="FM46" s="41"/>
      <c r="FN46" s="199"/>
      <c r="FO46" s="200"/>
      <c r="FP46" s="125"/>
      <c r="FQ46" s="41"/>
      <c r="FR46" s="41"/>
      <c r="FS46" s="41"/>
      <c r="FT46" s="41"/>
      <c r="FU46" s="199"/>
      <c r="FV46" s="200"/>
      <c r="FW46" s="125"/>
      <c r="FX46" s="41"/>
      <c r="FY46" s="41"/>
      <c r="FZ46" s="41"/>
      <c r="GA46" s="41"/>
      <c r="GB46" s="199"/>
      <c r="GC46" s="200"/>
      <c r="GD46" s="125"/>
      <c r="GE46" s="41"/>
      <c r="GF46" s="41"/>
      <c r="GG46" s="41"/>
      <c r="GH46" s="41"/>
      <c r="GI46" s="199"/>
      <c r="GJ46" s="200"/>
      <c r="GK46" s="125"/>
      <c r="GL46" s="41"/>
      <c r="GM46" s="41"/>
      <c r="GN46" s="41"/>
      <c r="GO46" s="41"/>
      <c r="GP46" s="199"/>
      <c r="GQ46" s="200"/>
      <c r="GR46" s="125"/>
      <c r="GS46" s="41"/>
      <c r="GT46" s="41"/>
      <c r="GU46" s="41"/>
      <c r="GV46" s="41"/>
      <c r="GW46" s="199"/>
      <c r="GX46" s="200"/>
      <c r="GY46" s="125"/>
      <c r="GZ46" s="41"/>
      <c r="HA46" s="41"/>
      <c r="HB46" s="41"/>
      <c r="HC46" s="41"/>
      <c r="HD46" s="199"/>
      <c r="HE46" s="200"/>
    </row>
    <row r="47" spans="2:213" x14ac:dyDescent="0.3">
      <c r="B47" s="38">
        <v>101367</v>
      </c>
      <c r="C47" s="9">
        <v>35</v>
      </c>
      <c r="D47" s="10" t="str">
        <f t="shared" si="7"/>
        <v>X</v>
      </c>
      <c r="E47" s="11" t="str">
        <f t="shared" si="4"/>
        <v>101367X</v>
      </c>
      <c r="F47" s="193" t="s">
        <v>7</v>
      </c>
      <c r="G47" s="187" t="s">
        <v>217</v>
      </c>
      <c r="H47" s="146" t="s">
        <v>35</v>
      </c>
      <c r="I47" s="159" t="s">
        <v>218</v>
      </c>
      <c r="J47" s="160" t="s">
        <v>219</v>
      </c>
      <c r="K47" s="125" t="s">
        <v>459</v>
      </c>
      <c r="L47" s="41" t="s">
        <v>459</v>
      </c>
      <c r="M47" s="41" t="s">
        <v>459</v>
      </c>
      <c r="N47" s="41" t="s">
        <v>459</v>
      </c>
      <c r="O47" s="41" t="s">
        <v>459</v>
      </c>
      <c r="P47" s="199"/>
      <c r="Q47" s="200"/>
      <c r="R47" s="125" t="s">
        <v>459</v>
      </c>
      <c r="S47" s="41" t="s">
        <v>459</v>
      </c>
      <c r="T47" s="41" t="s">
        <v>459</v>
      </c>
      <c r="U47" s="41" t="s">
        <v>459</v>
      </c>
      <c r="V47" s="41" t="s">
        <v>459</v>
      </c>
      <c r="W47" s="199"/>
      <c r="X47" s="200"/>
      <c r="Y47" s="125"/>
      <c r="Z47" s="41"/>
      <c r="AA47" s="41"/>
      <c r="AB47" s="41"/>
      <c r="AC47" s="41"/>
      <c r="AD47" s="199"/>
      <c r="AE47" s="200"/>
      <c r="AF47" s="125"/>
      <c r="AG47" s="41"/>
      <c r="AH47" s="41"/>
      <c r="AI47" s="41"/>
      <c r="AJ47" s="41"/>
      <c r="AK47" s="199"/>
      <c r="AL47" s="200"/>
      <c r="AM47" s="125"/>
      <c r="AN47" s="41"/>
      <c r="AO47" s="41"/>
      <c r="AP47" s="41"/>
      <c r="AQ47" s="41"/>
      <c r="AR47" s="199"/>
      <c r="AS47" s="200"/>
      <c r="AT47" s="125"/>
      <c r="AU47" s="41"/>
      <c r="AV47" s="41"/>
      <c r="AW47" s="41"/>
      <c r="AX47" s="41"/>
      <c r="AY47" s="199"/>
      <c r="AZ47" s="200"/>
      <c r="BA47" s="125"/>
      <c r="BB47" s="41"/>
      <c r="BC47" s="41"/>
      <c r="BD47" s="41"/>
      <c r="BE47" s="41"/>
      <c r="BF47" s="199"/>
      <c r="BG47" s="200"/>
      <c r="BH47" s="125"/>
      <c r="BI47" s="41"/>
      <c r="BJ47" s="41"/>
      <c r="BK47" s="41"/>
      <c r="BL47" s="41"/>
      <c r="BM47" s="199"/>
      <c r="BN47" s="200"/>
      <c r="BO47" s="125"/>
      <c r="BP47" s="41"/>
      <c r="BQ47" s="41"/>
      <c r="BR47" s="41"/>
      <c r="BS47" s="41"/>
      <c r="BT47" s="199"/>
      <c r="BU47" s="200"/>
      <c r="BV47" s="125"/>
      <c r="BW47" s="41"/>
      <c r="BX47" s="41"/>
      <c r="BY47" s="41"/>
      <c r="BZ47" s="41"/>
      <c r="CA47" s="199"/>
      <c r="CB47" s="200"/>
      <c r="CC47" s="125"/>
      <c r="CD47" s="41"/>
      <c r="CE47" s="41"/>
      <c r="CF47" s="41"/>
      <c r="CG47" s="41"/>
      <c r="CH47" s="199"/>
      <c r="CI47" s="200"/>
      <c r="CJ47" s="125"/>
      <c r="CK47" s="41"/>
      <c r="CL47" s="41"/>
      <c r="CM47" s="41"/>
      <c r="CN47" s="41"/>
      <c r="CO47" s="199"/>
      <c r="CP47" s="200"/>
      <c r="CQ47" s="125"/>
      <c r="CR47" s="41"/>
      <c r="CS47" s="41"/>
      <c r="CT47" s="41"/>
      <c r="CU47" s="41"/>
      <c r="CV47" s="199"/>
      <c r="CW47" s="200"/>
      <c r="CX47" s="125"/>
      <c r="CY47" s="41"/>
      <c r="CZ47" s="41"/>
      <c r="DA47" s="41"/>
      <c r="DB47" s="41"/>
      <c r="DC47" s="199"/>
      <c r="DD47" s="200"/>
      <c r="DE47" s="125"/>
      <c r="DF47" s="41"/>
      <c r="DG47" s="41"/>
      <c r="DH47" s="41"/>
      <c r="DI47" s="41"/>
      <c r="DJ47" s="199"/>
      <c r="DK47" s="200"/>
      <c r="DL47" s="125"/>
      <c r="DM47" s="41"/>
      <c r="DN47" s="41"/>
      <c r="DO47" s="41"/>
      <c r="DP47" s="41"/>
      <c r="DQ47" s="199"/>
      <c r="DR47" s="200"/>
      <c r="DS47" s="125"/>
      <c r="DT47" s="41"/>
      <c r="DU47" s="41"/>
      <c r="DV47" s="41"/>
      <c r="DW47" s="41"/>
      <c r="DX47" s="199"/>
      <c r="DY47" s="200"/>
      <c r="DZ47" s="125"/>
      <c r="EA47" s="41"/>
      <c r="EB47" s="41"/>
      <c r="EC47" s="41"/>
      <c r="ED47" s="41"/>
      <c r="EE47" s="199"/>
      <c r="EF47" s="200"/>
      <c r="EG47" s="125"/>
      <c r="EH47" s="41"/>
      <c r="EI47" s="41"/>
      <c r="EJ47" s="41"/>
      <c r="EK47" s="41"/>
      <c r="EL47" s="199"/>
      <c r="EM47" s="200"/>
      <c r="EN47" s="125"/>
      <c r="EO47" s="41"/>
      <c r="EP47" s="41"/>
      <c r="EQ47" s="41"/>
      <c r="ER47" s="41"/>
      <c r="ES47" s="199"/>
      <c r="ET47" s="200"/>
      <c r="EU47" s="125"/>
      <c r="EV47" s="41"/>
      <c r="EW47" s="41"/>
      <c r="EX47" s="41"/>
      <c r="EY47" s="41"/>
      <c r="EZ47" s="199"/>
      <c r="FA47" s="200"/>
      <c r="FB47" s="125"/>
      <c r="FC47" s="41"/>
      <c r="FD47" s="41"/>
      <c r="FE47" s="41"/>
      <c r="FF47" s="41"/>
      <c r="FG47" s="199"/>
      <c r="FH47" s="200"/>
      <c r="FI47" s="125"/>
      <c r="FJ47" s="41"/>
      <c r="FK47" s="41"/>
      <c r="FL47" s="41"/>
      <c r="FM47" s="41"/>
      <c r="FN47" s="199"/>
      <c r="FO47" s="200"/>
      <c r="FP47" s="125"/>
      <c r="FQ47" s="41"/>
      <c r="FR47" s="41"/>
      <c r="FS47" s="41"/>
      <c r="FT47" s="41"/>
      <c r="FU47" s="199"/>
      <c r="FV47" s="200"/>
      <c r="FW47" s="125"/>
      <c r="FX47" s="41"/>
      <c r="FY47" s="41"/>
      <c r="FZ47" s="41"/>
      <c r="GA47" s="41"/>
      <c r="GB47" s="199"/>
      <c r="GC47" s="200"/>
      <c r="GD47" s="125"/>
      <c r="GE47" s="41"/>
      <c r="GF47" s="41"/>
      <c r="GG47" s="41"/>
      <c r="GH47" s="41"/>
      <c r="GI47" s="199"/>
      <c r="GJ47" s="200"/>
      <c r="GK47" s="125"/>
      <c r="GL47" s="41"/>
      <c r="GM47" s="41"/>
      <c r="GN47" s="41"/>
      <c r="GO47" s="41"/>
      <c r="GP47" s="199"/>
      <c r="GQ47" s="200"/>
      <c r="GR47" s="125"/>
      <c r="GS47" s="41"/>
      <c r="GT47" s="41"/>
      <c r="GU47" s="41"/>
      <c r="GV47" s="41"/>
      <c r="GW47" s="199"/>
      <c r="GX47" s="200"/>
      <c r="GY47" s="125"/>
      <c r="GZ47" s="41"/>
      <c r="HA47" s="41"/>
      <c r="HB47" s="41"/>
      <c r="HC47" s="41"/>
      <c r="HD47" s="199"/>
      <c r="HE47" s="200"/>
    </row>
    <row r="48" spans="2:213" x14ac:dyDescent="0.3">
      <c r="B48" s="38">
        <v>64319</v>
      </c>
      <c r="C48" s="9">
        <v>35</v>
      </c>
      <c r="D48" s="10" t="str">
        <f t="shared" si="7"/>
        <v>X</v>
      </c>
      <c r="E48" s="11" t="str">
        <f t="shared" si="4"/>
        <v>64319X</v>
      </c>
      <c r="F48" s="193" t="s">
        <v>12</v>
      </c>
      <c r="G48" s="183" t="s">
        <v>26</v>
      </c>
      <c r="H48" s="146" t="s">
        <v>9</v>
      </c>
      <c r="I48" s="159" t="s">
        <v>27</v>
      </c>
      <c r="J48" s="160" t="s">
        <v>28</v>
      </c>
      <c r="K48" s="125" t="s">
        <v>459</v>
      </c>
      <c r="L48" s="41" t="s">
        <v>459</v>
      </c>
      <c r="M48" s="41" t="s">
        <v>459</v>
      </c>
      <c r="N48" s="41" t="s">
        <v>459</v>
      </c>
      <c r="O48" s="41" t="s">
        <v>459</v>
      </c>
      <c r="P48" s="199"/>
      <c r="Q48" s="200"/>
      <c r="R48" s="125" t="s">
        <v>459</v>
      </c>
      <c r="S48" s="41" t="s">
        <v>459</v>
      </c>
      <c r="T48" s="41" t="s">
        <v>459</v>
      </c>
      <c r="U48" s="41" t="s">
        <v>459</v>
      </c>
      <c r="V48" s="41" t="s">
        <v>459</v>
      </c>
      <c r="W48" s="199"/>
      <c r="X48" s="200"/>
      <c r="Y48" s="125"/>
      <c r="Z48" s="41"/>
      <c r="AA48" s="41"/>
      <c r="AB48" s="41"/>
      <c r="AC48" s="41"/>
      <c r="AD48" s="199"/>
      <c r="AE48" s="200"/>
      <c r="AF48" s="125"/>
      <c r="AG48" s="41"/>
      <c r="AH48" s="41"/>
      <c r="AI48" s="41"/>
      <c r="AJ48" s="41"/>
      <c r="AK48" s="199"/>
      <c r="AL48" s="200"/>
      <c r="AM48" s="125"/>
      <c r="AN48" s="41"/>
      <c r="AO48" s="41"/>
      <c r="AP48" s="41"/>
      <c r="AQ48" s="41"/>
      <c r="AR48" s="199"/>
      <c r="AS48" s="200"/>
      <c r="AT48" s="125"/>
      <c r="AU48" s="41"/>
      <c r="AV48" s="41"/>
      <c r="AW48" s="41"/>
      <c r="AX48" s="41"/>
      <c r="AY48" s="199"/>
      <c r="AZ48" s="200"/>
      <c r="BA48" s="125"/>
      <c r="BB48" s="41"/>
      <c r="BC48" s="41"/>
      <c r="BD48" s="41"/>
      <c r="BE48" s="41"/>
      <c r="BF48" s="199"/>
      <c r="BG48" s="200"/>
      <c r="BH48" s="125"/>
      <c r="BI48" s="41"/>
      <c r="BJ48" s="41"/>
      <c r="BK48" s="41"/>
      <c r="BL48" s="41"/>
      <c r="BM48" s="199"/>
      <c r="BN48" s="200"/>
      <c r="BO48" s="125"/>
      <c r="BP48" s="41"/>
      <c r="BQ48" s="41"/>
      <c r="BR48" s="41"/>
      <c r="BS48" s="41"/>
      <c r="BT48" s="199"/>
      <c r="BU48" s="200"/>
      <c r="BV48" s="125"/>
      <c r="BW48" s="41"/>
      <c r="BX48" s="41"/>
      <c r="BY48" s="41"/>
      <c r="BZ48" s="41"/>
      <c r="CA48" s="199"/>
      <c r="CB48" s="200"/>
      <c r="CC48" s="125"/>
      <c r="CD48" s="41"/>
      <c r="CE48" s="41"/>
      <c r="CF48" s="41"/>
      <c r="CG48" s="41"/>
      <c r="CH48" s="199"/>
      <c r="CI48" s="200"/>
      <c r="CJ48" s="125"/>
      <c r="CK48" s="41"/>
      <c r="CL48" s="41"/>
      <c r="CM48" s="41"/>
      <c r="CN48" s="41"/>
      <c r="CO48" s="199"/>
      <c r="CP48" s="200"/>
      <c r="CQ48" s="125"/>
      <c r="CR48" s="41"/>
      <c r="CS48" s="41"/>
      <c r="CT48" s="41"/>
      <c r="CU48" s="41"/>
      <c r="CV48" s="199"/>
      <c r="CW48" s="200"/>
      <c r="CX48" s="125"/>
      <c r="CY48" s="41"/>
      <c r="CZ48" s="41"/>
      <c r="DA48" s="41"/>
      <c r="DB48" s="41"/>
      <c r="DC48" s="199"/>
      <c r="DD48" s="200"/>
      <c r="DE48" s="125"/>
      <c r="DF48" s="41"/>
      <c r="DG48" s="41"/>
      <c r="DH48" s="41"/>
      <c r="DI48" s="41"/>
      <c r="DJ48" s="199"/>
      <c r="DK48" s="200"/>
      <c r="DL48" s="125"/>
      <c r="DM48" s="41"/>
      <c r="DN48" s="41"/>
      <c r="DO48" s="41"/>
      <c r="DP48" s="41"/>
      <c r="DQ48" s="199"/>
      <c r="DR48" s="200"/>
      <c r="DS48" s="125"/>
      <c r="DT48" s="41"/>
      <c r="DU48" s="41"/>
      <c r="DV48" s="41"/>
      <c r="DW48" s="41"/>
      <c r="DX48" s="199"/>
      <c r="DY48" s="200"/>
      <c r="DZ48" s="125"/>
      <c r="EA48" s="41"/>
      <c r="EB48" s="41"/>
      <c r="EC48" s="41"/>
      <c r="ED48" s="41"/>
      <c r="EE48" s="199"/>
      <c r="EF48" s="200"/>
      <c r="EG48" s="125"/>
      <c r="EH48" s="41"/>
      <c r="EI48" s="41"/>
      <c r="EJ48" s="41"/>
      <c r="EK48" s="41"/>
      <c r="EL48" s="199"/>
      <c r="EM48" s="200"/>
      <c r="EN48" s="125"/>
      <c r="EO48" s="41"/>
      <c r="EP48" s="41"/>
      <c r="EQ48" s="41"/>
      <c r="ER48" s="41"/>
      <c r="ES48" s="199"/>
      <c r="ET48" s="200"/>
      <c r="EU48" s="125"/>
      <c r="EV48" s="41"/>
      <c r="EW48" s="41"/>
      <c r="EX48" s="41"/>
      <c r="EY48" s="41"/>
      <c r="EZ48" s="199"/>
      <c r="FA48" s="200"/>
      <c r="FB48" s="125"/>
      <c r="FC48" s="41"/>
      <c r="FD48" s="41"/>
      <c r="FE48" s="41"/>
      <c r="FF48" s="41"/>
      <c r="FG48" s="199"/>
      <c r="FH48" s="200"/>
      <c r="FI48" s="125"/>
      <c r="FJ48" s="41"/>
      <c r="FK48" s="41"/>
      <c r="FL48" s="41"/>
      <c r="FM48" s="41"/>
      <c r="FN48" s="199"/>
      <c r="FO48" s="200"/>
      <c r="FP48" s="125"/>
      <c r="FQ48" s="41"/>
      <c r="FR48" s="41"/>
      <c r="FS48" s="41"/>
      <c r="FT48" s="41"/>
      <c r="FU48" s="199"/>
      <c r="FV48" s="200"/>
      <c r="FW48" s="125"/>
      <c r="FX48" s="41"/>
      <c r="FY48" s="41"/>
      <c r="FZ48" s="41"/>
      <c r="GA48" s="41"/>
      <c r="GB48" s="199"/>
      <c r="GC48" s="200"/>
      <c r="GD48" s="125"/>
      <c r="GE48" s="41"/>
      <c r="GF48" s="41"/>
      <c r="GG48" s="41"/>
      <c r="GH48" s="41"/>
      <c r="GI48" s="199"/>
      <c r="GJ48" s="200"/>
      <c r="GK48" s="125"/>
      <c r="GL48" s="41"/>
      <c r="GM48" s="41"/>
      <c r="GN48" s="41"/>
      <c r="GO48" s="41"/>
      <c r="GP48" s="199"/>
      <c r="GQ48" s="200"/>
      <c r="GR48" s="125"/>
      <c r="GS48" s="41"/>
      <c r="GT48" s="41"/>
      <c r="GU48" s="41"/>
      <c r="GV48" s="41"/>
      <c r="GW48" s="199"/>
      <c r="GX48" s="200"/>
      <c r="GY48" s="125"/>
      <c r="GZ48" s="41"/>
      <c r="HA48" s="41"/>
      <c r="HB48" s="41"/>
      <c r="HC48" s="41"/>
      <c r="HD48" s="199"/>
      <c r="HE48" s="200"/>
    </row>
    <row r="49" spans="2:213" x14ac:dyDescent="0.3">
      <c r="B49" s="38">
        <v>41615</v>
      </c>
      <c r="C49" s="9">
        <v>35</v>
      </c>
      <c r="D49" s="10" t="str">
        <f t="shared" si="7"/>
        <v>X</v>
      </c>
      <c r="E49" s="11" t="str">
        <f t="shared" si="4"/>
        <v>41615X</v>
      </c>
      <c r="F49" s="193" t="s">
        <v>12</v>
      </c>
      <c r="G49" s="183" t="s">
        <v>26</v>
      </c>
      <c r="H49" s="146" t="s">
        <v>9</v>
      </c>
      <c r="I49" s="159" t="s">
        <v>190</v>
      </c>
      <c r="J49" s="160" t="s">
        <v>191</v>
      </c>
      <c r="K49" s="125" t="s">
        <v>459</v>
      </c>
      <c r="L49" s="41" t="s">
        <v>459</v>
      </c>
      <c r="M49" s="41" t="s">
        <v>459</v>
      </c>
      <c r="N49" s="41" t="s">
        <v>459</v>
      </c>
      <c r="O49" s="41" t="s">
        <v>459</v>
      </c>
      <c r="P49" s="199"/>
      <c r="Q49" s="200"/>
      <c r="R49" s="125" t="s">
        <v>459</v>
      </c>
      <c r="S49" s="41" t="s">
        <v>459</v>
      </c>
      <c r="T49" s="41" t="s">
        <v>459</v>
      </c>
      <c r="U49" s="41" t="s">
        <v>459</v>
      </c>
      <c r="V49" s="41" t="s">
        <v>459</v>
      </c>
      <c r="W49" s="199"/>
      <c r="X49" s="200"/>
      <c r="Y49" s="125"/>
      <c r="Z49" s="41"/>
      <c r="AA49" s="41"/>
      <c r="AB49" s="41"/>
      <c r="AC49" s="41"/>
      <c r="AD49" s="199"/>
      <c r="AE49" s="200"/>
      <c r="AF49" s="125"/>
      <c r="AG49" s="41"/>
      <c r="AH49" s="41"/>
      <c r="AI49" s="41"/>
      <c r="AJ49" s="41"/>
      <c r="AK49" s="199"/>
      <c r="AL49" s="200"/>
      <c r="AM49" s="125"/>
      <c r="AN49" s="41"/>
      <c r="AO49" s="41"/>
      <c r="AP49" s="41"/>
      <c r="AQ49" s="41"/>
      <c r="AR49" s="199"/>
      <c r="AS49" s="200"/>
      <c r="AT49" s="125"/>
      <c r="AU49" s="41"/>
      <c r="AV49" s="41"/>
      <c r="AW49" s="41"/>
      <c r="AX49" s="41"/>
      <c r="AY49" s="199"/>
      <c r="AZ49" s="200"/>
      <c r="BA49" s="125"/>
      <c r="BB49" s="41"/>
      <c r="BC49" s="41"/>
      <c r="BD49" s="41"/>
      <c r="BE49" s="41"/>
      <c r="BF49" s="199"/>
      <c r="BG49" s="200"/>
      <c r="BH49" s="125"/>
      <c r="BI49" s="41"/>
      <c r="BJ49" s="41"/>
      <c r="BK49" s="41"/>
      <c r="BL49" s="41"/>
      <c r="BM49" s="199"/>
      <c r="BN49" s="200"/>
      <c r="BO49" s="125"/>
      <c r="BP49" s="41"/>
      <c r="BQ49" s="41"/>
      <c r="BR49" s="41"/>
      <c r="BS49" s="41"/>
      <c r="BT49" s="199"/>
      <c r="BU49" s="200"/>
      <c r="BV49" s="125"/>
      <c r="BW49" s="41"/>
      <c r="BX49" s="41"/>
      <c r="BY49" s="41"/>
      <c r="BZ49" s="41"/>
      <c r="CA49" s="199"/>
      <c r="CB49" s="200"/>
      <c r="CC49" s="125"/>
      <c r="CD49" s="41"/>
      <c r="CE49" s="41"/>
      <c r="CF49" s="41"/>
      <c r="CG49" s="41"/>
      <c r="CH49" s="199"/>
      <c r="CI49" s="200"/>
      <c r="CJ49" s="125"/>
      <c r="CK49" s="41"/>
      <c r="CL49" s="41"/>
      <c r="CM49" s="41"/>
      <c r="CN49" s="41"/>
      <c r="CO49" s="199"/>
      <c r="CP49" s="200"/>
      <c r="CQ49" s="125"/>
      <c r="CR49" s="41"/>
      <c r="CS49" s="41"/>
      <c r="CT49" s="41"/>
      <c r="CU49" s="41"/>
      <c r="CV49" s="199"/>
      <c r="CW49" s="200"/>
      <c r="CX49" s="125"/>
      <c r="CY49" s="41"/>
      <c r="CZ49" s="41"/>
      <c r="DA49" s="41"/>
      <c r="DB49" s="41"/>
      <c r="DC49" s="199"/>
      <c r="DD49" s="200"/>
      <c r="DE49" s="125"/>
      <c r="DF49" s="41"/>
      <c r="DG49" s="41"/>
      <c r="DH49" s="41"/>
      <c r="DI49" s="41"/>
      <c r="DJ49" s="199"/>
      <c r="DK49" s="200"/>
      <c r="DL49" s="125"/>
      <c r="DM49" s="41"/>
      <c r="DN49" s="41"/>
      <c r="DO49" s="41"/>
      <c r="DP49" s="41"/>
      <c r="DQ49" s="199"/>
      <c r="DR49" s="200"/>
      <c r="DS49" s="125"/>
      <c r="DT49" s="41"/>
      <c r="DU49" s="41"/>
      <c r="DV49" s="41"/>
      <c r="DW49" s="41"/>
      <c r="DX49" s="199"/>
      <c r="DY49" s="200"/>
      <c r="DZ49" s="125"/>
      <c r="EA49" s="41"/>
      <c r="EB49" s="41"/>
      <c r="EC49" s="41"/>
      <c r="ED49" s="41"/>
      <c r="EE49" s="199"/>
      <c r="EF49" s="200"/>
      <c r="EG49" s="125"/>
      <c r="EH49" s="41"/>
      <c r="EI49" s="41"/>
      <c r="EJ49" s="41"/>
      <c r="EK49" s="41"/>
      <c r="EL49" s="199"/>
      <c r="EM49" s="200"/>
      <c r="EN49" s="125"/>
      <c r="EO49" s="41"/>
      <c r="EP49" s="41"/>
      <c r="EQ49" s="41"/>
      <c r="ER49" s="41"/>
      <c r="ES49" s="199"/>
      <c r="ET49" s="200"/>
      <c r="EU49" s="125"/>
      <c r="EV49" s="41"/>
      <c r="EW49" s="41"/>
      <c r="EX49" s="41"/>
      <c r="EY49" s="41"/>
      <c r="EZ49" s="199"/>
      <c r="FA49" s="200"/>
      <c r="FB49" s="125"/>
      <c r="FC49" s="41"/>
      <c r="FD49" s="41"/>
      <c r="FE49" s="41"/>
      <c r="FF49" s="41"/>
      <c r="FG49" s="199"/>
      <c r="FH49" s="200"/>
      <c r="FI49" s="125"/>
      <c r="FJ49" s="41"/>
      <c r="FK49" s="41"/>
      <c r="FL49" s="41"/>
      <c r="FM49" s="41"/>
      <c r="FN49" s="199"/>
      <c r="FO49" s="200"/>
      <c r="FP49" s="125"/>
      <c r="FQ49" s="41"/>
      <c r="FR49" s="41"/>
      <c r="FS49" s="41"/>
      <c r="FT49" s="41"/>
      <c r="FU49" s="199"/>
      <c r="FV49" s="200"/>
      <c r="FW49" s="125"/>
      <c r="FX49" s="41"/>
      <c r="FY49" s="41"/>
      <c r="FZ49" s="41"/>
      <c r="GA49" s="41"/>
      <c r="GB49" s="199"/>
      <c r="GC49" s="200"/>
      <c r="GD49" s="125"/>
      <c r="GE49" s="41"/>
      <c r="GF49" s="41"/>
      <c r="GG49" s="41"/>
      <c r="GH49" s="41"/>
      <c r="GI49" s="199"/>
      <c r="GJ49" s="200"/>
      <c r="GK49" s="125"/>
      <c r="GL49" s="41"/>
      <c r="GM49" s="41"/>
      <c r="GN49" s="41"/>
      <c r="GO49" s="41"/>
      <c r="GP49" s="199"/>
      <c r="GQ49" s="200"/>
      <c r="GR49" s="125"/>
      <c r="GS49" s="41"/>
      <c r="GT49" s="41"/>
      <c r="GU49" s="41"/>
      <c r="GV49" s="41"/>
      <c r="GW49" s="199"/>
      <c r="GX49" s="200"/>
      <c r="GY49" s="125"/>
      <c r="GZ49" s="41"/>
      <c r="HA49" s="41"/>
      <c r="HB49" s="41"/>
      <c r="HC49" s="41"/>
      <c r="HD49" s="199"/>
      <c r="HE49" s="200"/>
    </row>
    <row r="50" spans="2:213" x14ac:dyDescent="0.3">
      <c r="B50" s="8">
        <v>2946</v>
      </c>
      <c r="C50" s="9">
        <v>35</v>
      </c>
      <c r="D50" s="10" t="str">
        <f t="shared" si="7"/>
        <v>X</v>
      </c>
      <c r="E50" s="11" t="str">
        <f t="shared" si="4"/>
        <v>2946X</v>
      </c>
      <c r="F50" s="193" t="s">
        <v>12</v>
      </c>
      <c r="G50" s="183" t="s">
        <v>26</v>
      </c>
      <c r="H50" s="146" t="s">
        <v>9</v>
      </c>
      <c r="I50" s="159" t="s">
        <v>209</v>
      </c>
      <c r="J50" s="160" t="s">
        <v>210</v>
      </c>
      <c r="K50" s="125" t="s">
        <v>459</v>
      </c>
      <c r="L50" s="41" t="s">
        <v>459</v>
      </c>
      <c r="M50" s="41" t="s">
        <v>459</v>
      </c>
      <c r="N50" s="41" t="s">
        <v>459</v>
      </c>
      <c r="O50" s="41" t="s">
        <v>459</v>
      </c>
      <c r="P50" s="199"/>
      <c r="Q50" s="200"/>
      <c r="R50" s="125" t="s">
        <v>475</v>
      </c>
      <c r="S50" s="41" t="s">
        <v>475</v>
      </c>
      <c r="T50" s="41" t="s">
        <v>475</v>
      </c>
      <c r="U50" s="41" t="s">
        <v>459</v>
      </c>
      <c r="V50" s="41" t="s">
        <v>459</v>
      </c>
      <c r="W50" s="199"/>
      <c r="X50" s="200"/>
      <c r="Y50" s="125"/>
      <c r="Z50" s="41"/>
      <c r="AA50" s="41"/>
      <c r="AB50" s="41"/>
      <c r="AC50" s="41"/>
      <c r="AD50" s="199"/>
      <c r="AE50" s="200"/>
      <c r="AF50" s="125"/>
      <c r="AG50" s="41"/>
      <c r="AH50" s="41"/>
      <c r="AI50" s="41"/>
      <c r="AJ50" s="41"/>
      <c r="AK50" s="199"/>
      <c r="AL50" s="200"/>
      <c r="AM50" s="125"/>
      <c r="AN50" s="41"/>
      <c r="AO50" s="41"/>
      <c r="AP50" s="41"/>
      <c r="AQ50" s="41"/>
      <c r="AR50" s="199"/>
      <c r="AS50" s="200"/>
      <c r="AT50" s="125"/>
      <c r="AU50" s="41"/>
      <c r="AV50" s="41"/>
      <c r="AW50" s="41"/>
      <c r="AX50" s="41"/>
      <c r="AY50" s="199"/>
      <c r="AZ50" s="200"/>
      <c r="BA50" s="125"/>
      <c r="BB50" s="41"/>
      <c r="BC50" s="41"/>
      <c r="BD50" s="41"/>
      <c r="BE50" s="41"/>
      <c r="BF50" s="199"/>
      <c r="BG50" s="200"/>
      <c r="BH50" s="125"/>
      <c r="BI50" s="41"/>
      <c r="BJ50" s="41"/>
      <c r="BK50" s="41"/>
      <c r="BL50" s="41"/>
      <c r="BM50" s="199"/>
      <c r="BN50" s="200"/>
      <c r="BO50" s="125"/>
      <c r="BP50" s="41"/>
      <c r="BQ50" s="41"/>
      <c r="BR50" s="41"/>
      <c r="BS50" s="41"/>
      <c r="BT50" s="199"/>
      <c r="BU50" s="200"/>
      <c r="BV50" s="125"/>
      <c r="BW50" s="41"/>
      <c r="BX50" s="41"/>
      <c r="BY50" s="41"/>
      <c r="BZ50" s="41"/>
      <c r="CA50" s="199"/>
      <c r="CB50" s="200"/>
      <c r="CC50" s="125"/>
      <c r="CD50" s="41"/>
      <c r="CE50" s="41"/>
      <c r="CF50" s="41"/>
      <c r="CG50" s="41"/>
      <c r="CH50" s="199"/>
      <c r="CI50" s="200"/>
      <c r="CJ50" s="125"/>
      <c r="CK50" s="41"/>
      <c r="CL50" s="41"/>
      <c r="CM50" s="41"/>
      <c r="CN50" s="41"/>
      <c r="CO50" s="199"/>
      <c r="CP50" s="200"/>
      <c r="CQ50" s="125"/>
      <c r="CR50" s="41"/>
      <c r="CS50" s="41"/>
      <c r="CT50" s="41"/>
      <c r="CU50" s="41"/>
      <c r="CV50" s="199"/>
      <c r="CW50" s="200"/>
      <c r="CX50" s="125"/>
      <c r="CY50" s="41"/>
      <c r="CZ50" s="41"/>
      <c r="DA50" s="41"/>
      <c r="DB50" s="41"/>
      <c r="DC50" s="199"/>
      <c r="DD50" s="200"/>
      <c r="DE50" s="125"/>
      <c r="DF50" s="41"/>
      <c r="DG50" s="41"/>
      <c r="DH50" s="41"/>
      <c r="DI50" s="41"/>
      <c r="DJ50" s="199"/>
      <c r="DK50" s="200"/>
      <c r="DL50" s="125"/>
      <c r="DM50" s="41"/>
      <c r="DN50" s="41"/>
      <c r="DO50" s="41"/>
      <c r="DP50" s="41"/>
      <c r="DQ50" s="199"/>
      <c r="DR50" s="200"/>
      <c r="DS50" s="125"/>
      <c r="DT50" s="41"/>
      <c r="DU50" s="41"/>
      <c r="DV50" s="41"/>
      <c r="DW50" s="41"/>
      <c r="DX50" s="199"/>
      <c r="DY50" s="200"/>
      <c r="DZ50" s="125"/>
      <c r="EA50" s="41"/>
      <c r="EB50" s="41"/>
      <c r="EC50" s="41"/>
      <c r="ED50" s="41"/>
      <c r="EE50" s="199"/>
      <c r="EF50" s="200"/>
      <c r="EG50" s="125"/>
      <c r="EH50" s="41"/>
      <c r="EI50" s="41"/>
      <c r="EJ50" s="41"/>
      <c r="EK50" s="41"/>
      <c r="EL50" s="199"/>
      <c r="EM50" s="200"/>
      <c r="EN50" s="125"/>
      <c r="EO50" s="41"/>
      <c r="EP50" s="41"/>
      <c r="EQ50" s="41"/>
      <c r="ER50" s="41"/>
      <c r="ES50" s="199"/>
      <c r="ET50" s="200"/>
      <c r="EU50" s="125"/>
      <c r="EV50" s="41"/>
      <c r="EW50" s="41"/>
      <c r="EX50" s="41"/>
      <c r="EY50" s="41"/>
      <c r="EZ50" s="199"/>
      <c r="FA50" s="200"/>
      <c r="FB50" s="125"/>
      <c r="FC50" s="41"/>
      <c r="FD50" s="41"/>
      <c r="FE50" s="41"/>
      <c r="FF50" s="41"/>
      <c r="FG50" s="199"/>
      <c r="FH50" s="200"/>
      <c r="FI50" s="125"/>
      <c r="FJ50" s="41"/>
      <c r="FK50" s="41"/>
      <c r="FL50" s="41"/>
      <c r="FM50" s="41"/>
      <c r="FN50" s="199"/>
      <c r="FO50" s="200"/>
      <c r="FP50" s="125"/>
      <c r="FQ50" s="41"/>
      <c r="FR50" s="41"/>
      <c r="FS50" s="41"/>
      <c r="FT50" s="41"/>
      <c r="FU50" s="199"/>
      <c r="FV50" s="200"/>
      <c r="FW50" s="125"/>
      <c r="FX50" s="41"/>
      <c r="FY50" s="41"/>
      <c r="FZ50" s="41"/>
      <c r="GA50" s="41"/>
      <c r="GB50" s="199"/>
      <c r="GC50" s="200"/>
      <c r="GD50" s="125"/>
      <c r="GE50" s="41"/>
      <c r="GF50" s="41"/>
      <c r="GG50" s="41"/>
      <c r="GH50" s="41"/>
      <c r="GI50" s="199"/>
      <c r="GJ50" s="200"/>
      <c r="GK50" s="125"/>
      <c r="GL50" s="41"/>
      <c r="GM50" s="41"/>
      <c r="GN50" s="41"/>
      <c r="GO50" s="41"/>
      <c r="GP50" s="199"/>
      <c r="GQ50" s="200"/>
      <c r="GR50" s="125"/>
      <c r="GS50" s="41"/>
      <c r="GT50" s="41"/>
      <c r="GU50" s="41"/>
      <c r="GV50" s="41"/>
      <c r="GW50" s="199"/>
      <c r="GX50" s="200"/>
      <c r="GY50" s="125"/>
      <c r="GZ50" s="41"/>
      <c r="HA50" s="41"/>
      <c r="HB50" s="41"/>
      <c r="HC50" s="41"/>
      <c r="HD50" s="199"/>
      <c r="HE50" s="200"/>
    </row>
    <row r="51" spans="2:213" x14ac:dyDescent="0.3">
      <c r="B51" s="38">
        <v>55426</v>
      </c>
      <c r="C51" s="9">
        <v>35</v>
      </c>
      <c r="D51" s="10" t="str">
        <f t="shared" si="7"/>
        <v>X</v>
      </c>
      <c r="E51" s="11" t="str">
        <f t="shared" si="4"/>
        <v>55426X</v>
      </c>
      <c r="F51" s="193" t="s">
        <v>12</v>
      </c>
      <c r="G51" s="183" t="s">
        <v>26</v>
      </c>
      <c r="H51" s="146" t="s">
        <v>9</v>
      </c>
      <c r="I51" s="149" t="s">
        <v>239</v>
      </c>
      <c r="J51" s="150" t="s">
        <v>240</v>
      </c>
      <c r="K51" s="125" t="s">
        <v>459</v>
      </c>
      <c r="L51" s="41" t="s">
        <v>459</v>
      </c>
      <c r="M51" s="41" t="s">
        <v>459</v>
      </c>
      <c r="N51" s="41" t="s">
        <v>459</v>
      </c>
      <c r="O51" s="41" t="s">
        <v>459</v>
      </c>
      <c r="P51" s="199"/>
      <c r="Q51" s="200"/>
      <c r="R51" s="125" t="s">
        <v>459</v>
      </c>
      <c r="S51" s="41" t="s">
        <v>459</v>
      </c>
      <c r="T51" s="41" t="s">
        <v>459</v>
      </c>
      <c r="U51" s="41" t="s">
        <v>459</v>
      </c>
      <c r="V51" s="41" t="s">
        <v>459</v>
      </c>
      <c r="W51" s="199"/>
      <c r="X51" s="200"/>
      <c r="Y51" s="125"/>
      <c r="Z51" s="41"/>
      <c r="AA51" s="41"/>
      <c r="AB51" s="41"/>
      <c r="AC51" s="41"/>
      <c r="AD51" s="199"/>
      <c r="AE51" s="200"/>
      <c r="AF51" s="125"/>
      <c r="AG51" s="41"/>
      <c r="AH51" s="41"/>
      <c r="AI51" s="41"/>
      <c r="AJ51" s="41"/>
      <c r="AK51" s="199"/>
      <c r="AL51" s="200"/>
      <c r="AM51" s="125"/>
      <c r="AN51" s="41"/>
      <c r="AO51" s="41"/>
      <c r="AP51" s="41"/>
      <c r="AQ51" s="41"/>
      <c r="AR51" s="199"/>
      <c r="AS51" s="200"/>
      <c r="AT51" s="125"/>
      <c r="AU51" s="41"/>
      <c r="AV51" s="41"/>
      <c r="AW51" s="41"/>
      <c r="AX51" s="41"/>
      <c r="AY51" s="199"/>
      <c r="AZ51" s="200"/>
      <c r="BA51" s="125"/>
      <c r="BB51" s="41"/>
      <c r="BC51" s="41"/>
      <c r="BD51" s="41"/>
      <c r="BE51" s="41"/>
      <c r="BF51" s="199"/>
      <c r="BG51" s="200"/>
      <c r="BH51" s="125"/>
      <c r="BI51" s="41"/>
      <c r="BJ51" s="41"/>
      <c r="BK51" s="41"/>
      <c r="BL51" s="41"/>
      <c r="BM51" s="199"/>
      <c r="BN51" s="200"/>
      <c r="BO51" s="125"/>
      <c r="BP51" s="41"/>
      <c r="BQ51" s="41"/>
      <c r="BR51" s="41"/>
      <c r="BS51" s="41"/>
      <c r="BT51" s="199"/>
      <c r="BU51" s="200"/>
      <c r="BV51" s="125"/>
      <c r="BW51" s="41"/>
      <c r="BX51" s="41"/>
      <c r="BY51" s="41"/>
      <c r="BZ51" s="41"/>
      <c r="CA51" s="199"/>
      <c r="CB51" s="200"/>
      <c r="CC51" s="125"/>
      <c r="CD51" s="41"/>
      <c r="CE51" s="41"/>
      <c r="CF51" s="41"/>
      <c r="CG51" s="41"/>
      <c r="CH51" s="199"/>
      <c r="CI51" s="200"/>
      <c r="CJ51" s="125"/>
      <c r="CK51" s="41"/>
      <c r="CL51" s="41"/>
      <c r="CM51" s="41"/>
      <c r="CN51" s="41"/>
      <c r="CO51" s="199"/>
      <c r="CP51" s="200"/>
      <c r="CQ51" s="125"/>
      <c r="CR51" s="41"/>
      <c r="CS51" s="41"/>
      <c r="CT51" s="41"/>
      <c r="CU51" s="41"/>
      <c r="CV51" s="199"/>
      <c r="CW51" s="200"/>
      <c r="CX51" s="125"/>
      <c r="CY51" s="41"/>
      <c r="CZ51" s="41"/>
      <c r="DA51" s="41"/>
      <c r="DB51" s="41"/>
      <c r="DC51" s="199"/>
      <c r="DD51" s="200"/>
      <c r="DE51" s="125"/>
      <c r="DF51" s="41"/>
      <c r="DG51" s="41"/>
      <c r="DH51" s="41"/>
      <c r="DI51" s="41"/>
      <c r="DJ51" s="199"/>
      <c r="DK51" s="200"/>
      <c r="DL51" s="125"/>
      <c r="DM51" s="41"/>
      <c r="DN51" s="41"/>
      <c r="DO51" s="41"/>
      <c r="DP51" s="41"/>
      <c r="DQ51" s="199"/>
      <c r="DR51" s="200"/>
      <c r="DS51" s="125"/>
      <c r="DT51" s="41"/>
      <c r="DU51" s="41"/>
      <c r="DV51" s="41"/>
      <c r="DW51" s="41"/>
      <c r="DX51" s="199"/>
      <c r="DY51" s="200"/>
      <c r="DZ51" s="125"/>
      <c r="EA51" s="41"/>
      <c r="EB51" s="41"/>
      <c r="EC51" s="41"/>
      <c r="ED51" s="41"/>
      <c r="EE51" s="199"/>
      <c r="EF51" s="200"/>
      <c r="EG51" s="125"/>
      <c r="EH51" s="41"/>
      <c r="EI51" s="41"/>
      <c r="EJ51" s="41"/>
      <c r="EK51" s="41"/>
      <c r="EL51" s="199"/>
      <c r="EM51" s="200"/>
      <c r="EN51" s="125"/>
      <c r="EO51" s="41"/>
      <c r="EP51" s="41"/>
      <c r="EQ51" s="41"/>
      <c r="ER51" s="41"/>
      <c r="ES51" s="199"/>
      <c r="ET51" s="200"/>
      <c r="EU51" s="125"/>
      <c r="EV51" s="41"/>
      <c r="EW51" s="41"/>
      <c r="EX51" s="41"/>
      <c r="EY51" s="41"/>
      <c r="EZ51" s="199"/>
      <c r="FA51" s="200"/>
      <c r="FB51" s="125"/>
      <c r="FC51" s="41"/>
      <c r="FD51" s="41"/>
      <c r="FE51" s="41"/>
      <c r="FF51" s="41"/>
      <c r="FG51" s="199"/>
      <c r="FH51" s="200"/>
      <c r="FI51" s="125"/>
      <c r="FJ51" s="41"/>
      <c r="FK51" s="41"/>
      <c r="FL51" s="41"/>
      <c r="FM51" s="41"/>
      <c r="FN51" s="199"/>
      <c r="FO51" s="200"/>
      <c r="FP51" s="125"/>
      <c r="FQ51" s="41"/>
      <c r="FR51" s="41"/>
      <c r="FS51" s="41"/>
      <c r="FT51" s="41"/>
      <c r="FU51" s="199"/>
      <c r="FV51" s="200"/>
      <c r="FW51" s="125"/>
      <c r="FX51" s="41"/>
      <c r="FY51" s="41"/>
      <c r="FZ51" s="41"/>
      <c r="GA51" s="41"/>
      <c r="GB51" s="199"/>
      <c r="GC51" s="200"/>
      <c r="GD51" s="125"/>
      <c r="GE51" s="41"/>
      <c r="GF51" s="41"/>
      <c r="GG51" s="41"/>
      <c r="GH51" s="41"/>
      <c r="GI51" s="199"/>
      <c r="GJ51" s="200"/>
      <c r="GK51" s="125"/>
      <c r="GL51" s="41"/>
      <c r="GM51" s="41"/>
      <c r="GN51" s="41"/>
      <c r="GO51" s="41"/>
      <c r="GP51" s="199"/>
      <c r="GQ51" s="200"/>
      <c r="GR51" s="125"/>
      <c r="GS51" s="41"/>
      <c r="GT51" s="41"/>
      <c r="GU51" s="41"/>
      <c r="GV51" s="41"/>
      <c r="GW51" s="199"/>
      <c r="GX51" s="200"/>
      <c r="GY51" s="125"/>
      <c r="GZ51" s="41"/>
      <c r="HA51" s="41"/>
      <c r="HB51" s="41"/>
      <c r="HC51" s="41"/>
      <c r="HD51" s="199"/>
      <c r="HE51" s="200"/>
    </row>
    <row r="52" spans="2:213" x14ac:dyDescent="0.3">
      <c r="B52" s="38">
        <v>104720</v>
      </c>
      <c r="C52" s="9">
        <v>35</v>
      </c>
      <c r="D52" s="10" t="str">
        <f t="shared" si="7"/>
        <v>X</v>
      </c>
      <c r="E52" s="11" t="str">
        <f t="shared" si="4"/>
        <v>104720X</v>
      </c>
      <c r="F52" s="193" t="s">
        <v>12</v>
      </c>
      <c r="G52" s="183" t="s">
        <v>26</v>
      </c>
      <c r="H52" s="146" t="s">
        <v>9</v>
      </c>
      <c r="I52" s="159" t="s">
        <v>276</v>
      </c>
      <c r="J52" s="160" t="s">
        <v>240</v>
      </c>
      <c r="K52" s="125" t="s">
        <v>459</v>
      </c>
      <c r="L52" s="41" t="s">
        <v>459</v>
      </c>
      <c r="M52" s="41" t="s">
        <v>459</v>
      </c>
      <c r="N52" s="41" t="s">
        <v>459</v>
      </c>
      <c r="O52" s="41" t="s">
        <v>459</v>
      </c>
      <c r="P52" s="199"/>
      <c r="Q52" s="200"/>
      <c r="R52" s="125" t="s">
        <v>459</v>
      </c>
      <c r="S52" s="41" t="s">
        <v>459</v>
      </c>
      <c r="T52" s="41" t="s">
        <v>459</v>
      </c>
      <c r="U52" s="41" t="s">
        <v>459</v>
      </c>
      <c r="V52" s="41" t="s">
        <v>459</v>
      </c>
      <c r="W52" s="199"/>
      <c r="X52" s="200"/>
      <c r="Y52" s="125"/>
      <c r="Z52" s="41"/>
      <c r="AA52" s="41"/>
      <c r="AB52" s="41"/>
      <c r="AC52" s="41"/>
      <c r="AD52" s="199"/>
      <c r="AE52" s="200"/>
      <c r="AF52" s="125"/>
      <c r="AG52" s="41"/>
      <c r="AH52" s="41"/>
      <c r="AI52" s="41"/>
      <c r="AJ52" s="41"/>
      <c r="AK52" s="199"/>
      <c r="AL52" s="200"/>
      <c r="AM52" s="125"/>
      <c r="AN52" s="41"/>
      <c r="AO52" s="41"/>
      <c r="AP52" s="41"/>
      <c r="AQ52" s="41"/>
      <c r="AR52" s="199"/>
      <c r="AS52" s="200"/>
      <c r="AT52" s="125"/>
      <c r="AU52" s="41"/>
      <c r="AV52" s="41"/>
      <c r="AW52" s="41"/>
      <c r="AX52" s="41"/>
      <c r="AY52" s="199"/>
      <c r="AZ52" s="200"/>
      <c r="BA52" s="125"/>
      <c r="BB52" s="41"/>
      <c r="BC52" s="41"/>
      <c r="BD52" s="41"/>
      <c r="BE52" s="41"/>
      <c r="BF52" s="199"/>
      <c r="BG52" s="200"/>
      <c r="BH52" s="125"/>
      <c r="BI52" s="41"/>
      <c r="BJ52" s="41"/>
      <c r="BK52" s="41"/>
      <c r="BL52" s="41"/>
      <c r="BM52" s="199"/>
      <c r="BN52" s="200"/>
      <c r="BO52" s="125"/>
      <c r="BP52" s="41"/>
      <c r="BQ52" s="41"/>
      <c r="BR52" s="41"/>
      <c r="BS52" s="41"/>
      <c r="BT52" s="199"/>
      <c r="BU52" s="200"/>
      <c r="BV52" s="125"/>
      <c r="BW52" s="41"/>
      <c r="BX52" s="41"/>
      <c r="BY52" s="41"/>
      <c r="BZ52" s="41"/>
      <c r="CA52" s="199"/>
      <c r="CB52" s="200"/>
      <c r="CC52" s="125"/>
      <c r="CD52" s="41"/>
      <c r="CE52" s="41"/>
      <c r="CF52" s="41"/>
      <c r="CG52" s="41"/>
      <c r="CH52" s="199"/>
      <c r="CI52" s="200"/>
      <c r="CJ52" s="125"/>
      <c r="CK52" s="41"/>
      <c r="CL52" s="41"/>
      <c r="CM52" s="41"/>
      <c r="CN52" s="41"/>
      <c r="CO52" s="199"/>
      <c r="CP52" s="200"/>
      <c r="CQ52" s="125"/>
      <c r="CR52" s="41"/>
      <c r="CS52" s="41"/>
      <c r="CT52" s="41"/>
      <c r="CU52" s="41"/>
      <c r="CV52" s="199"/>
      <c r="CW52" s="200"/>
      <c r="CX52" s="125"/>
      <c r="CY52" s="41"/>
      <c r="CZ52" s="41"/>
      <c r="DA52" s="41"/>
      <c r="DB52" s="41"/>
      <c r="DC52" s="199"/>
      <c r="DD52" s="200"/>
      <c r="DE52" s="125"/>
      <c r="DF52" s="41"/>
      <c r="DG52" s="41"/>
      <c r="DH52" s="41"/>
      <c r="DI52" s="41"/>
      <c r="DJ52" s="199"/>
      <c r="DK52" s="200"/>
      <c r="DL52" s="125"/>
      <c r="DM52" s="41"/>
      <c r="DN52" s="41"/>
      <c r="DO52" s="41"/>
      <c r="DP52" s="41"/>
      <c r="DQ52" s="199"/>
      <c r="DR52" s="200"/>
      <c r="DS52" s="125"/>
      <c r="DT52" s="41"/>
      <c r="DU52" s="41"/>
      <c r="DV52" s="41"/>
      <c r="DW52" s="41"/>
      <c r="DX52" s="199"/>
      <c r="DY52" s="200"/>
      <c r="DZ52" s="125"/>
      <c r="EA52" s="41"/>
      <c r="EB52" s="41"/>
      <c r="EC52" s="41"/>
      <c r="ED52" s="41"/>
      <c r="EE52" s="199"/>
      <c r="EF52" s="200"/>
      <c r="EG52" s="125"/>
      <c r="EH52" s="41"/>
      <c r="EI52" s="41"/>
      <c r="EJ52" s="41"/>
      <c r="EK52" s="41"/>
      <c r="EL52" s="199"/>
      <c r="EM52" s="200"/>
      <c r="EN52" s="125"/>
      <c r="EO52" s="41"/>
      <c r="EP52" s="41"/>
      <c r="EQ52" s="41"/>
      <c r="ER52" s="41"/>
      <c r="ES52" s="199"/>
      <c r="ET52" s="200"/>
      <c r="EU52" s="125"/>
      <c r="EV52" s="41"/>
      <c r="EW52" s="41"/>
      <c r="EX52" s="41"/>
      <c r="EY52" s="41"/>
      <c r="EZ52" s="199"/>
      <c r="FA52" s="200"/>
      <c r="FB52" s="125"/>
      <c r="FC52" s="41"/>
      <c r="FD52" s="41"/>
      <c r="FE52" s="41"/>
      <c r="FF52" s="41"/>
      <c r="FG52" s="199"/>
      <c r="FH52" s="200"/>
      <c r="FI52" s="125"/>
      <c r="FJ52" s="41"/>
      <c r="FK52" s="41"/>
      <c r="FL52" s="41"/>
      <c r="FM52" s="41"/>
      <c r="FN52" s="199"/>
      <c r="FO52" s="200"/>
      <c r="FP52" s="125"/>
      <c r="FQ52" s="41"/>
      <c r="FR52" s="41"/>
      <c r="FS52" s="41"/>
      <c r="FT52" s="41"/>
      <c r="FU52" s="199"/>
      <c r="FV52" s="200"/>
      <c r="FW52" s="125"/>
      <c r="FX52" s="41"/>
      <c r="FY52" s="41"/>
      <c r="FZ52" s="41"/>
      <c r="GA52" s="41"/>
      <c r="GB52" s="199"/>
      <c r="GC52" s="200"/>
      <c r="GD52" s="125"/>
      <c r="GE52" s="41"/>
      <c r="GF52" s="41"/>
      <c r="GG52" s="41"/>
      <c r="GH52" s="41"/>
      <c r="GI52" s="199"/>
      <c r="GJ52" s="200"/>
      <c r="GK52" s="125"/>
      <c r="GL52" s="41"/>
      <c r="GM52" s="41"/>
      <c r="GN52" s="41"/>
      <c r="GO52" s="41"/>
      <c r="GP52" s="199"/>
      <c r="GQ52" s="200"/>
      <c r="GR52" s="125"/>
      <c r="GS52" s="41"/>
      <c r="GT52" s="41"/>
      <c r="GU52" s="41"/>
      <c r="GV52" s="41"/>
      <c r="GW52" s="199"/>
      <c r="GX52" s="200"/>
      <c r="GY52" s="125"/>
      <c r="GZ52" s="41"/>
      <c r="HA52" s="41"/>
      <c r="HB52" s="41"/>
      <c r="HC52" s="41"/>
      <c r="HD52" s="199"/>
      <c r="HE52" s="200"/>
    </row>
    <row r="53" spans="2:213" x14ac:dyDescent="0.3">
      <c r="B53" s="40">
        <v>106155</v>
      </c>
      <c r="C53" s="41">
        <v>35</v>
      </c>
      <c r="D53" s="41" t="s">
        <v>19</v>
      </c>
      <c r="E53" s="11" t="str">
        <f t="shared" si="4"/>
        <v>106155X</v>
      </c>
      <c r="F53" s="193" t="s">
        <v>12</v>
      </c>
      <c r="G53" s="183" t="s">
        <v>26</v>
      </c>
      <c r="H53" s="146" t="s">
        <v>9</v>
      </c>
      <c r="I53" s="159" t="s">
        <v>326</v>
      </c>
      <c r="J53" s="160" t="s">
        <v>288</v>
      </c>
      <c r="K53" s="125" t="s">
        <v>459</v>
      </c>
      <c r="L53" s="41" t="s">
        <v>459</v>
      </c>
      <c r="M53" s="41" t="s">
        <v>459</v>
      </c>
      <c r="N53" s="41" t="s">
        <v>459</v>
      </c>
      <c r="O53" s="41" t="s">
        <v>459</v>
      </c>
      <c r="P53" s="199"/>
      <c r="Q53" s="200"/>
      <c r="R53" s="125" t="s">
        <v>459</v>
      </c>
      <c r="S53" s="41" t="s">
        <v>459</v>
      </c>
      <c r="T53" s="41" t="s">
        <v>459</v>
      </c>
      <c r="U53" s="41" t="s">
        <v>459</v>
      </c>
      <c r="V53" s="41" t="s">
        <v>459</v>
      </c>
      <c r="W53" s="199"/>
      <c r="X53" s="200"/>
      <c r="Y53" s="125"/>
      <c r="Z53" s="41"/>
      <c r="AA53" s="41"/>
      <c r="AB53" s="41"/>
      <c r="AC53" s="41"/>
      <c r="AD53" s="199"/>
      <c r="AE53" s="200"/>
      <c r="AF53" s="125"/>
      <c r="AG53" s="41"/>
      <c r="AH53" s="41"/>
      <c r="AI53" s="41"/>
      <c r="AJ53" s="41"/>
      <c r="AK53" s="199"/>
      <c r="AL53" s="200"/>
      <c r="AM53" s="125"/>
      <c r="AN53" s="41"/>
      <c r="AO53" s="41"/>
      <c r="AP53" s="41"/>
      <c r="AQ53" s="41"/>
      <c r="AR53" s="199"/>
      <c r="AS53" s="200"/>
      <c r="AT53" s="125"/>
      <c r="AU53" s="41"/>
      <c r="AV53" s="41"/>
      <c r="AW53" s="41"/>
      <c r="AX53" s="41"/>
      <c r="AY53" s="199"/>
      <c r="AZ53" s="200"/>
      <c r="BA53" s="125"/>
      <c r="BB53" s="41"/>
      <c r="BC53" s="41"/>
      <c r="BD53" s="41"/>
      <c r="BE53" s="41"/>
      <c r="BF53" s="199"/>
      <c r="BG53" s="200"/>
      <c r="BH53" s="125"/>
      <c r="BI53" s="41"/>
      <c r="BJ53" s="41"/>
      <c r="BK53" s="41"/>
      <c r="BL53" s="41"/>
      <c r="BM53" s="199"/>
      <c r="BN53" s="200"/>
      <c r="BO53" s="125"/>
      <c r="BP53" s="41"/>
      <c r="BQ53" s="41"/>
      <c r="BR53" s="41"/>
      <c r="BS53" s="41"/>
      <c r="BT53" s="199"/>
      <c r="BU53" s="200"/>
      <c r="BV53" s="125"/>
      <c r="BW53" s="41"/>
      <c r="BX53" s="41"/>
      <c r="BY53" s="41"/>
      <c r="BZ53" s="41"/>
      <c r="CA53" s="199"/>
      <c r="CB53" s="200"/>
      <c r="CC53" s="125"/>
      <c r="CD53" s="41"/>
      <c r="CE53" s="41"/>
      <c r="CF53" s="41"/>
      <c r="CG53" s="41"/>
      <c r="CH53" s="199"/>
      <c r="CI53" s="200"/>
      <c r="CJ53" s="125"/>
      <c r="CK53" s="41"/>
      <c r="CL53" s="41"/>
      <c r="CM53" s="41"/>
      <c r="CN53" s="41"/>
      <c r="CO53" s="199"/>
      <c r="CP53" s="200"/>
      <c r="CQ53" s="125"/>
      <c r="CR53" s="41"/>
      <c r="CS53" s="41"/>
      <c r="CT53" s="41"/>
      <c r="CU53" s="41"/>
      <c r="CV53" s="199"/>
      <c r="CW53" s="200"/>
      <c r="CX53" s="125"/>
      <c r="CY53" s="41"/>
      <c r="CZ53" s="41"/>
      <c r="DA53" s="41"/>
      <c r="DB53" s="41"/>
      <c r="DC53" s="199"/>
      <c r="DD53" s="200"/>
      <c r="DE53" s="125"/>
      <c r="DF53" s="41"/>
      <c r="DG53" s="41"/>
      <c r="DH53" s="41"/>
      <c r="DI53" s="41"/>
      <c r="DJ53" s="199"/>
      <c r="DK53" s="200"/>
      <c r="DL53" s="125"/>
      <c r="DM53" s="41"/>
      <c r="DN53" s="41"/>
      <c r="DO53" s="41"/>
      <c r="DP53" s="41"/>
      <c r="DQ53" s="199"/>
      <c r="DR53" s="200"/>
      <c r="DS53" s="125"/>
      <c r="DT53" s="41"/>
      <c r="DU53" s="41"/>
      <c r="DV53" s="41"/>
      <c r="DW53" s="41"/>
      <c r="DX53" s="199"/>
      <c r="DY53" s="200"/>
      <c r="DZ53" s="125"/>
      <c r="EA53" s="41"/>
      <c r="EB53" s="41"/>
      <c r="EC53" s="41"/>
      <c r="ED53" s="41"/>
      <c r="EE53" s="199"/>
      <c r="EF53" s="200"/>
      <c r="EG53" s="125"/>
      <c r="EH53" s="41"/>
      <c r="EI53" s="41"/>
      <c r="EJ53" s="41"/>
      <c r="EK53" s="41"/>
      <c r="EL53" s="199"/>
      <c r="EM53" s="200"/>
      <c r="EN53" s="125"/>
      <c r="EO53" s="41"/>
      <c r="EP53" s="41"/>
      <c r="EQ53" s="41"/>
      <c r="ER53" s="41"/>
      <c r="ES53" s="199"/>
      <c r="ET53" s="200"/>
      <c r="EU53" s="125"/>
      <c r="EV53" s="41"/>
      <c r="EW53" s="41"/>
      <c r="EX53" s="41"/>
      <c r="EY53" s="41"/>
      <c r="EZ53" s="199"/>
      <c r="FA53" s="200"/>
      <c r="FB53" s="125"/>
      <c r="FC53" s="41"/>
      <c r="FD53" s="41"/>
      <c r="FE53" s="41"/>
      <c r="FF53" s="41"/>
      <c r="FG53" s="199"/>
      <c r="FH53" s="200"/>
      <c r="FI53" s="125"/>
      <c r="FJ53" s="41"/>
      <c r="FK53" s="41"/>
      <c r="FL53" s="41"/>
      <c r="FM53" s="41"/>
      <c r="FN53" s="199"/>
      <c r="FO53" s="200"/>
      <c r="FP53" s="125"/>
      <c r="FQ53" s="41"/>
      <c r="FR53" s="41"/>
      <c r="FS53" s="41"/>
      <c r="FT53" s="41"/>
      <c r="FU53" s="199"/>
      <c r="FV53" s="200"/>
      <c r="FW53" s="125"/>
      <c r="FX53" s="41"/>
      <c r="FY53" s="41"/>
      <c r="FZ53" s="41"/>
      <c r="GA53" s="41"/>
      <c r="GB53" s="199"/>
      <c r="GC53" s="200"/>
      <c r="GD53" s="125"/>
      <c r="GE53" s="41"/>
      <c r="GF53" s="41"/>
      <c r="GG53" s="41"/>
      <c r="GH53" s="41"/>
      <c r="GI53" s="199"/>
      <c r="GJ53" s="200"/>
      <c r="GK53" s="125"/>
      <c r="GL53" s="41"/>
      <c r="GM53" s="41"/>
      <c r="GN53" s="41"/>
      <c r="GO53" s="41"/>
      <c r="GP53" s="199"/>
      <c r="GQ53" s="200"/>
      <c r="GR53" s="125"/>
      <c r="GS53" s="41"/>
      <c r="GT53" s="41"/>
      <c r="GU53" s="41"/>
      <c r="GV53" s="41"/>
      <c r="GW53" s="199"/>
      <c r="GX53" s="200"/>
      <c r="GY53" s="125"/>
      <c r="GZ53" s="41"/>
      <c r="HA53" s="41"/>
      <c r="HB53" s="41"/>
      <c r="HC53" s="41"/>
      <c r="HD53" s="199"/>
      <c r="HE53" s="200"/>
    </row>
    <row r="54" spans="2:213" x14ac:dyDescent="0.3">
      <c r="B54" s="38">
        <v>44174</v>
      </c>
      <c r="C54" s="9">
        <v>28</v>
      </c>
      <c r="D54" s="10" t="str">
        <f>IF(G54="","","X")</f>
        <v>X</v>
      </c>
      <c r="E54" s="10" t="str">
        <f t="shared" si="4"/>
        <v>44174X</v>
      </c>
      <c r="F54" s="193" t="s">
        <v>12</v>
      </c>
      <c r="G54" s="183" t="s">
        <v>8</v>
      </c>
      <c r="H54" s="146" t="s">
        <v>9</v>
      </c>
      <c r="I54" s="163" t="s">
        <v>13</v>
      </c>
      <c r="J54" s="164" t="s">
        <v>14</v>
      </c>
      <c r="K54" s="125" t="s">
        <v>459</v>
      </c>
      <c r="L54" s="41" t="s">
        <v>459</v>
      </c>
      <c r="M54" s="41" t="s">
        <v>459</v>
      </c>
      <c r="N54" s="41" t="s">
        <v>459</v>
      </c>
      <c r="O54" s="41" t="s">
        <v>459</v>
      </c>
      <c r="P54" s="199"/>
      <c r="Q54" s="200"/>
      <c r="R54" s="125" t="s">
        <v>459</v>
      </c>
      <c r="S54" s="41" t="s">
        <v>459</v>
      </c>
      <c r="T54" s="41" t="s">
        <v>459</v>
      </c>
      <c r="U54" s="41" t="s">
        <v>459</v>
      </c>
      <c r="V54" s="41" t="s">
        <v>459</v>
      </c>
      <c r="W54" s="199"/>
      <c r="X54" s="200"/>
      <c r="Y54" s="125"/>
      <c r="Z54" s="41"/>
      <c r="AA54" s="41"/>
      <c r="AB54" s="41"/>
      <c r="AC54" s="41"/>
      <c r="AD54" s="199"/>
      <c r="AE54" s="200"/>
      <c r="AF54" s="125"/>
      <c r="AG54" s="41"/>
      <c r="AH54" s="41"/>
      <c r="AI54" s="41"/>
      <c r="AJ54" s="41"/>
      <c r="AK54" s="199"/>
      <c r="AL54" s="200"/>
      <c r="AM54" s="125"/>
      <c r="AN54" s="41"/>
      <c r="AO54" s="41"/>
      <c r="AP54" s="41"/>
      <c r="AQ54" s="41"/>
      <c r="AR54" s="199"/>
      <c r="AS54" s="200"/>
      <c r="AT54" s="125"/>
      <c r="AU54" s="41"/>
      <c r="AV54" s="41"/>
      <c r="AW54" s="41"/>
      <c r="AX54" s="41"/>
      <c r="AY54" s="199"/>
      <c r="AZ54" s="200"/>
      <c r="BA54" s="125"/>
      <c r="BB54" s="41"/>
      <c r="BC54" s="41"/>
      <c r="BD54" s="41"/>
      <c r="BE54" s="41"/>
      <c r="BF54" s="199"/>
      <c r="BG54" s="200"/>
      <c r="BH54" s="125"/>
      <c r="BI54" s="41"/>
      <c r="BJ54" s="41"/>
      <c r="BK54" s="41"/>
      <c r="BL54" s="41"/>
      <c r="BM54" s="199"/>
      <c r="BN54" s="200"/>
      <c r="BO54" s="125"/>
      <c r="BP54" s="41"/>
      <c r="BQ54" s="41"/>
      <c r="BR54" s="41"/>
      <c r="BS54" s="41"/>
      <c r="BT54" s="199"/>
      <c r="BU54" s="200"/>
      <c r="BV54" s="125"/>
      <c r="BW54" s="41"/>
      <c r="BX54" s="41"/>
      <c r="BY54" s="41"/>
      <c r="BZ54" s="41"/>
      <c r="CA54" s="199"/>
      <c r="CB54" s="200"/>
      <c r="CC54" s="125"/>
      <c r="CD54" s="41"/>
      <c r="CE54" s="41"/>
      <c r="CF54" s="41"/>
      <c r="CG54" s="41"/>
      <c r="CH54" s="199"/>
      <c r="CI54" s="200"/>
      <c r="CJ54" s="125"/>
      <c r="CK54" s="41"/>
      <c r="CL54" s="41"/>
      <c r="CM54" s="41"/>
      <c r="CN54" s="41"/>
      <c r="CO54" s="199"/>
      <c r="CP54" s="200"/>
      <c r="CQ54" s="125"/>
      <c r="CR54" s="41"/>
      <c r="CS54" s="41"/>
      <c r="CT54" s="41"/>
      <c r="CU54" s="41"/>
      <c r="CV54" s="199"/>
      <c r="CW54" s="200"/>
      <c r="CX54" s="125"/>
      <c r="CY54" s="41"/>
      <c r="CZ54" s="41"/>
      <c r="DA54" s="41"/>
      <c r="DB54" s="41"/>
      <c r="DC54" s="199"/>
      <c r="DD54" s="200"/>
      <c r="DE54" s="125"/>
      <c r="DF54" s="41"/>
      <c r="DG54" s="41"/>
      <c r="DH54" s="41"/>
      <c r="DI54" s="41"/>
      <c r="DJ54" s="199"/>
      <c r="DK54" s="200"/>
      <c r="DL54" s="125"/>
      <c r="DM54" s="41"/>
      <c r="DN54" s="41"/>
      <c r="DO54" s="41"/>
      <c r="DP54" s="41"/>
      <c r="DQ54" s="199"/>
      <c r="DR54" s="200"/>
      <c r="DS54" s="125"/>
      <c r="DT54" s="41"/>
      <c r="DU54" s="41"/>
      <c r="DV54" s="41"/>
      <c r="DW54" s="41"/>
      <c r="DX54" s="199"/>
      <c r="DY54" s="200"/>
      <c r="DZ54" s="125"/>
      <c r="EA54" s="41"/>
      <c r="EB54" s="41"/>
      <c r="EC54" s="41"/>
      <c r="ED54" s="41"/>
      <c r="EE54" s="199"/>
      <c r="EF54" s="200"/>
      <c r="EG54" s="125"/>
      <c r="EH54" s="41"/>
      <c r="EI54" s="41"/>
      <c r="EJ54" s="41"/>
      <c r="EK54" s="41"/>
      <c r="EL54" s="199"/>
      <c r="EM54" s="200"/>
      <c r="EN54" s="125"/>
      <c r="EO54" s="41"/>
      <c r="EP54" s="41"/>
      <c r="EQ54" s="41"/>
      <c r="ER54" s="41"/>
      <c r="ES54" s="199"/>
      <c r="ET54" s="200"/>
      <c r="EU54" s="125"/>
      <c r="EV54" s="41"/>
      <c r="EW54" s="41"/>
      <c r="EX54" s="41"/>
      <c r="EY54" s="41"/>
      <c r="EZ54" s="199"/>
      <c r="FA54" s="200"/>
      <c r="FB54" s="125"/>
      <c r="FC54" s="41"/>
      <c r="FD54" s="41"/>
      <c r="FE54" s="41"/>
      <c r="FF54" s="41"/>
      <c r="FG54" s="199"/>
      <c r="FH54" s="200"/>
      <c r="FI54" s="125"/>
      <c r="FJ54" s="41"/>
      <c r="FK54" s="41"/>
      <c r="FL54" s="41"/>
      <c r="FM54" s="41"/>
      <c r="FN54" s="199"/>
      <c r="FO54" s="200"/>
      <c r="FP54" s="125"/>
      <c r="FQ54" s="41"/>
      <c r="FR54" s="41"/>
      <c r="FS54" s="41"/>
      <c r="FT54" s="41"/>
      <c r="FU54" s="199"/>
      <c r="FV54" s="200"/>
      <c r="FW54" s="125"/>
      <c r="FX54" s="41"/>
      <c r="FY54" s="41"/>
      <c r="FZ54" s="41"/>
      <c r="GA54" s="41"/>
      <c r="GB54" s="199"/>
      <c r="GC54" s="200"/>
      <c r="GD54" s="125"/>
      <c r="GE54" s="41"/>
      <c r="GF54" s="41"/>
      <c r="GG54" s="41"/>
      <c r="GH54" s="41"/>
      <c r="GI54" s="199"/>
      <c r="GJ54" s="200"/>
      <c r="GK54" s="125"/>
      <c r="GL54" s="41"/>
      <c r="GM54" s="41"/>
      <c r="GN54" s="41"/>
      <c r="GO54" s="41"/>
      <c r="GP54" s="199"/>
      <c r="GQ54" s="200"/>
      <c r="GR54" s="125"/>
      <c r="GS54" s="41"/>
      <c r="GT54" s="41"/>
      <c r="GU54" s="41"/>
      <c r="GV54" s="41"/>
      <c r="GW54" s="199"/>
      <c r="GX54" s="200"/>
      <c r="GY54" s="125"/>
      <c r="GZ54" s="41"/>
      <c r="HA54" s="41"/>
      <c r="HB54" s="41"/>
      <c r="HC54" s="41"/>
      <c r="HD54" s="199"/>
      <c r="HE54" s="200"/>
    </row>
    <row r="55" spans="2:213" x14ac:dyDescent="0.3">
      <c r="B55" s="8">
        <v>107809</v>
      </c>
      <c r="C55" s="9">
        <v>39</v>
      </c>
      <c r="D55" s="10" t="s">
        <v>19</v>
      </c>
      <c r="E55" s="11" t="str">
        <f t="shared" si="4"/>
        <v>107809X</v>
      </c>
      <c r="F55" s="193" t="s">
        <v>12</v>
      </c>
      <c r="G55" s="184" t="s">
        <v>8</v>
      </c>
      <c r="H55" s="146" t="s">
        <v>9</v>
      </c>
      <c r="I55" s="163" t="s">
        <v>48</v>
      </c>
      <c r="J55" s="164" t="s">
        <v>50</v>
      </c>
      <c r="K55" s="125" t="s">
        <v>459</v>
      </c>
      <c r="L55" s="41" t="s">
        <v>459</v>
      </c>
      <c r="M55" s="41" t="s">
        <v>459</v>
      </c>
      <c r="N55" s="41" t="s">
        <v>459</v>
      </c>
      <c r="O55" s="41" t="s">
        <v>459</v>
      </c>
      <c r="P55" s="199"/>
      <c r="Q55" s="200"/>
      <c r="R55" s="125" t="s">
        <v>459</v>
      </c>
      <c r="S55" s="41" t="s">
        <v>459</v>
      </c>
      <c r="T55" s="41" t="s">
        <v>459</v>
      </c>
      <c r="U55" s="41" t="s">
        <v>459</v>
      </c>
      <c r="V55" s="41" t="s">
        <v>459</v>
      </c>
      <c r="W55" s="199"/>
      <c r="X55" s="200"/>
      <c r="Y55" s="125"/>
      <c r="Z55" s="41"/>
      <c r="AA55" s="41"/>
      <c r="AB55" s="41"/>
      <c r="AC55" s="41"/>
      <c r="AD55" s="199"/>
      <c r="AE55" s="200"/>
      <c r="AF55" s="125"/>
      <c r="AG55" s="41"/>
      <c r="AH55" s="41"/>
      <c r="AI55" s="41"/>
      <c r="AJ55" s="41"/>
      <c r="AK55" s="199"/>
      <c r="AL55" s="200"/>
      <c r="AM55" s="125"/>
      <c r="AN55" s="41"/>
      <c r="AO55" s="41"/>
      <c r="AP55" s="41"/>
      <c r="AQ55" s="41"/>
      <c r="AR55" s="199"/>
      <c r="AS55" s="200"/>
      <c r="AT55" s="125"/>
      <c r="AU55" s="41"/>
      <c r="AV55" s="41"/>
      <c r="AW55" s="41"/>
      <c r="AX55" s="41"/>
      <c r="AY55" s="199"/>
      <c r="AZ55" s="200"/>
      <c r="BA55" s="125"/>
      <c r="BB55" s="41"/>
      <c r="BC55" s="41"/>
      <c r="BD55" s="41"/>
      <c r="BE55" s="41"/>
      <c r="BF55" s="199"/>
      <c r="BG55" s="200"/>
      <c r="BH55" s="125"/>
      <c r="BI55" s="41"/>
      <c r="BJ55" s="41"/>
      <c r="BK55" s="41"/>
      <c r="BL55" s="41"/>
      <c r="BM55" s="199"/>
      <c r="BN55" s="200"/>
      <c r="BO55" s="125"/>
      <c r="BP55" s="41"/>
      <c r="BQ55" s="41"/>
      <c r="BR55" s="41"/>
      <c r="BS55" s="41"/>
      <c r="BT55" s="199"/>
      <c r="BU55" s="200"/>
      <c r="BV55" s="125"/>
      <c r="BW55" s="41"/>
      <c r="BX55" s="41"/>
      <c r="BY55" s="41"/>
      <c r="BZ55" s="41"/>
      <c r="CA55" s="199"/>
      <c r="CB55" s="200"/>
      <c r="CC55" s="125"/>
      <c r="CD55" s="41"/>
      <c r="CE55" s="41"/>
      <c r="CF55" s="41"/>
      <c r="CG55" s="41"/>
      <c r="CH55" s="199"/>
      <c r="CI55" s="200"/>
      <c r="CJ55" s="125"/>
      <c r="CK55" s="41"/>
      <c r="CL55" s="41"/>
      <c r="CM55" s="41"/>
      <c r="CN55" s="41"/>
      <c r="CO55" s="199"/>
      <c r="CP55" s="200"/>
      <c r="CQ55" s="125"/>
      <c r="CR55" s="41"/>
      <c r="CS55" s="41"/>
      <c r="CT55" s="41"/>
      <c r="CU55" s="41"/>
      <c r="CV55" s="199"/>
      <c r="CW55" s="200"/>
      <c r="CX55" s="125"/>
      <c r="CY55" s="41"/>
      <c r="CZ55" s="41"/>
      <c r="DA55" s="41"/>
      <c r="DB55" s="41"/>
      <c r="DC55" s="199"/>
      <c r="DD55" s="200"/>
      <c r="DE55" s="125"/>
      <c r="DF55" s="41"/>
      <c r="DG55" s="41"/>
      <c r="DH55" s="41"/>
      <c r="DI55" s="41"/>
      <c r="DJ55" s="199"/>
      <c r="DK55" s="200"/>
      <c r="DL55" s="125"/>
      <c r="DM55" s="41"/>
      <c r="DN55" s="41"/>
      <c r="DO55" s="41"/>
      <c r="DP55" s="41"/>
      <c r="DQ55" s="199"/>
      <c r="DR55" s="200"/>
      <c r="DS55" s="125"/>
      <c r="DT55" s="41"/>
      <c r="DU55" s="41"/>
      <c r="DV55" s="41"/>
      <c r="DW55" s="41"/>
      <c r="DX55" s="199"/>
      <c r="DY55" s="200"/>
      <c r="DZ55" s="125"/>
      <c r="EA55" s="41"/>
      <c r="EB55" s="41"/>
      <c r="EC55" s="41"/>
      <c r="ED55" s="41"/>
      <c r="EE55" s="199"/>
      <c r="EF55" s="200"/>
      <c r="EG55" s="125"/>
      <c r="EH55" s="41"/>
      <c r="EI55" s="41"/>
      <c r="EJ55" s="41"/>
      <c r="EK55" s="41"/>
      <c r="EL55" s="199"/>
      <c r="EM55" s="200"/>
      <c r="EN55" s="125"/>
      <c r="EO55" s="41"/>
      <c r="EP55" s="41"/>
      <c r="EQ55" s="41"/>
      <c r="ER55" s="41"/>
      <c r="ES55" s="199"/>
      <c r="ET55" s="200"/>
      <c r="EU55" s="125"/>
      <c r="EV55" s="41"/>
      <c r="EW55" s="41"/>
      <c r="EX55" s="41"/>
      <c r="EY55" s="41"/>
      <c r="EZ55" s="199"/>
      <c r="FA55" s="200"/>
      <c r="FB55" s="125"/>
      <c r="FC55" s="41"/>
      <c r="FD55" s="41"/>
      <c r="FE55" s="41"/>
      <c r="FF55" s="41"/>
      <c r="FG55" s="199"/>
      <c r="FH55" s="200"/>
      <c r="FI55" s="125"/>
      <c r="FJ55" s="41"/>
      <c r="FK55" s="41"/>
      <c r="FL55" s="41"/>
      <c r="FM55" s="41"/>
      <c r="FN55" s="199"/>
      <c r="FO55" s="200"/>
      <c r="FP55" s="125"/>
      <c r="FQ55" s="41"/>
      <c r="FR55" s="41"/>
      <c r="FS55" s="41"/>
      <c r="FT55" s="41"/>
      <c r="FU55" s="199"/>
      <c r="FV55" s="200"/>
      <c r="FW55" s="125"/>
      <c r="FX55" s="41"/>
      <c r="FY55" s="41"/>
      <c r="FZ55" s="41"/>
      <c r="GA55" s="41"/>
      <c r="GB55" s="199"/>
      <c r="GC55" s="200"/>
      <c r="GD55" s="125"/>
      <c r="GE55" s="41"/>
      <c r="GF55" s="41"/>
      <c r="GG55" s="41"/>
      <c r="GH55" s="41"/>
      <c r="GI55" s="199"/>
      <c r="GJ55" s="200"/>
      <c r="GK55" s="125"/>
      <c r="GL55" s="41"/>
      <c r="GM55" s="41"/>
      <c r="GN55" s="41"/>
      <c r="GO55" s="41"/>
      <c r="GP55" s="199"/>
      <c r="GQ55" s="200"/>
      <c r="GR55" s="125"/>
      <c r="GS55" s="41"/>
      <c r="GT55" s="41"/>
      <c r="GU55" s="41"/>
      <c r="GV55" s="41"/>
      <c r="GW55" s="199"/>
      <c r="GX55" s="200"/>
      <c r="GY55" s="125"/>
      <c r="GZ55" s="41"/>
      <c r="HA55" s="41"/>
      <c r="HB55" s="41"/>
      <c r="HC55" s="41"/>
      <c r="HD55" s="199"/>
      <c r="HE55" s="200"/>
    </row>
    <row r="56" spans="2:213" x14ac:dyDescent="0.3">
      <c r="B56" s="24" t="s">
        <v>18</v>
      </c>
      <c r="C56" s="25">
        <v>35</v>
      </c>
      <c r="D56" s="26" t="s">
        <v>19</v>
      </c>
      <c r="E56" s="26" t="str">
        <f t="shared" si="4"/>
        <v>IX</v>
      </c>
      <c r="F56" s="193" t="s">
        <v>12</v>
      </c>
      <c r="G56" s="184" t="s">
        <v>8</v>
      </c>
      <c r="H56" s="146" t="s">
        <v>9</v>
      </c>
      <c r="I56" s="163" t="s">
        <v>54</v>
      </c>
      <c r="J56" s="164" t="s">
        <v>55</v>
      </c>
      <c r="K56" s="125" t="s">
        <v>459</v>
      </c>
      <c r="L56" s="41" t="s">
        <v>459</v>
      </c>
      <c r="M56" s="41" t="s">
        <v>459</v>
      </c>
      <c r="N56" s="41" t="s">
        <v>459</v>
      </c>
      <c r="O56" s="41" t="s">
        <v>459</v>
      </c>
      <c r="P56" s="199"/>
      <c r="Q56" s="200"/>
      <c r="R56" s="125" t="s">
        <v>459</v>
      </c>
      <c r="S56" s="41" t="s">
        <v>459</v>
      </c>
      <c r="T56" s="41" t="s">
        <v>459</v>
      </c>
      <c r="U56" s="41" t="s">
        <v>459</v>
      </c>
      <c r="V56" s="41" t="s">
        <v>459</v>
      </c>
      <c r="W56" s="199"/>
      <c r="X56" s="200"/>
      <c r="Y56" s="125"/>
      <c r="Z56" s="41"/>
      <c r="AA56" s="41"/>
      <c r="AB56" s="41"/>
      <c r="AC56" s="41"/>
      <c r="AD56" s="199"/>
      <c r="AE56" s="200"/>
      <c r="AF56" s="125"/>
      <c r="AG56" s="41"/>
      <c r="AH56" s="41"/>
      <c r="AI56" s="41"/>
      <c r="AJ56" s="41"/>
      <c r="AK56" s="199"/>
      <c r="AL56" s="200"/>
      <c r="AM56" s="125"/>
      <c r="AN56" s="41"/>
      <c r="AO56" s="41"/>
      <c r="AP56" s="41"/>
      <c r="AQ56" s="41"/>
      <c r="AR56" s="199"/>
      <c r="AS56" s="200"/>
      <c r="AT56" s="125"/>
      <c r="AU56" s="41"/>
      <c r="AV56" s="41"/>
      <c r="AW56" s="41"/>
      <c r="AX56" s="41"/>
      <c r="AY56" s="199"/>
      <c r="AZ56" s="200"/>
      <c r="BA56" s="125"/>
      <c r="BB56" s="41"/>
      <c r="BC56" s="41"/>
      <c r="BD56" s="41"/>
      <c r="BE56" s="41"/>
      <c r="BF56" s="199"/>
      <c r="BG56" s="200"/>
      <c r="BH56" s="125"/>
      <c r="BI56" s="41"/>
      <c r="BJ56" s="41"/>
      <c r="BK56" s="41"/>
      <c r="BL56" s="41"/>
      <c r="BM56" s="199"/>
      <c r="BN56" s="200"/>
      <c r="BO56" s="125"/>
      <c r="BP56" s="41"/>
      <c r="BQ56" s="41"/>
      <c r="BR56" s="41"/>
      <c r="BS56" s="41"/>
      <c r="BT56" s="199"/>
      <c r="BU56" s="200"/>
      <c r="BV56" s="125"/>
      <c r="BW56" s="41"/>
      <c r="BX56" s="41"/>
      <c r="BY56" s="41"/>
      <c r="BZ56" s="41"/>
      <c r="CA56" s="199"/>
      <c r="CB56" s="200"/>
      <c r="CC56" s="125"/>
      <c r="CD56" s="41"/>
      <c r="CE56" s="41"/>
      <c r="CF56" s="41"/>
      <c r="CG56" s="41"/>
      <c r="CH56" s="199"/>
      <c r="CI56" s="200"/>
      <c r="CJ56" s="125"/>
      <c r="CK56" s="41"/>
      <c r="CL56" s="41"/>
      <c r="CM56" s="41"/>
      <c r="CN56" s="41"/>
      <c r="CO56" s="199"/>
      <c r="CP56" s="200"/>
      <c r="CQ56" s="125"/>
      <c r="CR56" s="41"/>
      <c r="CS56" s="41"/>
      <c r="CT56" s="41"/>
      <c r="CU56" s="41"/>
      <c r="CV56" s="199"/>
      <c r="CW56" s="200"/>
      <c r="CX56" s="125"/>
      <c r="CY56" s="41"/>
      <c r="CZ56" s="41"/>
      <c r="DA56" s="41"/>
      <c r="DB56" s="41"/>
      <c r="DC56" s="199"/>
      <c r="DD56" s="200"/>
      <c r="DE56" s="125"/>
      <c r="DF56" s="41"/>
      <c r="DG56" s="41"/>
      <c r="DH56" s="41"/>
      <c r="DI56" s="41"/>
      <c r="DJ56" s="199"/>
      <c r="DK56" s="200"/>
      <c r="DL56" s="125"/>
      <c r="DM56" s="41"/>
      <c r="DN56" s="41"/>
      <c r="DO56" s="41"/>
      <c r="DP56" s="41"/>
      <c r="DQ56" s="199"/>
      <c r="DR56" s="200"/>
      <c r="DS56" s="125"/>
      <c r="DT56" s="41"/>
      <c r="DU56" s="41"/>
      <c r="DV56" s="41"/>
      <c r="DW56" s="41"/>
      <c r="DX56" s="199"/>
      <c r="DY56" s="200"/>
      <c r="DZ56" s="125"/>
      <c r="EA56" s="41"/>
      <c r="EB56" s="41"/>
      <c r="EC56" s="41"/>
      <c r="ED56" s="41"/>
      <c r="EE56" s="199"/>
      <c r="EF56" s="200"/>
      <c r="EG56" s="125"/>
      <c r="EH56" s="41"/>
      <c r="EI56" s="41"/>
      <c r="EJ56" s="41"/>
      <c r="EK56" s="41"/>
      <c r="EL56" s="199"/>
      <c r="EM56" s="200"/>
      <c r="EN56" s="125"/>
      <c r="EO56" s="41"/>
      <c r="EP56" s="41"/>
      <c r="EQ56" s="41"/>
      <c r="ER56" s="41"/>
      <c r="ES56" s="199"/>
      <c r="ET56" s="200"/>
      <c r="EU56" s="125"/>
      <c r="EV56" s="41"/>
      <c r="EW56" s="41"/>
      <c r="EX56" s="41"/>
      <c r="EY56" s="41"/>
      <c r="EZ56" s="199"/>
      <c r="FA56" s="200"/>
      <c r="FB56" s="125"/>
      <c r="FC56" s="41"/>
      <c r="FD56" s="41"/>
      <c r="FE56" s="41"/>
      <c r="FF56" s="41"/>
      <c r="FG56" s="199"/>
      <c r="FH56" s="200"/>
      <c r="FI56" s="125"/>
      <c r="FJ56" s="41"/>
      <c r="FK56" s="41"/>
      <c r="FL56" s="41"/>
      <c r="FM56" s="41"/>
      <c r="FN56" s="199"/>
      <c r="FO56" s="200"/>
      <c r="FP56" s="125"/>
      <c r="FQ56" s="41"/>
      <c r="FR56" s="41"/>
      <c r="FS56" s="41"/>
      <c r="FT56" s="41"/>
      <c r="FU56" s="199"/>
      <c r="FV56" s="200"/>
      <c r="FW56" s="125"/>
      <c r="FX56" s="41"/>
      <c r="FY56" s="41"/>
      <c r="FZ56" s="41"/>
      <c r="GA56" s="41"/>
      <c r="GB56" s="199"/>
      <c r="GC56" s="200"/>
      <c r="GD56" s="125"/>
      <c r="GE56" s="41"/>
      <c r="GF56" s="41"/>
      <c r="GG56" s="41"/>
      <c r="GH56" s="41"/>
      <c r="GI56" s="199"/>
      <c r="GJ56" s="200"/>
      <c r="GK56" s="125"/>
      <c r="GL56" s="41"/>
      <c r="GM56" s="41"/>
      <c r="GN56" s="41"/>
      <c r="GO56" s="41"/>
      <c r="GP56" s="199"/>
      <c r="GQ56" s="200"/>
      <c r="GR56" s="125"/>
      <c r="GS56" s="41"/>
      <c r="GT56" s="41"/>
      <c r="GU56" s="41"/>
      <c r="GV56" s="41"/>
      <c r="GW56" s="199"/>
      <c r="GX56" s="200"/>
      <c r="GY56" s="125"/>
      <c r="GZ56" s="41"/>
      <c r="HA56" s="41"/>
      <c r="HB56" s="41"/>
      <c r="HC56" s="41"/>
      <c r="HD56" s="199"/>
      <c r="HE56" s="200"/>
    </row>
    <row r="57" spans="2:213" x14ac:dyDescent="0.3">
      <c r="B57" s="24" t="s">
        <v>18</v>
      </c>
      <c r="C57" s="25">
        <v>35</v>
      </c>
      <c r="D57" s="26" t="s">
        <v>19</v>
      </c>
      <c r="E57" s="27" t="str">
        <f t="shared" si="4"/>
        <v>IX</v>
      </c>
      <c r="F57" s="193" t="s">
        <v>12</v>
      </c>
      <c r="G57" s="183" t="s">
        <v>8</v>
      </c>
      <c r="H57" s="146" t="s">
        <v>9</v>
      </c>
      <c r="I57" s="163" t="s">
        <v>66</v>
      </c>
      <c r="J57" s="164" t="s">
        <v>67</v>
      </c>
      <c r="K57" s="125" t="s">
        <v>459</v>
      </c>
      <c r="L57" s="41" t="s">
        <v>459</v>
      </c>
      <c r="M57" s="41" t="s">
        <v>459</v>
      </c>
      <c r="N57" s="41" t="s">
        <v>459</v>
      </c>
      <c r="O57" s="41" t="s">
        <v>459</v>
      </c>
      <c r="P57" s="199"/>
      <c r="Q57" s="200"/>
      <c r="R57" s="125" t="s">
        <v>459</v>
      </c>
      <c r="S57" s="41" t="s">
        <v>459</v>
      </c>
      <c r="T57" s="41" t="s">
        <v>459</v>
      </c>
      <c r="U57" s="41" t="s">
        <v>459</v>
      </c>
      <c r="V57" s="41" t="s">
        <v>459</v>
      </c>
      <c r="W57" s="199"/>
      <c r="X57" s="200"/>
      <c r="Y57" s="125"/>
      <c r="Z57" s="41"/>
      <c r="AA57" s="41"/>
      <c r="AB57" s="41"/>
      <c r="AC57" s="41"/>
      <c r="AD57" s="199"/>
      <c r="AE57" s="200"/>
      <c r="AF57" s="125"/>
      <c r="AG57" s="41"/>
      <c r="AH57" s="41"/>
      <c r="AI57" s="41"/>
      <c r="AJ57" s="41"/>
      <c r="AK57" s="199"/>
      <c r="AL57" s="200"/>
      <c r="AM57" s="125"/>
      <c r="AN57" s="41"/>
      <c r="AO57" s="41"/>
      <c r="AP57" s="41"/>
      <c r="AQ57" s="41"/>
      <c r="AR57" s="199"/>
      <c r="AS57" s="200"/>
      <c r="AT57" s="125"/>
      <c r="AU57" s="41"/>
      <c r="AV57" s="41"/>
      <c r="AW57" s="41"/>
      <c r="AX57" s="41"/>
      <c r="AY57" s="199"/>
      <c r="AZ57" s="200"/>
      <c r="BA57" s="125"/>
      <c r="BB57" s="41"/>
      <c r="BC57" s="41"/>
      <c r="BD57" s="41"/>
      <c r="BE57" s="41"/>
      <c r="BF57" s="199"/>
      <c r="BG57" s="200"/>
      <c r="BH57" s="125"/>
      <c r="BI57" s="41"/>
      <c r="BJ57" s="41"/>
      <c r="BK57" s="41"/>
      <c r="BL57" s="41"/>
      <c r="BM57" s="199"/>
      <c r="BN57" s="200"/>
      <c r="BO57" s="125"/>
      <c r="BP57" s="41"/>
      <c r="BQ57" s="41"/>
      <c r="BR57" s="41"/>
      <c r="BS57" s="41"/>
      <c r="BT57" s="199"/>
      <c r="BU57" s="200"/>
      <c r="BV57" s="125"/>
      <c r="BW57" s="41"/>
      <c r="BX57" s="41"/>
      <c r="BY57" s="41"/>
      <c r="BZ57" s="41"/>
      <c r="CA57" s="199"/>
      <c r="CB57" s="200"/>
      <c r="CC57" s="125"/>
      <c r="CD57" s="41"/>
      <c r="CE57" s="41"/>
      <c r="CF57" s="41"/>
      <c r="CG57" s="41"/>
      <c r="CH57" s="199"/>
      <c r="CI57" s="200"/>
      <c r="CJ57" s="125"/>
      <c r="CK57" s="41"/>
      <c r="CL57" s="41"/>
      <c r="CM57" s="41"/>
      <c r="CN57" s="41"/>
      <c r="CO57" s="199"/>
      <c r="CP57" s="200"/>
      <c r="CQ57" s="125"/>
      <c r="CR57" s="41"/>
      <c r="CS57" s="41"/>
      <c r="CT57" s="41"/>
      <c r="CU57" s="41"/>
      <c r="CV57" s="199"/>
      <c r="CW57" s="200"/>
      <c r="CX57" s="125"/>
      <c r="CY57" s="41"/>
      <c r="CZ57" s="41"/>
      <c r="DA57" s="41"/>
      <c r="DB57" s="41"/>
      <c r="DC57" s="199"/>
      <c r="DD57" s="200"/>
      <c r="DE57" s="125"/>
      <c r="DF57" s="41"/>
      <c r="DG57" s="41"/>
      <c r="DH57" s="41"/>
      <c r="DI57" s="41"/>
      <c r="DJ57" s="199"/>
      <c r="DK57" s="200"/>
      <c r="DL57" s="125"/>
      <c r="DM57" s="41"/>
      <c r="DN57" s="41"/>
      <c r="DO57" s="41"/>
      <c r="DP57" s="41"/>
      <c r="DQ57" s="199"/>
      <c r="DR57" s="200"/>
      <c r="DS57" s="125"/>
      <c r="DT57" s="41"/>
      <c r="DU57" s="41"/>
      <c r="DV57" s="41"/>
      <c r="DW57" s="41"/>
      <c r="DX57" s="199"/>
      <c r="DY57" s="200"/>
      <c r="DZ57" s="125"/>
      <c r="EA57" s="41"/>
      <c r="EB57" s="41"/>
      <c r="EC57" s="41"/>
      <c r="ED57" s="41"/>
      <c r="EE57" s="199"/>
      <c r="EF57" s="200"/>
      <c r="EG57" s="125"/>
      <c r="EH57" s="41"/>
      <c r="EI57" s="41"/>
      <c r="EJ57" s="41"/>
      <c r="EK57" s="41"/>
      <c r="EL57" s="199"/>
      <c r="EM57" s="200"/>
      <c r="EN57" s="125"/>
      <c r="EO57" s="41"/>
      <c r="EP57" s="41"/>
      <c r="EQ57" s="41"/>
      <c r="ER57" s="41"/>
      <c r="ES57" s="199"/>
      <c r="ET57" s="200"/>
      <c r="EU57" s="125"/>
      <c r="EV57" s="41"/>
      <c r="EW57" s="41"/>
      <c r="EX57" s="41"/>
      <c r="EY57" s="41"/>
      <c r="EZ57" s="199"/>
      <c r="FA57" s="200"/>
      <c r="FB57" s="125"/>
      <c r="FC57" s="41"/>
      <c r="FD57" s="41"/>
      <c r="FE57" s="41"/>
      <c r="FF57" s="41"/>
      <c r="FG57" s="199"/>
      <c r="FH57" s="200"/>
      <c r="FI57" s="125"/>
      <c r="FJ57" s="41"/>
      <c r="FK57" s="41"/>
      <c r="FL57" s="41"/>
      <c r="FM57" s="41"/>
      <c r="FN57" s="199"/>
      <c r="FO57" s="200"/>
      <c r="FP57" s="125"/>
      <c r="FQ57" s="41"/>
      <c r="FR57" s="41"/>
      <c r="FS57" s="41"/>
      <c r="FT57" s="41"/>
      <c r="FU57" s="199"/>
      <c r="FV57" s="200"/>
      <c r="FW57" s="125"/>
      <c r="FX57" s="41"/>
      <c r="FY57" s="41"/>
      <c r="FZ57" s="41"/>
      <c r="GA57" s="41"/>
      <c r="GB57" s="199"/>
      <c r="GC57" s="200"/>
      <c r="GD57" s="125"/>
      <c r="GE57" s="41"/>
      <c r="GF57" s="41"/>
      <c r="GG57" s="41"/>
      <c r="GH57" s="41"/>
      <c r="GI57" s="199"/>
      <c r="GJ57" s="200"/>
      <c r="GK57" s="125"/>
      <c r="GL57" s="41"/>
      <c r="GM57" s="41"/>
      <c r="GN57" s="41"/>
      <c r="GO57" s="41"/>
      <c r="GP57" s="199"/>
      <c r="GQ57" s="200"/>
      <c r="GR57" s="125"/>
      <c r="GS57" s="41"/>
      <c r="GT57" s="41"/>
      <c r="GU57" s="41"/>
      <c r="GV57" s="41"/>
      <c r="GW57" s="199"/>
      <c r="GX57" s="200"/>
      <c r="GY57" s="125"/>
      <c r="GZ57" s="41"/>
      <c r="HA57" s="41"/>
      <c r="HB57" s="41"/>
      <c r="HC57" s="41"/>
      <c r="HD57" s="199"/>
      <c r="HE57" s="200"/>
    </row>
    <row r="58" spans="2:213" x14ac:dyDescent="0.3">
      <c r="B58" s="24" t="s">
        <v>18</v>
      </c>
      <c r="C58" s="25">
        <v>35</v>
      </c>
      <c r="D58" s="26" t="s">
        <v>19</v>
      </c>
      <c r="E58" s="26" t="str">
        <f t="shared" si="4"/>
        <v>IX</v>
      </c>
      <c r="F58" s="193" t="s">
        <v>12</v>
      </c>
      <c r="G58" s="183" t="s">
        <v>8</v>
      </c>
      <c r="H58" s="146" t="s">
        <v>9</v>
      </c>
      <c r="I58" s="151" t="s">
        <v>70</v>
      </c>
      <c r="J58" s="152" t="s">
        <v>71</v>
      </c>
      <c r="K58" s="125" t="s">
        <v>459</v>
      </c>
      <c r="L58" s="41" t="s">
        <v>459</v>
      </c>
      <c r="M58" s="41" t="s">
        <v>459</v>
      </c>
      <c r="N58" s="41" t="s">
        <v>459</v>
      </c>
      <c r="O58" s="41" t="s">
        <v>459</v>
      </c>
      <c r="P58" s="199"/>
      <c r="Q58" s="200"/>
      <c r="R58" s="125" t="s">
        <v>459</v>
      </c>
      <c r="S58" s="41" t="s">
        <v>459</v>
      </c>
      <c r="T58" s="41" t="s">
        <v>459</v>
      </c>
      <c r="U58" s="41" t="s">
        <v>459</v>
      </c>
      <c r="V58" s="41" t="s">
        <v>459</v>
      </c>
      <c r="W58" s="199"/>
      <c r="X58" s="200"/>
      <c r="Y58" s="125"/>
      <c r="Z58" s="41"/>
      <c r="AA58" s="41"/>
      <c r="AB58" s="41"/>
      <c r="AC58" s="41"/>
      <c r="AD58" s="199"/>
      <c r="AE58" s="200"/>
      <c r="AF58" s="125"/>
      <c r="AG58" s="41"/>
      <c r="AH58" s="41"/>
      <c r="AI58" s="41"/>
      <c r="AJ58" s="41"/>
      <c r="AK58" s="199"/>
      <c r="AL58" s="200"/>
      <c r="AM58" s="125"/>
      <c r="AN58" s="41"/>
      <c r="AO58" s="41"/>
      <c r="AP58" s="41"/>
      <c r="AQ58" s="41"/>
      <c r="AR58" s="199"/>
      <c r="AS58" s="200"/>
      <c r="AT58" s="125"/>
      <c r="AU58" s="41"/>
      <c r="AV58" s="41"/>
      <c r="AW58" s="41"/>
      <c r="AX58" s="41"/>
      <c r="AY58" s="199"/>
      <c r="AZ58" s="200"/>
      <c r="BA58" s="125"/>
      <c r="BB58" s="41"/>
      <c r="BC58" s="41"/>
      <c r="BD58" s="41"/>
      <c r="BE58" s="41"/>
      <c r="BF58" s="199"/>
      <c r="BG58" s="200"/>
      <c r="BH58" s="125"/>
      <c r="BI58" s="41"/>
      <c r="BJ58" s="41"/>
      <c r="BK58" s="41"/>
      <c r="BL58" s="41"/>
      <c r="BM58" s="199"/>
      <c r="BN58" s="200"/>
      <c r="BO58" s="125"/>
      <c r="BP58" s="41"/>
      <c r="BQ58" s="41"/>
      <c r="BR58" s="41"/>
      <c r="BS58" s="41"/>
      <c r="BT58" s="199"/>
      <c r="BU58" s="200"/>
      <c r="BV58" s="125"/>
      <c r="BW58" s="41"/>
      <c r="BX58" s="41"/>
      <c r="BY58" s="41"/>
      <c r="BZ58" s="41"/>
      <c r="CA58" s="199"/>
      <c r="CB58" s="200"/>
      <c r="CC58" s="125"/>
      <c r="CD58" s="41"/>
      <c r="CE58" s="41"/>
      <c r="CF58" s="41"/>
      <c r="CG58" s="41"/>
      <c r="CH58" s="199"/>
      <c r="CI58" s="200"/>
      <c r="CJ58" s="125"/>
      <c r="CK58" s="41"/>
      <c r="CL58" s="41"/>
      <c r="CM58" s="41"/>
      <c r="CN58" s="41"/>
      <c r="CO58" s="199"/>
      <c r="CP58" s="200"/>
      <c r="CQ58" s="125"/>
      <c r="CR58" s="41"/>
      <c r="CS58" s="41"/>
      <c r="CT58" s="41"/>
      <c r="CU58" s="41"/>
      <c r="CV58" s="199"/>
      <c r="CW58" s="200"/>
      <c r="CX58" s="125"/>
      <c r="CY58" s="41"/>
      <c r="CZ58" s="41"/>
      <c r="DA58" s="41"/>
      <c r="DB58" s="41"/>
      <c r="DC58" s="199"/>
      <c r="DD58" s="200"/>
      <c r="DE58" s="125"/>
      <c r="DF58" s="41"/>
      <c r="DG58" s="41"/>
      <c r="DH58" s="41"/>
      <c r="DI58" s="41"/>
      <c r="DJ58" s="199"/>
      <c r="DK58" s="200"/>
      <c r="DL58" s="125"/>
      <c r="DM58" s="41"/>
      <c r="DN58" s="41"/>
      <c r="DO58" s="41"/>
      <c r="DP58" s="41"/>
      <c r="DQ58" s="199"/>
      <c r="DR58" s="200"/>
      <c r="DS58" s="125"/>
      <c r="DT58" s="41"/>
      <c r="DU58" s="41"/>
      <c r="DV58" s="41"/>
      <c r="DW58" s="41"/>
      <c r="DX58" s="199"/>
      <c r="DY58" s="200"/>
      <c r="DZ58" s="125"/>
      <c r="EA58" s="41"/>
      <c r="EB58" s="41"/>
      <c r="EC58" s="41"/>
      <c r="ED58" s="41"/>
      <c r="EE58" s="199"/>
      <c r="EF58" s="200"/>
      <c r="EG58" s="125"/>
      <c r="EH58" s="41"/>
      <c r="EI58" s="41"/>
      <c r="EJ58" s="41"/>
      <c r="EK58" s="41"/>
      <c r="EL58" s="199"/>
      <c r="EM58" s="200"/>
      <c r="EN58" s="125"/>
      <c r="EO58" s="41"/>
      <c r="EP58" s="41"/>
      <c r="EQ58" s="41"/>
      <c r="ER58" s="41"/>
      <c r="ES58" s="199"/>
      <c r="ET58" s="200"/>
      <c r="EU58" s="125"/>
      <c r="EV58" s="41"/>
      <c r="EW58" s="41"/>
      <c r="EX58" s="41"/>
      <c r="EY58" s="41"/>
      <c r="EZ58" s="199"/>
      <c r="FA58" s="200"/>
      <c r="FB58" s="125"/>
      <c r="FC58" s="41"/>
      <c r="FD58" s="41"/>
      <c r="FE58" s="41"/>
      <c r="FF58" s="41"/>
      <c r="FG58" s="199"/>
      <c r="FH58" s="200"/>
      <c r="FI58" s="125"/>
      <c r="FJ58" s="41"/>
      <c r="FK58" s="41"/>
      <c r="FL58" s="41"/>
      <c r="FM58" s="41"/>
      <c r="FN58" s="199"/>
      <c r="FO58" s="200"/>
      <c r="FP58" s="125"/>
      <c r="FQ58" s="41"/>
      <c r="FR58" s="41"/>
      <c r="FS58" s="41"/>
      <c r="FT58" s="41"/>
      <c r="FU58" s="199"/>
      <c r="FV58" s="200"/>
      <c r="FW58" s="125"/>
      <c r="FX58" s="41"/>
      <c r="FY58" s="41"/>
      <c r="FZ58" s="41"/>
      <c r="GA58" s="41"/>
      <c r="GB58" s="199"/>
      <c r="GC58" s="200"/>
      <c r="GD58" s="125"/>
      <c r="GE58" s="41"/>
      <c r="GF58" s="41"/>
      <c r="GG58" s="41"/>
      <c r="GH58" s="41"/>
      <c r="GI58" s="199"/>
      <c r="GJ58" s="200"/>
      <c r="GK58" s="125"/>
      <c r="GL58" s="41"/>
      <c r="GM58" s="41"/>
      <c r="GN58" s="41"/>
      <c r="GO58" s="41"/>
      <c r="GP58" s="199"/>
      <c r="GQ58" s="200"/>
      <c r="GR58" s="125"/>
      <c r="GS58" s="41"/>
      <c r="GT58" s="41"/>
      <c r="GU58" s="41"/>
      <c r="GV58" s="41"/>
      <c r="GW58" s="199"/>
      <c r="GX58" s="200"/>
      <c r="GY58" s="125"/>
      <c r="GZ58" s="41"/>
      <c r="HA58" s="41"/>
      <c r="HB58" s="41"/>
      <c r="HC58" s="41"/>
      <c r="HD58" s="199"/>
      <c r="HE58" s="200"/>
    </row>
    <row r="59" spans="2:213" x14ac:dyDescent="0.3">
      <c r="B59" s="8">
        <v>60964</v>
      </c>
      <c r="C59" s="9">
        <v>35</v>
      </c>
      <c r="D59" s="10" t="s">
        <v>19</v>
      </c>
      <c r="E59" s="11" t="str">
        <f t="shared" si="4"/>
        <v>60964X</v>
      </c>
      <c r="F59" s="193" t="s">
        <v>12</v>
      </c>
      <c r="G59" s="184" t="s">
        <v>8</v>
      </c>
      <c r="H59" s="146" t="s">
        <v>9</v>
      </c>
      <c r="I59" s="153" t="s">
        <v>126</v>
      </c>
      <c r="J59" s="154" t="s">
        <v>127</v>
      </c>
      <c r="K59" s="125" t="s">
        <v>459</v>
      </c>
      <c r="L59" s="41" t="s">
        <v>459</v>
      </c>
      <c r="M59" s="41" t="s">
        <v>459</v>
      </c>
      <c r="N59" s="41" t="s">
        <v>459</v>
      </c>
      <c r="O59" s="41" t="s">
        <v>459</v>
      </c>
      <c r="P59" s="199"/>
      <c r="Q59" s="200"/>
      <c r="R59" s="125" t="s">
        <v>459</v>
      </c>
      <c r="S59" s="41" t="s">
        <v>459</v>
      </c>
      <c r="T59" s="41" t="s">
        <v>459</v>
      </c>
      <c r="U59" s="41" t="s">
        <v>459</v>
      </c>
      <c r="V59" s="41" t="s">
        <v>459</v>
      </c>
      <c r="W59" s="199"/>
      <c r="X59" s="200"/>
      <c r="Y59" s="125"/>
      <c r="Z59" s="41"/>
      <c r="AA59" s="41"/>
      <c r="AB59" s="41"/>
      <c r="AC59" s="41"/>
      <c r="AD59" s="199"/>
      <c r="AE59" s="200"/>
      <c r="AF59" s="125"/>
      <c r="AG59" s="41"/>
      <c r="AH59" s="41"/>
      <c r="AI59" s="41"/>
      <c r="AJ59" s="41"/>
      <c r="AK59" s="199"/>
      <c r="AL59" s="200"/>
      <c r="AM59" s="125"/>
      <c r="AN59" s="41"/>
      <c r="AO59" s="41"/>
      <c r="AP59" s="41"/>
      <c r="AQ59" s="41"/>
      <c r="AR59" s="199"/>
      <c r="AS59" s="200"/>
      <c r="AT59" s="125"/>
      <c r="AU59" s="41"/>
      <c r="AV59" s="41"/>
      <c r="AW59" s="41"/>
      <c r="AX59" s="41"/>
      <c r="AY59" s="199"/>
      <c r="AZ59" s="200"/>
      <c r="BA59" s="125"/>
      <c r="BB59" s="41"/>
      <c r="BC59" s="41"/>
      <c r="BD59" s="41"/>
      <c r="BE59" s="41"/>
      <c r="BF59" s="199"/>
      <c r="BG59" s="200"/>
      <c r="BH59" s="125"/>
      <c r="BI59" s="41"/>
      <c r="BJ59" s="41"/>
      <c r="BK59" s="41"/>
      <c r="BL59" s="41"/>
      <c r="BM59" s="199"/>
      <c r="BN59" s="200"/>
      <c r="BO59" s="125"/>
      <c r="BP59" s="41"/>
      <c r="BQ59" s="41"/>
      <c r="BR59" s="41"/>
      <c r="BS59" s="41"/>
      <c r="BT59" s="199"/>
      <c r="BU59" s="200"/>
      <c r="BV59" s="125"/>
      <c r="BW59" s="41"/>
      <c r="BX59" s="41"/>
      <c r="BY59" s="41"/>
      <c r="BZ59" s="41"/>
      <c r="CA59" s="199"/>
      <c r="CB59" s="200"/>
      <c r="CC59" s="125"/>
      <c r="CD59" s="41"/>
      <c r="CE59" s="41"/>
      <c r="CF59" s="41"/>
      <c r="CG59" s="41"/>
      <c r="CH59" s="199"/>
      <c r="CI59" s="200"/>
      <c r="CJ59" s="125"/>
      <c r="CK59" s="41"/>
      <c r="CL59" s="41"/>
      <c r="CM59" s="41"/>
      <c r="CN59" s="41"/>
      <c r="CO59" s="199"/>
      <c r="CP59" s="200"/>
      <c r="CQ59" s="125"/>
      <c r="CR59" s="41"/>
      <c r="CS59" s="41"/>
      <c r="CT59" s="41"/>
      <c r="CU59" s="41"/>
      <c r="CV59" s="199"/>
      <c r="CW59" s="200"/>
      <c r="CX59" s="125"/>
      <c r="CY59" s="41"/>
      <c r="CZ59" s="41"/>
      <c r="DA59" s="41"/>
      <c r="DB59" s="41"/>
      <c r="DC59" s="199"/>
      <c r="DD59" s="200"/>
      <c r="DE59" s="125"/>
      <c r="DF59" s="41"/>
      <c r="DG59" s="41"/>
      <c r="DH59" s="41"/>
      <c r="DI59" s="41"/>
      <c r="DJ59" s="199"/>
      <c r="DK59" s="200"/>
      <c r="DL59" s="125"/>
      <c r="DM59" s="41"/>
      <c r="DN59" s="41"/>
      <c r="DO59" s="41"/>
      <c r="DP59" s="41"/>
      <c r="DQ59" s="199"/>
      <c r="DR59" s="200"/>
      <c r="DS59" s="125"/>
      <c r="DT59" s="41"/>
      <c r="DU59" s="41"/>
      <c r="DV59" s="41"/>
      <c r="DW59" s="41"/>
      <c r="DX59" s="199"/>
      <c r="DY59" s="200"/>
      <c r="DZ59" s="125"/>
      <c r="EA59" s="41"/>
      <c r="EB59" s="41"/>
      <c r="EC59" s="41"/>
      <c r="ED59" s="41"/>
      <c r="EE59" s="199"/>
      <c r="EF59" s="200"/>
      <c r="EG59" s="125"/>
      <c r="EH59" s="41"/>
      <c r="EI59" s="41"/>
      <c r="EJ59" s="41"/>
      <c r="EK59" s="41"/>
      <c r="EL59" s="199"/>
      <c r="EM59" s="200"/>
      <c r="EN59" s="125"/>
      <c r="EO59" s="41"/>
      <c r="EP59" s="41"/>
      <c r="EQ59" s="41"/>
      <c r="ER59" s="41"/>
      <c r="ES59" s="199"/>
      <c r="ET59" s="200"/>
      <c r="EU59" s="125"/>
      <c r="EV59" s="41"/>
      <c r="EW59" s="41"/>
      <c r="EX59" s="41"/>
      <c r="EY59" s="41"/>
      <c r="EZ59" s="199"/>
      <c r="FA59" s="200"/>
      <c r="FB59" s="125"/>
      <c r="FC59" s="41"/>
      <c r="FD59" s="41"/>
      <c r="FE59" s="41"/>
      <c r="FF59" s="41"/>
      <c r="FG59" s="199"/>
      <c r="FH59" s="200"/>
      <c r="FI59" s="125"/>
      <c r="FJ59" s="41"/>
      <c r="FK59" s="41"/>
      <c r="FL59" s="41"/>
      <c r="FM59" s="41"/>
      <c r="FN59" s="199"/>
      <c r="FO59" s="200"/>
      <c r="FP59" s="125"/>
      <c r="FQ59" s="41"/>
      <c r="FR59" s="41"/>
      <c r="FS59" s="41"/>
      <c r="FT59" s="41"/>
      <c r="FU59" s="199"/>
      <c r="FV59" s="200"/>
      <c r="FW59" s="125"/>
      <c r="FX59" s="41"/>
      <c r="FY59" s="41"/>
      <c r="FZ59" s="41"/>
      <c r="GA59" s="41"/>
      <c r="GB59" s="199"/>
      <c r="GC59" s="200"/>
      <c r="GD59" s="125"/>
      <c r="GE59" s="41"/>
      <c r="GF59" s="41"/>
      <c r="GG59" s="41"/>
      <c r="GH59" s="41"/>
      <c r="GI59" s="199"/>
      <c r="GJ59" s="200"/>
      <c r="GK59" s="125"/>
      <c r="GL59" s="41"/>
      <c r="GM59" s="41"/>
      <c r="GN59" s="41"/>
      <c r="GO59" s="41"/>
      <c r="GP59" s="199"/>
      <c r="GQ59" s="200"/>
      <c r="GR59" s="125"/>
      <c r="GS59" s="41"/>
      <c r="GT59" s="41"/>
      <c r="GU59" s="41"/>
      <c r="GV59" s="41"/>
      <c r="GW59" s="199"/>
      <c r="GX59" s="200"/>
      <c r="GY59" s="125"/>
      <c r="GZ59" s="41"/>
      <c r="HA59" s="41"/>
      <c r="HB59" s="41"/>
      <c r="HC59" s="41"/>
      <c r="HD59" s="199"/>
      <c r="HE59" s="200"/>
    </row>
    <row r="60" spans="2:213" x14ac:dyDescent="0.3">
      <c r="B60" s="8">
        <v>107560</v>
      </c>
      <c r="C60" s="9">
        <v>35</v>
      </c>
      <c r="D60" s="10" t="s">
        <v>91</v>
      </c>
      <c r="E60" s="11" t="str">
        <f t="shared" si="4"/>
        <v>107560x</v>
      </c>
      <c r="F60" s="193" t="s">
        <v>12</v>
      </c>
      <c r="G60" s="183" t="s">
        <v>8</v>
      </c>
      <c r="H60" s="146" t="s">
        <v>9</v>
      </c>
      <c r="I60" s="155" t="s">
        <v>149</v>
      </c>
      <c r="J60" s="156" t="s">
        <v>150</v>
      </c>
      <c r="K60" s="125" t="s">
        <v>459</v>
      </c>
      <c r="L60" s="41" t="s">
        <v>459</v>
      </c>
      <c r="M60" s="41" t="s">
        <v>459</v>
      </c>
      <c r="N60" s="41" t="s">
        <v>459</v>
      </c>
      <c r="O60" s="41" t="s">
        <v>459</v>
      </c>
      <c r="P60" s="199"/>
      <c r="Q60" s="200"/>
      <c r="R60" s="125" t="s">
        <v>459</v>
      </c>
      <c r="S60" s="41" t="s">
        <v>459</v>
      </c>
      <c r="T60" s="41" t="s">
        <v>459</v>
      </c>
      <c r="U60" s="41" t="s">
        <v>459</v>
      </c>
      <c r="V60" s="41" t="s">
        <v>459</v>
      </c>
      <c r="W60" s="199"/>
      <c r="X60" s="200"/>
      <c r="Y60" s="125"/>
      <c r="Z60" s="41"/>
      <c r="AA60" s="41"/>
      <c r="AB60" s="41"/>
      <c r="AC60" s="41"/>
      <c r="AD60" s="199"/>
      <c r="AE60" s="200"/>
      <c r="AF60" s="125"/>
      <c r="AG60" s="41"/>
      <c r="AH60" s="41"/>
      <c r="AI60" s="41"/>
      <c r="AJ60" s="41"/>
      <c r="AK60" s="199"/>
      <c r="AL60" s="200"/>
      <c r="AM60" s="125"/>
      <c r="AN60" s="41"/>
      <c r="AO60" s="41"/>
      <c r="AP60" s="41"/>
      <c r="AQ60" s="41"/>
      <c r="AR60" s="199"/>
      <c r="AS60" s="200"/>
      <c r="AT60" s="125"/>
      <c r="AU60" s="41"/>
      <c r="AV60" s="41"/>
      <c r="AW60" s="41"/>
      <c r="AX60" s="41"/>
      <c r="AY60" s="199"/>
      <c r="AZ60" s="200"/>
      <c r="BA60" s="125"/>
      <c r="BB60" s="41"/>
      <c r="BC60" s="41"/>
      <c r="BD60" s="41"/>
      <c r="BE60" s="41"/>
      <c r="BF60" s="199"/>
      <c r="BG60" s="200"/>
      <c r="BH60" s="125"/>
      <c r="BI60" s="41"/>
      <c r="BJ60" s="41"/>
      <c r="BK60" s="41"/>
      <c r="BL60" s="41"/>
      <c r="BM60" s="199"/>
      <c r="BN60" s="200"/>
      <c r="BO60" s="125"/>
      <c r="BP60" s="41"/>
      <c r="BQ60" s="41"/>
      <c r="BR60" s="41"/>
      <c r="BS60" s="41"/>
      <c r="BT60" s="199"/>
      <c r="BU60" s="200"/>
      <c r="BV60" s="125"/>
      <c r="BW60" s="41"/>
      <c r="BX60" s="41"/>
      <c r="BY60" s="41"/>
      <c r="BZ60" s="41"/>
      <c r="CA60" s="199"/>
      <c r="CB60" s="200"/>
      <c r="CC60" s="125"/>
      <c r="CD60" s="41"/>
      <c r="CE60" s="41"/>
      <c r="CF60" s="41"/>
      <c r="CG60" s="41"/>
      <c r="CH60" s="199"/>
      <c r="CI60" s="200"/>
      <c r="CJ60" s="125"/>
      <c r="CK60" s="41"/>
      <c r="CL60" s="41"/>
      <c r="CM60" s="41"/>
      <c r="CN60" s="41"/>
      <c r="CO60" s="199"/>
      <c r="CP60" s="200"/>
      <c r="CQ60" s="125"/>
      <c r="CR60" s="41"/>
      <c r="CS60" s="41"/>
      <c r="CT60" s="41"/>
      <c r="CU60" s="41"/>
      <c r="CV60" s="199"/>
      <c r="CW60" s="200"/>
      <c r="CX60" s="125"/>
      <c r="CY60" s="41"/>
      <c r="CZ60" s="41"/>
      <c r="DA60" s="41"/>
      <c r="DB60" s="41"/>
      <c r="DC60" s="199"/>
      <c r="DD60" s="200"/>
      <c r="DE60" s="125"/>
      <c r="DF60" s="41"/>
      <c r="DG60" s="41"/>
      <c r="DH60" s="41"/>
      <c r="DI60" s="41"/>
      <c r="DJ60" s="199"/>
      <c r="DK60" s="200"/>
      <c r="DL60" s="125"/>
      <c r="DM60" s="41"/>
      <c r="DN60" s="41"/>
      <c r="DO60" s="41"/>
      <c r="DP60" s="41"/>
      <c r="DQ60" s="199"/>
      <c r="DR60" s="200"/>
      <c r="DS60" s="125"/>
      <c r="DT60" s="41"/>
      <c r="DU60" s="41"/>
      <c r="DV60" s="41"/>
      <c r="DW60" s="41"/>
      <c r="DX60" s="199"/>
      <c r="DY60" s="200"/>
      <c r="DZ60" s="125"/>
      <c r="EA60" s="41"/>
      <c r="EB60" s="41"/>
      <c r="EC60" s="41"/>
      <c r="ED60" s="41"/>
      <c r="EE60" s="199"/>
      <c r="EF60" s="200"/>
      <c r="EG60" s="125"/>
      <c r="EH60" s="41"/>
      <c r="EI60" s="41"/>
      <c r="EJ60" s="41"/>
      <c r="EK60" s="41"/>
      <c r="EL60" s="199"/>
      <c r="EM60" s="200"/>
      <c r="EN60" s="125"/>
      <c r="EO60" s="41"/>
      <c r="EP60" s="41"/>
      <c r="EQ60" s="41"/>
      <c r="ER60" s="41"/>
      <c r="ES60" s="199"/>
      <c r="ET60" s="200"/>
      <c r="EU60" s="125"/>
      <c r="EV60" s="41"/>
      <c r="EW60" s="41"/>
      <c r="EX60" s="41"/>
      <c r="EY60" s="41"/>
      <c r="EZ60" s="199"/>
      <c r="FA60" s="200"/>
      <c r="FB60" s="125"/>
      <c r="FC60" s="41"/>
      <c r="FD60" s="41"/>
      <c r="FE60" s="41"/>
      <c r="FF60" s="41"/>
      <c r="FG60" s="199"/>
      <c r="FH60" s="200"/>
      <c r="FI60" s="125"/>
      <c r="FJ60" s="41"/>
      <c r="FK60" s="41"/>
      <c r="FL60" s="41"/>
      <c r="FM60" s="41"/>
      <c r="FN60" s="199"/>
      <c r="FO60" s="200"/>
      <c r="FP60" s="125"/>
      <c r="FQ60" s="41"/>
      <c r="FR60" s="41"/>
      <c r="FS60" s="41"/>
      <c r="FT60" s="41"/>
      <c r="FU60" s="199"/>
      <c r="FV60" s="200"/>
      <c r="FW60" s="125"/>
      <c r="FX60" s="41"/>
      <c r="FY60" s="41"/>
      <c r="FZ60" s="41"/>
      <c r="GA60" s="41"/>
      <c r="GB60" s="199"/>
      <c r="GC60" s="200"/>
      <c r="GD60" s="125"/>
      <c r="GE60" s="41"/>
      <c r="GF60" s="41"/>
      <c r="GG60" s="41"/>
      <c r="GH60" s="41"/>
      <c r="GI60" s="199"/>
      <c r="GJ60" s="200"/>
      <c r="GK60" s="125"/>
      <c r="GL60" s="41"/>
      <c r="GM60" s="41"/>
      <c r="GN60" s="41"/>
      <c r="GO60" s="41"/>
      <c r="GP60" s="199"/>
      <c r="GQ60" s="200"/>
      <c r="GR60" s="125"/>
      <c r="GS60" s="41"/>
      <c r="GT60" s="41"/>
      <c r="GU60" s="41"/>
      <c r="GV60" s="41"/>
      <c r="GW60" s="199"/>
      <c r="GX60" s="200"/>
      <c r="GY60" s="125"/>
      <c r="GZ60" s="41"/>
      <c r="HA60" s="41"/>
      <c r="HB60" s="41"/>
      <c r="HC60" s="41"/>
      <c r="HD60" s="199"/>
      <c r="HE60" s="200"/>
    </row>
    <row r="61" spans="2:213" x14ac:dyDescent="0.3">
      <c r="B61" s="8">
        <v>107523</v>
      </c>
      <c r="C61" s="9">
        <v>35</v>
      </c>
      <c r="D61" s="10" t="s">
        <v>19</v>
      </c>
      <c r="E61" s="11" t="str">
        <f t="shared" si="4"/>
        <v>107523X</v>
      </c>
      <c r="F61" s="193" t="s">
        <v>12</v>
      </c>
      <c r="G61" s="183" t="s">
        <v>8</v>
      </c>
      <c r="H61" s="146" t="s">
        <v>9</v>
      </c>
      <c r="I61" s="149" t="s">
        <v>151</v>
      </c>
      <c r="J61" s="150" t="s">
        <v>152</v>
      </c>
      <c r="K61" s="125" t="s">
        <v>459</v>
      </c>
      <c r="L61" s="41" t="s">
        <v>459</v>
      </c>
      <c r="M61" s="41" t="s">
        <v>459</v>
      </c>
      <c r="N61" s="41" t="s">
        <v>459</v>
      </c>
      <c r="O61" s="41" t="s">
        <v>459</v>
      </c>
      <c r="P61" s="199"/>
      <c r="Q61" s="200"/>
      <c r="R61" s="125" t="s">
        <v>459</v>
      </c>
      <c r="S61" s="41" t="s">
        <v>459</v>
      </c>
      <c r="T61" s="41" t="s">
        <v>459</v>
      </c>
      <c r="U61" s="41" t="s">
        <v>459</v>
      </c>
      <c r="V61" s="41" t="s">
        <v>459</v>
      </c>
      <c r="W61" s="199"/>
      <c r="X61" s="200"/>
      <c r="Y61" s="125"/>
      <c r="Z61" s="41"/>
      <c r="AA61" s="41"/>
      <c r="AB61" s="41"/>
      <c r="AC61" s="41"/>
      <c r="AD61" s="199"/>
      <c r="AE61" s="200"/>
      <c r="AF61" s="125"/>
      <c r="AG61" s="41"/>
      <c r="AH61" s="41"/>
      <c r="AI61" s="41"/>
      <c r="AJ61" s="41"/>
      <c r="AK61" s="199"/>
      <c r="AL61" s="200"/>
      <c r="AM61" s="125"/>
      <c r="AN61" s="41"/>
      <c r="AO61" s="41"/>
      <c r="AP61" s="41"/>
      <c r="AQ61" s="41"/>
      <c r="AR61" s="199"/>
      <c r="AS61" s="200"/>
      <c r="AT61" s="125"/>
      <c r="AU61" s="41"/>
      <c r="AV61" s="41"/>
      <c r="AW61" s="41"/>
      <c r="AX61" s="41"/>
      <c r="AY61" s="199"/>
      <c r="AZ61" s="200"/>
      <c r="BA61" s="125"/>
      <c r="BB61" s="41"/>
      <c r="BC61" s="41"/>
      <c r="BD61" s="41"/>
      <c r="BE61" s="41"/>
      <c r="BF61" s="199"/>
      <c r="BG61" s="200"/>
      <c r="BH61" s="125"/>
      <c r="BI61" s="41"/>
      <c r="BJ61" s="41"/>
      <c r="BK61" s="41"/>
      <c r="BL61" s="41"/>
      <c r="BM61" s="199"/>
      <c r="BN61" s="200"/>
      <c r="BO61" s="125"/>
      <c r="BP61" s="41"/>
      <c r="BQ61" s="41"/>
      <c r="BR61" s="41"/>
      <c r="BS61" s="41"/>
      <c r="BT61" s="199"/>
      <c r="BU61" s="200"/>
      <c r="BV61" s="125"/>
      <c r="BW61" s="41"/>
      <c r="BX61" s="41"/>
      <c r="BY61" s="41"/>
      <c r="BZ61" s="41"/>
      <c r="CA61" s="199"/>
      <c r="CB61" s="200"/>
      <c r="CC61" s="125"/>
      <c r="CD61" s="41"/>
      <c r="CE61" s="41"/>
      <c r="CF61" s="41"/>
      <c r="CG61" s="41"/>
      <c r="CH61" s="199"/>
      <c r="CI61" s="200"/>
      <c r="CJ61" s="125"/>
      <c r="CK61" s="41"/>
      <c r="CL61" s="41"/>
      <c r="CM61" s="41"/>
      <c r="CN61" s="41"/>
      <c r="CO61" s="199"/>
      <c r="CP61" s="200"/>
      <c r="CQ61" s="125"/>
      <c r="CR61" s="41"/>
      <c r="CS61" s="41"/>
      <c r="CT61" s="41"/>
      <c r="CU61" s="41"/>
      <c r="CV61" s="199"/>
      <c r="CW61" s="200"/>
      <c r="CX61" s="125"/>
      <c r="CY61" s="41"/>
      <c r="CZ61" s="41"/>
      <c r="DA61" s="41"/>
      <c r="DB61" s="41"/>
      <c r="DC61" s="199"/>
      <c r="DD61" s="200"/>
      <c r="DE61" s="125"/>
      <c r="DF61" s="41"/>
      <c r="DG61" s="41"/>
      <c r="DH61" s="41"/>
      <c r="DI61" s="41"/>
      <c r="DJ61" s="199"/>
      <c r="DK61" s="200"/>
      <c r="DL61" s="125"/>
      <c r="DM61" s="41"/>
      <c r="DN61" s="41"/>
      <c r="DO61" s="41"/>
      <c r="DP61" s="41"/>
      <c r="DQ61" s="199"/>
      <c r="DR61" s="200"/>
      <c r="DS61" s="125"/>
      <c r="DT61" s="41"/>
      <c r="DU61" s="41"/>
      <c r="DV61" s="41"/>
      <c r="DW61" s="41"/>
      <c r="DX61" s="199"/>
      <c r="DY61" s="200"/>
      <c r="DZ61" s="125"/>
      <c r="EA61" s="41"/>
      <c r="EB61" s="41"/>
      <c r="EC61" s="41"/>
      <c r="ED61" s="41"/>
      <c r="EE61" s="199"/>
      <c r="EF61" s="200"/>
      <c r="EG61" s="125"/>
      <c r="EH61" s="41"/>
      <c r="EI61" s="41"/>
      <c r="EJ61" s="41"/>
      <c r="EK61" s="41"/>
      <c r="EL61" s="199"/>
      <c r="EM61" s="200"/>
      <c r="EN61" s="125"/>
      <c r="EO61" s="41"/>
      <c r="EP61" s="41"/>
      <c r="EQ61" s="41"/>
      <c r="ER61" s="41"/>
      <c r="ES61" s="199"/>
      <c r="ET61" s="200"/>
      <c r="EU61" s="125"/>
      <c r="EV61" s="41"/>
      <c r="EW61" s="41"/>
      <c r="EX61" s="41"/>
      <c r="EY61" s="41"/>
      <c r="EZ61" s="199"/>
      <c r="FA61" s="200"/>
      <c r="FB61" s="125"/>
      <c r="FC61" s="41"/>
      <c r="FD61" s="41"/>
      <c r="FE61" s="41"/>
      <c r="FF61" s="41"/>
      <c r="FG61" s="199"/>
      <c r="FH61" s="200"/>
      <c r="FI61" s="125"/>
      <c r="FJ61" s="41"/>
      <c r="FK61" s="41"/>
      <c r="FL61" s="41"/>
      <c r="FM61" s="41"/>
      <c r="FN61" s="199"/>
      <c r="FO61" s="200"/>
      <c r="FP61" s="125"/>
      <c r="FQ61" s="41"/>
      <c r="FR61" s="41"/>
      <c r="FS61" s="41"/>
      <c r="FT61" s="41"/>
      <c r="FU61" s="199"/>
      <c r="FV61" s="200"/>
      <c r="FW61" s="125"/>
      <c r="FX61" s="41"/>
      <c r="FY61" s="41"/>
      <c r="FZ61" s="41"/>
      <c r="GA61" s="41"/>
      <c r="GB61" s="199"/>
      <c r="GC61" s="200"/>
      <c r="GD61" s="125"/>
      <c r="GE61" s="41"/>
      <c r="GF61" s="41"/>
      <c r="GG61" s="41"/>
      <c r="GH61" s="41"/>
      <c r="GI61" s="199"/>
      <c r="GJ61" s="200"/>
      <c r="GK61" s="125"/>
      <c r="GL61" s="41"/>
      <c r="GM61" s="41"/>
      <c r="GN61" s="41"/>
      <c r="GO61" s="41"/>
      <c r="GP61" s="199"/>
      <c r="GQ61" s="200"/>
      <c r="GR61" s="125"/>
      <c r="GS61" s="41"/>
      <c r="GT61" s="41"/>
      <c r="GU61" s="41"/>
      <c r="GV61" s="41"/>
      <c r="GW61" s="199"/>
      <c r="GX61" s="200"/>
      <c r="GY61" s="125"/>
      <c r="GZ61" s="41"/>
      <c r="HA61" s="41"/>
      <c r="HB61" s="41"/>
      <c r="HC61" s="41"/>
      <c r="HD61" s="199"/>
      <c r="HE61" s="200"/>
    </row>
    <row r="62" spans="2:213" x14ac:dyDescent="0.3">
      <c r="B62" s="8">
        <v>107561</v>
      </c>
      <c r="C62" s="9">
        <v>35</v>
      </c>
      <c r="D62" s="10" t="s">
        <v>19</v>
      </c>
      <c r="E62" s="11" t="str">
        <f t="shared" si="4"/>
        <v>107561X</v>
      </c>
      <c r="F62" s="193" t="s">
        <v>12</v>
      </c>
      <c r="G62" s="183" t="s">
        <v>8</v>
      </c>
      <c r="H62" s="146" t="s">
        <v>9</v>
      </c>
      <c r="I62" s="157" t="s">
        <v>159</v>
      </c>
      <c r="J62" s="158" t="s">
        <v>160</v>
      </c>
      <c r="K62" s="125" t="s">
        <v>459</v>
      </c>
      <c r="L62" s="41" t="s">
        <v>459</v>
      </c>
      <c r="M62" s="41" t="s">
        <v>459</v>
      </c>
      <c r="N62" s="41" t="s">
        <v>459</v>
      </c>
      <c r="O62" s="41" t="s">
        <v>459</v>
      </c>
      <c r="P62" s="199"/>
      <c r="Q62" s="200"/>
      <c r="R62" s="125" t="s">
        <v>459</v>
      </c>
      <c r="S62" s="41" t="s">
        <v>459</v>
      </c>
      <c r="T62" s="41" t="s">
        <v>459</v>
      </c>
      <c r="U62" s="41" t="s">
        <v>459</v>
      </c>
      <c r="V62" s="41" t="s">
        <v>459</v>
      </c>
      <c r="W62" s="199"/>
      <c r="X62" s="200"/>
      <c r="Y62" s="125"/>
      <c r="Z62" s="41"/>
      <c r="AA62" s="41"/>
      <c r="AB62" s="41"/>
      <c r="AC62" s="41"/>
      <c r="AD62" s="199"/>
      <c r="AE62" s="200"/>
      <c r="AF62" s="125"/>
      <c r="AG62" s="41"/>
      <c r="AH62" s="41"/>
      <c r="AI62" s="41"/>
      <c r="AJ62" s="41"/>
      <c r="AK62" s="199"/>
      <c r="AL62" s="200"/>
      <c r="AM62" s="125"/>
      <c r="AN62" s="41"/>
      <c r="AO62" s="41"/>
      <c r="AP62" s="41"/>
      <c r="AQ62" s="41"/>
      <c r="AR62" s="199"/>
      <c r="AS62" s="200"/>
      <c r="AT62" s="125"/>
      <c r="AU62" s="41"/>
      <c r="AV62" s="41"/>
      <c r="AW62" s="41"/>
      <c r="AX62" s="41"/>
      <c r="AY62" s="199"/>
      <c r="AZ62" s="200"/>
      <c r="BA62" s="125"/>
      <c r="BB62" s="41"/>
      <c r="BC62" s="41"/>
      <c r="BD62" s="41"/>
      <c r="BE62" s="41"/>
      <c r="BF62" s="199"/>
      <c r="BG62" s="200"/>
      <c r="BH62" s="125"/>
      <c r="BI62" s="41"/>
      <c r="BJ62" s="41"/>
      <c r="BK62" s="41"/>
      <c r="BL62" s="41"/>
      <c r="BM62" s="199"/>
      <c r="BN62" s="200"/>
      <c r="BO62" s="125"/>
      <c r="BP62" s="41"/>
      <c r="BQ62" s="41"/>
      <c r="BR62" s="41"/>
      <c r="BS62" s="41"/>
      <c r="BT62" s="199"/>
      <c r="BU62" s="200"/>
      <c r="BV62" s="125"/>
      <c r="BW62" s="41"/>
      <c r="BX62" s="41"/>
      <c r="BY62" s="41"/>
      <c r="BZ62" s="41"/>
      <c r="CA62" s="199"/>
      <c r="CB62" s="200"/>
      <c r="CC62" s="125"/>
      <c r="CD62" s="41"/>
      <c r="CE62" s="41"/>
      <c r="CF62" s="41"/>
      <c r="CG62" s="41"/>
      <c r="CH62" s="199"/>
      <c r="CI62" s="200"/>
      <c r="CJ62" s="125"/>
      <c r="CK62" s="41"/>
      <c r="CL62" s="41"/>
      <c r="CM62" s="41"/>
      <c r="CN62" s="41"/>
      <c r="CO62" s="199"/>
      <c r="CP62" s="200"/>
      <c r="CQ62" s="125"/>
      <c r="CR62" s="41"/>
      <c r="CS62" s="41"/>
      <c r="CT62" s="41"/>
      <c r="CU62" s="41"/>
      <c r="CV62" s="199"/>
      <c r="CW62" s="200"/>
      <c r="CX62" s="125"/>
      <c r="CY62" s="41"/>
      <c r="CZ62" s="41"/>
      <c r="DA62" s="41"/>
      <c r="DB62" s="41"/>
      <c r="DC62" s="199"/>
      <c r="DD62" s="200"/>
      <c r="DE62" s="125"/>
      <c r="DF62" s="41"/>
      <c r="DG62" s="41"/>
      <c r="DH62" s="41"/>
      <c r="DI62" s="41"/>
      <c r="DJ62" s="199"/>
      <c r="DK62" s="200"/>
      <c r="DL62" s="125"/>
      <c r="DM62" s="41"/>
      <c r="DN62" s="41"/>
      <c r="DO62" s="41"/>
      <c r="DP62" s="41"/>
      <c r="DQ62" s="199"/>
      <c r="DR62" s="200"/>
      <c r="DS62" s="125"/>
      <c r="DT62" s="41"/>
      <c r="DU62" s="41"/>
      <c r="DV62" s="41"/>
      <c r="DW62" s="41"/>
      <c r="DX62" s="199"/>
      <c r="DY62" s="200"/>
      <c r="DZ62" s="125"/>
      <c r="EA62" s="41"/>
      <c r="EB62" s="41"/>
      <c r="EC62" s="41"/>
      <c r="ED62" s="41"/>
      <c r="EE62" s="199"/>
      <c r="EF62" s="200"/>
      <c r="EG62" s="125"/>
      <c r="EH62" s="41"/>
      <c r="EI62" s="41"/>
      <c r="EJ62" s="41"/>
      <c r="EK62" s="41"/>
      <c r="EL62" s="199"/>
      <c r="EM62" s="200"/>
      <c r="EN62" s="125"/>
      <c r="EO62" s="41"/>
      <c r="EP62" s="41"/>
      <c r="EQ62" s="41"/>
      <c r="ER62" s="41"/>
      <c r="ES62" s="199"/>
      <c r="ET62" s="200"/>
      <c r="EU62" s="125"/>
      <c r="EV62" s="41"/>
      <c r="EW62" s="41"/>
      <c r="EX62" s="41"/>
      <c r="EY62" s="41"/>
      <c r="EZ62" s="199"/>
      <c r="FA62" s="200"/>
      <c r="FB62" s="125"/>
      <c r="FC62" s="41"/>
      <c r="FD62" s="41"/>
      <c r="FE62" s="41"/>
      <c r="FF62" s="41"/>
      <c r="FG62" s="199"/>
      <c r="FH62" s="200"/>
      <c r="FI62" s="125"/>
      <c r="FJ62" s="41"/>
      <c r="FK62" s="41"/>
      <c r="FL62" s="41"/>
      <c r="FM62" s="41"/>
      <c r="FN62" s="199"/>
      <c r="FO62" s="200"/>
      <c r="FP62" s="125"/>
      <c r="FQ62" s="41"/>
      <c r="FR62" s="41"/>
      <c r="FS62" s="41"/>
      <c r="FT62" s="41"/>
      <c r="FU62" s="199"/>
      <c r="FV62" s="200"/>
      <c r="FW62" s="125"/>
      <c r="FX62" s="41"/>
      <c r="FY62" s="41"/>
      <c r="FZ62" s="41"/>
      <c r="GA62" s="41"/>
      <c r="GB62" s="199"/>
      <c r="GC62" s="200"/>
      <c r="GD62" s="125"/>
      <c r="GE62" s="41"/>
      <c r="GF62" s="41"/>
      <c r="GG62" s="41"/>
      <c r="GH62" s="41"/>
      <c r="GI62" s="199"/>
      <c r="GJ62" s="200"/>
      <c r="GK62" s="125"/>
      <c r="GL62" s="41"/>
      <c r="GM62" s="41"/>
      <c r="GN62" s="41"/>
      <c r="GO62" s="41"/>
      <c r="GP62" s="199"/>
      <c r="GQ62" s="200"/>
      <c r="GR62" s="125"/>
      <c r="GS62" s="41"/>
      <c r="GT62" s="41"/>
      <c r="GU62" s="41"/>
      <c r="GV62" s="41"/>
      <c r="GW62" s="199"/>
      <c r="GX62" s="200"/>
      <c r="GY62" s="125"/>
      <c r="GZ62" s="41"/>
      <c r="HA62" s="41"/>
      <c r="HB62" s="41"/>
      <c r="HC62" s="41"/>
      <c r="HD62" s="199"/>
      <c r="HE62" s="200"/>
    </row>
    <row r="63" spans="2:213" x14ac:dyDescent="0.3">
      <c r="B63" s="8">
        <v>107766</v>
      </c>
      <c r="C63" s="9">
        <v>35</v>
      </c>
      <c r="D63" s="10" t="s">
        <v>19</v>
      </c>
      <c r="E63" s="10" t="str">
        <f t="shared" si="4"/>
        <v>107766X</v>
      </c>
      <c r="F63" s="193" t="s">
        <v>12</v>
      </c>
      <c r="G63" s="183" t="s">
        <v>8</v>
      </c>
      <c r="H63" s="146" t="s">
        <v>9</v>
      </c>
      <c r="I63" s="157" t="s">
        <v>171</v>
      </c>
      <c r="J63" s="158" t="s">
        <v>172</v>
      </c>
      <c r="K63" s="125" t="s">
        <v>459</v>
      </c>
      <c r="L63" s="41" t="s">
        <v>459</v>
      </c>
      <c r="M63" s="41" t="s">
        <v>459</v>
      </c>
      <c r="N63" s="41" t="s">
        <v>459</v>
      </c>
      <c r="O63" s="41" t="s">
        <v>459</v>
      </c>
      <c r="P63" s="199"/>
      <c r="Q63" s="200"/>
      <c r="R63" s="125" t="s">
        <v>459</v>
      </c>
      <c r="S63" s="41" t="s">
        <v>459</v>
      </c>
      <c r="T63" s="41" t="s">
        <v>459</v>
      </c>
      <c r="U63" s="41" t="s">
        <v>459</v>
      </c>
      <c r="V63" s="41" t="s">
        <v>459</v>
      </c>
      <c r="W63" s="199"/>
      <c r="X63" s="200"/>
      <c r="Y63" s="125"/>
      <c r="Z63" s="41"/>
      <c r="AA63" s="41"/>
      <c r="AB63" s="41"/>
      <c r="AC63" s="41"/>
      <c r="AD63" s="199"/>
      <c r="AE63" s="200"/>
      <c r="AF63" s="125"/>
      <c r="AG63" s="41"/>
      <c r="AH63" s="41"/>
      <c r="AI63" s="41"/>
      <c r="AJ63" s="41"/>
      <c r="AK63" s="199"/>
      <c r="AL63" s="200"/>
      <c r="AM63" s="125"/>
      <c r="AN63" s="41"/>
      <c r="AO63" s="41"/>
      <c r="AP63" s="41"/>
      <c r="AQ63" s="41"/>
      <c r="AR63" s="199"/>
      <c r="AS63" s="200"/>
      <c r="AT63" s="125"/>
      <c r="AU63" s="41"/>
      <c r="AV63" s="41"/>
      <c r="AW63" s="41"/>
      <c r="AX63" s="41"/>
      <c r="AY63" s="199"/>
      <c r="AZ63" s="200"/>
      <c r="BA63" s="125"/>
      <c r="BB63" s="41"/>
      <c r="BC63" s="41"/>
      <c r="BD63" s="41"/>
      <c r="BE63" s="41"/>
      <c r="BF63" s="199"/>
      <c r="BG63" s="200"/>
      <c r="BH63" s="125"/>
      <c r="BI63" s="41"/>
      <c r="BJ63" s="41"/>
      <c r="BK63" s="41"/>
      <c r="BL63" s="41"/>
      <c r="BM63" s="199"/>
      <c r="BN63" s="200"/>
      <c r="BO63" s="125"/>
      <c r="BP63" s="41"/>
      <c r="BQ63" s="41"/>
      <c r="BR63" s="41"/>
      <c r="BS63" s="41"/>
      <c r="BT63" s="199"/>
      <c r="BU63" s="200"/>
      <c r="BV63" s="125"/>
      <c r="BW63" s="41"/>
      <c r="BX63" s="41"/>
      <c r="BY63" s="41"/>
      <c r="BZ63" s="41"/>
      <c r="CA63" s="199"/>
      <c r="CB63" s="200"/>
      <c r="CC63" s="125"/>
      <c r="CD63" s="41"/>
      <c r="CE63" s="41"/>
      <c r="CF63" s="41"/>
      <c r="CG63" s="41"/>
      <c r="CH63" s="199"/>
      <c r="CI63" s="200"/>
      <c r="CJ63" s="125"/>
      <c r="CK63" s="41"/>
      <c r="CL63" s="41"/>
      <c r="CM63" s="41"/>
      <c r="CN63" s="41"/>
      <c r="CO63" s="199"/>
      <c r="CP63" s="200"/>
      <c r="CQ63" s="125"/>
      <c r="CR63" s="41"/>
      <c r="CS63" s="41"/>
      <c r="CT63" s="41"/>
      <c r="CU63" s="41"/>
      <c r="CV63" s="199"/>
      <c r="CW63" s="200"/>
      <c r="CX63" s="125"/>
      <c r="CY63" s="41"/>
      <c r="CZ63" s="41"/>
      <c r="DA63" s="41"/>
      <c r="DB63" s="41"/>
      <c r="DC63" s="199"/>
      <c r="DD63" s="200"/>
      <c r="DE63" s="125"/>
      <c r="DF63" s="41"/>
      <c r="DG63" s="41"/>
      <c r="DH63" s="41"/>
      <c r="DI63" s="41"/>
      <c r="DJ63" s="199"/>
      <c r="DK63" s="200"/>
      <c r="DL63" s="125"/>
      <c r="DM63" s="41"/>
      <c r="DN63" s="41"/>
      <c r="DO63" s="41"/>
      <c r="DP63" s="41"/>
      <c r="DQ63" s="199"/>
      <c r="DR63" s="200"/>
      <c r="DS63" s="125"/>
      <c r="DT63" s="41"/>
      <c r="DU63" s="41"/>
      <c r="DV63" s="41"/>
      <c r="DW63" s="41"/>
      <c r="DX63" s="199"/>
      <c r="DY63" s="200"/>
      <c r="DZ63" s="125"/>
      <c r="EA63" s="41"/>
      <c r="EB63" s="41"/>
      <c r="EC63" s="41"/>
      <c r="ED63" s="41"/>
      <c r="EE63" s="199"/>
      <c r="EF63" s="200"/>
      <c r="EG63" s="125"/>
      <c r="EH63" s="41"/>
      <c r="EI63" s="41"/>
      <c r="EJ63" s="41"/>
      <c r="EK63" s="41"/>
      <c r="EL63" s="199"/>
      <c r="EM63" s="200"/>
      <c r="EN63" s="125"/>
      <c r="EO63" s="41"/>
      <c r="EP63" s="41"/>
      <c r="EQ63" s="41"/>
      <c r="ER63" s="41"/>
      <c r="ES63" s="199"/>
      <c r="ET63" s="200"/>
      <c r="EU63" s="125"/>
      <c r="EV63" s="41"/>
      <c r="EW63" s="41"/>
      <c r="EX63" s="41"/>
      <c r="EY63" s="41"/>
      <c r="EZ63" s="199"/>
      <c r="FA63" s="200"/>
      <c r="FB63" s="125"/>
      <c r="FC63" s="41"/>
      <c r="FD63" s="41"/>
      <c r="FE63" s="41"/>
      <c r="FF63" s="41"/>
      <c r="FG63" s="199"/>
      <c r="FH63" s="200"/>
      <c r="FI63" s="125"/>
      <c r="FJ63" s="41"/>
      <c r="FK63" s="41"/>
      <c r="FL63" s="41"/>
      <c r="FM63" s="41"/>
      <c r="FN63" s="199"/>
      <c r="FO63" s="200"/>
      <c r="FP63" s="125"/>
      <c r="FQ63" s="41"/>
      <c r="FR63" s="41"/>
      <c r="FS63" s="41"/>
      <c r="FT63" s="41"/>
      <c r="FU63" s="199"/>
      <c r="FV63" s="200"/>
      <c r="FW63" s="125"/>
      <c r="FX63" s="41"/>
      <c r="FY63" s="41"/>
      <c r="FZ63" s="41"/>
      <c r="GA63" s="41"/>
      <c r="GB63" s="199"/>
      <c r="GC63" s="200"/>
      <c r="GD63" s="125"/>
      <c r="GE63" s="41"/>
      <c r="GF63" s="41"/>
      <c r="GG63" s="41"/>
      <c r="GH63" s="41"/>
      <c r="GI63" s="199"/>
      <c r="GJ63" s="200"/>
      <c r="GK63" s="125"/>
      <c r="GL63" s="41"/>
      <c r="GM63" s="41"/>
      <c r="GN63" s="41"/>
      <c r="GO63" s="41"/>
      <c r="GP63" s="199"/>
      <c r="GQ63" s="200"/>
      <c r="GR63" s="125"/>
      <c r="GS63" s="41"/>
      <c r="GT63" s="41"/>
      <c r="GU63" s="41"/>
      <c r="GV63" s="41"/>
      <c r="GW63" s="199"/>
      <c r="GX63" s="200"/>
      <c r="GY63" s="125"/>
      <c r="GZ63" s="41"/>
      <c r="HA63" s="41"/>
      <c r="HB63" s="41"/>
      <c r="HC63" s="41"/>
      <c r="HD63" s="199"/>
      <c r="HE63" s="200"/>
    </row>
    <row r="64" spans="2:213" x14ac:dyDescent="0.3">
      <c r="B64" s="8">
        <v>105687</v>
      </c>
      <c r="C64" s="9">
        <v>35</v>
      </c>
      <c r="D64" s="10" t="s">
        <v>19</v>
      </c>
      <c r="E64" s="11" t="str">
        <f t="shared" si="4"/>
        <v>105687X</v>
      </c>
      <c r="F64" s="193" t="s">
        <v>12</v>
      </c>
      <c r="G64" s="184" t="s">
        <v>8</v>
      </c>
      <c r="H64" s="146" t="s">
        <v>9</v>
      </c>
      <c r="I64" s="149" t="s">
        <v>181</v>
      </c>
      <c r="J64" s="150" t="s">
        <v>160</v>
      </c>
      <c r="K64" s="125" t="s">
        <v>459</v>
      </c>
      <c r="L64" s="41" t="s">
        <v>459</v>
      </c>
      <c r="M64" s="41" t="s">
        <v>459</v>
      </c>
      <c r="N64" s="41" t="s">
        <v>459</v>
      </c>
      <c r="O64" s="41" t="s">
        <v>459</v>
      </c>
      <c r="P64" s="199"/>
      <c r="Q64" s="200"/>
      <c r="R64" s="125" t="s">
        <v>459</v>
      </c>
      <c r="S64" s="41" t="s">
        <v>459</v>
      </c>
      <c r="T64" s="41" t="s">
        <v>459</v>
      </c>
      <c r="U64" s="41" t="s">
        <v>459</v>
      </c>
      <c r="V64" s="41" t="s">
        <v>459</v>
      </c>
      <c r="W64" s="199"/>
      <c r="X64" s="200"/>
      <c r="Y64" s="125"/>
      <c r="Z64" s="41"/>
      <c r="AA64" s="41"/>
      <c r="AB64" s="41"/>
      <c r="AC64" s="41"/>
      <c r="AD64" s="199"/>
      <c r="AE64" s="200"/>
      <c r="AF64" s="125"/>
      <c r="AG64" s="41"/>
      <c r="AH64" s="41"/>
      <c r="AI64" s="41"/>
      <c r="AJ64" s="41"/>
      <c r="AK64" s="199"/>
      <c r="AL64" s="200"/>
      <c r="AM64" s="125"/>
      <c r="AN64" s="41"/>
      <c r="AO64" s="41"/>
      <c r="AP64" s="41"/>
      <c r="AQ64" s="41"/>
      <c r="AR64" s="199"/>
      <c r="AS64" s="200"/>
      <c r="AT64" s="125"/>
      <c r="AU64" s="41"/>
      <c r="AV64" s="41"/>
      <c r="AW64" s="41"/>
      <c r="AX64" s="41"/>
      <c r="AY64" s="199"/>
      <c r="AZ64" s="200"/>
      <c r="BA64" s="125"/>
      <c r="BB64" s="41"/>
      <c r="BC64" s="41"/>
      <c r="BD64" s="41"/>
      <c r="BE64" s="41"/>
      <c r="BF64" s="199"/>
      <c r="BG64" s="200"/>
      <c r="BH64" s="125"/>
      <c r="BI64" s="41"/>
      <c r="BJ64" s="41"/>
      <c r="BK64" s="41"/>
      <c r="BL64" s="41"/>
      <c r="BM64" s="199"/>
      <c r="BN64" s="200"/>
      <c r="BO64" s="125"/>
      <c r="BP64" s="41"/>
      <c r="BQ64" s="41"/>
      <c r="BR64" s="41"/>
      <c r="BS64" s="41"/>
      <c r="BT64" s="199"/>
      <c r="BU64" s="200"/>
      <c r="BV64" s="125"/>
      <c r="BW64" s="41"/>
      <c r="BX64" s="41"/>
      <c r="BY64" s="41"/>
      <c r="BZ64" s="41"/>
      <c r="CA64" s="199"/>
      <c r="CB64" s="200"/>
      <c r="CC64" s="125"/>
      <c r="CD64" s="41"/>
      <c r="CE64" s="41"/>
      <c r="CF64" s="41"/>
      <c r="CG64" s="41"/>
      <c r="CH64" s="199"/>
      <c r="CI64" s="200"/>
      <c r="CJ64" s="125"/>
      <c r="CK64" s="41"/>
      <c r="CL64" s="41"/>
      <c r="CM64" s="41"/>
      <c r="CN64" s="41"/>
      <c r="CO64" s="199"/>
      <c r="CP64" s="200"/>
      <c r="CQ64" s="125"/>
      <c r="CR64" s="41"/>
      <c r="CS64" s="41"/>
      <c r="CT64" s="41"/>
      <c r="CU64" s="41"/>
      <c r="CV64" s="199"/>
      <c r="CW64" s="200"/>
      <c r="CX64" s="125"/>
      <c r="CY64" s="41"/>
      <c r="CZ64" s="41"/>
      <c r="DA64" s="41"/>
      <c r="DB64" s="41"/>
      <c r="DC64" s="199"/>
      <c r="DD64" s="200"/>
      <c r="DE64" s="125"/>
      <c r="DF64" s="41"/>
      <c r="DG64" s="41"/>
      <c r="DH64" s="41"/>
      <c r="DI64" s="41"/>
      <c r="DJ64" s="199"/>
      <c r="DK64" s="200"/>
      <c r="DL64" s="125"/>
      <c r="DM64" s="41"/>
      <c r="DN64" s="41"/>
      <c r="DO64" s="41"/>
      <c r="DP64" s="41"/>
      <c r="DQ64" s="199"/>
      <c r="DR64" s="200"/>
      <c r="DS64" s="125"/>
      <c r="DT64" s="41"/>
      <c r="DU64" s="41"/>
      <c r="DV64" s="41"/>
      <c r="DW64" s="41"/>
      <c r="DX64" s="199"/>
      <c r="DY64" s="200"/>
      <c r="DZ64" s="125"/>
      <c r="EA64" s="41"/>
      <c r="EB64" s="41"/>
      <c r="EC64" s="41"/>
      <c r="ED64" s="41"/>
      <c r="EE64" s="199"/>
      <c r="EF64" s="200"/>
      <c r="EG64" s="125"/>
      <c r="EH64" s="41"/>
      <c r="EI64" s="41"/>
      <c r="EJ64" s="41"/>
      <c r="EK64" s="41"/>
      <c r="EL64" s="199"/>
      <c r="EM64" s="200"/>
      <c r="EN64" s="125"/>
      <c r="EO64" s="41"/>
      <c r="EP64" s="41"/>
      <c r="EQ64" s="41"/>
      <c r="ER64" s="41"/>
      <c r="ES64" s="199"/>
      <c r="ET64" s="200"/>
      <c r="EU64" s="125"/>
      <c r="EV64" s="41"/>
      <c r="EW64" s="41"/>
      <c r="EX64" s="41"/>
      <c r="EY64" s="41"/>
      <c r="EZ64" s="199"/>
      <c r="FA64" s="200"/>
      <c r="FB64" s="125"/>
      <c r="FC64" s="41"/>
      <c r="FD64" s="41"/>
      <c r="FE64" s="41"/>
      <c r="FF64" s="41"/>
      <c r="FG64" s="199"/>
      <c r="FH64" s="200"/>
      <c r="FI64" s="125"/>
      <c r="FJ64" s="41"/>
      <c r="FK64" s="41"/>
      <c r="FL64" s="41"/>
      <c r="FM64" s="41"/>
      <c r="FN64" s="199"/>
      <c r="FO64" s="200"/>
      <c r="FP64" s="125"/>
      <c r="FQ64" s="41"/>
      <c r="FR64" s="41"/>
      <c r="FS64" s="41"/>
      <c r="FT64" s="41"/>
      <c r="FU64" s="199"/>
      <c r="FV64" s="200"/>
      <c r="FW64" s="125"/>
      <c r="FX64" s="41"/>
      <c r="FY64" s="41"/>
      <c r="FZ64" s="41"/>
      <c r="GA64" s="41"/>
      <c r="GB64" s="199"/>
      <c r="GC64" s="200"/>
      <c r="GD64" s="125"/>
      <c r="GE64" s="41"/>
      <c r="GF64" s="41"/>
      <c r="GG64" s="41"/>
      <c r="GH64" s="41"/>
      <c r="GI64" s="199"/>
      <c r="GJ64" s="200"/>
      <c r="GK64" s="125"/>
      <c r="GL64" s="41"/>
      <c r="GM64" s="41"/>
      <c r="GN64" s="41"/>
      <c r="GO64" s="41"/>
      <c r="GP64" s="199"/>
      <c r="GQ64" s="200"/>
      <c r="GR64" s="125"/>
      <c r="GS64" s="41"/>
      <c r="GT64" s="41"/>
      <c r="GU64" s="41"/>
      <c r="GV64" s="41"/>
      <c r="GW64" s="199"/>
      <c r="GX64" s="200"/>
      <c r="GY64" s="125"/>
      <c r="GZ64" s="41"/>
      <c r="HA64" s="41"/>
      <c r="HB64" s="41"/>
      <c r="HC64" s="41"/>
      <c r="HD64" s="199"/>
      <c r="HE64" s="200"/>
    </row>
    <row r="65" spans="2:213" x14ac:dyDescent="0.3">
      <c r="B65" s="19">
        <v>17158</v>
      </c>
      <c r="C65" s="9">
        <v>35</v>
      </c>
      <c r="D65" s="10" t="str">
        <f t="shared" ref="D65:D71" si="8">IF(G65="","","X")</f>
        <v>X</v>
      </c>
      <c r="E65" s="11" t="str">
        <f t="shared" si="4"/>
        <v>17158X</v>
      </c>
      <c r="F65" s="193" t="s">
        <v>12</v>
      </c>
      <c r="G65" s="184" t="s">
        <v>8</v>
      </c>
      <c r="H65" s="146" t="s">
        <v>9</v>
      </c>
      <c r="I65" s="157" t="s">
        <v>182</v>
      </c>
      <c r="J65" s="158" t="s">
        <v>183</v>
      </c>
      <c r="K65" s="125" t="s">
        <v>459</v>
      </c>
      <c r="L65" s="41" t="s">
        <v>459</v>
      </c>
      <c r="M65" s="41" t="s">
        <v>459</v>
      </c>
      <c r="N65" s="41" t="s">
        <v>459</v>
      </c>
      <c r="O65" s="41" t="s">
        <v>459</v>
      </c>
      <c r="P65" s="199"/>
      <c r="Q65" s="200"/>
      <c r="R65" s="125" t="s">
        <v>459</v>
      </c>
      <c r="S65" s="41" t="s">
        <v>459</v>
      </c>
      <c r="T65" s="41" t="s">
        <v>459</v>
      </c>
      <c r="U65" s="41" t="s">
        <v>459</v>
      </c>
      <c r="V65" s="41" t="s">
        <v>459</v>
      </c>
      <c r="W65" s="199"/>
      <c r="X65" s="200"/>
      <c r="Y65" s="125"/>
      <c r="Z65" s="41"/>
      <c r="AA65" s="41"/>
      <c r="AB65" s="41"/>
      <c r="AC65" s="41"/>
      <c r="AD65" s="199"/>
      <c r="AE65" s="200"/>
      <c r="AF65" s="125"/>
      <c r="AG65" s="41"/>
      <c r="AH65" s="41"/>
      <c r="AI65" s="41"/>
      <c r="AJ65" s="41"/>
      <c r="AK65" s="199"/>
      <c r="AL65" s="200"/>
      <c r="AM65" s="125"/>
      <c r="AN65" s="41"/>
      <c r="AO65" s="41"/>
      <c r="AP65" s="41"/>
      <c r="AQ65" s="41"/>
      <c r="AR65" s="199"/>
      <c r="AS65" s="200"/>
      <c r="AT65" s="125"/>
      <c r="AU65" s="41"/>
      <c r="AV65" s="41"/>
      <c r="AW65" s="41"/>
      <c r="AX65" s="41"/>
      <c r="AY65" s="199"/>
      <c r="AZ65" s="200"/>
      <c r="BA65" s="125"/>
      <c r="BB65" s="41"/>
      <c r="BC65" s="41"/>
      <c r="BD65" s="41"/>
      <c r="BE65" s="41"/>
      <c r="BF65" s="199"/>
      <c r="BG65" s="200"/>
      <c r="BH65" s="125"/>
      <c r="BI65" s="41"/>
      <c r="BJ65" s="41"/>
      <c r="BK65" s="41"/>
      <c r="BL65" s="41"/>
      <c r="BM65" s="199"/>
      <c r="BN65" s="200"/>
      <c r="BO65" s="125"/>
      <c r="BP65" s="41"/>
      <c r="BQ65" s="41"/>
      <c r="BR65" s="41"/>
      <c r="BS65" s="41"/>
      <c r="BT65" s="199"/>
      <c r="BU65" s="200"/>
      <c r="BV65" s="125"/>
      <c r="BW65" s="41"/>
      <c r="BX65" s="41"/>
      <c r="BY65" s="41"/>
      <c r="BZ65" s="41"/>
      <c r="CA65" s="199"/>
      <c r="CB65" s="200"/>
      <c r="CC65" s="125"/>
      <c r="CD65" s="41"/>
      <c r="CE65" s="41"/>
      <c r="CF65" s="41"/>
      <c r="CG65" s="41"/>
      <c r="CH65" s="199"/>
      <c r="CI65" s="200"/>
      <c r="CJ65" s="125"/>
      <c r="CK65" s="41"/>
      <c r="CL65" s="41"/>
      <c r="CM65" s="41"/>
      <c r="CN65" s="41"/>
      <c r="CO65" s="199"/>
      <c r="CP65" s="200"/>
      <c r="CQ65" s="125"/>
      <c r="CR65" s="41"/>
      <c r="CS65" s="41"/>
      <c r="CT65" s="41"/>
      <c r="CU65" s="41"/>
      <c r="CV65" s="199"/>
      <c r="CW65" s="200"/>
      <c r="CX65" s="125"/>
      <c r="CY65" s="41"/>
      <c r="CZ65" s="41"/>
      <c r="DA65" s="41"/>
      <c r="DB65" s="41"/>
      <c r="DC65" s="199"/>
      <c r="DD65" s="200"/>
      <c r="DE65" s="125"/>
      <c r="DF65" s="41"/>
      <c r="DG65" s="41"/>
      <c r="DH65" s="41"/>
      <c r="DI65" s="41"/>
      <c r="DJ65" s="199"/>
      <c r="DK65" s="200"/>
      <c r="DL65" s="125"/>
      <c r="DM65" s="41"/>
      <c r="DN65" s="41"/>
      <c r="DO65" s="41"/>
      <c r="DP65" s="41"/>
      <c r="DQ65" s="199"/>
      <c r="DR65" s="200"/>
      <c r="DS65" s="125"/>
      <c r="DT65" s="41"/>
      <c r="DU65" s="41"/>
      <c r="DV65" s="41"/>
      <c r="DW65" s="41"/>
      <c r="DX65" s="199"/>
      <c r="DY65" s="200"/>
      <c r="DZ65" s="125"/>
      <c r="EA65" s="41"/>
      <c r="EB65" s="41"/>
      <c r="EC65" s="41"/>
      <c r="ED65" s="41"/>
      <c r="EE65" s="199"/>
      <c r="EF65" s="200"/>
      <c r="EG65" s="125"/>
      <c r="EH65" s="41"/>
      <c r="EI65" s="41"/>
      <c r="EJ65" s="41"/>
      <c r="EK65" s="41"/>
      <c r="EL65" s="199"/>
      <c r="EM65" s="200"/>
      <c r="EN65" s="125"/>
      <c r="EO65" s="41"/>
      <c r="EP65" s="41"/>
      <c r="EQ65" s="41"/>
      <c r="ER65" s="41"/>
      <c r="ES65" s="199"/>
      <c r="ET65" s="200"/>
      <c r="EU65" s="125"/>
      <c r="EV65" s="41"/>
      <c r="EW65" s="41"/>
      <c r="EX65" s="41"/>
      <c r="EY65" s="41"/>
      <c r="EZ65" s="199"/>
      <c r="FA65" s="200"/>
      <c r="FB65" s="125"/>
      <c r="FC65" s="41"/>
      <c r="FD65" s="41"/>
      <c r="FE65" s="41"/>
      <c r="FF65" s="41"/>
      <c r="FG65" s="199"/>
      <c r="FH65" s="200"/>
      <c r="FI65" s="125"/>
      <c r="FJ65" s="41"/>
      <c r="FK65" s="41"/>
      <c r="FL65" s="41"/>
      <c r="FM65" s="41"/>
      <c r="FN65" s="199"/>
      <c r="FO65" s="200"/>
      <c r="FP65" s="125"/>
      <c r="FQ65" s="41"/>
      <c r="FR65" s="41"/>
      <c r="FS65" s="41"/>
      <c r="FT65" s="41"/>
      <c r="FU65" s="199"/>
      <c r="FV65" s="200"/>
      <c r="FW65" s="125"/>
      <c r="FX65" s="41"/>
      <c r="FY65" s="41"/>
      <c r="FZ65" s="41"/>
      <c r="GA65" s="41"/>
      <c r="GB65" s="199"/>
      <c r="GC65" s="200"/>
      <c r="GD65" s="125"/>
      <c r="GE65" s="41"/>
      <c r="GF65" s="41"/>
      <c r="GG65" s="41"/>
      <c r="GH65" s="41"/>
      <c r="GI65" s="199"/>
      <c r="GJ65" s="200"/>
      <c r="GK65" s="125"/>
      <c r="GL65" s="41"/>
      <c r="GM65" s="41"/>
      <c r="GN65" s="41"/>
      <c r="GO65" s="41"/>
      <c r="GP65" s="199"/>
      <c r="GQ65" s="200"/>
      <c r="GR65" s="125"/>
      <c r="GS65" s="41"/>
      <c r="GT65" s="41"/>
      <c r="GU65" s="41"/>
      <c r="GV65" s="41"/>
      <c r="GW65" s="199"/>
      <c r="GX65" s="200"/>
      <c r="GY65" s="125"/>
      <c r="GZ65" s="41"/>
      <c r="HA65" s="41"/>
      <c r="HB65" s="41"/>
      <c r="HC65" s="41"/>
      <c r="HD65" s="199"/>
      <c r="HE65" s="200"/>
    </row>
    <row r="66" spans="2:213" x14ac:dyDescent="0.3">
      <c r="B66" s="32">
        <v>56493</v>
      </c>
      <c r="C66" s="9">
        <v>35</v>
      </c>
      <c r="D66" s="10" t="str">
        <f t="shared" si="8"/>
        <v>X</v>
      </c>
      <c r="E66" s="10" t="str">
        <f t="shared" si="4"/>
        <v>56493X</v>
      </c>
      <c r="F66" s="193" t="s">
        <v>12</v>
      </c>
      <c r="G66" s="183" t="s">
        <v>8</v>
      </c>
      <c r="H66" s="146" t="s">
        <v>9</v>
      </c>
      <c r="I66" s="157" t="s">
        <v>199</v>
      </c>
      <c r="J66" s="158" t="s">
        <v>200</v>
      </c>
      <c r="K66" s="125" t="s">
        <v>459</v>
      </c>
      <c r="L66" s="41" t="s">
        <v>459</v>
      </c>
      <c r="M66" s="41" t="s">
        <v>459</v>
      </c>
      <c r="N66" s="41" t="s">
        <v>459</v>
      </c>
      <c r="O66" s="41" t="s">
        <v>459</v>
      </c>
      <c r="P66" s="199"/>
      <c r="Q66" s="200"/>
      <c r="R66" s="125" t="s">
        <v>459</v>
      </c>
      <c r="S66" s="41" t="s">
        <v>459</v>
      </c>
      <c r="T66" s="41" t="s">
        <v>459</v>
      </c>
      <c r="U66" s="41" t="s">
        <v>459</v>
      </c>
      <c r="V66" s="41" t="s">
        <v>459</v>
      </c>
      <c r="W66" s="199"/>
      <c r="X66" s="200"/>
      <c r="Y66" s="125"/>
      <c r="Z66" s="41"/>
      <c r="AA66" s="41"/>
      <c r="AB66" s="41"/>
      <c r="AC66" s="41"/>
      <c r="AD66" s="199"/>
      <c r="AE66" s="200"/>
      <c r="AF66" s="125"/>
      <c r="AG66" s="41"/>
      <c r="AH66" s="41"/>
      <c r="AI66" s="41"/>
      <c r="AJ66" s="41"/>
      <c r="AK66" s="199"/>
      <c r="AL66" s="200"/>
      <c r="AM66" s="125"/>
      <c r="AN66" s="41"/>
      <c r="AO66" s="41"/>
      <c r="AP66" s="41"/>
      <c r="AQ66" s="41"/>
      <c r="AR66" s="199"/>
      <c r="AS66" s="200"/>
      <c r="AT66" s="125"/>
      <c r="AU66" s="41"/>
      <c r="AV66" s="41"/>
      <c r="AW66" s="41"/>
      <c r="AX66" s="41"/>
      <c r="AY66" s="199"/>
      <c r="AZ66" s="200"/>
      <c r="BA66" s="125"/>
      <c r="BB66" s="41"/>
      <c r="BC66" s="41"/>
      <c r="BD66" s="41"/>
      <c r="BE66" s="41"/>
      <c r="BF66" s="199"/>
      <c r="BG66" s="200"/>
      <c r="BH66" s="125"/>
      <c r="BI66" s="41"/>
      <c r="BJ66" s="41"/>
      <c r="BK66" s="41"/>
      <c r="BL66" s="41"/>
      <c r="BM66" s="199"/>
      <c r="BN66" s="200"/>
      <c r="BO66" s="125"/>
      <c r="BP66" s="41"/>
      <c r="BQ66" s="41"/>
      <c r="BR66" s="41"/>
      <c r="BS66" s="41"/>
      <c r="BT66" s="199"/>
      <c r="BU66" s="200"/>
      <c r="BV66" s="125"/>
      <c r="BW66" s="41"/>
      <c r="BX66" s="41"/>
      <c r="BY66" s="41"/>
      <c r="BZ66" s="41"/>
      <c r="CA66" s="199"/>
      <c r="CB66" s="200"/>
      <c r="CC66" s="125"/>
      <c r="CD66" s="41"/>
      <c r="CE66" s="41"/>
      <c r="CF66" s="41"/>
      <c r="CG66" s="41"/>
      <c r="CH66" s="199"/>
      <c r="CI66" s="200"/>
      <c r="CJ66" s="125"/>
      <c r="CK66" s="41"/>
      <c r="CL66" s="41"/>
      <c r="CM66" s="41"/>
      <c r="CN66" s="41"/>
      <c r="CO66" s="199"/>
      <c r="CP66" s="200"/>
      <c r="CQ66" s="125"/>
      <c r="CR66" s="41"/>
      <c r="CS66" s="41"/>
      <c r="CT66" s="41"/>
      <c r="CU66" s="41"/>
      <c r="CV66" s="199"/>
      <c r="CW66" s="200"/>
      <c r="CX66" s="125"/>
      <c r="CY66" s="41"/>
      <c r="CZ66" s="41"/>
      <c r="DA66" s="41"/>
      <c r="DB66" s="41"/>
      <c r="DC66" s="199"/>
      <c r="DD66" s="200"/>
      <c r="DE66" s="125"/>
      <c r="DF66" s="41"/>
      <c r="DG66" s="41"/>
      <c r="DH66" s="41"/>
      <c r="DI66" s="41"/>
      <c r="DJ66" s="199"/>
      <c r="DK66" s="200"/>
      <c r="DL66" s="125"/>
      <c r="DM66" s="41"/>
      <c r="DN66" s="41"/>
      <c r="DO66" s="41"/>
      <c r="DP66" s="41"/>
      <c r="DQ66" s="199"/>
      <c r="DR66" s="200"/>
      <c r="DS66" s="125"/>
      <c r="DT66" s="41"/>
      <c r="DU66" s="41"/>
      <c r="DV66" s="41"/>
      <c r="DW66" s="41"/>
      <c r="DX66" s="199"/>
      <c r="DY66" s="200"/>
      <c r="DZ66" s="125"/>
      <c r="EA66" s="41"/>
      <c r="EB66" s="41"/>
      <c r="EC66" s="41"/>
      <c r="ED66" s="41"/>
      <c r="EE66" s="199"/>
      <c r="EF66" s="200"/>
      <c r="EG66" s="125"/>
      <c r="EH66" s="41"/>
      <c r="EI66" s="41"/>
      <c r="EJ66" s="41"/>
      <c r="EK66" s="41"/>
      <c r="EL66" s="199"/>
      <c r="EM66" s="200"/>
      <c r="EN66" s="125"/>
      <c r="EO66" s="41"/>
      <c r="EP66" s="41"/>
      <c r="EQ66" s="41"/>
      <c r="ER66" s="41"/>
      <c r="ES66" s="199"/>
      <c r="ET66" s="200"/>
      <c r="EU66" s="125"/>
      <c r="EV66" s="41"/>
      <c r="EW66" s="41"/>
      <c r="EX66" s="41"/>
      <c r="EY66" s="41"/>
      <c r="EZ66" s="199"/>
      <c r="FA66" s="200"/>
      <c r="FB66" s="125"/>
      <c r="FC66" s="41"/>
      <c r="FD66" s="41"/>
      <c r="FE66" s="41"/>
      <c r="FF66" s="41"/>
      <c r="FG66" s="199"/>
      <c r="FH66" s="200"/>
      <c r="FI66" s="125"/>
      <c r="FJ66" s="41"/>
      <c r="FK66" s="41"/>
      <c r="FL66" s="41"/>
      <c r="FM66" s="41"/>
      <c r="FN66" s="199"/>
      <c r="FO66" s="200"/>
      <c r="FP66" s="125"/>
      <c r="FQ66" s="41"/>
      <c r="FR66" s="41"/>
      <c r="FS66" s="41"/>
      <c r="FT66" s="41"/>
      <c r="FU66" s="199"/>
      <c r="FV66" s="200"/>
      <c r="FW66" s="125"/>
      <c r="FX66" s="41"/>
      <c r="FY66" s="41"/>
      <c r="FZ66" s="41"/>
      <c r="GA66" s="41"/>
      <c r="GB66" s="199"/>
      <c r="GC66" s="200"/>
      <c r="GD66" s="125"/>
      <c r="GE66" s="41"/>
      <c r="GF66" s="41"/>
      <c r="GG66" s="41"/>
      <c r="GH66" s="41"/>
      <c r="GI66" s="199"/>
      <c r="GJ66" s="200"/>
      <c r="GK66" s="125"/>
      <c r="GL66" s="41"/>
      <c r="GM66" s="41"/>
      <c r="GN66" s="41"/>
      <c r="GO66" s="41"/>
      <c r="GP66" s="199"/>
      <c r="GQ66" s="200"/>
      <c r="GR66" s="125"/>
      <c r="GS66" s="41"/>
      <c r="GT66" s="41"/>
      <c r="GU66" s="41"/>
      <c r="GV66" s="41"/>
      <c r="GW66" s="199"/>
      <c r="GX66" s="200"/>
      <c r="GY66" s="125"/>
      <c r="GZ66" s="41"/>
      <c r="HA66" s="41"/>
      <c r="HB66" s="41"/>
      <c r="HC66" s="41"/>
      <c r="HD66" s="199"/>
      <c r="HE66" s="200"/>
    </row>
    <row r="67" spans="2:213" x14ac:dyDescent="0.3">
      <c r="B67" s="32">
        <v>59329</v>
      </c>
      <c r="C67" s="9">
        <v>35</v>
      </c>
      <c r="D67" s="10" t="str">
        <f t="shared" si="8"/>
        <v>X</v>
      </c>
      <c r="E67" s="11" t="str">
        <f t="shared" si="4"/>
        <v>59329X</v>
      </c>
      <c r="F67" s="193" t="s">
        <v>12</v>
      </c>
      <c r="G67" s="183" t="s">
        <v>8</v>
      </c>
      <c r="H67" s="146" t="s">
        <v>9</v>
      </c>
      <c r="I67" s="171" t="s">
        <v>203</v>
      </c>
      <c r="J67" s="174" t="s">
        <v>204</v>
      </c>
      <c r="K67" s="125" t="s">
        <v>459</v>
      </c>
      <c r="L67" s="41" t="s">
        <v>459</v>
      </c>
      <c r="M67" s="41" t="s">
        <v>459</v>
      </c>
      <c r="N67" s="41" t="s">
        <v>459</v>
      </c>
      <c r="O67" s="41" t="s">
        <v>459</v>
      </c>
      <c r="P67" s="199"/>
      <c r="Q67" s="200"/>
      <c r="R67" s="125" t="s">
        <v>459</v>
      </c>
      <c r="S67" s="41" t="s">
        <v>459</v>
      </c>
      <c r="T67" s="41" t="s">
        <v>459</v>
      </c>
      <c r="U67" s="41" t="s">
        <v>459</v>
      </c>
      <c r="V67" s="41" t="s">
        <v>459</v>
      </c>
      <c r="W67" s="199"/>
      <c r="X67" s="200"/>
      <c r="Y67" s="125"/>
      <c r="Z67" s="41"/>
      <c r="AA67" s="41"/>
      <c r="AB67" s="41"/>
      <c r="AC67" s="41"/>
      <c r="AD67" s="199"/>
      <c r="AE67" s="200"/>
      <c r="AF67" s="125"/>
      <c r="AG67" s="41"/>
      <c r="AH67" s="41"/>
      <c r="AI67" s="41"/>
      <c r="AJ67" s="41"/>
      <c r="AK67" s="199"/>
      <c r="AL67" s="200"/>
      <c r="AM67" s="125"/>
      <c r="AN67" s="41"/>
      <c r="AO67" s="41"/>
      <c r="AP67" s="41"/>
      <c r="AQ67" s="41"/>
      <c r="AR67" s="199"/>
      <c r="AS67" s="200"/>
      <c r="AT67" s="125"/>
      <c r="AU67" s="41"/>
      <c r="AV67" s="41"/>
      <c r="AW67" s="41"/>
      <c r="AX67" s="41"/>
      <c r="AY67" s="199"/>
      <c r="AZ67" s="200"/>
      <c r="BA67" s="125"/>
      <c r="BB67" s="41"/>
      <c r="BC67" s="41"/>
      <c r="BD67" s="41"/>
      <c r="BE67" s="41"/>
      <c r="BF67" s="199"/>
      <c r="BG67" s="200"/>
      <c r="BH67" s="125"/>
      <c r="BI67" s="41"/>
      <c r="BJ67" s="41"/>
      <c r="BK67" s="41"/>
      <c r="BL67" s="41"/>
      <c r="BM67" s="199"/>
      <c r="BN67" s="200"/>
      <c r="BO67" s="125"/>
      <c r="BP67" s="41"/>
      <c r="BQ67" s="41"/>
      <c r="BR67" s="41"/>
      <c r="BS67" s="41"/>
      <c r="BT67" s="199"/>
      <c r="BU67" s="200"/>
      <c r="BV67" s="125"/>
      <c r="BW67" s="41"/>
      <c r="BX67" s="41"/>
      <c r="BY67" s="41"/>
      <c r="BZ67" s="41"/>
      <c r="CA67" s="199"/>
      <c r="CB67" s="200"/>
      <c r="CC67" s="125"/>
      <c r="CD67" s="41"/>
      <c r="CE67" s="41"/>
      <c r="CF67" s="41"/>
      <c r="CG67" s="41"/>
      <c r="CH67" s="199"/>
      <c r="CI67" s="200"/>
      <c r="CJ67" s="125"/>
      <c r="CK67" s="41"/>
      <c r="CL67" s="41"/>
      <c r="CM67" s="41"/>
      <c r="CN67" s="41"/>
      <c r="CO67" s="199"/>
      <c r="CP67" s="200"/>
      <c r="CQ67" s="125"/>
      <c r="CR67" s="41"/>
      <c r="CS67" s="41"/>
      <c r="CT67" s="41"/>
      <c r="CU67" s="41"/>
      <c r="CV67" s="199"/>
      <c r="CW67" s="200"/>
      <c r="CX67" s="125"/>
      <c r="CY67" s="41"/>
      <c r="CZ67" s="41"/>
      <c r="DA67" s="41"/>
      <c r="DB67" s="41"/>
      <c r="DC67" s="199"/>
      <c r="DD67" s="200"/>
      <c r="DE67" s="125"/>
      <c r="DF67" s="41"/>
      <c r="DG67" s="41"/>
      <c r="DH67" s="41"/>
      <c r="DI67" s="41"/>
      <c r="DJ67" s="199"/>
      <c r="DK67" s="200"/>
      <c r="DL67" s="125"/>
      <c r="DM67" s="41"/>
      <c r="DN67" s="41"/>
      <c r="DO67" s="41"/>
      <c r="DP67" s="41"/>
      <c r="DQ67" s="199"/>
      <c r="DR67" s="200"/>
      <c r="DS67" s="125"/>
      <c r="DT67" s="41"/>
      <c r="DU67" s="41"/>
      <c r="DV67" s="41"/>
      <c r="DW67" s="41"/>
      <c r="DX67" s="199"/>
      <c r="DY67" s="200"/>
      <c r="DZ67" s="125"/>
      <c r="EA67" s="41"/>
      <c r="EB67" s="41"/>
      <c r="EC67" s="41"/>
      <c r="ED67" s="41"/>
      <c r="EE67" s="199"/>
      <c r="EF67" s="200"/>
      <c r="EG67" s="125"/>
      <c r="EH67" s="41"/>
      <c r="EI67" s="41"/>
      <c r="EJ67" s="41"/>
      <c r="EK67" s="41"/>
      <c r="EL67" s="199"/>
      <c r="EM67" s="200"/>
      <c r="EN67" s="125"/>
      <c r="EO67" s="41"/>
      <c r="EP67" s="41"/>
      <c r="EQ67" s="41"/>
      <c r="ER67" s="41"/>
      <c r="ES67" s="199"/>
      <c r="ET67" s="200"/>
      <c r="EU67" s="125"/>
      <c r="EV67" s="41"/>
      <c r="EW67" s="41"/>
      <c r="EX67" s="41"/>
      <c r="EY67" s="41"/>
      <c r="EZ67" s="199"/>
      <c r="FA67" s="200"/>
      <c r="FB67" s="125"/>
      <c r="FC67" s="41"/>
      <c r="FD67" s="41"/>
      <c r="FE67" s="41"/>
      <c r="FF67" s="41"/>
      <c r="FG67" s="199"/>
      <c r="FH67" s="200"/>
      <c r="FI67" s="125"/>
      <c r="FJ67" s="41"/>
      <c r="FK67" s="41"/>
      <c r="FL67" s="41"/>
      <c r="FM67" s="41"/>
      <c r="FN67" s="199"/>
      <c r="FO67" s="200"/>
      <c r="FP67" s="125"/>
      <c r="FQ67" s="41"/>
      <c r="FR67" s="41"/>
      <c r="FS67" s="41"/>
      <c r="FT67" s="41"/>
      <c r="FU67" s="199"/>
      <c r="FV67" s="200"/>
      <c r="FW67" s="125"/>
      <c r="FX67" s="41"/>
      <c r="FY67" s="41"/>
      <c r="FZ67" s="41"/>
      <c r="GA67" s="41"/>
      <c r="GB67" s="199"/>
      <c r="GC67" s="200"/>
      <c r="GD67" s="125"/>
      <c r="GE67" s="41"/>
      <c r="GF67" s="41"/>
      <c r="GG67" s="41"/>
      <c r="GH67" s="41"/>
      <c r="GI67" s="199"/>
      <c r="GJ67" s="200"/>
      <c r="GK67" s="125"/>
      <c r="GL67" s="41"/>
      <c r="GM67" s="41"/>
      <c r="GN67" s="41"/>
      <c r="GO67" s="41"/>
      <c r="GP67" s="199"/>
      <c r="GQ67" s="200"/>
      <c r="GR67" s="125"/>
      <c r="GS67" s="41"/>
      <c r="GT67" s="41"/>
      <c r="GU67" s="41"/>
      <c r="GV67" s="41"/>
      <c r="GW67" s="199"/>
      <c r="GX67" s="200"/>
      <c r="GY67" s="125"/>
      <c r="GZ67" s="41"/>
      <c r="HA67" s="41"/>
      <c r="HB67" s="41"/>
      <c r="HC67" s="41"/>
      <c r="HD67" s="199"/>
      <c r="HE67" s="200"/>
    </row>
    <row r="68" spans="2:213" x14ac:dyDescent="0.3">
      <c r="B68" s="95">
        <v>46325</v>
      </c>
      <c r="C68" s="9">
        <v>35</v>
      </c>
      <c r="D68" s="41" t="str">
        <f t="shared" si="8"/>
        <v>X</v>
      </c>
      <c r="E68" s="11" t="str">
        <f t="shared" si="4"/>
        <v>46325X</v>
      </c>
      <c r="F68" s="193" t="s">
        <v>12</v>
      </c>
      <c r="G68" s="183" t="s">
        <v>8</v>
      </c>
      <c r="H68" s="146" t="s">
        <v>9</v>
      </c>
      <c r="I68" s="155" t="s">
        <v>228</v>
      </c>
      <c r="J68" s="156" t="s">
        <v>229</v>
      </c>
      <c r="K68" s="125" t="s">
        <v>459</v>
      </c>
      <c r="L68" s="41" t="s">
        <v>459</v>
      </c>
      <c r="M68" s="41" t="s">
        <v>459</v>
      </c>
      <c r="N68" s="41" t="s">
        <v>459</v>
      </c>
      <c r="O68" s="41" t="s">
        <v>459</v>
      </c>
      <c r="P68" s="199"/>
      <c r="Q68" s="200"/>
      <c r="R68" s="125" t="s">
        <v>459</v>
      </c>
      <c r="S68" s="41" t="s">
        <v>459</v>
      </c>
      <c r="T68" s="41" t="s">
        <v>459</v>
      </c>
      <c r="U68" s="41" t="s">
        <v>459</v>
      </c>
      <c r="V68" s="41" t="s">
        <v>459</v>
      </c>
      <c r="W68" s="199"/>
      <c r="X68" s="200"/>
      <c r="Y68" s="125"/>
      <c r="Z68" s="41"/>
      <c r="AA68" s="41"/>
      <c r="AB68" s="41"/>
      <c r="AC68" s="41"/>
      <c r="AD68" s="199"/>
      <c r="AE68" s="200"/>
      <c r="AF68" s="125"/>
      <c r="AG68" s="41"/>
      <c r="AH68" s="41"/>
      <c r="AI68" s="41"/>
      <c r="AJ68" s="41"/>
      <c r="AK68" s="199"/>
      <c r="AL68" s="200"/>
      <c r="AM68" s="125"/>
      <c r="AN68" s="41"/>
      <c r="AO68" s="41"/>
      <c r="AP68" s="41"/>
      <c r="AQ68" s="41"/>
      <c r="AR68" s="199"/>
      <c r="AS68" s="200"/>
      <c r="AT68" s="125"/>
      <c r="AU68" s="41"/>
      <c r="AV68" s="41"/>
      <c r="AW68" s="41"/>
      <c r="AX68" s="41"/>
      <c r="AY68" s="199"/>
      <c r="AZ68" s="200"/>
      <c r="BA68" s="125"/>
      <c r="BB68" s="41"/>
      <c r="BC68" s="41"/>
      <c r="BD68" s="41"/>
      <c r="BE68" s="41"/>
      <c r="BF68" s="199"/>
      <c r="BG68" s="200"/>
      <c r="BH68" s="125"/>
      <c r="BI68" s="41"/>
      <c r="BJ68" s="41"/>
      <c r="BK68" s="41"/>
      <c r="BL68" s="41"/>
      <c r="BM68" s="199"/>
      <c r="BN68" s="200"/>
      <c r="BO68" s="125"/>
      <c r="BP68" s="41"/>
      <c r="BQ68" s="41"/>
      <c r="BR68" s="41"/>
      <c r="BS68" s="41"/>
      <c r="BT68" s="199"/>
      <c r="BU68" s="200"/>
      <c r="BV68" s="125"/>
      <c r="BW68" s="41"/>
      <c r="BX68" s="41"/>
      <c r="BY68" s="41"/>
      <c r="BZ68" s="41"/>
      <c r="CA68" s="199"/>
      <c r="CB68" s="200"/>
      <c r="CC68" s="125"/>
      <c r="CD68" s="41"/>
      <c r="CE68" s="41"/>
      <c r="CF68" s="41"/>
      <c r="CG68" s="41"/>
      <c r="CH68" s="199"/>
      <c r="CI68" s="200"/>
      <c r="CJ68" s="125"/>
      <c r="CK68" s="41"/>
      <c r="CL68" s="41"/>
      <c r="CM68" s="41"/>
      <c r="CN68" s="41"/>
      <c r="CO68" s="199"/>
      <c r="CP68" s="200"/>
      <c r="CQ68" s="125"/>
      <c r="CR68" s="41"/>
      <c r="CS68" s="41"/>
      <c r="CT68" s="41"/>
      <c r="CU68" s="41"/>
      <c r="CV68" s="199"/>
      <c r="CW68" s="200"/>
      <c r="CX68" s="125"/>
      <c r="CY68" s="41"/>
      <c r="CZ68" s="41"/>
      <c r="DA68" s="41"/>
      <c r="DB68" s="41"/>
      <c r="DC68" s="199"/>
      <c r="DD68" s="200"/>
      <c r="DE68" s="125"/>
      <c r="DF68" s="41"/>
      <c r="DG68" s="41"/>
      <c r="DH68" s="41"/>
      <c r="DI68" s="41"/>
      <c r="DJ68" s="199"/>
      <c r="DK68" s="200"/>
      <c r="DL68" s="125"/>
      <c r="DM68" s="41"/>
      <c r="DN68" s="41"/>
      <c r="DO68" s="41"/>
      <c r="DP68" s="41"/>
      <c r="DQ68" s="199"/>
      <c r="DR68" s="200"/>
      <c r="DS68" s="125"/>
      <c r="DT68" s="41"/>
      <c r="DU68" s="41"/>
      <c r="DV68" s="41"/>
      <c r="DW68" s="41"/>
      <c r="DX68" s="199"/>
      <c r="DY68" s="200"/>
      <c r="DZ68" s="125"/>
      <c r="EA68" s="41"/>
      <c r="EB68" s="41"/>
      <c r="EC68" s="41"/>
      <c r="ED68" s="41"/>
      <c r="EE68" s="199"/>
      <c r="EF68" s="200"/>
      <c r="EG68" s="125"/>
      <c r="EH68" s="41"/>
      <c r="EI68" s="41"/>
      <c r="EJ68" s="41"/>
      <c r="EK68" s="41"/>
      <c r="EL68" s="199"/>
      <c r="EM68" s="200"/>
      <c r="EN68" s="125"/>
      <c r="EO68" s="41"/>
      <c r="EP68" s="41"/>
      <c r="EQ68" s="41"/>
      <c r="ER68" s="41"/>
      <c r="ES68" s="199"/>
      <c r="ET68" s="200"/>
      <c r="EU68" s="125"/>
      <c r="EV68" s="41"/>
      <c r="EW68" s="41"/>
      <c r="EX68" s="41"/>
      <c r="EY68" s="41"/>
      <c r="EZ68" s="199"/>
      <c r="FA68" s="200"/>
      <c r="FB68" s="125"/>
      <c r="FC68" s="41"/>
      <c r="FD68" s="41"/>
      <c r="FE68" s="41"/>
      <c r="FF68" s="41"/>
      <c r="FG68" s="199"/>
      <c r="FH68" s="200"/>
      <c r="FI68" s="125"/>
      <c r="FJ68" s="41"/>
      <c r="FK68" s="41"/>
      <c r="FL68" s="41"/>
      <c r="FM68" s="41"/>
      <c r="FN68" s="199"/>
      <c r="FO68" s="200"/>
      <c r="FP68" s="125"/>
      <c r="FQ68" s="41"/>
      <c r="FR68" s="41"/>
      <c r="FS68" s="41"/>
      <c r="FT68" s="41"/>
      <c r="FU68" s="199"/>
      <c r="FV68" s="200"/>
      <c r="FW68" s="125"/>
      <c r="FX68" s="41"/>
      <c r="FY68" s="41"/>
      <c r="FZ68" s="41"/>
      <c r="GA68" s="41"/>
      <c r="GB68" s="199"/>
      <c r="GC68" s="200"/>
      <c r="GD68" s="125"/>
      <c r="GE68" s="41"/>
      <c r="GF68" s="41"/>
      <c r="GG68" s="41"/>
      <c r="GH68" s="41"/>
      <c r="GI68" s="199"/>
      <c r="GJ68" s="200"/>
      <c r="GK68" s="125"/>
      <c r="GL68" s="41"/>
      <c r="GM68" s="41"/>
      <c r="GN68" s="41"/>
      <c r="GO68" s="41"/>
      <c r="GP68" s="199"/>
      <c r="GQ68" s="200"/>
      <c r="GR68" s="125"/>
      <c r="GS68" s="41"/>
      <c r="GT68" s="41"/>
      <c r="GU68" s="41"/>
      <c r="GV68" s="41"/>
      <c r="GW68" s="199"/>
      <c r="GX68" s="200"/>
      <c r="GY68" s="125"/>
      <c r="GZ68" s="41"/>
      <c r="HA68" s="41"/>
      <c r="HB68" s="41"/>
      <c r="HC68" s="41"/>
      <c r="HD68" s="199"/>
      <c r="HE68" s="200"/>
    </row>
    <row r="69" spans="2:213" x14ac:dyDescent="0.3">
      <c r="B69" s="38">
        <v>105075</v>
      </c>
      <c r="C69" s="9">
        <v>35</v>
      </c>
      <c r="D69" s="10" t="str">
        <f t="shared" si="8"/>
        <v>X</v>
      </c>
      <c r="E69" s="11" t="str">
        <f t="shared" ref="E69:E131" si="9">B69&amp;""&amp;D69</f>
        <v>105075X</v>
      </c>
      <c r="F69" s="193" t="s">
        <v>12</v>
      </c>
      <c r="G69" s="183" t="s">
        <v>8</v>
      </c>
      <c r="H69" s="146" t="s">
        <v>9</v>
      </c>
      <c r="I69" s="153" t="s">
        <v>250</v>
      </c>
      <c r="J69" s="154" t="s">
        <v>122</v>
      </c>
      <c r="K69" s="125" t="s">
        <v>459</v>
      </c>
      <c r="L69" s="41" t="s">
        <v>459</v>
      </c>
      <c r="M69" s="41" t="s">
        <v>459</v>
      </c>
      <c r="N69" s="41" t="s">
        <v>459</v>
      </c>
      <c r="O69" s="41" t="s">
        <v>459</v>
      </c>
      <c r="P69" s="199"/>
      <c r="Q69" s="200"/>
      <c r="R69" s="125" t="s">
        <v>459</v>
      </c>
      <c r="S69" s="41" t="s">
        <v>459</v>
      </c>
      <c r="T69" s="41" t="s">
        <v>459</v>
      </c>
      <c r="U69" s="41" t="s">
        <v>459</v>
      </c>
      <c r="V69" s="41" t="s">
        <v>459</v>
      </c>
      <c r="W69" s="199"/>
      <c r="X69" s="200"/>
      <c r="Y69" s="125"/>
      <c r="Z69" s="41"/>
      <c r="AA69" s="41"/>
      <c r="AB69" s="41"/>
      <c r="AC69" s="41"/>
      <c r="AD69" s="199"/>
      <c r="AE69" s="200"/>
      <c r="AF69" s="125"/>
      <c r="AG69" s="41"/>
      <c r="AH69" s="41"/>
      <c r="AI69" s="41"/>
      <c r="AJ69" s="41"/>
      <c r="AK69" s="199"/>
      <c r="AL69" s="200"/>
      <c r="AM69" s="125"/>
      <c r="AN69" s="41"/>
      <c r="AO69" s="41"/>
      <c r="AP69" s="41"/>
      <c r="AQ69" s="41"/>
      <c r="AR69" s="199"/>
      <c r="AS69" s="200"/>
      <c r="AT69" s="125"/>
      <c r="AU69" s="41"/>
      <c r="AV69" s="41"/>
      <c r="AW69" s="41"/>
      <c r="AX69" s="41"/>
      <c r="AY69" s="199"/>
      <c r="AZ69" s="200"/>
      <c r="BA69" s="125"/>
      <c r="BB69" s="41"/>
      <c r="BC69" s="41"/>
      <c r="BD69" s="41"/>
      <c r="BE69" s="41"/>
      <c r="BF69" s="199"/>
      <c r="BG69" s="200"/>
      <c r="BH69" s="125"/>
      <c r="BI69" s="41"/>
      <c r="BJ69" s="41"/>
      <c r="BK69" s="41"/>
      <c r="BL69" s="41"/>
      <c r="BM69" s="199"/>
      <c r="BN69" s="200"/>
      <c r="BO69" s="125"/>
      <c r="BP69" s="41"/>
      <c r="BQ69" s="41"/>
      <c r="BR69" s="41"/>
      <c r="BS69" s="41"/>
      <c r="BT69" s="199"/>
      <c r="BU69" s="200"/>
      <c r="BV69" s="125"/>
      <c r="BW69" s="41"/>
      <c r="BX69" s="41"/>
      <c r="BY69" s="41"/>
      <c r="BZ69" s="41"/>
      <c r="CA69" s="199"/>
      <c r="CB69" s="200"/>
      <c r="CC69" s="125"/>
      <c r="CD69" s="41"/>
      <c r="CE69" s="41"/>
      <c r="CF69" s="41"/>
      <c r="CG69" s="41"/>
      <c r="CH69" s="199"/>
      <c r="CI69" s="200"/>
      <c r="CJ69" s="125"/>
      <c r="CK69" s="41"/>
      <c r="CL69" s="41"/>
      <c r="CM69" s="41"/>
      <c r="CN69" s="41"/>
      <c r="CO69" s="199"/>
      <c r="CP69" s="200"/>
      <c r="CQ69" s="125"/>
      <c r="CR69" s="41"/>
      <c r="CS69" s="41"/>
      <c r="CT69" s="41"/>
      <c r="CU69" s="41"/>
      <c r="CV69" s="199"/>
      <c r="CW69" s="200"/>
      <c r="CX69" s="125"/>
      <c r="CY69" s="41"/>
      <c r="CZ69" s="41"/>
      <c r="DA69" s="41"/>
      <c r="DB69" s="41"/>
      <c r="DC69" s="199"/>
      <c r="DD69" s="200"/>
      <c r="DE69" s="125"/>
      <c r="DF69" s="41"/>
      <c r="DG69" s="41"/>
      <c r="DH69" s="41"/>
      <c r="DI69" s="41"/>
      <c r="DJ69" s="199"/>
      <c r="DK69" s="200"/>
      <c r="DL69" s="125"/>
      <c r="DM69" s="41"/>
      <c r="DN69" s="41"/>
      <c r="DO69" s="41"/>
      <c r="DP69" s="41"/>
      <c r="DQ69" s="199"/>
      <c r="DR69" s="200"/>
      <c r="DS69" s="125"/>
      <c r="DT69" s="41"/>
      <c r="DU69" s="41"/>
      <c r="DV69" s="41"/>
      <c r="DW69" s="41"/>
      <c r="DX69" s="199"/>
      <c r="DY69" s="200"/>
      <c r="DZ69" s="125"/>
      <c r="EA69" s="41"/>
      <c r="EB69" s="41"/>
      <c r="EC69" s="41"/>
      <c r="ED69" s="41"/>
      <c r="EE69" s="199"/>
      <c r="EF69" s="200"/>
      <c r="EG69" s="125"/>
      <c r="EH69" s="41"/>
      <c r="EI69" s="41"/>
      <c r="EJ69" s="41"/>
      <c r="EK69" s="41"/>
      <c r="EL69" s="199"/>
      <c r="EM69" s="200"/>
      <c r="EN69" s="125"/>
      <c r="EO69" s="41"/>
      <c r="EP69" s="41"/>
      <c r="EQ69" s="41"/>
      <c r="ER69" s="41"/>
      <c r="ES69" s="199"/>
      <c r="ET69" s="200"/>
      <c r="EU69" s="125"/>
      <c r="EV69" s="41"/>
      <c r="EW69" s="41"/>
      <c r="EX69" s="41"/>
      <c r="EY69" s="41"/>
      <c r="EZ69" s="199"/>
      <c r="FA69" s="200"/>
      <c r="FB69" s="125"/>
      <c r="FC69" s="41"/>
      <c r="FD69" s="41"/>
      <c r="FE69" s="41"/>
      <c r="FF69" s="41"/>
      <c r="FG69" s="199"/>
      <c r="FH69" s="200"/>
      <c r="FI69" s="125"/>
      <c r="FJ69" s="41"/>
      <c r="FK69" s="41"/>
      <c r="FL69" s="41"/>
      <c r="FM69" s="41"/>
      <c r="FN69" s="199"/>
      <c r="FO69" s="200"/>
      <c r="FP69" s="125"/>
      <c r="FQ69" s="41"/>
      <c r="FR69" s="41"/>
      <c r="FS69" s="41"/>
      <c r="FT69" s="41"/>
      <c r="FU69" s="199"/>
      <c r="FV69" s="200"/>
      <c r="FW69" s="125"/>
      <c r="FX69" s="41"/>
      <c r="FY69" s="41"/>
      <c r="FZ69" s="41"/>
      <c r="GA69" s="41"/>
      <c r="GB69" s="199"/>
      <c r="GC69" s="200"/>
      <c r="GD69" s="125"/>
      <c r="GE69" s="41"/>
      <c r="GF69" s="41"/>
      <c r="GG69" s="41"/>
      <c r="GH69" s="41"/>
      <c r="GI69" s="199"/>
      <c r="GJ69" s="200"/>
      <c r="GK69" s="125"/>
      <c r="GL69" s="41"/>
      <c r="GM69" s="41"/>
      <c r="GN69" s="41"/>
      <c r="GO69" s="41"/>
      <c r="GP69" s="199"/>
      <c r="GQ69" s="200"/>
      <c r="GR69" s="125"/>
      <c r="GS69" s="41"/>
      <c r="GT69" s="41"/>
      <c r="GU69" s="41"/>
      <c r="GV69" s="41"/>
      <c r="GW69" s="199"/>
      <c r="GX69" s="200"/>
      <c r="GY69" s="125"/>
      <c r="GZ69" s="41"/>
      <c r="HA69" s="41"/>
      <c r="HB69" s="41"/>
      <c r="HC69" s="41"/>
      <c r="HD69" s="199"/>
      <c r="HE69" s="200"/>
    </row>
    <row r="70" spans="2:213" x14ac:dyDescent="0.3">
      <c r="B70" s="38">
        <v>53663</v>
      </c>
      <c r="C70" s="9">
        <v>35</v>
      </c>
      <c r="D70" s="10" t="str">
        <f t="shared" si="8"/>
        <v>X</v>
      </c>
      <c r="E70" s="11" t="str">
        <f t="shared" si="9"/>
        <v>53663X</v>
      </c>
      <c r="F70" s="193" t="s">
        <v>12</v>
      </c>
      <c r="G70" s="184" t="s">
        <v>8</v>
      </c>
      <c r="H70" s="146" t="s">
        <v>9</v>
      </c>
      <c r="I70" s="153" t="s">
        <v>314</v>
      </c>
      <c r="J70" s="154" t="s">
        <v>315</v>
      </c>
      <c r="K70" s="125" t="s">
        <v>459</v>
      </c>
      <c r="L70" s="41" t="s">
        <v>459</v>
      </c>
      <c r="M70" s="41" t="s">
        <v>459</v>
      </c>
      <c r="N70" s="41" t="s">
        <v>459</v>
      </c>
      <c r="O70" s="41" t="s">
        <v>459</v>
      </c>
      <c r="P70" s="199"/>
      <c r="Q70" s="200"/>
      <c r="R70" s="125" t="s">
        <v>459</v>
      </c>
      <c r="S70" s="41" t="s">
        <v>459</v>
      </c>
      <c r="T70" s="41" t="s">
        <v>459</v>
      </c>
      <c r="U70" s="41" t="s">
        <v>459</v>
      </c>
      <c r="V70" s="41" t="s">
        <v>459</v>
      </c>
      <c r="W70" s="199"/>
      <c r="X70" s="200"/>
      <c r="Y70" s="125"/>
      <c r="Z70" s="41"/>
      <c r="AA70" s="41"/>
      <c r="AB70" s="41"/>
      <c r="AC70" s="41"/>
      <c r="AD70" s="199"/>
      <c r="AE70" s="200"/>
      <c r="AF70" s="125"/>
      <c r="AG70" s="41"/>
      <c r="AH70" s="41"/>
      <c r="AI70" s="41"/>
      <c r="AJ70" s="41"/>
      <c r="AK70" s="199"/>
      <c r="AL70" s="200"/>
      <c r="AM70" s="125"/>
      <c r="AN70" s="41"/>
      <c r="AO70" s="41"/>
      <c r="AP70" s="41"/>
      <c r="AQ70" s="41"/>
      <c r="AR70" s="199"/>
      <c r="AS70" s="200"/>
      <c r="AT70" s="125"/>
      <c r="AU70" s="41"/>
      <c r="AV70" s="41"/>
      <c r="AW70" s="41"/>
      <c r="AX70" s="41"/>
      <c r="AY70" s="199"/>
      <c r="AZ70" s="200"/>
      <c r="BA70" s="125"/>
      <c r="BB70" s="41"/>
      <c r="BC70" s="41"/>
      <c r="BD70" s="41"/>
      <c r="BE70" s="41"/>
      <c r="BF70" s="199"/>
      <c r="BG70" s="200"/>
      <c r="BH70" s="125"/>
      <c r="BI70" s="41"/>
      <c r="BJ70" s="41"/>
      <c r="BK70" s="41"/>
      <c r="BL70" s="41"/>
      <c r="BM70" s="199"/>
      <c r="BN70" s="200"/>
      <c r="BO70" s="125"/>
      <c r="BP70" s="41"/>
      <c r="BQ70" s="41"/>
      <c r="BR70" s="41"/>
      <c r="BS70" s="41"/>
      <c r="BT70" s="199"/>
      <c r="BU70" s="200"/>
      <c r="BV70" s="125"/>
      <c r="BW70" s="41"/>
      <c r="BX70" s="41"/>
      <c r="BY70" s="41"/>
      <c r="BZ70" s="41"/>
      <c r="CA70" s="199"/>
      <c r="CB70" s="200"/>
      <c r="CC70" s="125"/>
      <c r="CD70" s="41"/>
      <c r="CE70" s="41"/>
      <c r="CF70" s="41"/>
      <c r="CG70" s="41"/>
      <c r="CH70" s="199"/>
      <c r="CI70" s="200"/>
      <c r="CJ70" s="125"/>
      <c r="CK70" s="41"/>
      <c r="CL70" s="41"/>
      <c r="CM70" s="41"/>
      <c r="CN70" s="41"/>
      <c r="CO70" s="199"/>
      <c r="CP70" s="200"/>
      <c r="CQ70" s="125"/>
      <c r="CR70" s="41"/>
      <c r="CS70" s="41"/>
      <c r="CT70" s="41"/>
      <c r="CU70" s="41"/>
      <c r="CV70" s="199"/>
      <c r="CW70" s="200"/>
      <c r="CX70" s="125"/>
      <c r="CY70" s="41"/>
      <c r="CZ70" s="41"/>
      <c r="DA70" s="41"/>
      <c r="DB70" s="41"/>
      <c r="DC70" s="199"/>
      <c r="DD70" s="200"/>
      <c r="DE70" s="125"/>
      <c r="DF70" s="41"/>
      <c r="DG70" s="41"/>
      <c r="DH70" s="41"/>
      <c r="DI70" s="41"/>
      <c r="DJ70" s="199"/>
      <c r="DK70" s="200"/>
      <c r="DL70" s="125"/>
      <c r="DM70" s="41"/>
      <c r="DN70" s="41"/>
      <c r="DO70" s="41"/>
      <c r="DP70" s="41"/>
      <c r="DQ70" s="199"/>
      <c r="DR70" s="200"/>
      <c r="DS70" s="125"/>
      <c r="DT70" s="41"/>
      <c r="DU70" s="41"/>
      <c r="DV70" s="41"/>
      <c r="DW70" s="41"/>
      <c r="DX70" s="199"/>
      <c r="DY70" s="200"/>
      <c r="DZ70" s="125"/>
      <c r="EA70" s="41"/>
      <c r="EB70" s="41"/>
      <c r="EC70" s="41"/>
      <c r="ED70" s="41"/>
      <c r="EE70" s="199"/>
      <c r="EF70" s="200"/>
      <c r="EG70" s="125"/>
      <c r="EH70" s="41"/>
      <c r="EI70" s="41"/>
      <c r="EJ70" s="41"/>
      <c r="EK70" s="41"/>
      <c r="EL70" s="199"/>
      <c r="EM70" s="200"/>
      <c r="EN70" s="125"/>
      <c r="EO70" s="41"/>
      <c r="EP70" s="41"/>
      <c r="EQ70" s="41"/>
      <c r="ER70" s="41"/>
      <c r="ES70" s="199"/>
      <c r="ET70" s="200"/>
      <c r="EU70" s="125"/>
      <c r="EV70" s="41"/>
      <c r="EW70" s="41"/>
      <c r="EX70" s="41"/>
      <c r="EY70" s="41"/>
      <c r="EZ70" s="199"/>
      <c r="FA70" s="200"/>
      <c r="FB70" s="125"/>
      <c r="FC70" s="41"/>
      <c r="FD70" s="41"/>
      <c r="FE70" s="41"/>
      <c r="FF70" s="41"/>
      <c r="FG70" s="199"/>
      <c r="FH70" s="200"/>
      <c r="FI70" s="125"/>
      <c r="FJ70" s="41"/>
      <c r="FK70" s="41"/>
      <c r="FL70" s="41"/>
      <c r="FM70" s="41"/>
      <c r="FN70" s="199"/>
      <c r="FO70" s="200"/>
      <c r="FP70" s="125"/>
      <c r="FQ70" s="41"/>
      <c r="FR70" s="41"/>
      <c r="FS70" s="41"/>
      <c r="FT70" s="41"/>
      <c r="FU70" s="199"/>
      <c r="FV70" s="200"/>
      <c r="FW70" s="125"/>
      <c r="FX70" s="41"/>
      <c r="FY70" s="41"/>
      <c r="FZ70" s="41"/>
      <c r="GA70" s="41"/>
      <c r="GB70" s="199"/>
      <c r="GC70" s="200"/>
      <c r="GD70" s="125"/>
      <c r="GE70" s="41"/>
      <c r="GF70" s="41"/>
      <c r="GG70" s="41"/>
      <c r="GH70" s="41"/>
      <c r="GI70" s="199"/>
      <c r="GJ70" s="200"/>
      <c r="GK70" s="125"/>
      <c r="GL70" s="41"/>
      <c r="GM70" s="41"/>
      <c r="GN70" s="41"/>
      <c r="GO70" s="41"/>
      <c r="GP70" s="199"/>
      <c r="GQ70" s="200"/>
      <c r="GR70" s="125"/>
      <c r="GS70" s="41"/>
      <c r="GT70" s="41"/>
      <c r="GU70" s="41"/>
      <c r="GV70" s="41"/>
      <c r="GW70" s="199"/>
      <c r="GX70" s="200"/>
      <c r="GY70" s="125"/>
      <c r="GZ70" s="41"/>
      <c r="HA70" s="41"/>
      <c r="HB70" s="41"/>
      <c r="HC70" s="41"/>
      <c r="HD70" s="199"/>
      <c r="HE70" s="200"/>
    </row>
    <row r="71" spans="2:213" x14ac:dyDescent="0.3">
      <c r="B71" s="8">
        <v>75987</v>
      </c>
      <c r="C71" s="9">
        <v>35</v>
      </c>
      <c r="D71" s="10" t="str">
        <f t="shared" si="8"/>
        <v>X</v>
      </c>
      <c r="E71" s="11" t="str">
        <f t="shared" si="9"/>
        <v>75987X</v>
      </c>
      <c r="F71" s="193" t="s">
        <v>12</v>
      </c>
      <c r="G71" s="184" t="s">
        <v>8</v>
      </c>
      <c r="H71" s="146" t="s">
        <v>9</v>
      </c>
      <c r="I71" s="151" t="s">
        <v>355</v>
      </c>
      <c r="J71" s="152" t="s">
        <v>356</v>
      </c>
      <c r="K71" s="125" t="s">
        <v>459</v>
      </c>
      <c r="L71" s="41" t="s">
        <v>459</v>
      </c>
      <c r="M71" s="41" t="s">
        <v>459</v>
      </c>
      <c r="N71" s="41" t="s">
        <v>459</v>
      </c>
      <c r="O71" s="41" t="s">
        <v>459</v>
      </c>
      <c r="P71" s="199"/>
      <c r="Q71" s="200"/>
      <c r="R71" s="125" t="s">
        <v>459</v>
      </c>
      <c r="S71" s="41" t="s">
        <v>459</v>
      </c>
      <c r="T71" s="41" t="s">
        <v>459</v>
      </c>
      <c r="U71" s="41" t="s">
        <v>459</v>
      </c>
      <c r="V71" s="41" t="s">
        <v>459</v>
      </c>
      <c r="W71" s="199"/>
      <c r="X71" s="200"/>
      <c r="Y71" s="125"/>
      <c r="Z71" s="41"/>
      <c r="AA71" s="41"/>
      <c r="AB71" s="41"/>
      <c r="AC71" s="41"/>
      <c r="AD71" s="199"/>
      <c r="AE71" s="200"/>
      <c r="AF71" s="125"/>
      <c r="AG71" s="41"/>
      <c r="AH71" s="41"/>
      <c r="AI71" s="41"/>
      <c r="AJ71" s="41"/>
      <c r="AK71" s="199"/>
      <c r="AL71" s="200"/>
      <c r="AM71" s="125"/>
      <c r="AN71" s="41"/>
      <c r="AO71" s="41"/>
      <c r="AP71" s="41"/>
      <c r="AQ71" s="41"/>
      <c r="AR71" s="199"/>
      <c r="AS71" s="200"/>
      <c r="AT71" s="125"/>
      <c r="AU71" s="41"/>
      <c r="AV71" s="41"/>
      <c r="AW71" s="41"/>
      <c r="AX71" s="41"/>
      <c r="AY71" s="199"/>
      <c r="AZ71" s="200"/>
      <c r="BA71" s="125"/>
      <c r="BB71" s="41"/>
      <c r="BC71" s="41"/>
      <c r="BD71" s="41"/>
      <c r="BE71" s="41"/>
      <c r="BF71" s="199"/>
      <c r="BG71" s="200"/>
      <c r="BH71" s="125"/>
      <c r="BI71" s="41"/>
      <c r="BJ71" s="41"/>
      <c r="BK71" s="41"/>
      <c r="BL71" s="41"/>
      <c r="BM71" s="199"/>
      <c r="BN71" s="200"/>
      <c r="BO71" s="125"/>
      <c r="BP71" s="41"/>
      <c r="BQ71" s="41"/>
      <c r="BR71" s="41"/>
      <c r="BS71" s="41"/>
      <c r="BT71" s="199"/>
      <c r="BU71" s="200"/>
      <c r="BV71" s="125"/>
      <c r="BW71" s="41"/>
      <c r="BX71" s="41"/>
      <c r="BY71" s="41"/>
      <c r="BZ71" s="41"/>
      <c r="CA71" s="199"/>
      <c r="CB71" s="200"/>
      <c r="CC71" s="125"/>
      <c r="CD71" s="41"/>
      <c r="CE71" s="41"/>
      <c r="CF71" s="41"/>
      <c r="CG71" s="41"/>
      <c r="CH71" s="199"/>
      <c r="CI71" s="200"/>
      <c r="CJ71" s="125"/>
      <c r="CK71" s="41"/>
      <c r="CL71" s="41"/>
      <c r="CM71" s="41"/>
      <c r="CN71" s="41"/>
      <c r="CO71" s="199"/>
      <c r="CP71" s="200"/>
      <c r="CQ71" s="125"/>
      <c r="CR71" s="41"/>
      <c r="CS71" s="41"/>
      <c r="CT71" s="41"/>
      <c r="CU71" s="41"/>
      <c r="CV71" s="199"/>
      <c r="CW71" s="200"/>
      <c r="CX71" s="125"/>
      <c r="CY71" s="41"/>
      <c r="CZ71" s="41"/>
      <c r="DA71" s="41"/>
      <c r="DB71" s="41"/>
      <c r="DC71" s="199"/>
      <c r="DD71" s="200"/>
      <c r="DE71" s="125"/>
      <c r="DF71" s="41"/>
      <c r="DG71" s="41"/>
      <c r="DH71" s="41"/>
      <c r="DI71" s="41"/>
      <c r="DJ71" s="199"/>
      <c r="DK71" s="200"/>
      <c r="DL71" s="125"/>
      <c r="DM71" s="41"/>
      <c r="DN71" s="41"/>
      <c r="DO71" s="41"/>
      <c r="DP71" s="41"/>
      <c r="DQ71" s="199"/>
      <c r="DR71" s="200"/>
      <c r="DS71" s="125"/>
      <c r="DT71" s="41"/>
      <c r="DU71" s="41"/>
      <c r="DV71" s="41"/>
      <c r="DW71" s="41"/>
      <c r="DX71" s="199"/>
      <c r="DY71" s="200"/>
      <c r="DZ71" s="125"/>
      <c r="EA71" s="41"/>
      <c r="EB71" s="41"/>
      <c r="EC71" s="41"/>
      <c r="ED71" s="41"/>
      <c r="EE71" s="199"/>
      <c r="EF71" s="200"/>
      <c r="EG71" s="125"/>
      <c r="EH71" s="41"/>
      <c r="EI71" s="41"/>
      <c r="EJ71" s="41"/>
      <c r="EK71" s="41"/>
      <c r="EL71" s="199"/>
      <c r="EM71" s="200"/>
      <c r="EN71" s="125"/>
      <c r="EO71" s="41"/>
      <c r="EP71" s="41"/>
      <c r="EQ71" s="41"/>
      <c r="ER71" s="41"/>
      <c r="ES71" s="199"/>
      <c r="ET71" s="200"/>
      <c r="EU71" s="125"/>
      <c r="EV71" s="41"/>
      <c r="EW71" s="41"/>
      <c r="EX71" s="41"/>
      <c r="EY71" s="41"/>
      <c r="EZ71" s="199"/>
      <c r="FA71" s="200"/>
      <c r="FB71" s="125"/>
      <c r="FC71" s="41"/>
      <c r="FD71" s="41"/>
      <c r="FE71" s="41"/>
      <c r="FF71" s="41"/>
      <c r="FG71" s="199"/>
      <c r="FH71" s="200"/>
      <c r="FI71" s="125"/>
      <c r="FJ71" s="41"/>
      <c r="FK71" s="41"/>
      <c r="FL71" s="41"/>
      <c r="FM71" s="41"/>
      <c r="FN71" s="199"/>
      <c r="FO71" s="200"/>
      <c r="FP71" s="125"/>
      <c r="FQ71" s="41"/>
      <c r="FR71" s="41"/>
      <c r="FS71" s="41"/>
      <c r="FT71" s="41"/>
      <c r="FU71" s="199"/>
      <c r="FV71" s="200"/>
      <c r="FW71" s="125"/>
      <c r="FX71" s="41"/>
      <c r="FY71" s="41"/>
      <c r="FZ71" s="41"/>
      <c r="GA71" s="41"/>
      <c r="GB71" s="199"/>
      <c r="GC71" s="200"/>
      <c r="GD71" s="125"/>
      <c r="GE71" s="41"/>
      <c r="GF71" s="41"/>
      <c r="GG71" s="41"/>
      <c r="GH71" s="41"/>
      <c r="GI71" s="199"/>
      <c r="GJ71" s="200"/>
      <c r="GK71" s="125"/>
      <c r="GL71" s="41"/>
      <c r="GM71" s="41"/>
      <c r="GN71" s="41"/>
      <c r="GO71" s="41"/>
      <c r="GP71" s="199"/>
      <c r="GQ71" s="200"/>
      <c r="GR71" s="125"/>
      <c r="GS71" s="41"/>
      <c r="GT71" s="41"/>
      <c r="GU71" s="41"/>
      <c r="GV71" s="41"/>
      <c r="GW71" s="199"/>
      <c r="GX71" s="200"/>
      <c r="GY71" s="125"/>
      <c r="GZ71" s="41"/>
      <c r="HA71" s="41"/>
      <c r="HB71" s="41"/>
      <c r="HC71" s="41"/>
      <c r="HD71" s="199"/>
      <c r="HE71" s="200"/>
    </row>
    <row r="72" spans="2:213" x14ac:dyDescent="0.3">
      <c r="B72" s="8">
        <v>106566</v>
      </c>
      <c r="C72" s="9">
        <v>35</v>
      </c>
      <c r="D72" s="10" t="s">
        <v>91</v>
      </c>
      <c r="E72" s="10" t="str">
        <f t="shared" si="9"/>
        <v>106566x</v>
      </c>
      <c r="F72" s="193" t="s">
        <v>12</v>
      </c>
      <c r="G72" s="184" t="s">
        <v>8</v>
      </c>
      <c r="H72" s="146" t="s">
        <v>9</v>
      </c>
      <c r="I72" s="157" t="s">
        <v>359</v>
      </c>
      <c r="J72" s="158" t="s">
        <v>360</v>
      </c>
      <c r="K72" s="125" t="s">
        <v>459</v>
      </c>
      <c r="L72" s="41" t="s">
        <v>459</v>
      </c>
      <c r="M72" s="41" t="s">
        <v>459</v>
      </c>
      <c r="N72" s="41" t="s">
        <v>459</v>
      </c>
      <c r="O72" s="41" t="s">
        <v>459</v>
      </c>
      <c r="P72" s="199"/>
      <c r="Q72" s="200"/>
      <c r="R72" s="125" t="s">
        <v>459</v>
      </c>
      <c r="S72" s="41" t="s">
        <v>459</v>
      </c>
      <c r="T72" s="41" t="s">
        <v>459</v>
      </c>
      <c r="U72" s="41" t="s">
        <v>459</v>
      </c>
      <c r="V72" s="41" t="s">
        <v>459</v>
      </c>
      <c r="W72" s="199"/>
      <c r="X72" s="200"/>
      <c r="Y72" s="125"/>
      <c r="Z72" s="41"/>
      <c r="AA72" s="41"/>
      <c r="AB72" s="41"/>
      <c r="AC72" s="41"/>
      <c r="AD72" s="199"/>
      <c r="AE72" s="200"/>
      <c r="AF72" s="125"/>
      <c r="AG72" s="41"/>
      <c r="AH72" s="41"/>
      <c r="AI72" s="41"/>
      <c r="AJ72" s="41"/>
      <c r="AK72" s="199"/>
      <c r="AL72" s="200"/>
      <c r="AM72" s="125"/>
      <c r="AN72" s="41"/>
      <c r="AO72" s="41"/>
      <c r="AP72" s="41"/>
      <c r="AQ72" s="41"/>
      <c r="AR72" s="199"/>
      <c r="AS72" s="200"/>
      <c r="AT72" s="125"/>
      <c r="AU72" s="41"/>
      <c r="AV72" s="41"/>
      <c r="AW72" s="41"/>
      <c r="AX72" s="41"/>
      <c r="AY72" s="199"/>
      <c r="AZ72" s="200"/>
      <c r="BA72" s="125"/>
      <c r="BB72" s="41"/>
      <c r="BC72" s="41"/>
      <c r="BD72" s="41"/>
      <c r="BE72" s="41"/>
      <c r="BF72" s="199"/>
      <c r="BG72" s="200"/>
      <c r="BH72" s="125"/>
      <c r="BI72" s="41"/>
      <c r="BJ72" s="41"/>
      <c r="BK72" s="41"/>
      <c r="BL72" s="41"/>
      <c r="BM72" s="199"/>
      <c r="BN72" s="200"/>
      <c r="BO72" s="125"/>
      <c r="BP72" s="41"/>
      <c r="BQ72" s="41"/>
      <c r="BR72" s="41"/>
      <c r="BS72" s="41"/>
      <c r="BT72" s="199"/>
      <c r="BU72" s="200"/>
      <c r="BV72" s="125"/>
      <c r="BW72" s="41"/>
      <c r="BX72" s="41"/>
      <c r="BY72" s="41"/>
      <c r="BZ72" s="41"/>
      <c r="CA72" s="199"/>
      <c r="CB72" s="200"/>
      <c r="CC72" s="125"/>
      <c r="CD72" s="41"/>
      <c r="CE72" s="41"/>
      <c r="CF72" s="41"/>
      <c r="CG72" s="41"/>
      <c r="CH72" s="199"/>
      <c r="CI72" s="200"/>
      <c r="CJ72" s="125"/>
      <c r="CK72" s="41"/>
      <c r="CL72" s="41"/>
      <c r="CM72" s="41"/>
      <c r="CN72" s="41"/>
      <c r="CO72" s="199"/>
      <c r="CP72" s="200"/>
      <c r="CQ72" s="125"/>
      <c r="CR72" s="41"/>
      <c r="CS72" s="41"/>
      <c r="CT72" s="41"/>
      <c r="CU72" s="41"/>
      <c r="CV72" s="199"/>
      <c r="CW72" s="200"/>
      <c r="CX72" s="125"/>
      <c r="CY72" s="41"/>
      <c r="CZ72" s="41"/>
      <c r="DA72" s="41"/>
      <c r="DB72" s="41"/>
      <c r="DC72" s="199"/>
      <c r="DD72" s="200"/>
      <c r="DE72" s="125"/>
      <c r="DF72" s="41"/>
      <c r="DG72" s="41"/>
      <c r="DH72" s="41"/>
      <c r="DI72" s="41"/>
      <c r="DJ72" s="199"/>
      <c r="DK72" s="200"/>
      <c r="DL72" s="125"/>
      <c r="DM72" s="41"/>
      <c r="DN72" s="41"/>
      <c r="DO72" s="41"/>
      <c r="DP72" s="41"/>
      <c r="DQ72" s="199"/>
      <c r="DR72" s="200"/>
      <c r="DS72" s="125"/>
      <c r="DT72" s="41"/>
      <c r="DU72" s="41"/>
      <c r="DV72" s="41"/>
      <c r="DW72" s="41"/>
      <c r="DX72" s="199"/>
      <c r="DY72" s="200"/>
      <c r="DZ72" s="125"/>
      <c r="EA72" s="41"/>
      <c r="EB72" s="41"/>
      <c r="EC72" s="41"/>
      <c r="ED72" s="41"/>
      <c r="EE72" s="199"/>
      <c r="EF72" s="200"/>
      <c r="EG72" s="125"/>
      <c r="EH72" s="41"/>
      <c r="EI72" s="41"/>
      <c r="EJ72" s="41"/>
      <c r="EK72" s="41"/>
      <c r="EL72" s="199"/>
      <c r="EM72" s="200"/>
      <c r="EN72" s="125"/>
      <c r="EO72" s="41"/>
      <c r="EP72" s="41"/>
      <c r="EQ72" s="41"/>
      <c r="ER72" s="41"/>
      <c r="ES72" s="199"/>
      <c r="ET72" s="200"/>
      <c r="EU72" s="125"/>
      <c r="EV72" s="41"/>
      <c r="EW72" s="41"/>
      <c r="EX72" s="41"/>
      <c r="EY72" s="41"/>
      <c r="EZ72" s="199"/>
      <c r="FA72" s="200"/>
      <c r="FB72" s="125"/>
      <c r="FC72" s="41"/>
      <c r="FD72" s="41"/>
      <c r="FE72" s="41"/>
      <c r="FF72" s="41"/>
      <c r="FG72" s="199"/>
      <c r="FH72" s="200"/>
      <c r="FI72" s="125"/>
      <c r="FJ72" s="41"/>
      <c r="FK72" s="41"/>
      <c r="FL72" s="41"/>
      <c r="FM72" s="41"/>
      <c r="FN72" s="199"/>
      <c r="FO72" s="200"/>
      <c r="FP72" s="125"/>
      <c r="FQ72" s="41"/>
      <c r="FR72" s="41"/>
      <c r="FS72" s="41"/>
      <c r="FT72" s="41"/>
      <c r="FU72" s="199"/>
      <c r="FV72" s="200"/>
      <c r="FW72" s="125"/>
      <c r="FX72" s="41"/>
      <c r="FY72" s="41"/>
      <c r="FZ72" s="41"/>
      <c r="GA72" s="41"/>
      <c r="GB72" s="199"/>
      <c r="GC72" s="200"/>
      <c r="GD72" s="125"/>
      <c r="GE72" s="41"/>
      <c r="GF72" s="41"/>
      <c r="GG72" s="41"/>
      <c r="GH72" s="41"/>
      <c r="GI72" s="199"/>
      <c r="GJ72" s="200"/>
      <c r="GK72" s="125"/>
      <c r="GL72" s="41"/>
      <c r="GM72" s="41"/>
      <c r="GN72" s="41"/>
      <c r="GO72" s="41"/>
      <c r="GP72" s="199"/>
      <c r="GQ72" s="200"/>
      <c r="GR72" s="125"/>
      <c r="GS72" s="41"/>
      <c r="GT72" s="41"/>
      <c r="GU72" s="41"/>
      <c r="GV72" s="41"/>
      <c r="GW72" s="199"/>
      <c r="GX72" s="200"/>
      <c r="GY72" s="125"/>
      <c r="GZ72" s="41"/>
      <c r="HA72" s="41"/>
      <c r="HB72" s="41"/>
      <c r="HC72" s="41"/>
      <c r="HD72" s="199"/>
      <c r="HE72" s="200"/>
    </row>
    <row r="73" spans="2:213" x14ac:dyDescent="0.3">
      <c r="B73" s="8">
        <v>60962</v>
      </c>
      <c r="C73" s="9">
        <v>35</v>
      </c>
      <c r="D73" s="10" t="str">
        <f>IF(G73="","","X")</f>
        <v>X</v>
      </c>
      <c r="E73" s="11" t="str">
        <f t="shared" si="9"/>
        <v>60962X</v>
      </c>
      <c r="F73" s="193" t="s">
        <v>12</v>
      </c>
      <c r="G73" s="188" t="s">
        <v>8</v>
      </c>
      <c r="H73" s="146" t="s">
        <v>9</v>
      </c>
      <c r="I73" s="149" t="s">
        <v>371</v>
      </c>
      <c r="J73" s="150" t="s">
        <v>372</v>
      </c>
      <c r="K73" s="125" t="s">
        <v>459</v>
      </c>
      <c r="L73" s="41" t="s">
        <v>459</v>
      </c>
      <c r="M73" s="41" t="s">
        <v>459</v>
      </c>
      <c r="N73" s="41" t="s">
        <v>459</v>
      </c>
      <c r="O73" s="41" t="s">
        <v>459</v>
      </c>
      <c r="P73" s="199"/>
      <c r="Q73" s="200"/>
      <c r="R73" s="125" t="s">
        <v>459</v>
      </c>
      <c r="S73" s="41" t="s">
        <v>459</v>
      </c>
      <c r="T73" s="41" t="s">
        <v>459</v>
      </c>
      <c r="U73" s="41" t="s">
        <v>459</v>
      </c>
      <c r="V73" s="41" t="s">
        <v>459</v>
      </c>
      <c r="W73" s="199"/>
      <c r="X73" s="200"/>
      <c r="Y73" s="125"/>
      <c r="Z73" s="41"/>
      <c r="AA73" s="41"/>
      <c r="AB73" s="41"/>
      <c r="AC73" s="41"/>
      <c r="AD73" s="199"/>
      <c r="AE73" s="200"/>
      <c r="AF73" s="125"/>
      <c r="AG73" s="41"/>
      <c r="AH73" s="41"/>
      <c r="AI73" s="41"/>
      <c r="AJ73" s="41"/>
      <c r="AK73" s="199"/>
      <c r="AL73" s="200"/>
      <c r="AM73" s="125"/>
      <c r="AN73" s="41"/>
      <c r="AO73" s="41"/>
      <c r="AP73" s="41"/>
      <c r="AQ73" s="41"/>
      <c r="AR73" s="199"/>
      <c r="AS73" s="200"/>
      <c r="AT73" s="125"/>
      <c r="AU73" s="41"/>
      <c r="AV73" s="41"/>
      <c r="AW73" s="41"/>
      <c r="AX73" s="41"/>
      <c r="AY73" s="199"/>
      <c r="AZ73" s="200"/>
      <c r="BA73" s="125"/>
      <c r="BB73" s="41"/>
      <c r="BC73" s="41"/>
      <c r="BD73" s="41"/>
      <c r="BE73" s="41"/>
      <c r="BF73" s="199"/>
      <c r="BG73" s="200"/>
      <c r="BH73" s="125"/>
      <c r="BI73" s="41"/>
      <c r="BJ73" s="41"/>
      <c r="BK73" s="41"/>
      <c r="BL73" s="41"/>
      <c r="BM73" s="199"/>
      <c r="BN73" s="200"/>
      <c r="BO73" s="125"/>
      <c r="BP73" s="41"/>
      <c r="BQ73" s="41"/>
      <c r="BR73" s="41"/>
      <c r="BS73" s="41"/>
      <c r="BT73" s="199"/>
      <c r="BU73" s="200"/>
      <c r="BV73" s="125"/>
      <c r="BW73" s="41"/>
      <c r="BX73" s="41"/>
      <c r="BY73" s="41"/>
      <c r="BZ73" s="41"/>
      <c r="CA73" s="199"/>
      <c r="CB73" s="200"/>
      <c r="CC73" s="125"/>
      <c r="CD73" s="41"/>
      <c r="CE73" s="41"/>
      <c r="CF73" s="41"/>
      <c r="CG73" s="41"/>
      <c r="CH73" s="199"/>
      <c r="CI73" s="200"/>
      <c r="CJ73" s="125"/>
      <c r="CK73" s="41"/>
      <c r="CL73" s="41"/>
      <c r="CM73" s="41"/>
      <c r="CN73" s="41"/>
      <c r="CO73" s="199"/>
      <c r="CP73" s="200"/>
      <c r="CQ73" s="125"/>
      <c r="CR73" s="41"/>
      <c r="CS73" s="41"/>
      <c r="CT73" s="41"/>
      <c r="CU73" s="41"/>
      <c r="CV73" s="199"/>
      <c r="CW73" s="200"/>
      <c r="CX73" s="125"/>
      <c r="CY73" s="41"/>
      <c r="CZ73" s="41"/>
      <c r="DA73" s="41"/>
      <c r="DB73" s="41"/>
      <c r="DC73" s="199"/>
      <c r="DD73" s="200"/>
      <c r="DE73" s="125"/>
      <c r="DF73" s="41"/>
      <c r="DG73" s="41"/>
      <c r="DH73" s="41"/>
      <c r="DI73" s="41"/>
      <c r="DJ73" s="199"/>
      <c r="DK73" s="200"/>
      <c r="DL73" s="125"/>
      <c r="DM73" s="41"/>
      <c r="DN73" s="41"/>
      <c r="DO73" s="41"/>
      <c r="DP73" s="41"/>
      <c r="DQ73" s="199"/>
      <c r="DR73" s="200"/>
      <c r="DS73" s="125"/>
      <c r="DT73" s="41"/>
      <c r="DU73" s="41"/>
      <c r="DV73" s="41"/>
      <c r="DW73" s="41"/>
      <c r="DX73" s="199"/>
      <c r="DY73" s="200"/>
      <c r="DZ73" s="125"/>
      <c r="EA73" s="41"/>
      <c r="EB73" s="41"/>
      <c r="EC73" s="41"/>
      <c r="ED73" s="41"/>
      <c r="EE73" s="199"/>
      <c r="EF73" s="200"/>
      <c r="EG73" s="125"/>
      <c r="EH73" s="41"/>
      <c r="EI73" s="41"/>
      <c r="EJ73" s="41"/>
      <c r="EK73" s="41"/>
      <c r="EL73" s="199"/>
      <c r="EM73" s="200"/>
      <c r="EN73" s="125"/>
      <c r="EO73" s="41"/>
      <c r="EP73" s="41"/>
      <c r="EQ73" s="41"/>
      <c r="ER73" s="41"/>
      <c r="ES73" s="199"/>
      <c r="ET73" s="200"/>
      <c r="EU73" s="125"/>
      <c r="EV73" s="41"/>
      <c r="EW73" s="41"/>
      <c r="EX73" s="41"/>
      <c r="EY73" s="41"/>
      <c r="EZ73" s="199"/>
      <c r="FA73" s="200"/>
      <c r="FB73" s="125"/>
      <c r="FC73" s="41"/>
      <c r="FD73" s="41"/>
      <c r="FE73" s="41"/>
      <c r="FF73" s="41"/>
      <c r="FG73" s="199"/>
      <c r="FH73" s="200"/>
      <c r="FI73" s="125"/>
      <c r="FJ73" s="41"/>
      <c r="FK73" s="41"/>
      <c r="FL73" s="41"/>
      <c r="FM73" s="41"/>
      <c r="FN73" s="199"/>
      <c r="FO73" s="200"/>
      <c r="FP73" s="125"/>
      <c r="FQ73" s="41"/>
      <c r="FR73" s="41"/>
      <c r="FS73" s="41"/>
      <c r="FT73" s="41"/>
      <c r="FU73" s="199"/>
      <c r="FV73" s="200"/>
      <c r="FW73" s="125"/>
      <c r="FX73" s="41"/>
      <c r="FY73" s="41"/>
      <c r="FZ73" s="41"/>
      <c r="GA73" s="41"/>
      <c r="GB73" s="199"/>
      <c r="GC73" s="200"/>
      <c r="GD73" s="125"/>
      <c r="GE73" s="41"/>
      <c r="GF73" s="41"/>
      <c r="GG73" s="41"/>
      <c r="GH73" s="41"/>
      <c r="GI73" s="199"/>
      <c r="GJ73" s="200"/>
      <c r="GK73" s="125"/>
      <c r="GL73" s="41"/>
      <c r="GM73" s="41"/>
      <c r="GN73" s="41"/>
      <c r="GO73" s="41"/>
      <c r="GP73" s="199"/>
      <c r="GQ73" s="200"/>
      <c r="GR73" s="125"/>
      <c r="GS73" s="41"/>
      <c r="GT73" s="41"/>
      <c r="GU73" s="41"/>
      <c r="GV73" s="41"/>
      <c r="GW73" s="199"/>
      <c r="GX73" s="200"/>
      <c r="GY73" s="125"/>
      <c r="GZ73" s="41"/>
      <c r="HA73" s="41"/>
      <c r="HB73" s="41"/>
      <c r="HC73" s="41"/>
      <c r="HD73" s="199"/>
      <c r="HE73" s="200"/>
    </row>
    <row r="74" spans="2:213" x14ac:dyDescent="0.3">
      <c r="B74" s="8">
        <v>35508</v>
      </c>
      <c r="C74" s="9">
        <v>28</v>
      </c>
      <c r="D74" s="10" t="str">
        <f>IF(G74="","","X")</f>
        <v>X</v>
      </c>
      <c r="E74" s="10" t="str">
        <f t="shared" si="9"/>
        <v>35508X</v>
      </c>
      <c r="F74" s="193" t="s">
        <v>12</v>
      </c>
      <c r="G74" s="183" t="s">
        <v>79</v>
      </c>
      <c r="H74" s="146" t="s">
        <v>113</v>
      </c>
      <c r="I74" s="157" t="s">
        <v>134</v>
      </c>
      <c r="J74" s="158" t="s">
        <v>135</v>
      </c>
      <c r="K74" s="125" t="s">
        <v>459</v>
      </c>
      <c r="L74" s="41" t="s">
        <v>459</v>
      </c>
      <c r="M74" s="41" t="s">
        <v>459</v>
      </c>
      <c r="N74" s="41" t="s">
        <v>459</v>
      </c>
      <c r="O74" s="41" t="s">
        <v>459</v>
      </c>
      <c r="P74" s="199"/>
      <c r="Q74" s="200"/>
      <c r="R74" s="125" t="s">
        <v>459</v>
      </c>
      <c r="S74" s="41" t="s">
        <v>459</v>
      </c>
      <c r="T74" s="41" t="s">
        <v>459</v>
      </c>
      <c r="U74" s="41" t="s">
        <v>459</v>
      </c>
      <c r="V74" s="41" t="s">
        <v>459</v>
      </c>
      <c r="W74" s="199"/>
      <c r="X74" s="200"/>
      <c r="Y74" s="125"/>
      <c r="Z74" s="41"/>
      <c r="AA74" s="41"/>
      <c r="AB74" s="41"/>
      <c r="AC74" s="41"/>
      <c r="AD74" s="199"/>
      <c r="AE74" s="200"/>
      <c r="AF74" s="125"/>
      <c r="AG74" s="41"/>
      <c r="AH74" s="41"/>
      <c r="AI74" s="41"/>
      <c r="AJ74" s="41"/>
      <c r="AK74" s="199"/>
      <c r="AL74" s="200"/>
      <c r="AM74" s="125"/>
      <c r="AN74" s="41"/>
      <c r="AO74" s="41"/>
      <c r="AP74" s="41"/>
      <c r="AQ74" s="41"/>
      <c r="AR74" s="199"/>
      <c r="AS74" s="200"/>
      <c r="AT74" s="125"/>
      <c r="AU74" s="41"/>
      <c r="AV74" s="41"/>
      <c r="AW74" s="41"/>
      <c r="AX74" s="41"/>
      <c r="AY74" s="199"/>
      <c r="AZ74" s="200"/>
      <c r="BA74" s="125"/>
      <c r="BB74" s="41"/>
      <c r="BC74" s="41"/>
      <c r="BD74" s="41"/>
      <c r="BE74" s="41"/>
      <c r="BF74" s="199"/>
      <c r="BG74" s="200"/>
      <c r="BH74" s="125"/>
      <c r="BI74" s="41"/>
      <c r="BJ74" s="41"/>
      <c r="BK74" s="41"/>
      <c r="BL74" s="41"/>
      <c r="BM74" s="199"/>
      <c r="BN74" s="200"/>
      <c r="BO74" s="125"/>
      <c r="BP74" s="41"/>
      <c r="BQ74" s="41"/>
      <c r="BR74" s="41"/>
      <c r="BS74" s="41"/>
      <c r="BT74" s="199"/>
      <c r="BU74" s="200"/>
      <c r="BV74" s="125"/>
      <c r="BW74" s="41"/>
      <c r="BX74" s="41"/>
      <c r="BY74" s="41"/>
      <c r="BZ74" s="41"/>
      <c r="CA74" s="199"/>
      <c r="CB74" s="200"/>
      <c r="CC74" s="125"/>
      <c r="CD74" s="41"/>
      <c r="CE74" s="41"/>
      <c r="CF74" s="41"/>
      <c r="CG74" s="41"/>
      <c r="CH74" s="199"/>
      <c r="CI74" s="200"/>
      <c r="CJ74" s="125"/>
      <c r="CK74" s="41"/>
      <c r="CL74" s="41"/>
      <c r="CM74" s="41"/>
      <c r="CN74" s="41"/>
      <c r="CO74" s="199"/>
      <c r="CP74" s="200"/>
      <c r="CQ74" s="125"/>
      <c r="CR74" s="41"/>
      <c r="CS74" s="41"/>
      <c r="CT74" s="41"/>
      <c r="CU74" s="41"/>
      <c r="CV74" s="199"/>
      <c r="CW74" s="200"/>
      <c r="CX74" s="125"/>
      <c r="CY74" s="41"/>
      <c r="CZ74" s="41"/>
      <c r="DA74" s="41"/>
      <c r="DB74" s="41"/>
      <c r="DC74" s="199"/>
      <c r="DD74" s="200"/>
      <c r="DE74" s="125"/>
      <c r="DF74" s="41"/>
      <c r="DG74" s="41"/>
      <c r="DH74" s="41"/>
      <c r="DI74" s="41"/>
      <c r="DJ74" s="199"/>
      <c r="DK74" s="200"/>
      <c r="DL74" s="125"/>
      <c r="DM74" s="41"/>
      <c r="DN74" s="41"/>
      <c r="DO74" s="41"/>
      <c r="DP74" s="41"/>
      <c r="DQ74" s="199"/>
      <c r="DR74" s="200"/>
      <c r="DS74" s="125"/>
      <c r="DT74" s="41"/>
      <c r="DU74" s="41"/>
      <c r="DV74" s="41"/>
      <c r="DW74" s="41"/>
      <c r="DX74" s="199"/>
      <c r="DY74" s="200"/>
      <c r="DZ74" s="125"/>
      <c r="EA74" s="41"/>
      <c r="EB74" s="41"/>
      <c r="EC74" s="41"/>
      <c r="ED74" s="41"/>
      <c r="EE74" s="199"/>
      <c r="EF74" s="200"/>
      <c r="EG74" s="125"/>
      <c r="EH74" s="41"/>
      <c r="EI74" s="41"/>
      <c r="EJ74" s="41"/>
      <c r="EK74" s="41"/>
      <c r="EL74" s="199"/>
      <c r="EM74" s="200"/>
      <c r="EN74" s="125"/>
      <c r="EO74" s="41"/>
      <c r="EP74" s="41"/>
      <c r="EQ74" s="41"/>
      <c r="ER74" s="41"/>
      <c r="ES74" s="199"/>
      <c r="ET74" s="200"/>
      <c r="EU74" s="125"/>
      <c r="EV74" s="41"/>
      <c r="EW74" s="41"/>
      <c r="EX74" s="41"/>
      <c r="EY74" s="41"/>
      <c r="EZ74" s="199"/>
      <c r="FA74" s="200"/>
      <c r="FB74" s="125"/>
      <c r="FC74" s="41"/>
      <c r="FD74" s="41"/>
      <c r="FE74" s="41"/>
      <c r="FF74" s="41"/>
      <c r="FG74" s="199"/>
      <c r="FH74" s="200"/>
      <c r="FI74" s="125"/>
      <c r="FJ74" s="41"/>
      <c r="FK74" s="41"/>
      <c r="FL74" s="41"/>
      <c r="FM74" s="41"/>
      <c r="FN74" s="199"/>
      <c r="FO74" s="200"/>
      <c r="FP74" s="125"/>
      <c r="FQ74" s="41"/>
      <c r="FR74" s="41"/>
      <c r="FS74" s="41"/>
      <c r="FT74" s="41"/>
      <c r="FU74" s="199"/>
      <c r="FV74" s="200"/>
      <c r="FW74" s="125"/>
      <c r="FX74" s="41"/>
      <c r="FY74" s="41"/>
      <c r="FZ74" s="41"/>
      <c r="GA74" s="41"/>
      <c r="GB74" s="199"/>
      <c r="GC74" s="200"/>
      <c r="GD74" s="125"/>
      <c r="GE74" s="41"/>
      <c r="GF74" s="41"/>
      <c r="GG74" s="41"/>
      <c r="GH74" s="41"/>
      <c r="GI74" s="199"/>
      <c r="GJ74" s="200"/>
      <c r="GK74" s="125"/>
      <c r="GL74" s="41"/>
      <c r="GM74" s="41"/>
      <c r="GN74" s="41"/>
      <c r="GO74" s="41"/>
      <c r="GP74" s="199"/>
      <c r="GQ74" s="200"/>
      <c r="GR74" s="125"/>
      <c r="GS74" s="41"/>
      <c r="GT74" s="41"/>
      <c r="GU74" s="41"/>
      <c r="GV74" s="41"/>
      <c r="GW74" s="199"/>
      <c r="GX74" s="200"/>
      <c r="GY74" s="125"/>
      <c r="GZ74" s="41"/>
      <c r="HA74" s="41"/>
      <c r="HB74" s="41"/>
      <c r="HC74" s="41"/>
      <c r="HD74" s="199"/>
      <c r="HE74" s="200"/>
    </row>
    <row r="75" spans="2:213" x14ac:dyDescent="0.3">
      <c r="B75" s="45">
        <v>107227</v>
      </c>
      <c r="C75" s="9">
        <v>35</v>
      </c>
      <c r="D75" s="46" t="s">
        <v>19</v>
      </c>
      <c r="E75" s="47" t="str">
        <f t="shared" si="9"/>
        <v>107227X</v>
      </c>
      <c r="F75" s="193" t="s">
        <v>12</v>
      </c>
      <c r="G75" s="183" t="s">
        <v>79</v>
      </c>
      <c r="H75" s="146" t="s">
        <v>88</v>
      </c>
      <c r="I75" s="153" t="s">
        <v>289</v>
      </c>
      <c r="J75" s="154" t="s">
        <v>232</v>
      </c>
      <c r="K75" s="125" t="s">
        <v>459</v>
      </c>
      <c r="L75" s="41" t="s">
        <v>459</v>
      </c>
      <c r="M75" s="41" t="s">
        <v>459</v>
      </c>
      <c r="N75" s="41" t="s">
        <v>459</v>
      </c>
      <c r="O75" s="41" t="s">
        <v>459</v>
      </c>
      <c r="P75" s="199"/>
      <c r="Q75" s="200"/>
      <c r="R75" s="125" t="s">
        <v>459</v>
      </c>
      <c r="S75" s="41" t="s">
        <v>459</v>
      </c>
      <c r="T75" s="41" t="s">
        <v>459</v>
      </c>
      <c r="U75" s="41" t="s">
        <v>459</v>
      </c>
      <c r="V75" s="41" t="s">
        <v>459</v>
      </c>
      <c r="W75" s="199"/>
      <c r="X75" s="200"/>
      <c r="Y75" s="125"/>
      <c r="Z75" s="41"/>
      <c r="AA75" s="41"/>
      <c r="AB75" s="41"/>
      <c r="AC75" s="41"/>
      <c r="AD75" s="199"/>
      <c r="AE75" s="200"/>
      <c r="AF75" s="125"/>
      <c r="AG75" s="41"/>
      <c r="AH75" s="41"/>
      <c r="AI75" s="41"/>
      <c r="AJ75" s="41"/>
      <c r="AK75" s="199"/>
      <c r="AL75" s="200"/>
      <c r="AM75" s="125"/>
      <c r="AN75" s="41"/>
      <c r="AO75" s="41"/>
      <c r="AP75" s="41"/>
      <c r="AQ75" s="41"/>
      <c r="AR75" s="199"/>
      <c r="AS75" s="200"/>
      <c r="AT75" s="125"/>
      <c r="AU75" s="41"/>
      <c r="AV75" s="41"/>
      <c r="AW75" s="41"/>
      <c r="AX75" s="41"/>
      <c r="AY75" s="199"/>
      <c r="AZ75" s="200"/>
      <c r="BA75" s="125"/>
      <c r="BB75" s="41"/>
      <c r="BC75" s="41"/>
      <c r="BD75" s="41"/>
      <c r="BE75" s="41"/>
      <c r="BF75" s="199"/>
      <c r="BG75" s="200"/>
      <c r="BH75" s="125"/>
      <c r="BI75" s="41"/>
      <c r="BJ75" s="41"/>
      <c r="BK75" s="41"/>
      <c r="BL75" s="41"/>
      <c r="BM75" s="199"/>
      <c r="BN75" s="200"/>
      <c r="BO75" s="125"/>
      <c r="BP75" s="41"/>
      <c r="BQ75" s="41"/>
      <c r="BR75" s="41"/>
      <c r="BS75" s="41"/>
      <c r="BT75" s="199"/>
      <c r="BU75" s="200"/>
      <c r="BV75" s="125"/>
      <c r="BW75" s="41"/>
      <c r="BX75" s="41"/>
      <c r="BY75" s="41"/>
      <c r="BZ75" s="41"/>
      <c r="CA75" s="199"/>
      <c r="CB75" s="200"/>
      <c r="CC75" s="125"/>
      <c r="CD75" s="41"/>
      <c r="CE75" s="41"/>
      <c r="CF75" s="41"/>
      <c r="CG75" s="41"/>
      <c r="CH75" s="199"/>
      <c r="CI75" s="200"/>
      <c r="CJ75" s="125"/>
      <c r="CK75" s="41"/>
      <c r="CL75" s="41"/>
      <c r="CM75" s="41"/>
      <c r="CN75" s="41"/>
      <c r="CO75" s="199"/>
      <c r="CP75" s="200"/>
      <c r="CQ75" s="125"/>
      <c r="CR75" s="41"/>
      <c r="CS75" s="41"/>
      <c r="CT75" s="41"/>
      <c r="CU75" s="41"/>
      <c r="CV75" s="199"/>
      <c r="CW75" s="200"/>
      <c r="CX75" s="125"/>
      <c r="CY75" s="41"/>
      <c r="CZ75" s="41"/>
      <c r="DA75" s="41"/>
      <c r="DB75" s="41"/>
      <c r="DC75" s="199"/>
      <c r="DD75" s="200"/>
      <c r="DE75" s="125"/>
      <c r="DF75" s="41"/>
      <c r="DG75" s="41"/>
      <c r="DH75" s="41"/>
      <c r="DI75" s="41"/>
      <c r="DJ75" s="199"/>
      <c r="DK75" s="200"/>
      <c r="DL75" s="125"/>
      <c r="DM75" s="41"/>
      <c r="DN75" s="41"/>
      <c r="DO75" s="41"/>
      <c r="DP75" s="41"/>
      <c r="DQ75" s="199"/>
      <c r="DR75" s="200"/>
      <c r="DS75" s="125"/>
      <c r="DT75" s="41"/>
      <c r="DU75" s="41"/>
      <c r="DV75" s="41"/>
      <c r="DW75" s="41"/>
      <c r="DX75" s="199"/>
      <c r="DY75" s="200"/>
      <c r="DZ75" s="125"/>
      <c r="EA75" s="41"/>
      <c r="EB75" s="41"/>
      <c r="EC75" s="41"/>
      <c r="ED75" s="41"/>
      <c r="EE75" s="199"/>
      <c r="EF75" s="200"/>
      <c r="EG75" s="125"/>
      <c r="EH75" s="41"/>
      <c r="EI75" s="41"/>
      <c r="EJ75" s="41"/>
      <c r="EK75" s="41"/>
      <c r="EL75" s="199"/>
      <c r="EM75" s="200"/>
      <c r="EN75" s="125"/>
      <c r="EO75" s="41"/>
      <c r="EP75" s="41"/>
      <c r="EQ75" s="41"/>
      <c r="ER75" s="41"/>
      <c r="ES75" s="199"/>
      <c r="ET75" s="200"/>
      <c r="EU75" s="125"/>
      <c r="EV75" s="41"/>
      <c r="EW75" s="41"/>
      <c r="EX75" s="41"/>
      <c r="EY75" s="41"/>
      <c r="EZ75" s="199"/>
      <c r="FA75" s="200"/>
      <c r="FB75" s="125"/>
      <c r="FC75" s="41"/>
      <c r="FD75" s="41"/>
      <c r="FE75" s="41"/>
      <c r="FF75" s="41"/>
      <c r="FG75" s="199"/>
      <c r="FH75" s="200"/>
      <c r="FI75" s="125"/>
      <c r="FJ75" s="41"/>
      <c r="FK75" s="41"/>
      <c r="FL75" s="41"/>
      <c r="FM75" s="41"/>
      <c r="FN75" s="199"/>
      <c r="FO75" s="200"/>
      <c r="FP75" s="125"/>
      <c r="FQ75" s="41"/>
      <c r="FR75" s="41"/>
      <c r="FS75" s="41"/>
      <c r="FT75" s="41"/>
      <c r="FU75" s="199"/>
      <c r="FV75" s="200"/>
      <c r="FW75" s="125"/>
      <c r="FX75" s="41"/>
      <c r="FY75" s="41"/>
      <c r="FZ75" s="41"/>
      <c r="GA75" s="41"/>
      <c r="GB75" s="199"/>
      <c r="GC75" s="200"/>
      <c r="GD75" s="125"/>
      <c r="GE75" s="41"/>
      <c r="GF75" s="41"/>
      <c r="GG75" s="41"/>
      <c r="GH75" s="41"/>
      <c r="GI75" s="199"/>
      <c r="GJ75" s="200"/>
      <c r="GK75" s="125"/>
      <c r="GL75" s="41"/>
      <c r="GM75" s="41"/>
      <c r="GN75" s="41"/>
      <c r="GO75" s="41"/>
      <c r="GP75" s="199"/>
      <c r="GQ75" s="200"/>
      <c r="GR75" s="125"/>
      <c r="GS75" s="41"/>
      <c r="GT75" s="41"/>
      <c r="GU75" s="41"/>
      <c r="GV75" s="41"/>
      <c r="GW75" s="199"/>
      <c r="GX75" s="200"/>
      <c r="GY75" s="125"/>
      <c r="GZ75" s="41"/>
      <c r="HA75" s="41"/>
      <c r="HB75" s="41"/>
      <c r="HC75" s="41"/>
      <c r="HD75" s="199"/>
      <c r="HE75" s="200"/>
    </row>
    <row r="76" spans="2:213" x14ac:dyDescent="0.3">
      <c r="B76" s="38">
        <v>47008</v>
      </c>
      <c r="C76" s="9">
        <v>35</v>
      </c>
      <c r="D76" s="10" t="str">
        <f t="shared" ref="D76:D83" si="10">IF(G76="","","X")</f>
        <v>X</v>
      </c>
      <c r="E76" s="10" t="str">
        <f t="shared" si="9"/>
        <v>47008X</v>
      </c>
      <c r="F76" s="193" t="s">
        <v>12</v>
      </c>
      <c r="G76" s="187" t="s">
        <v>29</v>
      </c>
      <c r="H76" s="146" t="s">
        <v>9</v>
      </c>
      <c r="I76" s="149" t="s">
        <v>253</v>
      </c>
      <c r="J76" s="150" t="s">
        <v>254</v>
      </c>
      <c r="K76" s="125" t="s">
        <v>459</v>
      </c>
      <c r="L76" s="41" t="s">
        <v>459</v>
      </c>
      <c r="M76" s="41" t="s">
        <v>459</v>
      </c>
      <c r="N76" s="41" t="s">
        <v>459</v>
      </c>
      <c r="O76" s="41" t="s">
        <v>459</v>
      </c>
      <c r="P76" s="199"/>
      <c r="Q76" s="200"/>
      <c r="R76" s="125" t="s">
        <v>459</v>
      </c>
      <c r="S76" s="41" t="s">
        <v>459</v>
      </c>
      <c r="T76" s="41" t="s">
        <v>459</v>
      </c>
      <c r="U76" s="41" t="s">
        <v>459</v>
      </c>
      <c r="V76" s="41" t="s">
        <v>459</v>
      </c>
      <c r="W76" s="199"/>
      <c r="X76" s="200"/>
      <c r="Y76" s="125"/>
      <c r="Z76" s="41"/>
      <c r="AA76" s="41"/>
      <c r="AB76" s="41"/>
      <c r="AC76" s="41"/>
      <c r="AD76" s="199"/>
      <c r="AE76" s="200"/>
      <c r="AF76" s="125"/>
      <c r="AG76" s="41"/>
      <c r="AH76" s="41"/>
      <c r="AI76" s="41"/>
      <c r="AJ76" s="41"/>
      <c r="AK76" s="199"/>
      <c r="AL76" s="200"/>
      <c r="AM76" s="125"/>
      <c r="AN76" s="41"/>
      <c r="AO76" s="41"/>
      <c r="AP76" s="41"/>
      <c r="AQ76" s="41"/>
      <c r="AR76" s="199"/>
      <c r="AS76" s="200"/>
      <c r="AT76" s="125"/>
      <c r="AU76" s="41"/>
      <c r="AV76" s="41"/>
      <c r="AW76" s="41"/>
      <c r="AX76" s="41"/>
      <c r="AY76" s="199"/>
      <c r="AZ76" s="200"/>
      <c r="BA76" s="125"/>
      <c r="BB76" s="41"/>
      <c r="BC76" s="41"/>
      <c r="BD76" s="41"/>
      <c r="BE76" s="41"/>
      <c r="BF76" s="199"/>
      <c r="BG76" s="200"/>
      <c r="BH76" s="125"/>
      <c r="BI76" s="41"/>
      <c r="BJ76" s="41"/>
      <c r="BK76" s="41"/>
      <c r="BL76" s="41"/>
      <c r="BM76" s="199"/>
      <c r="BN76" s="200"/>
      <c r="BO76" s="125"/>
      <c r="BP76" s="41"/>
      <c r="BQ76" s="41"/>
      <c r="BR76" s="41"/>
      <c r="BS76" s="41"/>
      <c r="BT76" s="199"/>
      <c r="BU76" s="200"/>
      <c r="BV76" s="125"/>
      <c r="BW76" s="41"/>
      <c r="BX76" s="41"/>
      <c r="BY76" s="41"/>
      <c r="BZ76" s="41"/>
      <c r="CA76" s="199"/>
      <c r="CB76" s="200"/>
      <c r="CC76" s="125"/>
      <c r="CD76" s="41"/>
      <c r="CE76" s="41"/>
      <c r="CF76" s="41"/>
      <c r="CG76" s="41"/>
      <c r="CH76" s="199"/>
      <c r="CI76" s="200"/>
      <c r="CJ76" s="125"/>
      <c r="CK76" s="41"/>
      <c r="CL76" s="41"/>
      <c r="CM76" s="41"/>
      <c r="CN76" s="41"/>
      <c r="CO76" s="199"/>
      <c r="CP76" s="200"/>
      <c r="CQ76" s="125"/>
      <c r="CR76" s="41"/>
      <c r="CS76" s="41"/>
      <c r="CT76" s="41"/>
      <c r="CU76" s="41"/>
      <c r="CV76" s="199"/>
      <c r="CW76" s="200"/>
      <c r="CX76" s="125"/>
      <c r="CY76" s="41"/>
      <c r="CZ76" s="41"/>
      <c r="DA76" s="41"/>
      <c r="DB76" s="41"/>
      <c r="DC76" s="199"/>
      <c r="DD76" s="200"/>
      <c r="DE76" s="125"/>
      <c r="DF76" s="41"/>
      <c r="DG76" s="41"/>
      <c r="DH76" s="41"/>
      <c r="DI76" s="41"/>
      <c r="DJ76" s="199"/>
      <c r="DK76" s="200"/>
      <c r="DL76" s="125"/>
      <c r="DM76" s="41"/>
      <c r="DN76" s="41"/>
      <c r="DO76" s="41"/>
      <c r="DP76" s="41"/>
      <c r="DQ76" s="199"/>
      <c r="DR76" s="200"/>
      <c r="DS76" s="125"/>
      <c r="DT76" s="41"/>
      <c r="DU76" s="41"/>
      <c r="DV76" s="41"/>
      <c r="DW76" s="41"/>
      <c r="DX76" s="199"/>
      <c r="DY76" s="200"/>
      <c r="DZ76" s="125"/>
      <c r="EA76" s="41"/>
      <c r="EB76" s="41"/>
      <c r="EC76" s="41"/>
      <c r="ED76" s="41"/>
      <c r="EE76" s="199"/>
      <c r="EF76" s="200"/>
      <c r="EG76" s="125"/>
      <c r="EH76" s="41"/>
      <c r="EI76" s="41"/>
      <c r="EJ76" s="41"/>
      <c r="EK76" s="41"/>
      <c r="EL76" s="199"/>
      <c r="EM76" s="200"/>
      <c r="EN76" s="125"/>
      <c r="EO76" s="41"/>
      <c r="EP76" s="41"/>
      <c r="EQ76" s="41"/>
      <c r="ER76" s="41"/>
      <c r="ES76" s="199"/>
      <c r="ET76" s="200"/>
      <c r="EU76" s="125"/>
      <c r="EV76" s="41"/>
      <c r="EW76" s="41"/>
      <c r="EX76" s="41"/>
      <c r="EY76" s="41"/>
      <c r="EZ76" s="199"/>
      <c r="FA76" s="200"/>
      <c r="FB76" s="125"/>
      <c r="FC76" s="41"/>
      <c r="FD76" s="41"/>
      <c r="FE76" s="41"/>
      <c r="FF76" s="41"/>
      <c r="FG76" s="199"/>
      <c r="FH76" s="200"/>
      <c r="FI76" s="125"/>
      <c r="FJ76" s="41"/>
      <c r="FK76" s="41"/>
      <c r="FL76" s="41"/>
      <c r="FM76" s="41"/>
      <c r="FN76" s="199"/>
      <c r="FO76" s="200"/>
      <c r="FP76" s="125"/>
      <c r="FQ76" s="41"/>
      <c r="FR76" s="41"/>
      <c r="FS76" s="41"/>
      <c r="FT76" s="41"/>
      <c r="FU76" s="199"/>
      <c r="FV76" s="200"/>
      <c r="FW76" s="125"/>
      <c r="FX76" s="41"/>
      <c r="FY76" s="41"/>
      <c r="FZ76" s="41"/>
      <c r="GA76" s="41"/>
      <c r="GB76" s="199"/>
      <c r="GC76" s="200"/>
      <c r="GD76" s="125"/>
      <c r="GE76" s="41"/>
      <c r="GF76" s="41"/>
      <c r="GG76" s="41"/>
      <c r="GH76" s="41"/>
      <c r="GI76" s="199"/>
      <c r="GJ76" s="200"/>
      <c r="GK76" s="125"/>
      <c r="GL76" s="41"/>
      <c r="GM76" s="41"/>
      <c r="GN76" s="41"/>
      <c r="GO76" s="41"/>
      <c r="GP76" s="199"/>
      <c r="GQ76" s="200"/>
      <c r="GR76" s="125"/>
      <c r="GS76" s="41"/>
      <c r="GT76" s="41"/>
      <c r="GU76" s="41"/>
      <c r="GV76" s="41"/>
      <c r="GW76" s="199"/>
      <c r="GX76" s="200"/>
      <c r="GY76" s="125"/>
      <c r="GZ76" s="41"/>
      <c r="HA76" s="41"/>
      <c r="HB76" s="41"/>
      <c r="HC76" s="41"/>
      <c r="HD76" s="199"/>
      <c r="HE76" s="200"/>
    </row>
    <row r="77" spans="2:213" x14ac:dyDescent="0.3">
      <c r="B77" s="8">
        <v>16520</v>
      </c>
      <c r="C77" s="9">
        <v>35</v>
      </c>
      <c r="D77" s="10" t="str">
        <f t="shared" si="10"/>
        <v>X</v>
      </c>
      <c r="E77" s="11" t="str">
        <f t="shared" si="9"/>
        <v>16520X</v>
      </c>
      <c r="F77" s="193" t="s">
        <v>12</v>
      </c>
      <c r="G77" s="187" t="s">
        <v>29</v>
      </c>
      <c r="H77" s="146" t="s">
        <v>9</v>
      </c>
      <c r="I77" s="159" t="s">
        <v>268</v>
      </c>
      <c r="J77" s="160" t="s">
        <v>269</v>
      </c>
      <c r="K77" s="125" t="s">
        <v>459</v>
      </c>
      <c r="L77" s="41" t="s">
        <v>459</v>
      </c>
      <c r="M77" s="41" t="s">
        <v>459</v>
      </c>
      <c r="N77" s="41" t="s">
        <v>459</v>
      </c>
      <c r="O77" s="41" t="s">
        <v>459</v>
      </c>
      <c r="P77" s="199"/>
      <c r="Q77" s="200"/>
      <c r="R77" s="125" t="s">
        <v>459</v>
      </c>
      <c r="S77" s="41" t="s">
        <v>459</v>
      </c>
      <c r="T77" s="41" t="s">
        <v>459</v>
      </c>
      <c r="U77" s="41" t="s">
        <v>459</v>
      </c>
      <c r="V77" s="41" t="s">
        <v>459</v>
      </c>
      <c r="W77" s="199"/>
      <c r="X77" s="200"/>
      <c r="Y77" s="125"/>
      <c r="Z77" s="41"/>
      <c r="AA77" s="41"/>
      <c r="AB77" s="41"/>
      <c r="AC77" s="41"/>
      <c r="AD77" s="199"/>
      <c r="AE77" s="200"/>
      <c r="AF77" s="125"/>
      <c r="AG77" s="41"/>
      <c r="AH77" s="41"/>
      <c r="AI77" s="41"/>
      <c r="AJ77" s="41"/>
      <c r="AK77" s="199"/>
      <c r="AL77" s="200"/>
      <c r="AM77" s="125"/>
      <c r="AN77" s="41"/>
      <c r="AO77" s="41"/>
      <c r="AP77" s="41"/>
      <c r="AQ77" s="41"/>
      <c r="AR77" s="199"/>
      <c r="AS77" s="200"/>
      <c r="AT77" s="125"/>
      <c r="AU77" s="41"/>
      <c r="AV77" s="41"/>
      <c r="AW77" s="41"/>
      <c r="AX77" s="41"/>
      <c r="AY77" s="199"/>
      <c r="AZ77" s="200"/>
      <c r="BA77" s="125"/>
      <c r="BB77" s="41"/>
      <c r="BC77" s="41"/>
      <c r="BD77" s="41"/>
      <c r="BE77" s="41"/>
      <c r="BF77" s="199"/>
      <c r="BG77" s="200"/>
      <c r="BH77" s="125"/>
      <c r="BI77" s="41"/>
      <c r="BJ77" s="41"/>
      <c r="BK77" s="41"/>
      <c r="BL77" s="41"/>
      <c r="BM77" s="199"/>
      <c r="BN77" s="200"/>
      <c r="BO77" s="125"/>
      <c r="BP77" s="41"/>
      <c r="BQ77" s="41"/>
      <c r="BR77" s="41"/>
      <c r="BS77" s="41"/>
      <c r="BT77" s="199"/>
      <c r="BU77" s="200"/>
      <c r="BV77" s="125"/>
      <c r="BW77" s="41"/>
      <c r="BX77" s="41"/>
      <c r="BY77" s="41"/>
      <c r="BZ77" s="41"/>
      <c r="CA77" s="199"/>
      <c r="CB77" s="200"/>
      <c r="CC77" s="125"/>
      <c r="CD77" s="41"/>
      <c r="CE77" s="41"/>
      <c r="CF77" s="41"/>
      <c r="CG77" s="41"/>
      <c r="CH77" s="199"/>
      <c r="CI77" s="200"/>
      <c r="CJ77" s="125"/>
      <c r="CK77" s="41"/>
      <c r="CL77" s="41"/>
      <c r="CM77" s="41"/>
      <c r="CN77" s="41"/>
      <c r="CO77" s="199"/>
      <c r="CP77" s="200"/>
      <c r="CQ77" s="125"/>
      <c r="CR77" s="41"/>
      <c r="CS77" s="41"/>
      <c r="CT77" s="41"/>
      <c r="CU77" s="41"/>
      <c r="CV77" s="199"/>
      <c r="CW77" s="200"/>
      <c r="CX77" s="125"/>
      <c r="CY77" s="41"/>
      <c r="CZ77" s="41"/>
      <c r="DA77" s="41"/>
      <c r="DB77" s="41"/>
      <c r="DC77" s="199"/>
      <c r="DD77" s="200"/>
      <c r="DE77" s="125"/>
      <c r="DF77" s="41"/>
      <c r="DG77" s="41"/>
      <c r="DH77" s="41"/>
      <c r="DI77" s="41"/>
      <c r="DJ77" s="199"/>
      <c r="DK77" s="200"/>
      <c r="DL77" s="125"/>
      <c r="DM77" s="41"/>
      <c r="DN77" s="41"/>
      <c r="DO77" s="41"/>
      <c r="DP77" s="41"/>
      <c r="DQ77" s="199"/>
      <c r="DR77" s="200"/>
      <c r="DS77" s="125"/>
      <c r="DT77" s="41"/>
      <c r="DU77" s="41"/>
      <c r="DV77" s="41"/>
      <c r="DW77" s="41"/>
      <c r="DX77" s="199"/>
      <c r="DY77" s="200"/>
      <c r="DZ77" s="125"/>
      <c r="EA77" s="41"/>
      <c r="EB77" s="41"/>
      <c r="EC77" s="41"/>
      <c r="ED77" s="41"/>
      <c r="EE77" s="199"/>
      <c r="EF77" s="200"/>
      <c r="EG77" s="125"/>
      <c r="EH77" s="41"/>
      <c r="EI77" s="41"/>
      <c r="EJ77" s="41"/>
      <c r="EK77" s="41"/>
      <c r="EL77" s="199"/>
      <c r="EM77" s="200"/>
      <c r="EN77" s="125"/>
      <c r="EO77" s="41"/>
      <c r="EP77" s="41"/>
      <c r="EQ77" s="41"/>
      <c r="ER77" s="41"/>
      <c r="ES77" s="199"/>
      <c r="ET77" s="200"/>
      <c r="EU77" s="125"/>
      <c r="EV77" s="41"/>
      <c r="EW77" s="41"/>
      <c r="EX77" s="41"/>
      <c r="EY77" s="41"/>
      <c r="EZ77" s="199"/>
      <c r="FA77" s="200"/>
      <c r="FB77" s="125"/>
      <c r="FC77" s="41"/>
      <c r="FD77" s="41"/>
      <c r="FE77" s="41"/>
      <c r="FF77" s="41"/>
      <c r="FG77" s="199"/>
      <c r="FH77" s="200"/>
      <c r="FI77" s="125"/>
      <c r="FJ77" s="41"/>
      <c r="FK77" s="41"/>
      <c r="FL77" s="41"/>
      <c r="FM77" s="41"/>
      <c r="FN77" s="199"/>
      <c r="FO77" s="200"/>
      <c r="FP77" s="125"/>
      <c r="FQ77" s="41"/>
      <c r="FR77" s="41"/>
      <c r="FS77" s="41"/>
      <c r="FT77" s="41"/>
      <c r="FU77" s="199"/>
      <c r="FV77" s="200"/>
      <c r="FW77" s="125"/>
      <c r="FX77" s="41"/>
      <c r="FY77" s="41"/>
      <c r="FZ77" s="41"/>
      <c r="GA77" s="41"/>
      <c r="GB77" s="199"/>
      <c r="GC77" s="200"/>
      <c r="GD77" s="125"/>
      <c r="GE77" s="41"/>
      <c r="GF77" s="41"/>
      <c r="GG77" s="41"/>
      <c r="GH77" s="41"/>
      <c r="GI77" s="199"/>
      <c r="GJ77" s="200"/>
      <c r="GK77" s="125"/>
      <c r="GL77" s="41"/>
      <c r="GM77" s="41"/>
      <c r="GN77" s="41"/>
      <c r="GO77" s="41"/>
      <c r="GP77" s="199"/>
      <c r="GQ77" s="200"/>
      <c r="GR77" s="125"/>
      <c r="GS77" s="41"/>
      <c r="GT77" s="41"/>
      <c r="GU77" s="41"/>
      <c r="GV77" s="41"/>
      <c r="GW77" s="199"/>
      <c r="GX77" s="200"/>
      <c r="GY77" s="125"/>
      <c r="GZ77" s="41"/>
      <c r="HA77" s="41"/>
      <c r="HB77" s="41"/>
      <c r="HC77" s="41"/>
      <c r="HD77" s="199"/>
      <c r="HE77" s="200"/>
    </row>
    <row r="78" spans="2:213" x14ac:dyDescent="0.3">
      <c r="B78" s="8">
        <v>65460</v>
      </c>
      <c r="C78" s="9">
        <v>35</v>
      </c>
      <c r="D78" s="10" t="str">
        <f t="shared" si="10"/>
        <v>X</v>
      </c>
      <c r="E78" s="11" t="str">
        <f t="shared" si="9"/>
        <v>65460X</v>
      </c>
      <c r="F78" s="193" t="s">
        <v>20</v>
      </c>
      <c r="G78" s="183" t="s">
        <v>26</v>
      </c>
      <c r="H78" s="146" t="s">
        <v>9</v>
      </c>
      <c r="I78" s="149" t="s">
        <v>76</v>
      </c>
      <c r="J78" s="150" t="s">
        <v>78</v>
      </c>
      <c r="K78" s="125" t="s">
        <v>459</v>
      </c>
      <c r="L78" s="41" t="s">
        <v>459</v>
      </c>
      <c r="M78" s="41" t="s">
        <v>459</v>
      </c>
      <c r="N78" s="41" t="s">
        <v>459</v>
      </c>
      <c r="O78" s="41" t="s">
        <v>459</v>
      </c>
      <c r="P78" s="199"/>
      <c r="Q78" s="200"/>
      <c r="R78" s="125" t="s">
        <v>459</v>
      </c>
      <c r="S78" s="41" t="s">
        <v>459</v>
      </c>
      <c r="T78" s="41" t="s">
        <v>459</v>
      </c>
      <c r="U78" s="41" t="s">
        <v>459</v>
      </c>
      <c r="V78" s="41" t="s">
        <v>459</v>
      </c>
      <c r="W78" s="199"/>
      <c r="X78" s="200"/>
      <c r="Y78" s="125"/>
      <c r="Z78" s="41"/>
      <c r="AA78" s="41"/>
      <c r="AB78" s="41"/>
      <c r="AC78" s="41"/>
      <c r="AD78" s="199"/>
      <c r="AE78" s="200"/>
      <c r="AF78" s="125"/>
      <c r="AG78" s="41"/>
      <c r="AH78" s="41"/>
      <c r="AI78" s="41"/>
      <c r="AJ78" s="41"/>
      <c r="AK78" s="199"/>
      <c r="AL78" s="200"/>
      <c r="AM78" s="125"/>
      <c r="AN78" s="41"/>
      <c r="AO78" s="41"/>
      <c r="AP78" s="41"/>
      <c r="AQ78" s="41"/>
      <c r="AR78" s="199"/>
      <c r="AS78" s="200"/>
      <c r="AT78" s="125"/>
      <c r="AU78" s="41"/>
      <c r="AV78" s="41"/>
      <c r="AW78" s="41"/>
      <c r="AX78" s="41"/>
      <c r="AY78" s="199"/>
      <c r="AZ78" s="200"/>
      <c r="BA78" s="125"/>
      <c r="BB78" s="41"/>
      <c r="BC78" s="41"/>
      <c r="BD78" s="41"/>
      <c r="BE78" s="41"/>
      <c r="BF78" s="199"/>
      <c r="BG78" s="200"/>
      <c r="BH78" s="125"/>
      <c r="BI78" s="41"/>
      <c r="BJ78" s="41"/>
      <c r="BK78" s="41"/>
      <c r="BL78" s="41"/>
      <c r="BM78" s="199"/>
      <c r="BN78" s="200"/>
      <c r="BO78" s="125"/>
      <c r="BP78" s="41"/>
      <c r="BQ78" s="41"/>
      <c r="BR78" s="41"/>
      <c r="BS78" s="41"/>
      <c r="BT78" s="199"/>
      <c r="BU78" s="200"/>
      <c r="BV78" s="125"/>
      <c r="BW78" s="41"/>
      <c r="BX78" s="41"/>
      <c r="BY78" s="41"/>
      <c r="BZ78" s="41"/>
      <c r="CA78" s="199"/>
      <c r="CB78" s="200"/>
      <c r="CC78" s="125"/>
      <c r="CD78" s="41"/>
      <c r="CE78" s="41"/>
      <c r="CF78" s="41"/>
      <c r="CG78" s="41"/>
      <c r="CH78" s="199"/>
      <c r="CI78" s="200"/>
      <c r="CJ78" s="125"/>
      <c r="CK78" s="41"/>
      <c r="CL78" s="41"/>
      <c r="CM78" s="41"/>
      <c r="CN78" s="41"/>
      <c r="CO78" s="199"/>
      <c r="CP78" s="200"/>
      <c r="CQ78" s="125"/>
      <c r="CR78" s="41"/>
      <c r="CS78" s="41"/>
      <c r="CT78" s="41"/>
      <c r="CU78" s="41"/>
      <c r="CV78" s="199"/>
      <c r="CW78" s="200"/>
      <c r="CX78" s="125"/>
      <c r="CY78" s="41"/>
      <c r="CZ78" s="41"/>
      <c r="DA78" s="41"/>
      <c r="DB78" s="41"/>
      <c r="DC78" s="199"/>
      <c r="DD78" s="200"/>
      <c r="DE78" s="125"/>
      <c r="DF78" s="41"/>
      <c r="DG78" s="41"/>
      <c r="DH78" s="41"/>
      <c r="DI78" s="41"/>
      <c r="DJ78" s="199"/>
      <c r="DK78" s="200"/>
      <c r="DL78" s="125"/>
      <c r="DM78" s="41"/>
      <c r="DN78" s="41"/>
      <c r="DO78" s="41"/>
      <c r="DP78" s="41"/>
      <c r="DQ78" s="199"/>
      <c r="DR78" s="200"/>
      <c r="DS78" s="125"/>
      <c r="DT78" s="41"/>
      <c r="DU78" s="41"/>
      <c r="DV78" s="41"/>
      <c r="DW78" s="41"/>
      <c r="DX78" s="199"/>
      <c r="DY78" s="200"/>
      <c r="DZ78" s="125"/>
      <c r="EA78" s="41"/>
      <c r="EB78" s="41"/>
      <c r="EC78" s="41"/>
      <c r="ED78" s="41"/>
      <c r="EE78" s="199"/>
      <c r="EF78" s="200"/>
      <c r="EG78" s="125"/>
      <c r="EH78" s="41"/>
      <c r="EI78" s="41"/>
      <c r="EJ78" s="41"/>
      <c r="EK78" s="41"/>
      <c r="EL78" s="199"/>
      <c r="EM78" s="200"/>
      <c r="EN78" s="125"/>
      <c r="EO78" s="41"/>
      <c r="EP78" s="41"/>
      <c r="EQ78" s="41"/>
      <c r="ER78" s="41"/>
      <c r="ES78" s="199"/>
      <c r="ET78" s="200"/>
      <c r="EU78" s="125"/>
      <c r="EV78" s="41"/>
      <c r="EW78" s="41"/>
      <c r="EX78" s="41"/>
      <c r="EY78" s="41"/>
      <c r="EZ78" s="199"/>
      <c r="FA78" s="200"/>
      <c r="FB78" s="125"/>
      <c r="FC78" s="41"/>
      <c r="FD78" s="41"/>
      <c r="FE78" s="41"/>
      <c r="FF78" s="41"/>
      <c r="FG78" s="199"/>
      <c r="FH78" s="200"/>
      <c r="FI78" s="125"/>
      <c r="FJ78" s="41"/>
      <c r="FK78" s="41"/>
      <c r="FL78" s="41"/>
      <c r="FM78" s="41"/>
      <c r="FN78" s="199"/>
      <c r="FO78" s="200"/>
      <c r="FP78" s="125"/>
      <c r="FQ78" s="41"/>
      <c r="FR78" s="41"/>
      <c r="FS78" s="41"/>
      <c r="FT78" s="41"/>
      <c r="FU78" s="199"/>
      <c r="FV78" s="200"/>
      <c r="FW78" s="125"/>
      <c r="FX78" s="41"/>
      <c r="FY78" s="41"/>
      <c r="FZ78" s="41"/>
      <c r="GA78" s="41"/>
      <c r="GB78" s="199"/>
      <c r="GC78" s="200"/>
      <c r="GD78" s="125"/>
      <c r="GE78" s="41"/>
      <c r="GF78" s="41"/>
      <c r="GG78" s="41"/>
      <c r="GH78" s="41"/>
      <c r="GI78" s="199"/>
      <c r="GJ78" s="200"/>
      <c r="GK78" s="125"/>
      <c r="GL78" s="41"/>
      <c r="GM78" s="41"/>
      <c r="GN78" s="41"/>
      <c r="GO78" s="41"/>
      <c r="GP78" s="199"/>
      <c r="GQ78" s="200"/>
      <c r="GR78" s="125"/>
      <c r="GS78" s="41"/>
      <c r="GT78" s="41"/>
      <c r="GU78" s="41"/>
      <c r="GV78" s="41"/>
      <c r="GW78" s="199"/>
      <c r="GX78" s="200"/>
      <c r="GY78" s="125"/>
      <c r="GZ78" s="41"/>
      <c r="HA78" s="41"/>
      <c r="HB78" s="41"/>
      <c r="HC78" s="41"/>
      <c r="HD78" s="199"/>
      <c r="HE78" s="200"/>
    </row>
    <row r="79" spans="2:213" x14ac:dyDescent="0.3">
      <c r="B79" s="8">
        <v>101638</v>
      </c>
      <c r="C79" s="9">
        <v>35</v>
      </c>
      <c r="D79" s="10" t="str">
        <f t="shared" si="10"/>
        <v>X</v>
      </c>
      <c r="E79" s="10" t="str">
        <f t="shared" si="9"/>
        <v>101638X</v>
      </c>
      <c r="F79" s="193" t="s">
        <v>20</v>
      </c>
      <c r="G79" s="183" t="s">
        <v>26</v>
      </c>
      <c r="H79" s="146" t="s">
        <v>9</v>
      </c>
      <c r="I79" s="149" t="s">
        <v>96</v>
      </c>
      <c r="J79" s="150" t="s">
        <v>98</v>
      </c>
      <c r="K79" s="125" t="s">
        <v>459</v>
      </c>
      <c r="L79" s="41" t="s">
        <v>459</v>
      </c>
      <c r="M79" s="41" t="s">
        <v>459</v>
      </c>
      <c r="N79" s="41" t="s">
        <v>459</v>
      </c>
      <c r="O79" s="41" t="s">
        <v>459</v>
      </c>
      <c r="P79" s="199"/>
      <c r="Q79" s="200"/>
      <c r="R79" s="125" t="s">
        <v>459</v>
      </c>
      <c r="S79" s="41" t="s">
        <v>459</v>
      </c>
      <c r="T79" s="41" t="s">
        <v>459</v>
      </c>
      <c r="U79" s="41" t="s">
        <v>459</v>
      </c>
      <c r="V79" s="41" t="s">
        <v>459</v>
      </c>
      <c r="W79" s="199"/>
      <c r="X79" s="200"/>
      <c r="Y79" s="125"/>
      <c r="Z79" s="41"/>
      <c r="AA79" s="41"/>
      <c r="AB79" s="41"/>
      <c r="AC79" s="41"/>
      <c r="AD79" s="199"/>
      <c r="AE79" s="200"/>
      <c r="AF79" s="125"/>
      <c r="AG79" s="41"/>
      <c r="AH79" s="41"/>
      <c r="AI79" s="41"/>
      <c r="AJ79" s="41"/>
      <c r="AK79" s="199"/>
      <c r="AL79" s="200"/>
      <c r="AM79" s="125"/>
      <c r="AN79" s="41"/>
      <c r="AO79" s="41"/>
      <c r="AP79" s="41"/>
      <c r="AQ79" s="41"/>
      <c r="AR79" s="199"/>
      <c r="AS79" s="200"/>
      <c r="AT79" s="125"/>
      <c r="AU79" s="41"/>
      <c r="AV79" s="41"/>
      <c r="AW79" s="41"/>
      <c r="AX79" s="41"/>
      <c r="AY79" s="199"/>
      <c r="AZ79" s="200"/>
      <c r="BA79" s="125"/>
      <c r="BB79" s="41"/>
      <c r="BC79" s="41"/>
      <c r="BD79" s="41"/>
      <c r="BE79" s="41"/>
      <c r="BF79" s="199"/>
      <c r="BG79" s="200"/>
      <c r="BH79" s="125"/>
      <c r="BI79" s="41"/>
      <c r="BJ79" s="41"/>
      <c r="BK79" s="41"/>
      <c r="BL79" s="41"/>
      <c r="BM79" s="199"/>
      <c r="BN79" s="200"/>
      <c r="BO79" s="125"/>
      <c r="BP79" s="41"/>
      <c r="BQ79" s="41"/>
      <c r="BR79" s="41"/>
      <c r="BS79" s="41"/>
      <c r="BT79" s="199"/>
      <c r="BU79" s="200"/>
      <c r="BV79" s="125"/>
      <c r="BW79" s="41"/>
      <c r="BX79" s="41"/>
      <c r="BY79" s="41"/>
      <c r="BZ79" s="41"/>
      <c r="CA79" s="199"/>
      <c r="CB79" s="200"/>
      <c r="CC79" s="125"/>
      <c r="CD79" s="41"/>
      <c r="CE79" s="41"/>
      <c r="CF79" s="41"/>
      <c r="CG79" s="41"/>
      <c r="CH79" s="199"/>
      <c r="CI79" s="200"/>
      <c r="CJ79" s="125"/>
      <c r="CK79" s="41"/>
      <c r="CL79" s="41"/>
      <c r="CM79" s="41"/>
      <c r="CN79" s="41"/>
      <c r="CO79" s="199"/>
      <c r="CP79" s="200"/>
      <c r="CQ79" s="125"/>
      <c r="CR79" s="41"/>
      <c r="CS79" s="41"/>
      <c r="CT79" s="41"/>
      <c r="CU79" s="41"/>
      <c r="CV79" s="199"/>
      <c r="CW79" s="200"/>
      <c r="CX79" s="125"/>
      <c r="CY79" s="41"/>
      <c r="CZ79" s="41"/>
      <c r="DA79" s="41"/>
      <c r="DB79" s="41"/>
      <c r="DC79" s="199"/>
      <c r="DD79" s="200"/>
      <c r="DE79" s="125"/>
      <c r="DF79" s="41"/>
      <c r="DG79" s="41"/>
      <c r="DH79" s="41"/>
      <c r="DI79" s="41"/>
      <c r="DJ79" s="199"/>
      <c r="DK79" s="200"/>
      <c r="DL79" s="125"/>
      <c r="DM79" s="41"/>
      <c r="DN79" s="41"/>
      <c r="DO79" s="41"/>
      <c r="DP79" s="41"/>
      <c r="DQ79" s="199"/>
      <c r="DR79" s="200"/>
      <c r="DS79" s="125"/>
      <c r="DT79" s="41"/>
      <c r="DU79" s="41"/>
      <c r="DV79" s="41"/>
      <c r="DW79" s="41"/>
      <c r="DX79" s="199"/>
      <c r="DY79" s="200"/>
      <c r="DZ79" s="125"/>
      <c r="EA79" s="41"/>
      <c r="EB79" s="41"/>
      <c r="EC79" s="41"/>
      <c r="ED79" s="41"/>
      <c r="EE79" s="199"/>
      <c r="EF79" s="200"/>
      <c r="EG79" s="125"/>
      <c r="EH79" s="41"/>
      <c r="EI79" s="41"/>
      <c r="EJ79" s="41"/>
      <c r="EK79" s="41"/>
      <c r="EL79" s="199"/>
      <c r="EM79" s="200"/>
      <c r="EN79" s="125"/>
      <c r="EO79" s="41"/>
      <c r="EP79" s="41"/>
      <c r="EQ79" s="41"/>
      <c r="ER79" s="41"/>
      <c r="ES79" s="199"/>
      <c r="ET79" s="200"/>
      <c r="EU79" s="125"/>
      <c r="EV79" s="41"/>
      <c r="EW79" s="41"/>
      <c r="EX79" s="41"/>
      <c r="EY79" s="41"/>
      <c r="EZ79" s="199"/>
      <c r="FA79" s="200"/>
      <c r="FB79" s="125"/>
      <c r="FC79" s="41"/>
      <c r="FD79" s="41"/>
      <c r="FE79" s="41"/>
      <c r="FF79" s="41"/>
      <c r="FG79" s="199"/>
      <c r="FH79" s="200"/>
      <c r="FI79" s="125"/>
      <c r="FJ79" s="41"/>
      <c r="FK79" s="41"/>
      <c r="FL79" s="41"/>
      <c r="FM79" s="41"/>
      <c r="FN79" s="199"/>
      <c r="FO79" s="200"/>
      <c r="FP79" s="125"/>
      <c r="FQ79" s="41"/>
      <c r="FR79" s="41"/>
      <c r="FS79" s="41"/>
      <c r="FT79" s="41"/>
      <c r="FU79" s="199"/>
      <c r="FV79" s="200"/>
      <c r="FW79" s="125"/>
      <c r="FX79" s="41"/>
      <c r="FY79" s="41"/>
      <c r="FZ79" s="41"/>
      <c r="GA79" s="41"/>
      <c r="GB79" s="199"/>
      <c r="GC79" s="200"/>
      <c r="GD79" s="125"/>
      <c r="GE79" s="41"/>
      <c r="GF79" s="41"/>
      <c r="GG79" s="41"/>
      <c r="GH79" s="41"/>
      <c r="GI79" s="199"/>
      <c r="GJ79" s="200"/>
      <c r="GK79" s="125"/>
      <c r="GL79" s="41"/>
      <c r="GM79" s="41"/>
      <c r="GN79" s="41"/>
      <c r="GO79" s="41"/>
      <c r="GP79" s="199"/>
      <c r="GQ79" s="200"/>
      <c r="GR79" s="125"/>
      <c r="GS79" s="41"/>
      <c r="GT79" s="41"/>
      <c r="GU79" s="41"/>
      <c r="GV79" s="41"/>
      <c r="GW79" s="199"/>
      <c r="GX79" s="200"/>
      <c r="GY79" s="125"/>
      <c r="GZ79" s="41"/>
      <c r="HA79" s="41"/>
      <c r="HB79" s="41"/>
      <c r="HC79" s="41"/>
      <c r="HD79" s="199"/>
      <c r="HE79" s="200"/>
    </row>
    <row r="80" spans="2:213" x14ac:dyDescent="0.3">
      <c r="B80" s="8">
        <v>57034</v>
      </c>
      <c r="C80" s="9">
        <v>35</v>
      </c>
      <c r="D80" s="10" t="str">
        <f t="shared" si="10"/>
        <v>X</v>
      </c>
      <c r="E80" s="11" t="str">
        <f t="shared" si="9"/>
        <v>57034X</v>
      </c>
      <c r="F80" s="193" t="s">
        <v>20</v>
      </c>
      <c r="G80" s="183" t="s">
        <v>26</v>
      </c>
      <c r="H80" s="146" t="s">
        <v>9</v>
      </c>
      <c r="I80" s="149" t="s">
        <v>99</v>
      </c>
      <c r="J80" s="150" t="s">
        <v>100</v>
      </c>
      <c r="K80" s="125" t="s">
        <v>459</v>
      </c>
      <c r="L80" s="41" t="s">
        <v>459</v>
      </c>
      <c r="M80" s="41" t="s">
        <v>459</v>
      </c>
      <c r="N80" s="41" t="s">
        <v>459</v>
      </c>
      <c r="O80" s="41" t="s">
        <v>459</v>
      </c>
      <c r="P80" s="199"/>
      <c r="Q80" s="200"/>
      <c r="R80" s="125" t="s">
        <v>459</v>
      </c>
      <c r="S80" s="41" t="s">
        <v>459</v>
      </c>
      <c r="T80" s="41" t="s">
        <v>459</v>
      </c>
      <c r="U80" s="41" t="s">
        <v>459</v>
      </c>
      <c r="V80" s="41" t="s">
        <v>459</v>
      </c>
      <c r="W80" s="199"/>
      <c r="X80" s="200"/>
      <c r="Y80" s="125"/>
      <c r="Z80" s="41"/>
      <c r="AA80" s="41"/>
      <c r="AB80" s="41"/>
      <c r="AC80" s="41"/>
      <c r="AD80" s="199"/>
      <c r="AE80" s="200"/>
      <c r="AF80" s="125"/>
      <c r="AG80" s="41"/>
      <c r="AH80" s="41"/>
      <c r="AI80" s="41"/>
      <c r="AJ80" s="41"/>
      <c r="AK80" s="199"/>
      <c r="AL80" s="200"/>
      <c r="AM80" s="125"/>
      <c r="AN80" s="41"/>
      <c r="AO80" s="41"/>
      <c r="AP80" s="41"/>
      <c r="AQ80" s="41"/>
      <c r="AR80" s="199"/>
      <c r="AS80" s="200"/>
      <c r="AT80" s="125"/>
      <c r="AU80" s="41"/>
      <c r="AV80" s="41"/>
      <c r="AW80" s="41"/>
      <c r="AX80" s="41"/>
      <c r="AY80" s="199"/>
      <c r="AZ80" s="200"/>
      <c r="BA80" s="125"/>
      <c r="BB80" s="41"/>
      <c r="BC80" s="41"/>
      <c r="BD80" s="41"/>
      <c r="BE80" s="41"/>
      <c r="BF80" s="199"/>
      <c r="BG80" s="200"/>
      <c r="BH80" s="125"/>
      <c r="BI80" s="41"/>
      <c r="BJ80" s="41"/>
      <c r="BK80" s="41"/>
      <c r="BL80" s="41"/>
      <c r="BM80" s="199"/>
      <c r="BN80" s="200"/>
      <c r="BO80" s="125"/>
      <c r="BP80" s="41"/>
      <c r="BQ80" s="41"/>
      <c r="BR80" s="41"/>
      <c r="BS80" s="41"/>
      <c r="BT80" s="199"/>
      <c r="BU80" s="200"/>
      <c r="BV80" s="125"/>
      <c r="BW80" s="41"/>
      <c r="BX80" s="41"/>
      <c r="BY80" s="41"/>
      <c r="BZ80" s="41"/>
      <c r="CA80" s="199"/>
      <c r="CB80" s="200"/>
      <c r="CC80" s="125"/>
      <c r="CD80" s="41"/>
      <c r="CE80" s="41"/>
      <c r="CF80" s="41"/>
      <c r="CG80" s="41"/>
      <c r="CH80" s="199"/>
      <c r="CI80" s="200"/>
      <c r="CJ80" s="125"/>
      <c r="CK80" s="41"/>
      <c r="CL80" s="41"/>
      <c r="CM80" s="41"/>
      <c r="CN80" s="41"/>
      <c r="CO80" s="199"/>
      <c r="CP80" s="200"/>
      <c r="CQ80" s="125"/>
      <c r="CR80" s="41"/>
      <c r="CS80" s="41"/>
      <c r="CT80" s="41"/>
      <c r="CU80" s="41"/>
      <c r="CV80" s="199"/>
      <c r="CW80" s="200"/>
      <c r="CX80" s="125"/>
      <c r="CY80" s="41"/>
      <c r="CZ80" s="41"/>
      <c r="DA80" s="41"/>
      <c r="DB80" s="41"/>
      <c r="DC80" s="199"/>
      <c r="DD80" s="200"/>
      <c r="DE80" s="125"/>
      <c r="DF80" s="41"/>
      <c r="DG80" s="41"/>
      <c r="DH80" s="41"/>
      <c r="DI80" s="41"/>
      <c r="DJ80" s="199"/>
      <c r="DK80" s="200"/>
      <c r="DL80" s="125"/>
      <c r="DM80" s="41"/>
      <c r="DN80" s="41"/>
      <c r="DO80" s="41"/>
      <c r="DP80" s="41"/>
      <c r="DQ80" s="199"/>
      <c r="DR80" s="200"/>
      <c r="DS80" s="125"/>
      <c r="DT80" s="41"/>
      <c r="DU80" s="41"/>
      <c r="DV80" s="41"/>
      <c r="DW80" s="41"/>
      <c r="DX80" s="199"/>
      <c r="DY80" s="200"/>
      <c r="DZ80" s="125"/>
      <c r="EA80" s="41"/>
      <c r="EB80" s="41"/>
      <c r="EC80" s="41"/>
      <c r="ED80" s="41"/>
      <c r="EE80" s="199"/>
      <c r="EF80" s="200"/>
      <c r="EG80" s="125"/>
      <c r="EH80" s="41"/>
      <c r="EI80" s="41"/>
      <c r="EJ80" s="41"/>
      <c r="EK80" s="41"/>
      <c r="EL80" s="199"/>
      <c r="EM80" s="200"/>
      <c r="EN80" s="125"/>
      <c r="EO80" s="41"/>
      <c r="EP80" s="41"/>
      <c r="EQ80" s="41"/>
      <c r="ER80" s="41"/>
      <c r="ES80" s="199"/>
      <c r="ET80" s="200"/>
      <c r="EU80" s="125"/>
      <c r="EV80" s="41"/>
      <c r="EW80" s="41"/>
      <c r="EX80" s="41"/>
      <c r="EY80" s="41"/>
      <c r="EZ80" s="199"/>
      <c r="FA80" s="200"/>
      <c r="FB80" s="125"/>
      <c r="FC80" s="41"/>
      <c r="FD80" s="41"/>
      <c r="FE80" s="41"/>
      <c r="FF80" s="41"/>
      <c r="FG80" s="199"/>
      <c r="FH80" s="200"/>
      <c r="FI80" s="125"/>
      <c r="FJ80" s="41"/>
      <c r="FK80" s="41"/>
      <c r="FL80" s="41"/>
      <c r="FM80" s="41"/>
      <c r="FN80" s="199"/>
      <c r="FO80" s="200"/>
      <c r="FP80" s="125"/>
      <c r="FQ80" s="41"/>
      <c r="FR80" s="41"/>
      <c r="FS80" s="41"/>
      <c r="FT80" s="41"/>
      <c r="FU80" s="199"/>
      <c r="FV80" s="200"/>
      <c r="FW80" s="125"/>
      <c r="FX80" s="41"/>
      <c r="FY80" s="41"/>
      <c r="FZ80" s="41"/>
      <c r="GA80" s="41"/>
      <c r="GB80" s="199"/>
      <c r="GC80" s="200"/>
      <c r="GD80" s="125"/>
      <c r="GE80" s="41"/>
      <c r="GF80" s="41"/>
      <c r="GG80" s="41"/>
      <c r="GH80" s="41"/>
      <c r="GI80" s="199"/>
      <c r="GJ80" s="200"/>
      <c r="GK80" s="125"/>
      <c r="GL80" s="41"/>
      <c r="GM80" s="41"/>
      <c r="GN80" s="41"/>
      <c r="GO80" s="41"/>
      <c r="GP80" s="199"/>
      <c r="GQ80" s="200"/>
      <c r="GR80" s="125"/>
      <c r="GS80" s="41"/>
      <c r="GT80" s="41"/>
      <c r="GU80" s="41"/>
      <c r="GV80" s="41"/>
      <c r="GW80" s="199"/>
      <c r="GX80" s="200"/>
      <c r="GY80" s="125"/>
      <c r="GZ80" s="41"/>
      <c r="HA80" s="41"/>
      <c r="HB80" s="41"/>
      <c r="HC80" s="41"/>
      <c r="HD80" s="199"/>
      <c r="HE80" s="200"/>
    </row>
    <row r="81" spans="2:213" x14ac:dyDescent="0.3">
      <c r="B81" s="38">
        <v>46263</v>
      </c>
      <c r="C81" s="9">
        <v>35</v>
      </c>
      <c r="D81" s="10" t="str">
        <f t="shared" si="10"/>
        <v>X</v>
      </c>
      <c r="E81" s="10" t="str">
        <f t="shared" si="9"/>
        <v>46263X</v>
      </c>
      <c r="F81" s="193" t="s">
        <v>20</v>
      </c>
      <c r="G81" s="183" t="s">
        <v>26</v>
      </c>
      <c r="H81" s="146" t="s">
        <v>9</v>
      </c>
      <c r="I81" s="149" t="s">
        <v>299</v>
      </c>
      <c r="J81" s="150" t="s">
        <v>23</v>
      </c>
      <c r="K81" s="125" t="s">
        <v>459</v>
      </c>
      <c r="L81" s="41" t="s">
        <v>459</v>
      </c>
      <c r="M81" s="41" t="s">
        <v>459</v>
      </c>
      <c r="N81" s="41" t="s">
        <v>459</v>
      </c>
      <c r="O81" s="41" t="s">
        <v>459</v>
      </c>
      <c r="P81" s="199"/>
      <c r="Q81" s="200"/>
      <c r="R81" s="125" t="s">
        <v>459</v>
      </c>
      <c r="S81" s="41" t="s">
        <v>459</v>
      </c>
      <c r="T81" s="41" t="s">
        <v>459</v>
      </c>
      <c r="U81" s="41" t="s">
        <v>459</v>
      </c>
      <c r="V81" s="41" t="s">
        <v>459</v>
      </c>
      <c r="W81" s="199"/>
      <c r="X81" s="200"/>
      <c r="Y81" s="125"/>
      <c r="Z81" s="41"/>
      <c r="AA81" s="41"/>
      <c r="AB81" s="41"/>
      <c r="AC81" s="41"/>
      <c r="AD81" s="199"/>
      <c r="AE81" s="200"/>
      <c r="AF81" s="125"/>
      <c r="AG81" s="41"/>
      <c r="AH81" s="41"/>
      <c r="AI81" s="41"/>
      <c r="AJ81" s="41"/>
      <c r="AK81" s="199"/>
      <c r="AL81" s="200"/>
      <c r="AM81" s="125"/>
      <c r="AN81" s="41"/>
      <c r="AO81" s="41"/>
      <c r="AP81" s="41"/>
      <c r="AQ81" s="41"/>
      <c r="AR81" s="199"/>
      <c r="AS81" s="200"/>
      <c r="AT81" s="125"/>
      <c r="AU81" s="41"/>
      <c r="AV81" s="41"/>
      <c r="AW81" s="41"/>
      <c r="AX81" s="41"/>
      <c r="AY81" s="199"/>
      <c r="AZ81" s="200"/>
      <c r="BA81" s="125"/>
      <c r="BB81" s="41"/>
      <c r="BC81" s="41"/>
      <c r="BD81" s="41"/>
      <c r="BE81" s="41"/>
      <c r="BF81" s="199"/>
      <c r="BG81" s="200"/>
      <c r="BH81" s="125"/>
      <c r="BI81" s="41"/>
      <c r="BJ81" s="41"/>
      <c r="BK81" s="41"/>
      <c r="BL81" s="41"/>
      <c r="BM81" s="199"/>
      <c r="BN81" s="200"/>
      <c r="BO81" s="125"/>
      <c r="BP81" s="41"/>
      <c r="BQ81" s="41"/>
      <c r="BR81" s="41"/>
      <c r="BS81" s="41"/>
      <c r="BT81" s="199"/>
      <c r="BU81" s="200"/>
      <c r="BV81" s="125"/>
      <c r="BW81" s="41"/>
      <c r="BX81" s="41"/>
      <c r="BY81" s="41"/>
      <c r="BZ81" s="41"/>
      <c r="CA81" s="199"/>
      <c r="CB81" s="200"/>
      <c r="CC81" s="125"/>
      <c r="CD81" s="41"/>
      <c r="CE81" s="41"/>
      <c r="CF81" s="41"/>
      <c r="CG81" s="41"/>
      <c r="CH81" s="199"/>
      <c r="CI81" s="200"/>
      <c r="CJ81" s="125"/>
      <c r="CK81" s="41"/>
      <c r="CL81" s="41"/>
      <c r="CM81" s="41"/>
      <c r="CN81" s="41"/>
      <c r="CO81" s="199"/>
      <c r="CP81" s="200"/>
      <c r="CQ81" s="125"/>
      <c r="CR81" s="41"/>
      <c r="CS81" s="41"/>
      <c r="CT81" s="41"/>
      <c r="CU81" s="41"/>
      <c r="CV81" s="199"/>
      <c r="CW81" s="200"/>
      <c r="CX81" s="125"/>
      <c r="CY81" s="41"/>
      <c r="CZ81" s="41"/>
      <c r="DA81" s="41"/>
      <c r="DB81" s="41"/>
      <c r="DC81" s="199"/>
      <c r="DD81" s="200"/>
      <c r="DE81" s="125"/>
      <c r="DF81" s="41"/>
      <c r="DG81" s="41"/>
      <c r="DH81" s="41"/>
      <c r="DI81" s="41"/>
      <c r="DJ81" s="199"/>
      <c r="DK81" s="200"/>
      <c r="DL81" s="125"/>
      <c r="DM81" s="41"/>
      <c r="DN81" s="41"/>
      <c r="DO81" s="41"/>
      <c r="DP81" s="41"/>
      <c r="DQ81" s="199"/>
      <c r="DR81" s="200"/>
      <c r="DS81" s="125"/>
      <c r="DT81" s="41"/>
      <c r="DU81" s="41"/>
      <c r="DV81" s="41"/>
      <c r="DW81" s="41"/>
      <c r="DX81" s="199"/>
      <c r="DY81" s="200"/>
      <c r="DZ81" s="125"/>
      <c r="EA81" s="41"/>
      <c r="EB81" s="41"/>
      <c r="EC81" s="41"/>
      <c r="ED81" s="41"/>
      <c r="EE81" s="199"/>
      <c r="EF81" s="200"/>
      <c r="EG81" s="125"/>
      <c r="EH81" s="41"/>
      <c r="EI81" s="41"/>
      <c r="EJ81" s="41"/>
      <c r="EK81" s="41"/>
      <c r="EL81" s="199"/>
      <c r="EM81" s="200"/>
      <c r="EN81" s="125"/>
      <c r="EO81" s="41"/>
      <c r="EP81" s="41"/>
      <c r="EQ81" s="41"/>
      <c r="ER81" s="41"/>
      <c r="ES81" s="199"/>
      <c r="ET81" s="200"/>
      <c r="EU81" s="125"/>
      <c r="EV81" s="41"/>
      <c r="EW81" s="41"/>
      <c r="EX81" s="41"/>
      <c r="EY81" s="41"/>
      <c r="EZ81" s="199"/>
      <c r="FA81" s="200"/>
      <c r="FB81" s="125"/>
      <c r="FC81" s="41"/>
      <c r="FD81" s="41"/>
      <c r="FE81" s="41"/>
      <c r="FF81" s="41"/>
      <c r="FG81" s="199"/>
      <c r="FH81" s="200"/>
      <c r="FI81" s="125"/>
      <c r="FJ81" s="41"/>
      <c r="FK81" s="41"/>
      <c r="FL81" s="41"/>
      <c r="FM81" s="41"/>
      <c r="FN81" s="199"/>
      <c r="FO81" s="200"/>
      <c r="FP81" s="125"/>
      <c r="FQ81" s="41"/>
      <c r="FR81" s="41"/>
      <c r="FS81" s="41"/>
      <c r="FT81" s="41"/>
      <c r="FU81" s="199"/>
      <c r="FV81" s="200"/>
      <c r="FW81" s="125"/>
      <c r="FX81" s="41"/>
      <c r="FY81" s="41"/>
      <c r="FZ81" s="41"/>
      <c r="GA81" s="41"/>
      <c r="GB81" s="199"/>
      <c r="GC81" s="200"/>
      <c r="GD81" s="125"/>
      <c r="GE81" s="41"/>
      <c r="GF81" s="41"/>
      <c r="GG81" s="41"/>
      <c r="GH81" s="41"/>
      <c r="GI81" s="199"/>
      <c r="GJ81" s="200"/>
      <c r="GK81" s="125"/>
      <c r="GL81" s="41"/>
      <c r="GM81" s="41"/>
      <c r="GN81" s="41"/>
      <c r="GO81" s="41"/>
      <c r="GP81" s="199"/>
      <c r="GQ81" s="200"/>
      <c r="GR81" s="125"/>
      <c r="GS81" s="41"/>
      <c r="GT81" s="41"/>
      <c r="GU81" s="41"/>
      <c r="GV81" s="41"/>
      <c r="GW81" s="199"/>
      <c r="GX81" s="200"/>
      <c r="GY81" s="125"/>
      <c r="GZ81" s="41"/>
      <c r="HA81" s="41"/>
      <c r="HB81" s="41"/>
      <c r="HC81" s="41"/>
      <c r="HD81" s="199"/>
      <c r="HE81" s="200"/>
    </row>
    <row r="82" spans="2:213" x14ac:dyDescent="0.3">
      <c r="B82" s="38">
        <v>105559</v>
      </c>
      <c r="C82" s="9">
        <v>35</v>
      </c>
      <c r="D82" s="10" t="str">
        <f t="shared" si="10"/>
        <v>X</v>
      </c>
      <c r="E82" s="11" t="str">
        <f t="shared" si="9"/>
        <v>105559X</v>
      </c>
      <c r="F82" s="193" t="s">
        <v>20</v>
      </c>
      <c r="G82" s="183" t="s">
        <v>26</v>
      </c>
      <c r="H82" s="146" t="s">
        <v>9</v>
      </c>
      <c r="I82" s="149" t="s">
        <v>316</v>
      </c>
      <c r="J82" s="150" t="s">
        <v>156</v>
      </c>
      <c r="K82" s="125" t="s">
        <v>459</v>
      </c>
      <c r="L82" s="41" t="s">
        <v>459</v>
      </c>
      <c r="M82" s="41" t="s">
        <v>459</v>
      </c>
      <c r="N82" s="41" t="s">
        <v>459</v>
      </c>
      <c r="O82" s="41" t="s">
        <v>459</v>
      </c>
      <c r="P82" s="199"/>
      <c r="Q82" s="200"/>
      <c r="R82" s="125" t="s">
        <v>459</v>
      </c>
      <c r="S82" s="41" t="s">
        <v>459</v>
      </c>
      <c r="T82" s="41" t="s">
        <v>459</v>
      </c>
      <c r="U82" s="41" t="s">
        <v>459</v>
      </c>
      <c r="V82" s="41" t="s">
        <v>459</v>
      </c>
      <c r="W82" s="199"/>
      <c r="X82" s="200"/>
      <c r="Y82" s="125"/>
      <c r="Z82" s="41"/>
      <c r="AA82" s="41"/>
      <c r="AB82" s="41"/>
      <c r="AC82" s="41"/>
      <c r="AD82" s="199"/>
      <c r="AE82" s="200"/>
      <c r="AF82" s="125"/>
      <c r="AG82" s="41"/>
      <c r="AH82" s="41"/>
      <c r="AI82" s="41"/>
      <c r="AJ82" s="41"/>
      <c r="AK82" s="199"/>
      <c r="AL82" s="200"/>
      <c r="AM82" s="125"/>
      <c r="AN82" s="41"/>
      <c r="AO82" s="41"/>
      <c r="AP82" s="41"/>
      <c r="AQ82" s="41"/>
      <c r="AR82" s="199"/>
      <c r="AS82" s="200"/>
      <c r="AT82" s="125"/>
      <c r="AU82" s="41"/>
      <c r="AV82" s="41"/>
      <c r="AW82" s="41"/>
      <c r="AX82" s="41"/>
      <c r="AY82" s="199"/>
      <c r="AZ82" s="200"/>
      <c r="BA82" s="125"/>
      <c r="BB82" s="41"/>
      <c r="BC82" s="41"/>
      <c r="BD82" s="41"/>
      <c r="BE82" s="41"/>
      <c r="BF82" s="199"/>
      <c r="BG82" s="200"/>
      <c r="BH82" s="125"/>
      <c r="BI82" s="41"/>
      <c r="BJ82" s="41"/>
      <c r="BK82" s="41"/>
      <c r="BL82" s="41"/>
      <c r="BM82" s="199"/>
      <c r="BN82" s="200"/>
      <c r="BO82" s="125"/>
      <c r="BP82" s="41"/>
      <c r="BQ82" s="41"/>
      <c r="BR82" s="41"/>
      <c r="BS82" s="41"/>
      <c r="BT82" s="199"/>
      <c r="BU82" s="200"/>
      <c r="BV82" s="125"/>
      <c r="BW82" s="41"/>
      <c r="BX82" s="41"/>
      <c r="BY82" s="41"/>
      <c r="BZ82" s="41"/>
      <c r="CA82" s="199"/>
      <c r="CB82" s="200"/>
      <c r="CC82" s="125"/>
      <c r="CD82" s="41"/>
      <c r="CE82" s="41"/>
      <c r="CF82" s="41"/>
      <c r="CG82" s="41"/>
      <c r="CH82" s="199"/>
      <c r="CI82" s="200"/>
      <c r="CJ82" s="125"/>
      <c r="CK82" s="41"/>
      <c r="CL82" s="41"/>
      <c r="CM82" s="41"/>
      <c r="CN82" s="41"/>
      <c r="CO82" s="199"/>
      <c r="CP82" s="200"/>
      <c r="CQ82" s="125"/>
      <c r="CR82" s="41"/>
      <c r="CS82" s="41"/>
      <c r="CT82" s="41"/>
      <c r="CU82" s="41"/>
      <c r="CV82" s="199"/>
      <c r="CW82" s="200"/>
      <c r="CX82" s="125"/>
      <c r="CY82" s="41"/>
      <c r="CZ82" s="41"/>
      <c r="DA82" s="41"/>
      <c r="DB82" s="41"/>
      <c r="DC82" s="199"/>
      <c r="DD82" s="200"/>
      <c r="DE82" s="125"/>
      <c r="DF82" s="41"/>
      <c r="DG82" s="41"/>
      <c r="DH82" s="41"/>
      <c r="DI82" s="41"/>
      <c r="DJ82" s="199"/>
      <c r="DK82" s="200"/>
      <c r="DL82" s="125"/>
      <c r="DM82" s="41"/>
      <c r="DN82" s="41"/>
      <c r="DO82" s="41"/>
      <c r="DP82" s="41"/>
      <c r="DQ82" s="199"/>
      <c r="DR82" s="200"/>
      <c r="DS82" s="125"/>
      <c r="DT82" s="41"/>
      <c r="DU82" s="41"/>
      <c r="DV82" s="41"/>
      <c r="DW82" s="41"/>
      <c r="DX82" s="199"/>
      <c r="DY82" s="200"/>
      <c r="DZ82" s="125"/>
      <c r="EA82" s="41"/>
      <c r="EB82" s="41"/>
      <c r="EC82" s="41"/>
      <c r="ED82" s="41"/>
      <c r="EE82" s="199"/>
      <c r="EF82" s="200"/>
      <c r="EG82" s="125"/>
      <c r="EH82" s="41"/>
      <c r="EI82" s="41"/>
      <c r="EJ82" s="41"/>
      <c r="EK82" s="41"/>
      <c r="EL82" s="199"/>
      <c r="EM82" s="200"/>
      <c r="EN82" s="125"/>
      <c r="EO82" s="41"/>
      <c r="EP82" s="41"/>
      <c r="EQ82" s="41"/>
      <c r="ER82" s="41"/>
      <c r="ES82" s="199"/>
      <c r="ET82" s="200"/>
      <c r="EU82" s="125"/>
      <c r="EV82" s="41"/>
      <c r="EW82" s="41"/>
      <c r="EX82" s="41"/>
      <c r="EY82" s="41"/>
      <c r="EZ82" s="199"/>
      <c r="FA82" s="200"/>
      <c r="FB82" s="125"/>
      <c r="FC82" s="41"/>
      <c r="FD82" s="41"/>
      <c r="FE82" s="41"/>
      <c r="FF82" s="41"/>
      <c r="FG82" s="199"/>
      <c r="FH82" s="200"/>
      <c r="FI82" s="125"/>
      <c r="FJ82" s="41"/>
      <c r="FK82" s="41"/>
      <c r="FL82" s="41"/>
      <c r="FM82" s="41"/>
      <c r="FN82" s="199"/>
      <c r="FO82" s="200"/>
      <c r="FP82" s="125"/>
      <c r="FQ82" s="41"/>
      <c r="FR82" s="41"/>
      <c r="FS82" s="41"/>
      <c r="FT82" s="41"/>
      <c r="FU82" s="199"/>
      <c r="FV82" s="200"/>
      <c r="FW82" s="125"/>
      <c r="FX82" s="41"/>
      <c r="FY82" s="41"/>
      <c r="FZ82" s="41"/>
      <c r="GA82" s="41"/>
      <c r="GB82" s="199"/>
      <c r="GC82" s="200"/>
      <c r="GD82" s="125"/>
      <c r="GE82" s="41"/>
      <c r="GF82" s="41"/>
      <c r="GG82" s="41"/>
      <c r="GH82" s="41"/>
      <c r="GI82" s="199"/>
      <c r="GJ82" s="200"/>
      <c r="GK82" s="125"/>
      <c r="GL82" s="41"/>
      <c r="GM82" s="41"/>
      <c r="GN82" s="41"/>
      <c r="GO82" s="41"/>
      <c r="GP82" s="199"/>
      <c r="GQ82" s="200"/>
      <c r="GR82" s="125"/>
      <c r="GS82" s="41"/>
      <c r="GT82" s="41"/>
      <c r="GU82" s="41"/>
      <c r="GV82" s="41"/>
      <c r="GW82" s="199"/>
      <c r="GX82" s="200"/>
      <c r="GY82" s="125"/>
      <c r="GZ82" s="41"/>
      <c r="HA82" s="41"/>
      <c r="HB82" s="41"/>
      <c r="HC82" s="41"/>
      <c r="HD82" s="199"/>
      <c r="HE82" s="200"/>
    </row>
    <row r="83" spans="2:213" x14ac:dyDescent="0.3">
      <c r="B83" s="38">
        <v>48575</v>
      </c>
      <c r="C83" s="9">
        <v>35</v>
      </c>
      <c r="D83" s="10" t="str">
        <f t="shared" si="10"/>
        <v>X</v>
      </c>
      <c r="E83" s="11" t="str">
        <f t="shared" si="9"/>
        <v>48575X</v>
      </c>
      <c r="F83" s="193" t="s">
        <v>20</v>
      </c>
      <c r="G83" s="183" t="s">
        <v>26</v>
      </c>
      <c r="H83" s="146" t="s">
        <v>9</v>
      </c>
      <c r="I83" s="159" t="s">
        <v>377</v>
      </c>
      <c r="J83" s="160" t="s">
        <v>184</v>
      </c>
      <c r="K83" s="125" t="s">
        <v>459</v>
      </c>
      <c r="L83" s="41" t="s">
        <v>459</v>
      </c>
      <c r="M83" s="41" t="s">
        <v>459</v>
      </c>
      <c r="N83" s="41" t="s">
        <v>459</v>
      </c>
      <c r="O83" s="41" t="s">
        <v>459</v>
      </c>
      <c r="P83" s="199"/>
      <c r="Q83" s="200"/>
      <c r="R83" s="125" t="s">
        <v>459</v>
      </c>
      <c r="S83" s="41" t="s">
        <v>459</v>
      </c>
      <c r="T83" s="41" t="s">
        <v>459</v>
      </c>
      <c r="U83" s="41" t="s">
        <v>459</v>
      </c>
      <c r="V83" s="41" t="s">
        <v>459</v>
      </c>
      <c r="W83" s="199"/>
      <c r="X83" s="200"/>
      <c r="Y83" s="125"/>
      <c r="Z83" s="41"/>
      <c r="AA83" s="41"/>
      <c r="AB83" s="41"/>
      <c r="AC83" s="41"/>
      <c r="AD83" s="199"/>
      <c r="AE83" s="200"/>
      <c r="AF83" s="125"/>
      <c r="AG83" s="41"/>
      <c r="AH83" s="41"/>
      <c r="AI83" s="41"/>
      <c r="AJ83" s="41"/>
      <c r="AK83" s="199"/>
      <c r="AL83" s="200"/>
      <c r="AM83" s="125"/>
      <c r="AN83" s="41"/>
      <c r="AO83" s="41"/>
      <c r="AP83" s="41"/>
      <c r="AQ83" s="41"/>
      <c r="AR83" s="199"/>
      <c r="AS83" s="200"/>
      <c r="AT83" s="125"/>
      <c r="AU83" s="41"/>
      <c r="AV83" s="41"/>
      <c r="AW83" s="41"/>
      <c r="AX83" s="41"/>
      <c r="AY83" s="199"/>
      <c r="AZ83" s="200"/>
      <c r="BA83" s="125"/>
      <c r="BB83" s="41"/>
      <c r="BC83" s="41"/>
      <c r="BD83" s="41"/>
      <c r="BE83" s="41"/>
      <c r="BF83" s="199"/>
      <c r="BG83" s="200"/>
      <c r="BH83" s="125"/>
      <c r="BI83" s="41"/>
      <c r="BJ83" s="41"/>
      <c r="BK83" s="41"/>
      <c r="BL83" s="41"/>
      <c r="BM83" s="199"/>
      <c r="BN83" s="200"/>
      <c r="BO83" s="125"/>
      <c r="BP83" s="41"/>
      <c r="BQ83" s="41"/>
      <c r="BR83" s="41"/>
      <c r="BS83" s="41"/>
      <c r="BT83" s="199"/>
      <c r="BU83" s="200"/>
      <c r="BV83" s="125"/>
      <c r="BW83" s="41"/>
      <c r="BX83" s="41"/>
      <c r="BY83" s="41"/>
      <c r="BZ83" s="41"/>
      <c r="CA83" s="199"/>
      <c r="CB83" s="200"/>
      <c r="CC83" s="125"/>
      <c r="CD83" s="41"/>
      <c r="CE83" s="41"/>
      <c r="CF83" s="41"/>
      <c r="CG83" s="41"/>
      <c r="CH83" s="199"/>
      <c r="CI83" s="200"/>
      <c r="CJ83" s="125"/>
      <c r="CK83" s="41"/>
      <c r="CL83" s="41"/>
      <c r="CM83" s="41"/>
      <c r="CN83" s="41"/>
      <c r="CO83" s="199"/>
      <c r="CP83" s="200"/>
      <c r="CQ83" s="125"/>
      <c r="CR83" s="41"/>
      <c r="CS83" s="41"/>
      <c r="CT83" s="41"/>
      <c r="CU83" s="41"/>
      <c r="CV83" s="199"/>
      <c r="CW83" s="200"/>
      <c r="CX83" s="125"/>
      <c r="CY83" s="41"/>
      <c r="CZ83" s="41"/>
      <c r="DA83" s="41"/>
      <c r="DB83" s="41"/>
      <c r="DC83" s="199"/>
      <c r="DD83" s="200"/>
      <c r="DE83" s="125"/>
      <c r="DF83" s="41"/>
      <c r="DG83" s="41"/>
      <c r="DH83" s="41"/>
      <c r="DI83" s="41"/>
      <c r="DJ83" s="199"/>
      <c r="DK83" s="200"/>
      <c r="DL83" s="125"/>
      <c r="DM83" s="41"/>
      <c r="DN83" s="41"/>
      <c r="DO83" s="41"/>
      <c r="DP83" s="41"/>
      <c r="DQ83" s="199"/>
      <c r="DR83" s="200"/>
      <c r="DS83" s="125"/>
      <c r="DT83" s="41"/>
      <c r="DU83" s="41"/>
      <c r="DV83" s="41"/>
      <c r="DW83" s="41"/>
      <c r="DX83" s="199"/>
      <c r="DY83" s="200"/>
      <c r="DZ83" s="125"/>
      <c r="EA83" s="41"/>
      <c r="EB83" s="41"/>
      <c r="EC83" s="41"/>
      <c r="ED83" s="41"/>
      <c r="EE83" s="199"/>
      <c r="EF83" s="200"/>
      <c r="EG83" s="125"/>
      <c r="EH83" s="41"/>
      <c r="EI83" s="41"/>
      <c r="EJ83" s="41"/>
      <c r="EK83" s="41"/>
      <c r="EL83" s="199"/>
      <c r="EM83" s="200"/>
      <c r="EN83" s="125"/>
      <c r="EO83" s="41"/>
      <c r="EP83" s="41"/>
      <c r="EQ83" s="41"/>
      <c r="ER83" s="41"/>
      <c r="ES83" s="199"/>
      <c r="ET83" s="200"/>
      <c r="EU83" s="125"/>
      <c r="EV83" s="41"/>
      <c r="EW83" s="41"/>
      <c r="EX83" s="41"/>
      <c r="EY83" s="41"/>
      <c r="EZ83" s="199"/>
      <c r="FA83" s="200"/>
      <c r="FB83" s="125"/>
      <c r="FC83" s="41"/>
      <c r="FD83" s="41"/>
      <c r="FE83" s="41"/>
      <c r="FF83" s="41"/>
      <c r="FG83" s="199"/>
      <c r="FH83" s="200"/>
      <c r="FI83" s="125"/>
      <c r="FJ83" s="41"/>
      <c r="FK83" s="41"/>
      <c r="FL83" s="41"/>
      <c r="FM83" s="41"/>
      <c r="FN83" s="199"/>
      <c r="FO83" s="200"/>
      <c r="FP83" s="125"/>
      <c r="FQ83" s="41"/>
      <c r="FR83" s="41"/>
      <c r="FS83" s="41"/>
      <c r="FT83" s="41"/>
      <c r="FU83" s="199"/>
      <c r="FV83" s="200"/>
      <c r="FW83" s="125"/>
      <c r="FX83" s="41"/>
      <c r="FY83" s="41"/>
      <c r="FZ83" s="41"/>
      <c r="GA83" s="41"/>
      <c r="GB83" s="199"/>
      <c r="GC83" s="200"/>
      <c r="GD83" s="125"/>
      <c r="GE83" s="41"/>
      <c r="GF83" s="41"/>
      <c r="GG83" s="41"/>
      <c r="GH83" s="41"/>
      <c r="GI83" s="199"/>
      <c r="GJ83" s="200"/>
      <c r="GK83" s="125"/>
      <c r="GL83" s="41"/>
      <c r="GM83" s="41"/>
      <c r="GN83" s="41"/>
      <c r="GO83" s="41"/>
      <c r="GP83" s="199"/>
      <c r="GQ83" s="200"/>
      <c r="GR83" s="125"/>
      <c r="GS83" s="41"/>
      <c r="GT83" s="41"/>
      <c r="GU83" s="41"/>
      <c r="GV83" s="41"/>
      <c r="GW83" s="199"/>
      <c r="GX83" s="200"/>
      <c r="GY83" s="125"/>
      <c r="GZ83" s="41"/>
      <c r="HA83" s="41"/>
      <c r="HB83" s="41"/>
      <c r="HC83" s="41"/>
      <c r="HD83" s="199"/>
      <c r="HE83" s="200"/>
    </row>
    <row r="84" spans="2:213" x14ac:dyDescent="0.3">
      <c r="B84" s="45">
        <v>107228</v>
      </c>
      <c r="C84" s="9">
        <v>35</v>
      </c>
      <c r="D84" s="46" t="s">
        <v>19</v>
      </c>
      <c r="E84" s="47" t="str">
        <f t="shared" si="9"/>
        <v>107228X</v>
      </c>
      <c r="F84" s="193" t="s">
        <v>20</v>
      </c>
      <c r="G84" s="184" t="s">
        <v>8</v>
      </c>
      <c r="H84" s="146" t="s">
        <v>9</v>
      </c>
      <c r="I84" s="161" t="s">
        <v>24</v>
      </c>
      <c r="J84" s="162" t="s">
        <v>25</v>
      </c>
      <c r="K84" s="125" t="s">
        <v>459</v>
      </c>
      <c r="L84" s="41" t="s">
        <v>459</v>
      </c>
      <c r="M84" s="41" t="s">
        <v>459</v>
      </c>
      <c r="N84" s="41" t="s">
        <v>459</v>
      </c>
      <c r="O84" s="41" t="s">
        <v>459</v>
      </c>
      <c r="P84" s="199"/>
      <c r="Q84" s="200"/>
      <c r="R84" s="125" t="s">
        <v>459</v>
      </c>
      <c r="S84" s="41" t="s">
        <v>459</v>
      </c>
      <c r="T84" s="41" t="s">
        <v>459</v>
      </c>
      <c r="U84" s="41" t="s">
        <v>459</v>
      </c>
      <c r="V84" s="41" t="s">
        <v>459</v>
      </c>
      <c r="W84" s="199"/>
      <c r="X84" s="200"/>
      <c r="Y84" s="125"/>
      <c r="Z84" s="41"/>
      <c r="AA84" s="41"/>
      <c r="AB84" s="41"/>
      <c r="AC84" s="41"/>
      <c r="AD84" s="199"/>
      <c r="AE84" s="200"/>
      <c r="AF84" s="125"/>
      <c r="AG84" s="41"/>
      <c r="AH84" s="41"/>
      <c r="AI84" s="41"/>
      <c r="AJ84" s="41"/>
      <c r="AK84" s="199"/>
      <c r="AL84" s="200"/>
      <c r="AM84" s="125"/>
      <c r="AN84" s="41"/>
      <c r="AO84" s="41"/>
      <c r="AP84" s="41"/>
      <c r="AQ84" s="41"/>
      <c r="AR84" s="199"/>
      <c r="AS84" s="200"/>
      <c r="AT84" s="125"/>
      <c r="AU84" s="41"/>
      <c r="AV84" s="41"/>
      <c r="AW84" s="41"/>
      <c r="AX84" s="41"/>
      <c r="AY84" s="199"/>
      <c r="AZ84" s="200"/>
      <c r="BA84" s="125"/>
      <c r="BB84" s="41"/>
      <c r="BC84" s="41"/>
      <c r="BD84" s="41"/>
      <c r="BE84" s="41"/>
      <c r="BF84" s="199"/>
      <c r="BG84" s="200"/>
      <c r="BH84" s="125"/>
      <c r="BI84" s="41"/>
      <c r="BJ84" s="41"/>
      <c r="BK84" s="41"/>
      <c r="BL84" s="41"/>
      <c r="BM84" s="199"/>
      <c r="BN84" s="200"/>
      <c r="BO84" s="125"/>
      <c r="BP84" s="41"/>
      <c r="BQ84" s="41"/>
      <c r="BR84" s="41"/>
      <c r="BS84" s="41"/>
      <c r="BT84" s="199"/>
      <c r="BU84" s="200"/>
      <c r="BV84" s="125"/>
      <c r="BW84" s="41"/>
      <c r="BX84" s="41"/>
      <c r="BY84" s="41"/>
      <c r="BZ84" s="41"/>
      <c r="CA84" s="199"/>
      <c r="CB84" s="200"/>
      <c r="CC84" s="125"/>
      <c r="CD84" s="41"/>
      <c r="CE84" s="41"/>
      <c r="CF84" s="41"/>
      <c r="CG84" s="41"/>
      <c r="CH84" s="199"/>
      <c r="CI84" s="200"/>
      <c r="CJ84" s="125"/>
      <c r="CK84" s="41"/>
      <c r="CL84" s="41"/>
      <c r="CM84" s="41"/>
      <c r="CN84" s="41"/>
      <c r="CO84" s="199"/>
      <c r="CP84" s="200"/>
      <c r="CQ84" s="125"/>
      <c r="CR84" s="41"/>
      <c r="CS84" s="41"/>
      <c r="CT84" s="41"/>
      <c r="CU84" s="41"/>
      <c r="CV84" s="199"/>
      <c r="CW84" s="200"/>
      <c r="CX84" s="125"/>
      <c r="CY84" s="41"/>
      <c r="CZ84" s="41"/>
      <c r="DA84" s="41"/>
      <c r="DB84" s="41"/>
      <c r="DC84" s="199"/>
      <c r="DD84" s="200"/>
      <c r="DE84" s="125"/>
      <c r="DF84" s="41"/>
      <c r="DG84" s="41"/>
      <c r="DH84" s="41"/>
      <c r="DI84" s="41"/>
      <c r="DJ84" s="199"/>
      <c r="DK84" s="200"/>
      <c r="DL84" s="125"/>
      <c r="DM84" s="41"/>
      <c r="DN84" s="41"/>
      <c r="DO84" s="41"/>
      <c r="DP84" s="41"/>
      <c r="DQ84" s="199"/>
      <c r="DR84" s="200"/>
      <c r="DS84" s="125"/>
      <c r="DT84" s="41"/>
      <c r="DU84" s="41"/>
      <c r="DV84" s="41"/>
      <c r="DW84" s="41"/>
      <c r="DX84" s="199"/>
      <c r="DY84" s="200"/>
      <c r="DZ84" s="125"/>
      <c r="EA84" s="41"/>
      <c r="EB84" s="41"/>
      <c r="EC84" s="41"/>
      <c r="ED84" s="41"/>
      <c r="EE84" s="199"/>
      <c r="EF84" s="200"/>
      <c r="EG84" s="125"/>
      <c r="EH84" s="41"/>
      <c r="EI84" s="41"/>
      <c r="EJ84" s="41"/>
      <c r="EK84" s="41"/>
      <c r="EL84" s="199"/>
      <c r="EM84" s="200"/>
      <c r="EN84" s="125"/>
      <c r="EO84" s="41"/>
      <c r="EP84" s="41"/>
      <c r="EQ84" s="41"/>
      <c r="ER84" s="41"/>
      <c r="ES84" s="199"/>
      <c r="ET84" s="200"/>
      <c r="EU84" s="125"/>
      <c r="EV84" s="41"/>
      <c r="EW84" s="41"/>
      <c r="EX84" s="41"/>
      <c r="EY84" s="41"/>
      <c r="EZ84" s="199"/>
      <c r="FA84" s="200"/>
      <c r="FB84" s="125"/>
      <c r="FC84" s="41"/>
      <c r="FD84" s="41"/>
      <c r="FE84" s="41"/>
      <c r="FF84" s="41"/>
      <c r="FG84" s="199"/>
      <c r="FH84" s="200"/>
      <c r="FI84" s="125"/>
      <c r="FJ84" s="41"/>
      <c r="FK84" s="41"/>
      <c r="FL84" s="41"/>
      <c r="FM84" s="41"/>
      <c r="FN84" s="199"/>
      <c r="FO84" s="200"/>
      <c r="FP84" s="125"/>
      <c r="FQ84" s="41"/>
      <c r="FR84" s="41"/>
      <c r="FS84" s="41"/>
      <c r="FT84" s="41"/>
      <c r="FU84" s="199"/>
      <c r="FV84" s="200"/>
      <c r="FW84" s="125"/>
      <c r="FX84" s="41"/>
      <c r="FY84" s="41"/>
      <c r="FZ84" s="41"/>
      <c r="GA84" s="41"/>
      <c r="GB84" s="199"/>
      <c r="GC84" s="200"/>
      <c r="GD84" s="125"/>
      <c r="GE84" s="41"/>
      <c r="GF84" s="41"/>
      <c r="GG84" s="41"/>
      <c r="GH84" s="41"/>
      <c r="GI84" s="199"/>
      <c r="GJ84" s="200"/>
      <c r="GK84" s="125"/>
      <c r="GL84" s="41"/>
      <c r="GM84" s="41"/>
      <c r="GN84" s="41"/>
      <c r="GO84" s="41"/>
      <c r="GP84" s="199"/>
      <c r="GQ84" s="200"/>
      <c r="GR84" s="125"/>
      <c r="GS84" s="41"/>
      <c r="GT84" s="41"/>
      <c r="GU84" s="41"/>
      <c r="GV84" s="41"/>
      <c r="GW84" s="199"/>
      <c r="GX84" s="200"/>
      <c r="GY84" s="125"/>
      <c r="GZ84" s="41"/>
      <c r="HA84" s="41"/>
      <c r="HB84" s="41"/>
      <c r="HC84" s="41"/>
      <c r="HD84" s="199"/>
      <c r="HE84" s="200"/>
    </row>
    <row r="85" spans="2:213" x14ac:dyDescent="0.3">
      <c r="B85" s="8">
        <v>54394</v>
      </c>
      <c r="C85" s="9">
        <v>39</v>
      </c>
      <c r="D85" s="10" t="str">
        <f>IF(G85="","","X")</f>
        <v>X</v>
      </c>
      <c r="E85" s="11" t="str">
        <f t="shared" si="9"/>
        <v>54394X</v>
      </c>
      <c r="F85" s="193" t="s">
        <v>20</v>
      </c>
      <c r="G85" s="183" t="s">
        <v>8</v>
      </c>
      <c r="H85" s="146" t="s">
        <v>9</v>
      </c>
      <c r="I85" s="155" t="s">
        <v>56</v>
      </c>
      <c r="J85" s="156" t="s">
        <v>57</v>
      </c>
      <c r="K85" s="125" t="s">
        <v>459</v>
      </c>
      <c r="L85" s="41" t="s">
        <v>459</v>
      </c>
      <c r="M85" s="41" t="s">
        <v>459</v>
      </c>
      <c r="N85" s="41" t="s">
        <v>459</v>
      </c>
      <c r="O85" s="41" t="s">
        <v>459</v>
      </c>
      <c r="P85" s="199"/>
      <c r="Q85" s="200"/>
      <c r="R85" s="125" t="s">
        <v>459</v>
      </c>
      <c r="S85" s="41" t="s">
        <v>459</v>
      </c>
      <c r="T85" s="41" t="s">
        <v>459</v>
      </c>
      <c r="U85" s="41" t="s">
        <v>459</v>
      </c>
      <c r="V85" s="41" t="s">
        <v>459</v>
      </c>
      <c r="W85" s="199"/>
      <c r="X85" s="200"/>
      <c r="Y85" s="125"/>
      <c r="Z85" s="41"/>
      <c r="AA85" s="41"/>
      <c r="AB85" s="41"/>
      <c r="AC85" s="41"/>
      <c r="AD85" s="199"/>
      <c r="AE85" s="200"/>
      <c r="AF85" s="125"/>
      <c r="AG85" s="41"/>
      <c r="AH85" s="41"/>
      <c r="AI85" s="41"/>
      <c r="AJ85" s="41"/>
      <c r="AK85" s="199"/>
      <c r="AL85" s="200"/>
      <c r="AM85" s="125"/>
      <c r="AN85" s="41"/>
      <c r="AO85" s="41"/>
      <c r="AP85" s="41"/>
      <c r="AQ85" s="41"/>
      <c r="AR85" s="199"/>
      <c r="AS85" s="200"/>
      <c r="AT85" s="125"/>
      <c r="AU85" s="41"/>
      <c r="AV85" s="41"/>
      <c r="AW85" s="41"/>
      <c r="AX85" s="41"/>
      <c r="AY85" s="199"/>
      <c r="AZ85" s="200"/>
      <c r="BA85" s="125"/>
      <c r="BB85" s="41"/>
      <c r="BC85" s="41"/>
      <c r="BD85" s="41"/>
      <c r="BE85" s="41"/>
      <c r="BF85" s="199"/>
      <c r="BG85" s="200"/>
      <c r="BH85" s="125"/>
      <c r="BI85" s="41"/>
      <c r="BJ85" s="41"/>
      <c r="BK85" s="41"/>
      <c r="BL85" s="41"/>
      <c r="BM85" s="199"/>
      <c r="BN85" s="200"/>
      <c r="BO85" s="125"/>
      <c r="BP85" s="41"/>
      <c r="BQ85" s="41"/>
      <c r="BR85" s="41"/>
      <c r="BS85" s="41"/>
      <c r="BT85" s="199"/>
      <c r="BU85" s="200"/>
      <c r="BV85" s="125"/>
      <c r="BW85" s="41"/>
      <c r="BX85" s="41"/>
      <c r="BY85" s="41"/>
      <c r="BZ85" s="41"/>
      <c r="CA85" s="199"/>
      <c r="CB85" s="200"/>
      <c r="CC85" s="125"/>
      <c r="CD85" s="41"/>
      <c r="CE85" s="41"/>
      <c r="CF85" s="41"/>
      <c r="CG85" s="41"/>
      <c r="CH85" s="199"/>
      <c r="CI85" s="200"/>
      <c r="CJ85" s="125"/>
      <c r="CK85" s="41"/>
      <c r="CL85" s="41"/>
      <c r="CM85" s="41"/>
      <c r="CN85" s="41"/>
      <c r="CO85" s="199"/>
      <c r="CP85" s="200"/>
      <c r="CQ85" s="125"/>
      <c r="CR85" s="41"/>
      <c r="CS85" s="41"/>
      <c r="CT85" s="41"/>
      <c r="CU85" s="41"/>
      <c r="CV85" s="199"/>
      <c r="CW85" s="200"/>
      <c r="CX85" s="125"/>
      <c r="CY85" s="41"/>
      <c r="CZ85" s="41"/>
      <c r="DA85" s="41"/>
      <c r="DB85" s="41"/>
      <c r="DC85" s="199"/>
      <c r="DD85" s="200"/>
      <c r="DE85" s="125"/>
      <c r="DF85" s="41"/>
      <c r="DG85" s="41"/>
      <c r="DH85" s="41"/>
      <c r="DI85" s="41"/>
      <c r="DJ85" s="199"/>
      <c r="DK85" s="200"/>
      <c r="DL85" s="125"/>
      <c r="DM85" s="41"/>
      <c r="DN85" s="41"/>
      <c r="DO85" s="41"/>
      <c r="DP85" s="41"/>
      <c r="DQ85" s="199"/>
      <c r="DR85" s="200"/>
      <c r="DS85" s="125"/>
      <c r="DT85" s="41"/>
      <c r="DU85" s="41"/>
      <c r="DV85" s="41"/>
      <c r="DW85" s="41"/>
      <c r="DX85" s="199"/>
      <c r="DY85" s="200"/>
      <c r="DZ85" s="125"/>
      <c r="EA85" s="41"/>
      <c r="EB85" s="41"/>
      <c r="EC85" s="41"/>
      <c r="ED85" s="41"/>
      <c r="EE85" s="199"/>
      <c r="EF85" s="200"/>
      <c r="EG85" s="125"/>
      <c r="EH85" s="41"/>
      <c r="EI85" s="41"/>
      <c r="EJ85" s="41"/>
      <c r="EK85" s="41"/>
      <c r="EL85" s="199"/>
      <c r="EM85" s="200"/>
      <c r="EN85" s="125"/>
      <c r="EO85" s="41"/>
      <c r="EP85" s="41"/>
      <c r="EQ85" s="41"/>
      <c r="ER85" s="41"/>
      <c r="ES85" s="199"/>
      <c r="ET85" s="200"/>
      <c r="EU85" s="125"/>
      <c r="EV85" s="41"/>
      <c r="EW85" s="41"/>
      <c r="EX85" s="41"/>
      <c r="EY85" s="41"/>
      <c r="EZ85" s="199"/>
      <c r="FA85" s="200"/>
      <c r="FB85" s="125"/>
      <c r="FC85" s="41"/>
      <c r="FD85" s="41"/>
      <c r="FE85" s="41"/>
      <c r="FF85" s="41"/>
      <c r="FG85" s="199"/>
      <c r="FH85" s="200"/>
      <c r="FI85" s="125"/>
      <c r="FJ85" s="41"/>
      <c r="FK85" s="41"/>
      <c r="FL85" s="41"/>
      <c r="FM85" s="41"/>
      <c r="FN85" s="199"/>
      <c r="FO85" s="200"/>
      <c r="FP85" s="125"/>
      <c r="FQ85" s="41"/>
      <c r="FR85" s="41"/>
      <c r="FS85" s="41"/>
      <c r="FT85" s="41"/>
      <c r="FU85" s="199"/>
      <c r="FV85" s="200"/>
      <c r="FW85" s="125"/>
      <c r="FX85" s="41"/>
      <c r="FY85" s="41"/>
      <c r="FZ85" s="41"/>
      <c r="GA85" s="41"/>
      <c r="GB85" s="199"/>
      <c r="GC85" s="200"/>
      <c r="GD85" s="125"/>
      <c r="GE85" s="41"/>
      <c r="GF85" s="41"/>
      <c r="GG85" s="41"/>
      <c r="GH85" s="41"/>
      <c r="GI85" s="199"/>
      <c r="GJ85" s="200"/>
      <c r="GK85" s="125"/>
      <c r="GL85" s="41"/>
      <c r="GM85" s="41"/>
      <c r="GN85" s="41"/>
      <c r="GO85" s="41"/>
      <c r="GP85" s="199"/>
      <c r="GQ85" s="200"/>
      <c r="GR85" s="125"/>
      <c r="GS85" s="41"/>
      <c r="GT85" s="41"/>
      <c r="GU85" s="41"/>
      <c r="GV85" s="41"/>
      <c r="GW85" s="199"/>
      <c r="GX85" s="200"/>
      <c r="GY85" s="125"/>
      <c r="GZ85" s="41"/>
      <c r="HA85" s="41"/>
      <c r="HB85" s="41"/>
      <c r="HC85" s="41"/>
      <c r="HD85" s="199"/>
      <c r="HE85" s="200"/>
    </row>
    <row r="86" spans="2:213" x14ac:dyDescent="0.3">
      <c r="B86" s="8">
        <v>18596</v>
      </c>
      <c r="C86" s="9">
        <v>39</v>
      </c>
      <c r="D86" s="10" t="str">
        <f>IF(G86="","","X")</f>
        <v>X</v>
      </c>
      <c r="E86" s="11" t="str">
        <f t="shared" si="9"/>
        <v>18596X</v>
      </c>
      <c r="F86" s="193" t="s">
        <v>20</v>
      </c>
      <c r="G86" s="184" t="s">
        <v>8</v>
      </c>
      <c r="H86" s="146" t="s">
        <v>9</v>
      </c>
      <c r="I86" s="157" t="s">
        <v>107</v>
      </c>
      <c r="J86" s="158" t="s">
        <v>108</v>
      </c>
      <c r="K86" s="125" t="s">
        <v>459</v>
      </c>
      <c r="L86" s="41" t="s">
        <v>459</v>
      </c>
      <c r="M86" s="41" t="s">
        <v>459</v>
      </c>
      <c r="N86" s="41" t="s">
        <v>459</v>
      </c>
      <c r="O86" s="41" t="s">
        <v>459</v>
      </c>
      <c r="P86" s="199"/>
      <c r="Q86" s="200"/>
      <c r="R86" s="125" t="s">
        <v>459</v>
      </c>
      <c r="S86" s="41" t="s">
        <v>459</v>
      </c>
      <c r="T86" s="41" t="s">
        <v>459</v>
      </c>
      <c r="U86" s="41" t="s">
        <v>459</v>
      </c>
      <c r="V86" s="41" t="s">
        <v>459</v>
      </c>
      <c r="W86" s="199"/>
      <c r="X86" s="200"/>
      <c r="Y86" s="125"/>
      <c r="Z86" s="41"/>
      <c r="AA86" s="41"/>
      <c r="AB86" s="41"/>
      <c r="AC86" s="41"/>
      <c r="AD86" s="199"/>
      <c r="AE86" s="200"/>
      <c r="AF86" s="125"/>
      <c r="AG86" s="41"/>
      <c r="AH86" s="41"/>
      <c r="AI86" s="41"/>
      <c r="AJ86" s="41"/>
      <c r="AK86" s="199"/>
      <c r="AL86" s="200"/>
      <c r="AM86" s="125"/>
      <c r="AN86" s="41"/>
      <c r="AO86" s="41"/>
      <c r="AP86" s="41"/>
      <c r="AQ86" s="41"/>
      <c r="AR86" s="199"/>
      <c r="AS86" s="200"/>
      <c r="AT86" s="125"/>
      <c r="AU86" s="41"/>
      <c r="AV86" s="41"/>
      <c r="AW86" s="41"/>
      <c r="AX86" s="41"/>
      <c r="AY86" s="199"/>
      <c r="AZ86" s="200"/>
      <c r="BA86" s="125"/>
      <c r="BB86" s="41"/>
      <c r="BC86" s="41"/>
      <c r="BD86" s="41"/>
      <c r="BE86" s="41"/>
      <c r="BF86" s="199"/>
      <c r="BG86" s="200"/>
      <c r="BH86" s="125"/>
      <c r="BI86" s="41"/>
      <c r="BJ86" s="41"/>
      <c r="BK86" s="41"/>
      <c r="BL86" s="41"/>
      <c r="BM86" s="199"/>
      <c r="BN86" s="200"/>
      <c r="BO86" s="125"/>
      <c r="BP86" s="41"/>
      <c r="BQ86" s="41"/>
      <c r="BR86" s="41"/>
      <c r="BS86" s="41"/>
      <c r="BT86" s="199"/>
      <c r="BU86" s="200"/>
      <c r="BV86" s="125"/>
      <c r="BW86" s="41"/>
      <c r="BX86" s="41"/>
      <c r="BY86" s="41"/>
      <c r="BZ86" s="41"/>
      <c r="CA86" s="199"/>
      <c r="CB86" s="200"/>
      <c r="CC86" s="125"/>
      <c r="CD86" s="41"/>
      <c r="CE86" s="41"/>
      <c r="CF86" s="41"/>
      <c r="CG86" s="41"/>
      <c r="CH86" s="199"/>
      <c r="CI86" s="200"/>
      <c r="CJ86" s="125"/>
      <c r="CK86" s="41"/>
      <c r="CL86" s="41"/>
      <c r="CM86" s="41"/>
      <c r="CN86" s="41"/>
      <c r="CO86" s="199"/>
      <c r="CP86" s="200"/>
      <c r="CQ86" s="125"/>
      <c r="CR86" s="41"/>
      <c r="CS86" s="41"/>
      <c r="CT86" s="41"/>
      <c r="CU86" s="41"/>
      <c r="CV86" s="199"/>
      <c r="CW86" s="200"/>
      <c r="CX86" s="125"/>
      <c r="CY86" s="41"/>
      <c r="CZ86" s="41"/>
      <c r="DA86" s="41"/>
      <c r="DB86" s="41"/>
      <c r="DC86" s="199"/>
      <c r="DD86" s="200"/>
      <c r="DE86" s="125"/>
      <c r="DF86" s="41"/>
      <c r="DG86" s="41"/>
      <c r="DH86" s="41"/>
      <c r="DI86" s="41"/>
      <c r="DJ86" s="199"/>
      <c r="DK86" s="200"/>
      <c r="DL86" s="125"/>
      <c r="DM86" s="41"/>
      <c r="DN86" s="41"/>
      <c r="DO86" s="41"/>
      <c r="DP86" s="41"/>
      <c r="DQ86" s="199"/>
      <c r="DR86" s="200"/>
      <c r="DS86" s="125"/>
      <c r="DT86" s="41"/>
      <c r="DU86" s="41"/>
      <c r="DV86" s="41"/>
      <c r="DW86" s="41"/>
      <c r="DX86" s="199"/>
      <c r="DY86" s="200"/>
      <c r="DZ86" s="125"/>
      <c r="EA86" s="41"/>
      <c r="EB86" s="41"/>
      <c r="EC86" s="41"/>
      <c r="ED86" s="41"/>
      <c r="EE86" s="199"/>
      <c r="EF86" s="200"/>
      <c r="EG86" s="125"/>
      <c r="EH86" s="41"/>
      <c r="EI86" s="41"/>
      <c r="EJ86" s="41"/>
      <c r="EK86" s="41"/>
      <c r="EL86" s="199"/>
      <c r="EM86" s="200"/>
      <c r="EN86" s="125"/>
      <c r="EO86" s="41"/>
      <c r="EP86" s="41"/>
      <c r="EQ86" s="41"/>
      <c r="ER86" s="41"/>
      <c r="ES86" s="199"/>
      <c r="ET86" s="200"/>
      <c r="EU86" s="125"/>
      <c r="EV86" s="41"/>
      <c r="EW86" s="41"/>
      <c r="EX86" s="41"/>
      <c r="EY86" s="41"/>
      <c r="EZ86" s="199"/>
      <c r="FA86" s="200"/>
      <c r="FB86" s="125"/>
      <c r="FC86" s="41"/>
      <c r="FD86" s="41"/>
      <c r="FE86" s="41"/>
      <c r="FF86" s="41"/>
      <c r="FG86" s="199"/>
      <c r="FH86" s="200"/>
      <c r="FI86" s="125"/>
      <c r="FJ86" s="41"/>
      <c r="FK86" s="41"/>
      <c r="FL86" s="41"/>
      <c r="FM86" s="41"/>
      <c r="FN86" s="199"/>
      <c r="FO86" s="200"/>
      <c r="FP86" s="125"/>
      <c r="FQ86" s="41"/>
      <c r="FR86" s="41"/>
      <c r="FS86" s="41"/>
      <c r="FT86" s="41"/>
      <c r="FU86" s="199"/>
      <c r="FV86" s="200"/>
      <c r="FW86" s="125"/>
      <c r="FX86" s="41"/>
      <c r="FY86" s="41"/>
      <c r="FZ86" s="41"/>
      <c r="GA86" s="41"/>
      <c r="GB86" s="199"/>
      <c r="GC86" s="200"/>
      <c r="GD86" s="125"/>
      <c r="GE86" s="41"/>
      <c r="GF86" s="41"/>
      <c r="GG86" s="41"/>
      <c r="GH86" s="41"/>
      <c r="GI86" s="199"/>
      <c r="GJ86" s="200"/>
      <c r="GK86" s="125"/>
      <c r="GL86" s="41"/>
      <c r="GM86" s="41"/>
      <c r="GN86" s="41"/>
      <c r="GO86" s="41"/>
      <c r="GP86" s="199"/>
      <c r="GQ86" s="200"/>
      <c r="GR86" s="125"/>
      <c r="GS86" s="41"/>
      <c r="GT86" s="41"/>
      <c r="GU86" s="41"/>
      <c r="GV86" s="41"/>
      <c r="GW86" s="199"/>
      <c r="GX86" s="200"/>
      <c r="GY86" s="125"/>
      <c r="GZ86" s="41"/>
      <c r="HA86" s="41"/>
      <c r="HB86" s="41"/>
      <c r="HC86" s="41"/>
      <c r="HD86" s="199"/>
      <c r="HE86" s="200"/>
    </row>
    <row r="87" spans="2:213" x14ac:dyDescent="0.3">
      <c r="B87" s="24" t="s">
        <v>18</v>
      </c>
      <c r="C87" s="25">
        <v>35</v>
      </c>
      <c r="D87" s="26" t="s">
        <v>19</v>
      </c>
      <c r="E87" s="26" t="str">
        <f t="shared" si="9"/>
        <v>IX</v>
      </c>
      <c r="F87" s="193" t="s">
        <v>20</v>
      </c>
      <c r="G87" s="184" t="s">
        <v>8</v>
      </c>
      <c r="H87" s="146" t="s">
        <v>9</v>
      </c>
      <c r="I87" s="157" t="s">
        <v>117</v>
      </c>
      <c r="J87" s="158" t="s">
        <v>119</v>
      </c>
      <c r="K87" s="125" t="s">
        <v>459</v>
      </c>
      <c r="L87" s="41" t="s">
        <v>459</v>
      </c>
      <c r="M87" s="41" t="s">
        <v>459</v>
      </c>
      <c r="N87" s="41" t="s">
        <v>459</v>
      </c>
      <c r="O87" s="41" t="s">
        <v>459</v>
      </c>
      <c r="P87" s="199"/>
      <c r="Q87" s="200"/>
      <c r="R87" s="125" t="s">
        <v>459</v>
      </c>
      <c r="S87" s="41" t="s">
        <v>459</v>
      </c>
      <c r="T87" s="41" t="s">
        <v>459</v>
      </c>
      <c r="U87" s="41" t="s">
        <v>459</v>
      </c>
      <c r="V87" s="41" t="s">
        <v>459</v>
      </c>
      <c r="W87" s="199"/>
      <c r="X87" s="200"/>
      <c r="Y87" s="125"/>
      <c r="Z87" s="41"/>
      <c r="AA87" s="41"/>
      <c r="AB87" s="41"/>
      <c r="AC87" s="41"/>
      <c r="AD87" s="199"/>
      <c r="AE87" s="200"/>
      <c r="AF87" s="125"/>
      <c r="AG87" s="41"/>
      <c r="AH87" s="41"/>
      <c r="AI87" s="41"/>
      <c r="AJ87" s="41"/>
      <c r="AK87" s="199"/>
      <c r="AL87" s="200"/>
      <c r="AM87" s="125"/>
      <c r="AN87" s="41"/>
      <c r="AO87" s="41"/>
      <c r="AP87" s="41"/>
      <c r="AQ87" s="41"/>
      <c r="AR87" s="199"/>
      <c r="AS87" s="200"/>
      <c r="AT87" s="125"/>
      <c r="AU87" s="41"/>
      <c r="AV87" s="41"/>
      <c r="AW87" s="41"/>
      <c r="AX87" s="41"/>
      <c r="AY87" s="199"/>
      <c r="AZ87" s="200"/>
      <c r="BA87" s="125"/>
      <c r="BB87" s="41"/>
      <c r="BC87" s="41"/>
      <c r="BD87" s="41"/>
      <c r="BE87" s="41"/>
      <c r="BF87" s="199"/>
      <c r="BG87" s="200"/>
      <c r="BH87" s="125"/>
      <c r="BI87" s="41"/>
      <c r="BJ87" s="41"/>
      <c r="BK87" s="41"/>
      <c r="BL87" s="41"/>
      <c r="BM87" s="199"/>
      <c r="BN87" s="200"/>
      <c r="BO87" s="125"/>
      <c r="BP87" s="41"/>
      <c r="BQ87" s="41"/>
      <c r="BR87" s="41"/>
      <c r="BS87" s="41"/>
      <c r="BT87" s="199"/>
      <c r="BU87" s="200"/>
      <c r="BV87" s="125"/>
      <c r="BW87" s="41"/>
      <c r="BX87" s="41"/>
      <c r="BY87" s="41"/>
      <c r="BZ87" s="41"/>
      <c r="CA87" s="199"/>
      <c r="CB87" s="200"/>
      <c r="CC87" s="125"/>
      <c r="CD87" s="41"/>
      <c r="CE87" s="41"/>
      <c r="CF87" s="41"/>
      <c r="CG87" s="41"/>
      <c r="CH87" s="199"/>
      <c r="CI87" s="200"/>
      <c r="CJ87" s="125"/>
      <c r="CK87" s="41"/>
      <c r="CL87" s="41"/>
      <c r="CM87" s="41"/>
      <c r="CN87" s="41"/>
      <c r="CO87" s="199"/>
      <c r="CP87" s="200"/>
      <c r="CQ87" s="125"/>
      <c r="CR87" s="41"/>
      <c r="CS87" s="41"/>
      <c r="CT87" s="41"/>
      <c r="CU87" s="41"/>
      <c r="CV87" s="199"/>
      <c r="CW87" s="200"/>
      <c r="CX87" s="125"/>
      <c r="CY87" s="41"/>
      <c r="CZ87" s="41"/>
      <c r="DA87" s="41"/>
      <c r="DB87" s="41"/>
      <c r="DC87" s="199"/>
      <c r="DD87" s="200"/>
      <c r="DE87" s="125"/>
      <c r="DF87" s="41"/>
      <c r="DG87" s="41"/>
      <c r="DH87" s="41"/>
      <c r="DI87" s="41"/>
      <c r="DJ87" s="199"/>
      <c r="DK87" s="200"/>
      <c r="DL87" s="125"/>
      <c r="DM87" s="41"/>
      <c r="DN87" s="41"/>
      <c r="DO87" s="41"/>
      <c r="DP87" s="41"/>
      <c r="DQ87" s="199"/>
      <c r="DR87" s="200"/>
      <c r="DS87" s="125"/>
      <c r="DT87" s="41"/>
      <c r="DU87" s="41"/>
      <c r="DV87" s="41"/>
      <c r="DW87" s="41"/>
      <c r="DX87" s="199"/>
      <c r="DY87" s="200"/>
      <c r="DZ87" s="125"/>
      <c r="EA87" s="41"/>
      <c r="EB87" s="41"/>
      <c r="EC87" s="41"/>
      <c r="ED87" s="41"/>
      <c r="EE87" s="199"/>
      <c r="EF87" s="200"/>
      <c r="EG87" s="125"/>
      <c r="EH87" s="41"/>
      <c r="EI87" s="41"/>
      <c r="EJ87" s="41"/>
      <c r="EK87" s="41"/>
      <c r="EL87" s="199"/>
      <c r="EM87" s="200"/>
      <c r="EN87" s="125"/>
      <c r="EO87" s="41"/>
      <c r="EP87" s="41"/>
      <c r="EQ87" s="41"/>
      <c r="ER87" s="41"/>
      <c r="ES87" s="199"/>
      <c r="ET87" s="200"/>
      <c r="EU87" s="125"/>
      <c r="EV87" s="41"/>
      <c r="EW87" s="41"/>
      <c r="EX87" s="41"/>
      <c r="EY87" s="41"/>
      <c r="EZ87" s="199"/>
      <c r="FA87" s="200"/>
      <c r="FB87" s="125"/>
      <c r="FC87" s="41"/>
      <c r="FD87" s="41"/>
      <c r="FE87" s="41"/>
      <c r="FF87" s="41"/>
      <c r="FG87" s="199"/>
      <c r="FH87" s="200"/>
      <c r="FI87" s="125"/>
      <c r="FJ87" s="41"/>
      <c r="FK87" s="41"/>
      <c r="FL87" s="41"/>
      <c r="FM87" s="41"/>
      <c r="FN87" s="199"/>
      <c r="FO87" s="200"/>
      <c r="FP87" s="125"/>
      <c r="FQ87" s="41"/>
      <c r="FR87" s="41"/>
      <c r="FS87" s="41"/>
      <c r="FT87" s="41"/>
      <c r="FU87" s="199"/>
      <c r="FV87" s="200"/>
      <c r="FW87" s="125"/>
      <c r="FX87" s="41"/>
      <c r="FY87" s="41"/>
      <c r="FZ87" s="41"/>
      <c r="GA87" s="41"/>
      <c r="GB87" s="199"/>
      <c r="GC87" s="200"/>
      <c r="GD87" s="125"/>
      <c r="GE87" s="41"/>
      <c r="GF87" s="41"/>
      <c r="GG87" s="41"/>
      <c r="GH87" s="41"/>
      <c r="GI87" s="199"/>
      <c r="GJ87" s="200"/>
      <c r="GK87" s="125"/>
      <c r="GL87" s="41"/>
      <c r="GM87" s="41"/>
      <c r="GN87" s="41"/>
      <c r="GO87" s="41"/>
      <c r="GP87" s="199"/>
      <c r="GQ87" s="200"/>
      <c r="GR87" s="125"/>
      <c r="GS87" s="41"/>
      <c r="GT87" s="41"/>
      <c r="GU87" s="41"/>
      <c r="GV87" s="41"/>
      <c r="GW87" s="199"/>
      <c r="GX87" s="200"/>
      <c r="GY87" s="125"/>
      <c r="GZ87" s="41"/>
      <c r="HA87" s="41"/>
      <c r="HB87" s="41"/>
      <c r="HC87" s="41"/>
      <c r="HD87" s="199"/>
      <c r="HE87" s="200"/>
    </row>
    <row r="88" spans="2:213" x14ac:dyDescent="0.3">
      <c r="B88" s="24" t="s">
        <v>18</v>
      </c>
      <c r="C88" s="25">
        <v>35</v>
      </c>
      <c r="D88" s="26" t="s">
        <v>19</v>
      </c>
      <c r="E88" s="27" t="str">
        <f t="shared" si="9"/>
        <v>IX</v>
      </c>
      <c r="F88" s="193" t="s">
        <v>20</v>
      </c>
      <c r="G88" s="183" t="s">
        <v>8</v>
      </c>
      <c r="H88" s="146" t="s">
        <v>9</v>
      </c>
      <c r="I88" s="157" t="s">
        <v>128</v>
      </c>
      <c r="J88" s="158" t="s">
        <v>129</v>
      </c>
      <c r="K88" s="125" t="s">
        <v>459</v>
      </c>
      <c r="L88" s="41" t="s">
        <v>459</v>
      </c>
      <c r="M88" s="41" t="s">
        <v>459</v>
      </c>
      <c r="N88" s="41" t="s">
        <v>459</v>
      </c>
      <c r="O88" s="41" t="s">
        <v>459</v>
      </c>
      <c r="P88" s="199"/>
      <c r="Q88" s="200"/>
      <c r="R88" s="125" t="s">
        <v>459</v>
      </c>
      <c r="S88" s="41" t="s">
        <v>459</v>
      </c>
      <c r="T88" s="41" t="s">
        <v>459</v>
      </c>
      <c r="U88" s="41" t="s">
        <v>459</v>
      </c>
      <c r="V88" s="41" t="s">
        <v>459</v>
      </c>
      <c r="W88" s="199"/>
      <c r="X88" s="200"/>
      <c r="Y88" s="125"/>
      <c r="Z88" s="41"/>
      <c r="AA88" s="41"/>
      <c r="AB88" s="41"/>
      <c r="AC88" s="41"/>
      <c r="AD88" s="199"/>
      <c r="AE88" s="200"/>
      <c r="AF88" s="125"/>
      <c r="AG88" s="41"/>
      <c r="AH88" s="41"/>
      <c r="AI88" s="41"/>
      <c r="AJ88" s="41"/>
      <c r="AK88" s="199"/>
      <c r="AL88" s="200"/>
      <c r="AM88" s="125"/>
      <c r="AN88" s="41"/>
      <c r="AO88" s="41"/>
      <c r="AP88" s="41"/>
      <c r="AQ88" s="41"/>
      <c r="AR88" s="199"/>
      <c r="AS88" s="200"/>
      <c r="AT88" s="125"/>
      <c r="AU88" s="41"/>
      <c r="AV88" s="41"/>
      <c r="AW88" s="41"/>
      <c r="AX88" s="41"/>
      <c r="AY88" s="199"/>
      <c r="AZ88" s="200"/>
      <c r="BA88" s="125"/>
      <c r="BB88" s="41"/>
      <c r="BC88" s="41"/>
      <c r="BD88" s="41"/>
      <c r="BE88" s="41"/>
      <c r="BF88" s="199"/>
      <c r="BG88" s="200"/>
      <c r="BH88" s="125"/>
      <c r="BI88" s="41"/>
      <c r="BJ88" s="41"/>
      <c r="BK88" s="41"/>
      <c r="BL88" s="41"/>
      <c r="BM88" s="199"/>
      <c r="BN88" s="200"/>
      <c r="BO88" s="125"/>
      <c r="BP88" s="41"/>
      <c r="BQ88" s="41"/>
      <c r="BR88" s="41"/>
      <c r="BS88" s="41"/>
      <c r="BT88" s="199"/>
      <c r="BU88" s="200"/>
      <c r="BV88" s="125"/>
      <c r="BW88" s="41"/>
      <c r="BX88" s="41"/>
      <c r="BY88" s="41"/>
      <c r="BZ88" s="41"/>
      <c r="CA88" s="199"/>
      <c r="CB88" s="200"/>
      <c r="CC88" s="125"/>
      <c r="CD88" s="41"/>
      <c r="CE88" s="41"/>
      <c r="CF88" s="41"/>
      <c r="CG88" s="41"/>
      <c r="CH88" s="199"/>
      <c r="CI88" s="200"/>
      <c r="CJ88" s="125"/>
      <c r="CK88" s="41"/>
      <c r="CL88" s="41"/>
      <c r="CM88" s="41"/>
      <c r="CN88" s="41"/>
      <c r="CO88" s="199"/>
      <c r="CP88" s="200"/>
      <c r="CQ88" s="125"/>
      <c r="CR88" s="41"/>
      <c r="CS88" s="41"/>
      <c r="CT88" s="41"/>
      <c r="CU88" s="41"/>
      <c r="CV88" s="199"/>
      <c r="CW88" s="200"/>
      <c r="CX88" s="125"/>
      <c r="CY88" s="41"/>
      <c r="CZ88" s="41"/>
      <c r="DA88" s="41"/>
      <c r="DB88" s="41"/>
      <c r="DC88" s="199"/>
      <c r="DD88" s="200"/>
      <c r="DE88" s="125"/>
      <c r="DF88" s="41"/>
      <c r="DG88" s="41"/>
      <c r="DH88" s="41"/>
      <c r="DI88" s="41"/>
      <c r="DJ88" s="199"/>
      <c r="DK88" s="200"/>
      <c r="DL88" s="125"/>
      <c r="DM88" s="41"/>
      <c r="DN88" s="41"/>
      <c r="DO88" s="41"/>
      <c r="DP88" s="41"/>
      <c r="DQ88" s="199"/>
      <c r="DR88" s="200"/>
      <c r="DS88" s="125"/>
      <c r="DT88" s="41"/>
      <c r="DU88" s="41"/>
      <c r="DV88" s="41"/>
      <c r="DW88" s="41"/>
      <c r="DX88" s="199"/>
      <c r="DY88" s="200"/>
      <c r="DZ88" s="125"/>
      <c r="EA88" s="41"/>
      <c r="EB88" s="41"/>
      <c r="EC88" s="41"/>
      <c r="ED88" s="41"/>
      <c r="EE88" s="199"/>
      <c r="EF88" s="200"/>
      <c r="EG88" s="125"/>
      <c r="EH88" s="41"/>
      <c r="EI88" s="41"/>
      <c r="EJ88" s="41"/>
      <c r="EK88" s="41"/>
      <c r="EL88" s="199"/>
      <c r="EM88" s="200"/>
      <c r="EN88" s="125"/>
      <c r="EO88" s="41"/>
      <c r="EP88" s="41"/>
      <c r="EQ88" s="41"/>
      <c r="ER88" s="41"/>
      <c r="ES88" s="199"/>
      <c r="ET88" s="200"/>
      <c r="EU88" s="125"/>
      <c r="EV88" s="41"/>
      <c r="EW88" s="41"/>
      <c r="EX88" s="41"/>
      <c r="EY88" s="41"/>
      <c r="EZ88" s="199"/>
      <c r="FA88" s="200"/>
      <c r="FB88" s="125"/>
      <c r="FC88" s="41"/>
      <c r="FD88" s="41"/>
      <c r="FE88" s="41"/>
      <c r="FF88" s="41"/>
      <c r="FG88" s="199"/>
      <c r="FH88" s="200"/>
      <c r="FI88" s="125"/>
      <c r="FJ88" s="41"/>
      <c r="FK88" s="41"/>
      <c r="FL88" s="41"/>
      <c r="FM88" s="41"/>
      <c r="FN88" s="199"/>
      <c r="FO88" s="200"/>
      <c r="FP88" s="125"/>
      <c r="FQ88" s="41"/>
      <c r="FR88" s="41"/>
      <c r="FS88" s="41"/>
      <c r="FT88" s="41"/>
      <c r="FU88" s="199"/>
      <c r="FV88" s="200"/>
      <c r="FW88" s="125"/>
      <c r="FX88" s="41"/>
      <c r="FY88" s="41"/>
      <c r="FZ88" s="41"/>
      <c r="GA88" s="41"/>
      <c r="GB88" s="199"/>
      <c r="GC88" s="200"/>
      <c r="GD88" s="125"/>
      <c r="GE88" s="41"/>
      <c r="GF88" s="41"/>
      <c r="GG88" s="41"/>
      <c r="GH88" s="41"/>
      <c r="GI88" s="199"/>
      <c r="GJ88" s="200"/>
      <c r="GK88" s="125"/>
      <c r="GL88" s="41"/>
      <c r="GM88" s="41"/>
      <c r="GN88" s="41"/>
      <c r="GO88" s="41"/>
      <c r="GP88" s="199"/>
      <c r="GQ88" s="200"/>
      <c r="GR88" s="125"/>
      <c r="GS88" s="41"/>
      <c r="GT88" s="41"/>
      <c r="GU88" s="41"/>
      <c r="GV88" s="41"/>
      <c r="GW88" s="199"/>
      <c r="GX88" s="200"/>
      <c r="GY88" s="125"/>
      <c r="GZ88" s="41"/>
      <c r="HA88" s="41"/>
      <c r="HB88" s="41"/>
      <c r="HC88" s="41"/>
      <c r="HD88" s="199"/>
      <c r="HE88" s="200"/>
    </row>
    <row r="89" spans="2:213" x14ac:dyDescent="0.3">
      <c r="B89" s="8">
        <v>105080</v>
      </c>
      <c r="C89" s="9">
        <v>35</v>
      </c>
      <c r="D89" s="10" t="str">
        <f>IF(G89="","","X")</f>
        <v>X</v>
      </c>
      <c r="E89" s="10" t="str">
        <f t="shared" si="9"/>
        <v>105080X</v>
      </c>
      <c r="F89" s="193" t="s">
        <v>20</v>
      </c>
      <c r="G89" s="184" t="s">
        <v>8</v>
      </c>
      <c r="H89" s="146" t="s">
        <v>9</v>
      </c>
      <c r="I89" s="157" t="s">
        <v>130</v>
      </c>
      <c r="J89" s="158" t="s">
        <v>131</v>
      </c>
      <c r="K89" s="125" t="s">
        <v>459</v>
      </c>
      <c r="L89" s="41" t="s">
        <v>459</v>
      </c>
      <c r="M89" s="41" t="s">
        <v>459</v>
      </c>
      <c r="N89" s="41" t="s">
        <v>459</v>
      </c>
      <c r="O89" s="41" t="s">
        <v>459</v>
      </c>
      <c r="P89" s="199"/>
      <c r="Q89" s="200"/>
      <c r="R89" s="125" t="s">
        <v>459</v>
      </c>
      <c r="S89" s="41" t="s">
        <v>459</v>
      </c>
      <c r="T89" s="41" t="s">
        <v>459</v>
      </c>
      <c r="U89" s="41" t="s">
        <v>459</v>
      </c>
      <c r="V89" s="41" t="s">
        <v>459</v>
      </c>
      <c r="W89" s="199"/>
      <c r="X89" s="200"/>
      <c r="Y89" s="125"/>
      <c r="Z89" s="41"/>
      <c r="AA89" s="41"/>
      <c r="AB89" s="41"/>
      <c r="AC89" s="41"/>
      <c r="AD89" s="199"/>
      <c r="AE89" s="200"/>
      <c r="AF89" s="125"/>
      <c r="AG89" s="41"/>
      <c r="AH89" s="41"/>
      <c r="AI89" s="41"/>
      <c r="AJ89" s="41"/>
      <c r="AK89" s="199"/>
      <c r="AL89" s="200"/>
      <c r="AM89" s="125"/>
      <c r="AN89" s="41"/>
      <c r="AO89" s="41"/>
      <c r="AP89" s="41"/>
      <c r="AQ89" s="41"/>
      <c r="AR89" s="199"/>
      <c r="AS89" s="200"/>
      <c r="AT89" s="125"/>
      <c r="AU89" s="41"/>
      <c r="AV89" s="41"/>
      <c r="AW89" s="41"/>
      <c r="AX89" s="41"/>
      <c r="AY89" s="199"/>
      <c r="AZ89" s="200"/>
      <c r="BA89" s="125"/>
      <c r="BB89" s="41"/>
      <c r="BC89" s="41"/>
      <c r="BD89" s="41"/>
      <c r="BE89" s="41"/>
      <c r="BF89" s="199"/>
      <c r="BG89" s="200"/>
      <c r="BH89" s="125"/>
      <c r="BI89" s="41"/>
      <c r="BJ89" s="41"/>
      <c r="BK89" s="41"/>
      <c r="BL89" s="41"/>
      <c r="BM89" s="199"/>
      <c r="BN89" s="200"/>
      <c r="BO89" s="125"/>
      <c r="BP89" s="41"/>
      <c r="BQ89" s="41"/>
      <c r="BR89" s="41"/>
      <c r="BS89" s="41"/>
      <c r="BT89" s="199"/>
      <c r="BU89" s="200"/>
      <c r="BV89" s="125"/>
      <c r="BW89" s="41"/>
      <c r="BX89" s="41"/>
      <c r="BY89" s="41"/>
      <c r="BZ89" s="41"/>
      <c r="CA89" s="199"/>
      <c r="CB89" s="200"/>
      <c r="CC89" s="125"/>
      <c r="CD89" s="41"/>
      <c r="CE89" s="41"/>
      <c r="CF89" s="41"/>
      <c r="CG89" s="41"/>
      <c r="CH89" s="199"/>
      <c r="CI89" s="200"/>
      <c r="CJ89" s="125"/>
      <c r="CK89" s="41"/>
      <c r="CL89" s="41"/>
      <c r="CM89" s="41"/>
      <c r="CN89" s="41"/>
      <c r="CO89" s="199"/>
      <c r="CP89" s="200"/>
      <c r="CQ89" s="125"/>
      <c r="CR89" s="41"/>
      <c r="CS89" s="41"/>
      <c r="CT89" s="41"/>
      <c r="CU89" s="41"/>
      <c r="CV89" s="199"/>
      <c r="CW89" s="200"/>
      <c r="CX89" s="125"/>
      <c r="CY89" s="41"/>
      <c r="CZ89" s="41"/>
      <c r="DA89" s="41"/>
      <c r="DB89" s="41"/>
      <c r="DC89" s="199"/>
      <c r="DD89" s="200"/>
      <c r="DE89" s="125"/>
      <c r="DF89" s="41"/>
      <c r="DG89" s="41"/>
      <c r="DH89" s="41"/>
      <c r="DI89" s="41"/>
      <c r="DJ89" s="199"/>
      <c r="DK89" s="200"/>
      <c r="DL89" s="125"/>
      <c r="DM89" s="41"/>
      <c r="DN89" s="41"/>
      <c r="DO89" s="41"/>
      <c r="DP89" s="41"/>
      <c r="DQ89" s="199"/>
      <c r="DR89" s="200"/>
      <c r="DS89" s="125"/>
      <c r="DT89" s="41"/>
      <c r="DU89" s="41"/>
      <c r="DV89" s="41"/>
      <c r="DW89" s="41"/>
      <c r="DX89" s="199"/>
      <c r="DY89" s="200"/>
      <c r="DZ89" s="125"/>
      <c r="EA89" s="41"/>
      <c r="EB89" s="41"/>
      <c r="EC89" s="41"/>
      <c r="ED89" s="41"/>
      <c r="EE89" s="199"/>
      <c r="EF89" s="200"/>
      <c r="EG89" s="125"/>
      <c r="EH89" s="41"/>
      <c r="EI89" s="41"/>
      <c r="EJ89" s="41"/>
      <c r="EK89" s="41"/>
      <c r="EL89" s="199"/>
      <c r="EM89" s="200"/>
      <c r="EN89" s="125"/>
      <c r="EO89" s="41"/>
      <c r="EP89" s="41"/>
      <c r="EQ89" s="41"/>
      <c r="ER89" s="41"/>
      <c r="ES89" s="199"/>
      <c r="ET89" s="200"/>
      <c r="EU89" s="125"/>
      <c r="EV89" s="41"/>
      <c r="EW89" s="41"/>
      <c r="EX89" s="41"/>
      <c r="EY89" s="41"/>
      <c r="EZ89" s="199"/>
      <c r="FA89" s="200"/>
      <c r="FB89" s="125"/>
      <c r="FC89" s="41"/>
      <c r="FD89" s="41"/>
      <c r="FE89" s="41"/>
      <c r="FF89" s="41"/>
      <c r="FG89" s="199"/>
      <c r="FH89" s="200"/>
      <c r="FI89" s="125"/>
      <c r="FJ89" s="41"/>
      <c r="FK89" s="41"/>
      <c r="FL89" s="41"/>
      <c r="FM89" s="41"/>
      <c r="FN89" s="199"/>
      <c r="FO89" s="200"/>
      <c r="FP89" s="125"/>
      <c r="FQ89" s="41"/>
      <c r="FR89" s="41"/>
      <c r="FS89" s="41"/>
      <c r="FT89" s="41"/>
      <c r="FU89" s="199"/>
      <c r="FV89" s="200"/>
      <c r="FW89" s="125"/>
      <c r="FX89" s="41"/>
      <c r="FY89" s="41"/>
      <c r="FZ89" s="41"/>
      <c r="GA89" s="41"/>
      <c r="GB89" s="199"/>
      <c r="GC89" s="200"/>
      <c r="GD89" s="125"/>
      <c r="GE89" s="41"/>
      <c r="GF89" s="41"/>
      <c r="GG89" s="41"/>
      <c r="GH89" s="41"/>
      <c r="GI89" s="199"/>
      <c r="GJ89" s="200"/>
      <c r="GK89" s="125"/>
      <c r="GL89" s="41"/>
      <c r="GM89" s="41"/>
      <c r="GN89" s="41"/>
      <c r="GO89" s="41"/>
      <c r="GP89" s="199"/>
      <c r="GQ89" s="200"/>
      <c r="GR89" s="125"/>
      <c r="GS89" s="41"/>
      <c r="GT89" s="41"/>
      <c r="GU89" s="41"/>
      <c r="GV89" s="41"/>
      <c r="GW89" s="199"/>
      <c r="GX89" s="200"/>
      <c r="GY89" s="125"/>
      <c r="GZ89" s="41"/>
      <c r="HA89" s="41"/>
      <c r="HB89" s="41"/>
      <c r="HC89" s="41"/>
      <c r="HD89" s="199"/>
      <c r="HE89" s="200"/>
    </row>
    <row r="90" spans="2:213" x14ac:dyDescent="0.3">
      <c r="B90" s="8">
        <v>107055</v>
      </c>
      <c r="C90" s="9">
        <v>35</v>
      </c>
      <c r="D90" s="10" t="s">
        <v>19</v>
      </c>
      <c r="E90" s="11" t="str">
        <f t="shared" si="9"/>
        <v>107055X</v>
      </c>
      <c r="F90" s="193" t="s">
        <v>20</v>
      </c>
      <c r="G90" s="183" t="s">
        <v>8</v>
      </c>
      <c r="H90" s="146" t="s">
        <v>9</v>
      </c>
      <c r="I90" s="153" t="s">
        <v>132</v>
      </c>
      <c r="J90" s="154" t="s">
        <v>133</v>
      </c>
      <c r="K90" s="125" t="s">
        <v>459</v>
      </c>
      <c r="L90" s="41" t="s">
        <v>459</v>
      </c>
      <c r="M90" s="41" t="s">
        <v>459</v>
      </c>
      <c r="N90" s="41" t="s">
        <v>459</v>
      </c>
      <c r="O90" s="41" t="s">
        <v>459</v>
      </c>
      <c r="P90" s="199"/>
      <c r="Q90" s="200"/>
      <c r="R90" s="125" t="s">
        <v>459</v>
      </c>
      <c r="S90" s="41" t="s">
        <v>459</v>
      </c>
      <c r="T90" s="41" t="s">
        <v>459</v>
      </c>
      <c r="U90" s="41" t="s">
        <v>459</v>
      </c>
      <c r="V90" s="41" t="s">
        <v>459</v>
      </c>
      <c r="W90" s="199"/>
      <c r="X90" s="200"/>
      <c r="Y90" s="125"/>
      <c r="Z90" s="41"/>
      <c r="AA90" s="41"/>
      <c r="AB90" s="41"/>
      <c r="AC90" s="41"/>
      <c r="AD90" s="199"/>
      <c r="AE90" s="200"/>
      <c r="AF90" s="125"/>
      <c r="AG90" s="41"/>
      <c r="AH90" s="41"/>
      <c r="AI90" s="41"/>
      <c r="AJ90" s="41"/>
      <c r="AK90" s="199"/>
      <c r="AL90" s="200"/>
      <c r="AM90" s="125"/>
      <c r="AN90" s="41"/>
      <c r="AO90" s="41"/>
      <c r="AP90" s="41"/>
      <c r="AQ90" s="41"/>
      <c r="AR90" s="199"/>
      <c r="AS90" s="200"/>
      <c r="AT90" s="125"/>
      <c r="AU90" s="41"/>
      <c r="AV90" s="41"/>
      <c r="AW90" s="41"/>
      <c r="AX90" s="41"/>
      <c r="AY90" s="199"/>
      <c r="AZ90" s="200"/>
      <c r="BA90" s="125"/>
      <c r="BB90" s="41"/>
      <c r="BC90" s="41"/>
      <c r="BD90" s="41"/>
      <c r="BE90" s="41"/>
      <c r="BF90" s="199"/>
      <c r="BG90" s="200"/>
      <c r="BH90" s="125"/>
      <c r="BI90" s="41"/>
      <c r="BJ90" s="41"/>
      <c r="BK90" s="41"/>
      <c r="BL90" s="41"/>
      <c r="BM90" s="199"/>
      <c r="BN90" s="200"/>
      <c r="BO90" s="125"/>
      <c r="BP90" s="41"/>
      <c r="BQ90" s="41"/>
      <c r="BR90" s="41"/>
      <c r="BS90" s="41"/>
      <c r="BT90" s="199"/>
      <c r="BU90" s="200"/>
      <c r="BV90" s="125"/>
      <c r="BW90" s="41"/>
      <c r="BX90" s="41"/>
      <c r="BY90" s="41"/>
      <c r="BZ90" s="41"/>
      <c r="CA90" s="199"/>
      <c r="CB90" s="200"/>
      <c r="CC90" s="125"/>
      <c r="CD90" s="41"/>
      <c r="CE90" s="41"/>
      <c r="CF90" s="41"/>
      <c r="CG90" s="41"/>
      <c r="CH90" s="199"/>
      <c r="CI90" s="200"/>
      <c r="CJ90" s="125"/>
      <c r="CK90" s="41"/>
      <c r="CL90" s="41"/>
      <c r="CM90" s="41"/>
      <c r="CN90" s="41"/>
      <c r="CO90" s="199"/>
      <c r="CP90" s="200"/>
      <c r="CQ90" s="125"/>
      <c r="CR90" s="41"/>
      <c r="CS90" s="41"/>
      <c r="CT90" s="41"/>
      <c r="CU90" s="41"/>
      <c r="CV90" s="199"/>
      <c r="CW90" s="200"/>
      <c r="CX90" s="125"/>
      <c r="CY90" s="41"/>
      <c r="CZ90" s="41"/>
      <c r="DA90" s="41"/>
      <c r="DB90" s="41"/>
      <c r="DC90" s="199"/>
      <c r="DD90" s="200"/>
      <c r="DE90" s="125"/>
      <c r="DF90" s="41"/>
      <c r="DG90" s="41"/>
      <c r="DH90" s="41"/>
      <c r="DI90" s="41"/>
      <c r="DJ90" s="199"/>
      <c r="DK90" s="200"/>
      <c r="DL90" s="125"/>
      <c r="DM90" s="41"/>
      <c r="DN90" s="41"/>
      <c r="DO90" s="41"/>
      <c r="DP90" s="41"/>
      <c r="DQ90" s="199"/>
      <c r="DR90" s="200"/>
      <c r="DS90" s="125"/>
      <c r="DT90" s="41"/>
      <c r="DU90" s="41"/>
      <c r="DV90" s="41"/>
      <c r="DW90" s="41"/>
      <c r="DX90" s="199"/>
      <c r="DY90" s="200"/>
      <c r="DZ90" s="125"/>
      <c r="EA90" s="41"/>
      <c r="EB90" s="41"/>
      <c r="EC90" s="41"/>
      <c r="ED90" s="41"/>
      <c r="EE90" s="199"/>
      <c r="EF90" s="200"/>
      <c r="EG90" s="125"/>
      <c r="EH90" s="41"/>
      <c r="EI90" s="41"/>
      <c r="EJ90" s="41"/>
      <c r="EK90" s="41"/>
      <c r="EL90" s="199"/>
      <c r="EM90" s="200"/>
      <c r="EN90" s="125"/>
      <c r="EO90" s="41"/>
      <c r="EP90" s="41"/>
      <c r="EQ90" s="41"/>
      <c r="ER90" s="41"/>
      <c r="ES90" s="199"/>
      <c r="ET90" s="200"/>
      <c r="EU90" s="125"/>
      <c r="EV90" s="41"/>
      <c r="EW90" s="41"/>
      <c r="EX90" s="41"/>
      <c r="EY90" s="41"/>
      <c r="EZ90" s="199"/>
      <c r="FA90" s="200"/>
      <c r="FB90" s="125"/>
      <c r="FC90" s="41"/>
      <c r="FD90" s="41"/>
      <c r="FE90" s="41"/>
      <c r="FF90" s="41"/>
      <c r="FG90" s="199"/>
      <c r="FH90" s="200"/>
      <c r="FI90" s="125"/>
      <c r="FJ90" s="41"/>
      <c r="FK90" s="41"/>
      <c r="FL90" s="41"/>
      <c r="FM90" s="41"/>
      <c r="FN90" s="199"/>
      <c r="FO90" s="200"/>
      <c r="FP90" s="125"/>
      <c r="FQ90" s="41"/>
      <c r="FR90" s="41"/>
      <c r="FS90" s="41"/>
      <c r="FT90" s="41"/>
      <c r="FU90" s="199"/>
      <c r="FV90" s="200"/>
      <c r="FW90" s="125"/>
      <c r="FX90" s="41"/>
      <c r="FY90" s="41"/>
      <c r="FZ90" s="41"/>
      <c r="GA90" s="41"/>
      <c r="GB90" s="199"/>
      <c r="GC90" s="200"/>
      <c r="GD90" s="125"/>
      <c r="GE90" s="41"/>
      <c r="GF90" s="41"/>
      <c r="GG90" s="41"/>
      <c r="GH90" s="41"/>
      <c r="GI90" s="199"/>
      <c r="GJ90" s="200"/>
      <c r="GK90" s="125"/>
      <c r="GL90" s="41"/>
      <c r="GM90" s="41"/>
      <c r="GN90" s="41"/>
      <c r="GO90" s="41"/>
      <c r="GP90" s="199"/>
      <c r="GQ90" s="200"/>
      <c r="GR90" s="125"/>
      <c r="GS90" s="41"/>
      <c r="GT90" s="41"/>
      <c r="GU90" s="41"/>
      <c r="GV90" s="41"/>
      <c r="GW90" s="199"/>
      <c r="GX90" s="200"/>
      <c r="GY90" s="125"/>
      <c r="GZ90" s="41"/>
      <c r="HA90" s="41"/>
      <c r="HB90" s="41"/>
      <c r="HC90" s="41"/>
      <c r="HD90" s="199"/>
      <c r="HE90" s="200"/>
    </row>
    <row r="91" spans="2:213" x14ac:dyDescent="0.3">
      <c r="B91" s="8">
        <v>74435</v>
      </c>
      <c r="C91" s="9">
        <v>35</v>
      </c>
      <c r="D91" s="10" t="s">
        <v>19</v>
      </c>
      <c r="E91" s="10" t="str">
        <f t="shared" si="9"/>
        <v>74435X</v>
      </c>
      <c r="F91" s="193" t="s">
        <v>20</v>
      </c>
      <c r="G91" s="183" t="s">
        <v>8</v>
      </c>
      <c r="H91" s="146" t="s">
        <v>9</v>
      </c>
      <c r="I91" s="151" t="s">
        <v>157</v>
      </c>
      <c r="J91" s="152" t="s">
        <v>158</v>
      </c>
      <c r="K91" s="125" t="s">
        <v>459</v>
      </c>
      <c r="L91" s="41" t="s">
        <v>459</v>
      </c>
      <c r="M91" s="41" t="s">
        <v>459</v>
      </c>
      <c r="N91" s="41" t="s">
        <v>459</v>
      </c>
      <c r="O91" s="41" t="s">
        <v>459</v>
      </c>
      <c r="P91" s="199"/>
      <c r="Q91" s="200"/>
      <c r="R91" s="125" t="s">
        <v>459</v>
      </c>
      <c r="S91" s="41" t="s">
        <v>459</v>
      </c>
      <c r="T91" s="41" t="s">
        <v>459</v>
      </c>
      <c r="U91" s="41" t="s">
        <v>459</v>
      </c>
      <c r="V91" s="41" t="s">
        <v>459</v>
      </c>
      <c r="W91" s="199"/>
      <c r="X91" s="200"/>
      <c r="Y91" s="125"/>
      <c r="Z91" s="41"/>
      <c r="AA91" s="41"/>
      <c r="AB91" s="41"/>
      <c r="AC91" s="41"/>
      <c r="AD91" s="199"/>
      <c r="AE91" s="200"/>
      <c r="AF91" s="125"/>
      <c r="AG91" s="41"/>
      <c r="AH91" s="41"/>
      <c r="AI91" s="41"/>
      <c r="AJ91" s="41"/>
      <c r="AK91" s="199"/>
      <c r="AL91" s="200"/>
      <c r="AM91" s="125"/>
      <c r="AN91" s="41"/>
      <c r="AO91" s="41"/>
      <c r="AP91" s="41"/>
      <c r="AQ91" s="41"/>
      <c r="AR91" s="199"/>
      <c r="AS91" s="200"/>
      <c r="AT91" s="125"/>
      <c r="AU91" s="41"/>
      <c r="AV91" s="41"/>
      <c r="AW91" s="41"/>
      <c r="AX91" s="41"/>
      <c r="AY91" s="199"/>
      <c r="AZ91" s="200"/>
      <c r="BA91" s="125"/>
      <c r="BB91" s="41"/>
      <c r="BC91" s="41"/>
      <c r="BD91" s="41"/>
      <c r="BE91" s="41"/>
      <c r="BF91" s="199"/>
      <c r="BG91" s="200"/>
      <c r="BH91" s="125"/>
      <c r="BI91" s="41"/>
      <c r="BJ91" s="41"/>
      <c r="BK91" s="41"/>
      <c r="BL91" s="41"/>
      <c r="BM91" s="199"/>
      <c r="BN91" s="200"/>
      <c r="BO91" s="125"/>
      <c r="BP91" s="41"/>
      <c r="BQ91" s="41"/>
      <c r="BR91" s="41"/>
      <c r="BS91" s="41"/>
      <c r="BT91" s="199"/>
      <c r="BU91" s="200"/>
      <c r="BV91" s="125"/>
      <c r="BW91" s="41"/>
      <c r="BX91" s="41"/>
      <c r="BY91" s="41"/>
      <c r="BZ91" s="41"/>
      <c r="CA91" s="199"/>
      <c r="CB91" s="200"/>
      <c r="CC91" s="125"/>
      <c r="CD91" s="41"/>
      <c r="CE91" s="41"/>
      <c r="CF91" s="41"/>
      <c r="CG91" s="41"/>
      <c r="CH91" s="199"/>
      <c r="CI91" s="200"/>
      <c r="CJ91" s="125"/>
      <c r="CK91" s="41"/>
      <c r="CL91" s="41"/>
      <c r="CM91" s="41"/>
      <c r="CN91" s="41"/>
      <c r="CO91" s="199"/>
      <c r="CP91" s="200"/>
      <c r="CQ91" s="125"/>
      <c r="CR91" s="41"/>
      <c r="CS91" s="41"/>
      <c r="CT91" s="41"/>
      <c r="CU91" s="41"/>
      <c r="CV91" s="199"/>
      <c r="CW91" s="200"/>
      <c r="CX91" s="125"/>
      <c r="CY91" s="41"/>
      <c r="CZ91" s="41"/>
      <c r="DA91" s="41"/>
      <c r="DB91" s="41"/>
      <c r="DC91" s="199"/>
      <c r="DD91" s="200"/>
      <c r="DE91" s="125"/>
      <c r="DF91" s="41"/>
      <c r="DG91" s="41"/>
      <c r="DH91" s="41"/>
      <c r="DI91" s="41"/>
      <c r="DJ91" s="199"/>
      <c r="DK91" s="200"/>
      <c r="DL91" s="125"/>
      <c r="DM91" s="41"/>
      <c r="DN91" s="41"/>
      <c r="DO91" s="41"/>
      <c r="DP91" s="41"/>
      <c r="DQ91" s="199"/>
      <c r="DR91" s="200"/>
      <c r="DS91" s="125"/>
      <c r="DT91" s="41"/>
      <c r="DU91" s="41"/>
      <c r="DV91" s="41"/>
      <c r="DW91" s="41"/>
      <c r="DX91" s="199"/>
      <c r="DY91" s="200"/>
      <c r="DZ91" s="125"/>
      <c r="EA91" s="41"/>
      <c r="EB91" s="41"/>
      <c r="EC91" s="41"/>
      <c r="ED91" s="41"/>
      <c r="EE91" s="199"/>
      <c r="EF91" s="200"/>
      <c r="EG91" s="125"/>
      <c r="EH91" s="41"/>
      <c r="EI91" s="41"/>
      <c r="EJ91" s="41"/>
      <c r="EK91" s="41"/>
      <c r="EL91" s="199"/>
      <c r="EM91" s="200"/>
      <c r="EN91" s="125"/>
      <c r="EO91" s="41"/>
      <c r="EP91" s="41"/>
      <c r="EQ91" s="41"/>
      <c r="ER91" s="41"/>
      <c r="ES91" s="199"/>
      <c r="ET91" s="200"/>
      <c r="EU91" s="125"/>
      <c r="EV91" s="41"/>
      <c r="EW91" s="41"/>
      <c r="EX91" s="41"/>
      <c r="EY91" s="41"/>
      <c r="EZ91" s="199"/>
      <c r="FA91" s="200"/>
      <c r="FB91" s="125"/>
      <c r="FC91" s="41"/>
      <c r="FD91" s="41"/>
      <c r="FE91" s="41"/>
      <c r="FF91" s="41"/>
      <c r="FG91" s="199"/>
      <c r="FH91" s="200"/>
      <c r="FI91" s="125"/>
      <c r="FJ91" s="41"/>
      <c r="FK91" s="41"/>
      <c r="FL91" s="41"/>
      <c r="FM91" s="41"/>
      <c r="FN91" s="199"/>
      <c r="FO91" s="200"/>
      <c r="FP91" s="125"/>
      <c r="FQ91" s="41"/>
      <c r="FR91" s="41"/>
      <c r="FS91" s="41"/>
      <c r="FT91" s="41"/>
      <c r="FU91" s="199"/>
      <c r="FV91" s="200"/>
      <c r="FW91" s="125"/>
      <c r="FX91" s="41"/>
      <c r="FY91" s="41"/>
      <c r="FZ91" s="41"/>
      <c r="GA91" s="41"/>
      <c r="GB91" s="199"/>
      <c r="GC91" s="200"/>
      <c r="GD91" s="125"/>
      <c r="GE91" s="41"/>
      <c r="GF91" s="41"/>
      <c r="GG91" s="41"/>
      <c r="GH91" s="41"/>
      <c r="GI91" s="199"/>
      <c r="GJ91" s="200"/>
      <c r="GK91" s="125"/>
      <c r="GL91" s="41"/>
      <c r="GM91" s="41"/>
      <c r="GN91" s="41"/>
      <c r="GO91" s="41"/>
      <c r="GP91" s="199"/>
      <c r="GQ91" s="200"/>
      <c r="GR91" s="125"/>
      <c r="GS91" s="41"/>
      <c r="GT91" s="41"/>
      <c r="GU91" s="41"/>
      <c r="GV91" s="41"/>
      <c r="GW91" s="199"/>
      <c r="GX91" s="200"/>
      <c r="GY91" s="125"/>
      <c r="GZ91" s="41"/>
      <c r="HA91" s="41"/>
      <c r="HB91" s="41"/>
      <c r="HC91" s="41"/>
      <c r="HD91" s="199"/>
      <c r="HE91" s="200"/>
    </row>
    <row r="92" spans="2:213" x14ac:dyDescent="0.3">
      <c r="B92" s="8">
        <v>105538</v>
      </c>
      <c r="C92" s="9">
        <v>35</v>
      </c>
      <c r="D92" s="10" t="s">
        <v>19</v>
      </c>
      <c r="E92" s="11" t="str">
        <f t="shared" si="9"/>
        <v>105538X</v>
      </c>
      <c r="F92" s="193" t="s">
        <v>20</v>
      </c>
      <c r="G92" s="184" t="s">
        <v>8</v>
      </c>
      <c r="H92" s="146" t="s">
        <v>9</v>
      </c>
      <c r="I92" s="155" t="s">
        <v>164</v>
      </c>
      <c r="J92" s="156" t="s">
        <v>17</v>
      </c>
      <c r="K92" s="125" t="s">
        <v>459</v>
      </c>
      <c r="L92" s="41" t="s">
        <v>459</v>
      </c>
      <c r="M92" s="41" t="s">
        <v>459</v>
      </c>
      <c r="N92" s="41" t="s">
        <v>459</v>
      </c>
      <c r="O92" s="41" t="s">
        <v>459</v>
      </c>
      <c r="P92" s="199"/>
      <c r="Q92" s="200"/>
      <c r="R92" s="125" t="s">
        <v>459</v>
      </c>
      <c r="S92" s="41" t="s">
        <v>459</v>
      </c>
      <c r="T92" s="41" t="s">
        <v>459</v>
      </c>
      <c r="U92" s="41" t="s">
        <v>459</v>
      </c>
      <c r="V92" s="41" t="s">
        <v>459</v>
      </c>
      <c r="W92" s="199"/>
      <c r="X92" s="200"/>
      <c r="Y92" s="125"/>
      <c r="Z92" s="41"/>
      <c r="AA92" s="41"/>
      <c r="AB92" s="41"/>
      <c r="AC92" s="41"/>
      <c r="AD92" s="199"/>
      <c r="AE92" s="200"/>
      <c r="AF92" s="125"/>
      <c r="AG92" s="41"/>
      <c r="AH92" s="41"/>
      <c r="AI92" s="41"/>
      <c r="AJ92" s="41"/>
      <c r="AK92" s="199"/>
      <c r="AL92" s="200"/>
      <c r="AM92" s="125"/>
      <c r="AN92" s="41"/>
      <c r="AO92" s="41"/>
      <c r="AP92" s="41"/>
      <c r="AQ92" s="41"/>
      <c r="AR92" s="199"/>
      <c r="AS92" s="200"/>
      <c r="AT92" s="125"/>
      <c r="AU92" s="41"/>
      <c r="AV92" s="41"/>
      <c r="AW92" s="41"/>
      <c r="AX92" s="41"/>
      <c r="AY92" s="199"/>
      <c r="AZ92" s="200"/>
      <c r="BA92" s="125"/>
      <c r="BB92" s="41"/>
      <c r="BC92" s="41"/>
      <c r="BD92" s="41"/>
      <c r="BE92" s="41"/>
      <c r="BF92" s="199"/>
      <c r="BG92" s="200"/>
      <c r="BH92" s="125"/>
      <c r="BI92" s="41"/>
      <c r="BJ92" s="41"/>
      <c r="BK92" s="41"/>
      <c r="BL92" s="41"/>
      <c r="BM92" s="199"/>
      <c r="BN92" s="200"/>
      <c r="BO92" s="125"/>
      <c r="BP92" s="41"/>
      <c r="BQ92" s="41"/>
      <c r="BR92" s="41"/>
      <c r="BS92" s="41"/>
      <c r="BT92" s="199"/>
      <c r="BU92" s="200"/>
      <c r="BV92" s="125"/>
      <c r="BW92" s="41"/>
      <c r="BX92" s="41"/>
      <c r="BY92" s="41"/>
      <c r="BZ92" s="41"/>
      <c r="CA92" s="199"/>
      <c r="CB92" s="200"/>
      <c r="CC92" s="125"/>
      <c r="CD92" s="41"/>
      <c r="CE92" s="41"/>
      <c r="CF92" s="41"/>
      <c r="CG92" s="41"/>
      <c r="CH92" s="199"/>
      <c r="CI92" s="200"/>
      <c r="CJ92" s="125"/>
      <c r="CK92" s="41"/>
      <c r="CL92" s="41"/>
      <c r="CM92" s="41"/>
      <c r="CN92" s="41"/>
      <c r="CO92" s="199"/>
      <c r="CP92" s="200"/>
      <c r="CQ92" s="125"/>
      <c r="CR92" s="41"/>
      <c r="CS92" s="41"/>
      <c r="CT92" s="41"/>
      <c r="CU92" s="41"/>
      <c r="CV92" s="199"/>
      <c r="CW92" s="200"/>
      <c r="CX92" s="125"/>
      <c r="CY92" s="41"/>
      <c r="CZ92" s="41"/>
      <c r="DA92" s="41"/>
      <c r="DB92" s="41"/>
      <c r="DC92" s="199"/>
      <c r="DD92" s="200"/>
      <c r="DE92" s="125"/>
      <c r="DF92" s="41"/>
      <c r="DG92" s="41"/>
      <c r="DH92" s="41"/>
      <c r="DI92" s="41"/>
      <c r="DJ92" s="199"/>
      <c r="DK92" s="200"/>
      <c r="DL92" s="125"/>
      <c r="DM92" s="41"/>
      <c r="DN92" s="41"/>
      <c r="DO92" s="41"/>
      <c r="DP92" s="41"/>
      <c r="DQ92" s="199"/>
      <c r="DR92" s="200"/>
      <c r="DS92" s="125"/>
      <c r="DT92" s="41"/>
      <c r="DU92" s="41"/>
      <c r="DV92" s="41"/>
      <c r="DW92" s="41"/>
      <c r="DX92" s="199"/>
      <c r="DY92" s="200"/>
      <c r="DZ92" s="125"/>
      <c r="EA92" s="41"/>
      <c r="EB92" s="41"/>
      <c r="EC92" s="41"/>
      <c r="ED92" s="41"/>
      <c r="EE92" s="199"/>
      <c r="EF92" s="200"/>
      <c r="EG92" s="125"/>
      <c r="EH92" s="41"/>
      <c r="EI92" s="41"/>
      <c r="EJ92" s="41"/>
      <c r="EK92" s="41"/>
      <c r="EL92" s="199"/>
      <c r="EM92" s="200"/>
      <c r="EN92" s="125"/>
      <c r="EO92" s="41"/>
      <c r="EP92" s="41"/>
      <c r="EQ92" s="41"/>
      <c r="ER92" s="41"/>
      <c r="ES92" s="199"/>
      <c r="ET92" s="200"/>
      <c r="EU92" s="125"/>
      <c r="EV92" s="41"/>
      <c r="EW92" s="41"/>
      <c r="EX92" s="41"/>
      <c r="EY92" s="41"/>
      <c r="EZ92" s="199"/>
      <c r="FA92" s="200"/>
      <c r="FB92" s="125"/>
      <c r="FC92" s="41"/>
      <c r="FD92" s="41"/>
      <c r="FE92" s="41"/>
      <c r="FF92" s="41"/>
      <c r="FG92" s="199"/>
      <c r="FH92" s="200"/>
      <c r="FI92" s="125"/>
      <c r="FJ92" s="41"/>
      <c r="FK92" s="41"/>
      <c r="FL92" s="41"/>
      <c r="FM92" s="41"/>
      <c r="FN92" s="199"/>
      <c r="FO92" s="200"/>
      <c r="FP92" s="125"/>
      <c r="FQ92" s="41"/>
      <c r="FR92" s="41"/>
      <c r="FS92" s="41"/>
      <c r="FT92" s="41"/>
      <c r="FU92" s="199"/>
      <c r="FV92" s="200"/>
      <c r="FW92" s="125"/>
      <c r="FX92" s="41"/>
      <c r="FY92" s="41"/>
      <c r="FZ92" s="41"/>
      <c r="GA92" s="41"/>
      <c r="GB92" s="199"/>
      <c r="GC92" s="200"/>
      <c r="GD92" s="125"/>
      <c r="GE92" s="41"/>
      <c r="GF92" s="41"/>
      <c r="GG92" s="41"/>
      <c r="GH92" s="41"/>
      <c r="GI92" s="199"/>
      <c r="GJ92" s="200"/>
      <c r="GK92" s="125"/>
      <c r="GL92" s="41"/>
      <c r="GM92" s="41"/>
      <c r="GN92" s="41"/>
      <c r="GO92" s="41"/>
      <c r="GP92" s="199"/>
      <c r="GQ92" s="200"/>
      <c r="GR92" s="125"/>
      <c r="GS92" s="41"/>
      <c r="GT92" s="41"/>
      <c r="GU92" s="41"/>
      <c r="GV92" s="41"/>
      <c r="GW92" s="199"/>
      <c r="GX92" s="200"/>
      <c r="GY92" s="125"/>
      <c r="GZ92" s="41"/>
      <c r="HA92" s="41"/>
      <c r="HB92" s="41"/>
      <c r="HC92" s="41"/>
      <c r="HD92" s="199"/>
      <c r="HE92" s="200"/>
    </row>
    <row r="93" spans="2:213" x14ac:dyDescent="0.3">
      <c r="B93" s="8">
        <v>107316</v>
      </c>
      <c r="C93" s="9">
        <v>35</v>
      </c>
      <c r="D93" s="10" t="s">
        <v>19</v>
      </c>
      <c r="E93" s="11" t="str">
        <f t="shared" si="9"/>
        <v>107316X</v>
      </c>
      <c r="F93" s="193" t="s">
        <v>20</v>
      </c>
      <c r="G93" s="184" t="s">
        <v>8</v>
      </c>
      <c r="H93" s="146" t="s">
        <v>113</v>
      </c>
      <c r="I93" s="153" t="s">
        <v>185</v>
      </c>
      <c r="J93" s="154" t="s">
        <v>57</v>
      </c>
      <c r="K93" s="125" t="s">
        <v>459</v>
      </c>
      <c r="L93" s="41" t="s">
        <v>459</v>
      </c>
      <c r="M93" s="41" t="s">
        <v>459</v>
      </c>
      <c r="N93" s="41" t="s">
        <v>459</v>
      </c>
      <c r="O93" s="41" t="s">
        <v>459</v>
      </c>
      <c r="P93" s="199"/>
      <c r="Q93" s="200"/>
      <c r="R93" s="125" t="s">
        <v>459</v>
      </c>
      <c r="S93" s="41" t="s">
        <v>459</v>
      </c>
      <c r="T93" s="41" t="s">
        <v>459</v>
      </c>
      <c r="U93" s="41" t="s">
        <v>459</v>
      </c>
      <c r="V93" s="41" t="s">
        <v>459</v>
      </c>
      <c r="W93" s="199"/>
      <c r="X93" s="200"/>
      <c r="Y93" s="125"/>
      <c r="Z93" s="41"/>
      <c r="AA93" s="41"/>
      <c r="AB93" s="41"/>
      <c r="AC93" s="41"/>
      <c r="AD93" s="199"/>
      <c r="AE93" s="200"/>
      <c r="AF93" s="125"/>
      <c r="AG93" s="41"/>
      <c r="AH93" s="41"/>
      <c r="AI93" s="41"/>
      <c r="AJ93" s="41"/>
      <c r="AK93" s="199"/>
      <c r="AL93" s="200"/>
      <c r="AM93" s="125"/>
      <c r="AN93" s="41"/>
      <c r="AO93" s="41"/>
      <c r="AP93" s="41"/>
      <c r="AQ93" s="41"/>
      <c r="AR93" s="199"/>
      <c r="AS93" s="200"/>
      <c r="AT93" s="125"/>
      <c r="AU93" s="41"/>
      <c r="AV93" s="41"/>
      <c r="AW93" s="41"/>
      <c r="AX93" s="41"/>
      <c r="AY93" s="199"/>
      <c r="AZ93" s="200"/>
      <c r="BA93" s="125"/>
      <c r="BB93" s="41"/>
      <c r="BC93" s="41"/>
      <c r="BD93" s="41"/>
      <c r="BE93" s="41"/>
      <c r="BF93" s="199"/>
      <c r="BG93" s="200"/>
      <c r="BH93" s="125"/>
      <c r="BI93" s="41"/>
      <c r="BJ93" s="41"/>
      <c r="BK93" s="41"/>
      <c r="BL93" s="41"/>
      <c r="BM93" s="199"/>
      <c r="BN93" s="200"/>
      <c r="BO93" s="125"/>
      <c r="BP93" s="41"/>
      <c r="BQ93" s="41"/>
      <c r="BR93" s="41"/>
      <c r="BS93" s="41"/>
      <c r="BT93" s="199"/>
      <c r="BU93" s="200"/>
      <c r="BV93" s="125"/>
      <c r="BW93" s="41"/>
      <c r="BX93" s="41"/>
      <c r="BY93" s="41"/>
      <c r="BZ93" s="41"/>
      <c r="CA93" s="199"/>
      <c r="CB93" s="200"/>
      <c r="CC93" s="125"/>
      <c r="CD93" s="41"/>
      <c r="CE93" s="41"/>
      <c r="CF93" s="41"/>
      <c r="CG93" s="41"/>
      <c r="CH93" s="199"/>
      <c r="CI93" s="200"/>
      <c r="CJ93" s="125"/>
      <c r="CK93" s="41"/>
      <c r="CL93" s="41"/>
      <c r="CM93" s="41"/>
      <c r="CN93" s="41"/>
      <c r="CO93" s="199"/>
      <c r="CP93" s="200"/>
      <c r="CQ93" s="125"/>
      <c r="CR93" s="41"/>
      <c r="CS93" s="41"/>
      <c r="CT93" s="41"/>
      <c r="CU93" s="41"/>
      <c r="CV93" s="199"/>
      <c r="CW93" s="200"/>
      <c r="CX93" s="125"/>
      <c r="CY93" s="41"/>
      <c r="CZ93" s="41"/>
      <c r="DA93" s="41"/>
      <c r="DB93" s="41"/>
      <c r="DC93" s="199"/>
      <c r="DD93" s="200"/>
      <c r="DE93" s="125"/>
      <c r="DF93" s="41"/>
      <c r="DG93" s="41"/>
      <c r="DH93" s="41"/>
      <c r="DI93" s="41"/>
      <c r="DJ93" s="199"/>
      <c r="DK93" s="200"/>
      <c r="DL93" s="125"/>
      <c r="DM93" s="41"/>
      <c r="DN93" s="41"/>
      <c r="DO93" s="41"/>
      <c r="DP93" s="41"/>
      <c r="DQ93" s="199"/>
      <c r="DR93" s="200"/>
      <c r="DS93" s="125"/>
      <c r="DT93" s="41"/>
      <c r="DU93" s="41"/>
      <c r="DV93" s="41"/>
      <c r="DW93" s="41"/>
      <c r="DX93" s="199"/>
      <c r="DY93" s="200"/>
      <c r="DZ93" s="125"/>
      <c r="EA93" s="41"/>
      <c r="EB93" s="41"/>
      <c r="EC93" s="41"/>
      <c r="ED93" s="41"/>
      <c r="EE93" s="199"/>
      <c r="EF93" s="200"/>
      <c r="EG93" s="125"/>
      <c r="EH93" s="41"/>
      <c r="EI93" s="41"/>
      <c r="EJ93" s="41"/>
      <c r="EK93" s="41"/>
      <c r="EL93" s="199"/>
      <c r="EM93" s="200"/>
      <c r="EN93" s="125"/>
      <c r="EO93" s="41"/>
      <c r="EP93" s="41"/>
      <c r="EQ93" s="41"/>
      <c r="ER93" s="41"/>
      <c r="ES93" s="199"/>
      <c r="ET93" s="200"/>
      <c r="EU93" s="125"/>
      <c r="EV93" s="41"/>
      <c r="EW93" s="41"/>
      <c r="EX93" s="41"/>
      <c r="EY93" s="41"/>
      <c r="EZ93" s="199"/>
      <c r="FA93" s="200"/>
      <c r="FB93" s="125"/>
      <c r="FC93" s="41"/>
      <c r="FD93" s="41"/>
      <c r="FE93" s="41"/>
      <c r="FF93" s="41"/>
      <c r="FG93" s="199"/>
      <c r="FH93" s="200"/>
      <c r="FI93" s="125"/>
      <c r="FJ93" s="41"/>
      <c r="FK93" s="41"/>
      <c r="FL93" s="41"/>
      <c r="FM93" s="41"/>
      <c r="FN93" s="199"/>
      <c r="FO93" s="200"/>
      <c r="FP93" s="125"/>
      <c r="FQ93" s="41"/>
      <c r="FR93" s="41"/>
      <c r="FS93" s="41"/>
      <c r="FT93" s="41"/>
      <c r="FU93" s="199"/>
      <c r="FV93" s="200"/>
      <c r="FW93" s="125"/>
      <c r="FX93" s="41"/>
      <c r="FY93" s="41"/>
      <c r="FZ93" s="41"/>
      <c r="GA93" s="41"/>
      <c r="GB93" s="199"/>
      <c r="GC93" s="200"/>
      <c r="GD93" s="125"/>
      <c r="GE93" s="41"/>
      <c r="GF93" s="41"/>
      <c r="GG93" s="41"/>
      <c r="GH93" s="41"/>
      <c r="GI93" s="199"/>
      <c r="GJ93" s="200"/>
      <c r="GK93" s="125"/>
      <c r="GL93" s="41"/>
      <c r="GM93" s="41"/>
      <c r="GN93" s="41"/>
      <c r="GO93" s="41"/>
      <c r="GP93" s="199"/>
      <c r="GQ93" s="200"/>
      <c r="GR93" s="125"/>
      <c r="GS93" s="41"/>
      <c r="GT93" s="41"/>
      <c r="GU93" s="41"/>
      <c r="GV93" s="41"/>
      <c r="GW93" s="199"/>
      <c r="GX93" s="200"/>
      <c r="GY93" s="125"/>
      <c r="GZ93" s="41"/>
      <c r="HA93" s="41"/>
      <c r="HB93" s="41"/>
      <c r="HC93" s="41"/>
      <c r="HD93" s="199"/>
      <c r="HE93" s="200"/>
    </row>
    <row r="94" spans="2:213" x14ac:dyDescent="0.3">
      <c r="B94" s="8">
        <v>104816</v>
      </c>
      <c r="C94" s="9">
        <v>35</v>
      </c>
      <c r="D94" s="10" t="str">
        <f t="shared" ref="D94:D102" si="11">IF(G94="","","X")</f>
        <v>X</v>
      </c>
      <c r="E94" s="11" t="str">
        <f t="shared" si="9"/>
        <v>104816X</v>
      </c>
      <c r="F94" s="193" t="s">
        <v>20</v>
      </c>
      <c r="G94" s="184" t="s">
        <v>8</v>
      </c>
      <c r="H94" s="146" t="s">
        <v>9</v>
      </c>
      <c r="I94" s="157" t="s">
        <v>194</v>
      </c>
      <c r="J94" s="158" t="s">
        <v>195</v>
      </c>
      <c r="K94" s="125" t="s">
        <v>459</v>
      </c>
      <c r="L94" s="41" t="s">
        <v>459</v>
      </c>
      <c r="M94" s="41" t="s">
        <v>459</v>
      </c>
      <c r="N94" s="41" t="s">
        <v>459</v>
      </c>
      <c r="O94" s="41" t="s">
        <v>459</v>
      </c>
      <c r="P94" s="199"/>
      <c r="Q94" s="200"/>
      <c r="R94" s="125" t="s">
        <v>459</v>
      </c>
      <c r="S94" s="41" t="s">
        <v>459</v>
      </c>
      <c r="T94" s="41" t="s">
        <v>459</v>
      </c>
      <c r="U94" s="41" t="s">
        <v>459</v>
      </c>
      <c r="V94" s="41" t="s">
        <v>459</v>
      </c>
      <c r="W94" s="199"/>
      <c r="X94" s="200"/>
      <c r="Y94" s="125"/>
      <c r="Z94" s="41"/>
      <c r="AA94" s="41"/>
      <c r="AB94" s="41"/>
      <c r="AC94" s="41"/>
      <c r="AD94" s="199"/>
      <c r="AE94" s="200"/>
      <c r="AF94" s="125"/>
      <c r="AG94" s="41"/>
      <c r="AH94" s="41"/>
      <c r="AI94" s="41"/>
      <c r="AJ94" s="41"/>
      <c r="AK94" s="199"/>
      <c r="AL94" s="200"/>
      <c r="AM94" s="125"/>
      <c r="AN94" s="41"/>
      <c r="AO94" s="41"/>
      <c r="AP94" s="41"/>
      <c r="AQ94" s="41"/>
      <c r="AR94" s="199"/>
      <c r="AS94" s="200"/>
      <c r="AT94" s="125"/>
      <c r="AU94" s="41"/>
      <c r="AV94" s="41"/>
      <c r="AW94" s="41"/>
      <c r="AX94" s="41"/>
      <c r="AY94" s="199"/>
      <c r="AZ94" s="200"/>
      <c r="BA94" s="125"/>
      <c r="BB94" s="41"/>
      <c r="BC94" s="41"/>
      <c r="BD94" s="41"/>
      <c r="BE94" s="41"/>
      <c r="BF94" s="199"/>
      <c r="BG94" s="200"/>
      <c r="BH94" s="125"/>
      <c r="BI94" s="41"/>
      <c r="BJ94" s="41"/>
      <c r="BK94" s="41"/>
      <c r="BL94" s="41"/>
      <c r="BM94" s="199"/>
      <c r="BN94" s="200"/>
      <c r="BO94" s="125"/>
      <c r="BP94" s="41"/>
      <c r="BQ94" s="41"/>
      <c r="BR94" s="41"/>
      <c r="BS94" s="41"/>
      <c r="BT94" s="199"/>
      <c r="BU94" s="200"/>
      <c r="BV94" s="125"/>
      <c r="BW94" s="41"/>
      <c r="BX94" s="41"/>
      <c r="BY94" s="41"/>
      <c r="BZ94" s="41"/>
      <c r="CA94" s="199"/>
      <c r="CB94" s="200"/>
      <c r="CC94" s="125"/>
      <c r="CD94" s="41"/>
      <c r="CE94" s="41"/>
      <c r="CF94" s="41"/>
      <c r="CG94" s="41"/>
      <c r="CH94" s="199"/>
      <c r="CI94" s="200"/>
      <c r="CJ94" s="125"/>
      <c r="CK94" s="41"/>
      <c r="CL94" s="41"/>
      <c r="CM94" s="41"/>
      <c r="CN94" s="41"/>
      <c r="CO94" s="199"/>
      <c r="CP94" s="200"/>
      <c r="CQ94" s="125"/>
      <c r="CR94" s="41"/>
      <c r="CS94" s="41"/>
      <c r="CT94" s="41"/>
      <c r="CU94" s="41"/>
      <c r="CV94" s="199"/>
      <c r="CW94" s="200"/>
      <c r="CX94" s="125"/>
      <c r="CY94" s="41"/>
      <c r="CZ94" s="41"/>
      <c r="DA94" s="41"/>
      <c r="DB94" s="41"/>
      <c r="DC94" s="199"/>
      <c r="DD94" s="200"/>
      <c r="DE94" s="125"/>
      <c r="DF94" s="41"/>
      <c r="DG94" s="41"/>
      <c r="DH94" s="41"/>
      <c r="DI94" s="41"/>
      <c r="DJ94" s="199"/>
      <c r="DK94" s="200"/>
      <c r="DL94" s="125"/>
      <c r="DM94" s="41"/>
      <c r="DN94" s="41"/>
      <c r="DO94" s="41"/>
      <c r="DP94" s="41"/>
      <c r="DQ94" s="199"/>
      <c r="DR94" s="200"/>
      <c r="DS94" s="125"/>
      <c r="DT94" s="41"/>
      <c r="DU94" s="41"/>
      <c r="DV94" s="41"/>
      <c r="DW94" s="41"/>
      <c r="DX94" s="199"/>
      <c r="DY94" s="200"/>
      <c r="DZ94" s="125"/>
      <c r="EA94" s="41"/>
      <c r="EB94" s="41"/>
      <c r="EC94" s="41"/>
      <c r="ED94" s="41"/>
      <c r="EE94" s="199"/>
      <c r="EF94" s="200"/>
      <c r="EG94" s="125"/>
      <c r="EH94" s="41"/>
      <c r="EI94" s="41"/>
      <c r="EJ94" s="41"/>
      <c r="EK94" s="41"/>
      <c r="EL94" s="199"/>
      <c r="EM94" s="200"/>
      <c r="EN94" s="125"/>
      <c r="EO94" s="41"/>
      <c r="EP94" s="41"/>
      <c r="EQ94" s="41"/>
      <c r="ER94" s="41"/>
      <c r="ES94" s="199"/>
      <c r="ET94" s="200"/>
      <c r="EU94" s="125"/>
      <c r="EV94" s="41"/>
      <c r="EW94" s="41"/>
      <c r="EX94" s="41"/>
      <c r="EY94" s="41"/>
      <c r="EZ94" s="199"/>
      <c r="FA94" s="200"/>
      <c r="FB94" s="125"/>
      <c r="FC94" s="41"/>
      <c r="FD94" s="41"/>
      <c r="FE94" s="41"/>
      <c r="FF94" s="41"/>
      <c r="FG94" s="199"/>
      <c r="FH94" s="200"/>
      <c r="FI94" s="125"/>
      <c r="FJ94" s="41"/>
      <c r="FK94" s="41"/>
      <c r="FL94" s="41"/>
      <c r="FM94" s="41"/>
      <c r="FN94" s="199"/>
      <c r="FO94" s="200"/>
      <c r="FP94" s="125"/>
      <c r="FQ94" s="41"/>
      <c r="FR94" s="41"/>
      <c r="FS94" s="41"/>
      <c r="FT94" s="41"/>
      <c r="FU94" s="199"/>
      <c r="FV94" s="200"/>
      <c r="FW94" s="125"/>
      <c r="FX94" s="41"/>
      <c r="FY94" s="41"/>
      <c r="FZ94" s="41"/>
      <c r="GA94" s="41"/>
      <c r="GB94" s="199"/>
      <c r="GC94" s="200"/>
      <c r="GD94" s="125"/>
      <c r="GE94" s="41"/>
      <c r="GF94" s="41"/>
      <c r="GG94" s="41"/>
      <c r="GH94" s="41"/>
      <c r="GI94" s="199"/>
      <c r="GJ94" s="200"/>
      <c r="GK94" s="125"/>
      <c r="GL94" s="41"/>
      <c r="GM94" s="41"/>
      <c r="GN94" s="41"/>
      <c r="GO94" s="41"/>
      <c r="GP94" s="199"/>
      <c r="GQ94" s="200"/>
      <c r="GR94" s="125"/>
      <c r="GS94" s="41"/>
      <c r="GT94" s="41"/>
      <c r="GU94" s="41"/>
      <c r="GV94" s="41"/>
      <c r="GW94" s="199"/>
      <c r="GX94" s="200"/>
      <c r="GY94" s="125"/>
      <c r="GZ94" s="41"/>
      <c r="HA94" s="41"/>
      <c r="HB94" s="41"/>
      <c r="HC94" s="41"/>
      <c r="HD94" s="199"/>
      <c r="HE94" s="200"/>
    </row>
    <row r="95" spans="2:213" x14ac:dyDescent="0.3">
      <c r="B95" s="19">
        <v>23895</v>
      </c>
      <c r="C95" s="9">
        <v>28</v>
      </c>
      <c r="D95" s="10" t="str">
        <f t="shared" si="11"/>
        <v>X</v>
      </c>
      <c r="E95" s="10" t="str">
        <f t="shared" si="9"/>
        <v>23895X</v>
      </c>
      <c r="F95" s="193" t="s">
        <v>20</v>
      </c>
      <c r="G95" s="184" t="s">
        <v>8</v>
      </c>
      <c r="H95" s="146" t="s">
        <v>9</v>
      </c>
      <c r="I95" s="149" t="s">
        <v>250</v>
      </c>
      <c r="J95" s="150" t="s">
        <v>251</v>
      </c>
      <c r="K95" s="125" t="s">
        <v>459</v>
      </c>
      <c r="L95" s="41" t="s">
        <v>459</v>
      </c>
      <c r="M95" s="41" t="s">
        <v>459</v>
      </c>
      <c r="N95" s="41" t="s">
        <v>459</v>
      </c>
      <c r="O95" s="41" t="s">
        <v>459</v>
      </c>
      <c r="P95" s="199"/>
      <c r="Q95" s="200"/>
      <c r="R95" s="125" t="s">
        <v>459</v>
      </c>
      <c r="S95" s="41" t="s">
        <v>459</v>
      </c>
      <c r="T95" s="41" t="s">
        <v>459</v>
      </c>
      <c r="U95" s="41" t="s">
        <v>459</v>
      </c>
      <c r="V95" s="41" t="s">
        <v>459</v>
      </c>
      <c r="W95" s="199"/>
      <c r="X95" s="200"/>
      <c r="Y95" s="125"/>
      <c r="Z95" s="41"/>
      <c r="AA95" s="41"/>
      <c r="AB95" s="41"/>
      <c r="AC95" s="41"/>
      <c r="AD95" s="199"/>
      <c r="AE95" s="200"/>
      <c r="AF95" s="125"/>
      <c r="AG95" s="41"/>
      <c r="AH95" s="41"/>
      <c r="AI95" s="41"/>
      <c r="AJ95" s="41"/>
      <c r="AK95" s="199"/>
      <c r="AL95" s="200"/>
      <c r="AM95" s="125"/>
      <c r="AN95" s="41"/>
      <c r="AO95" s="41"/>
      <c r="AP95" s="41"/>
      <c r="AQ95" s="41"/>
      <c r="AR95" s="199"/>
      <c r="AS95" s="200"/>
      <c r="AT95" s="125"/>
      <c r="AU95" s="41"/>
      <c r="AV95" s="41"/>
      <c r="AW95" s="41"/>
      <c r="AX95" s="41"/>
      <c r="AY95" s="199"/>
      <c r="AZ95" s="200"/>
      <c r="BA95" s="125"/>
      <c r="BB95" s="41"/>
      <c r="BC95" s="41"/>
      <c r="BD95" s="41"/>
      <c r="BE95" s="41"/>
      <c r="BF95" s="199"/>
      <c r="BG95" s="200"/>
      <c r="BH95" s="125"/>
      <c r="BI95" s="41"/>
      <c r="BJ95" s="41"/>
      <c r="BK95" s="41"/>
      <c r="BL95" s="41"/>
      <c r="BM95" s="199"/>
      <c r="BN95" s="200"/>
      <c r="BO95" s="125"/>
      <c r="BP95" s="41"/>
      <c r="BQ95" s="41"/>
      <c r="BR95" s="41"/>
      <c r="BS95" s="41"/>
      <c r="BT95" s="199"/>
      <c r="BU95" s="200"/>
      <c r="BV95" s="125"/>
      <c r="BW95" s="41"/>
      <c r="BX95" s="41"/>
      <c r="BY95" s="41"/>
      <c r="BZ95" s="41"/>
      <c r="CA95" s="199"/>
      <c r="CB95" s="200"/>
      <c r="CC95" s="125"/>
      <c r="CD95" s="41"/>
      <c r="CE95" s="41"/>
      <c r="CF95" s="41"/>
      <c r="CG95" s="41"/>
      <c r="CH95" s="199"/>
      <c r="CI95" s="200"/>
      <c r="CJ95" s="125"/>
      <c r="CK95" s="41"/>
      <c r="CL95" s="41"/>
      <c r="CM95" s="41"/>
      <c r="CN95" s="41"/>
      <c r="CO95" s="199"/>
      <c r="CP95" s="200"/>
      <c r="CQ95" s="125"/>
      <c r="CR95" s="41"/>
      <c r="CS95" s="41"/>
      <c r="CT95" s="41"/>
      <c r="CU95" s="41"/>
      <c r="CV95" s="199"/>
      <c r="CW95" s="200"/>
      <c r="CX95" s="125"/>
      <c r="CY95" s="41"/>
      <c r="CZ95" s="41"/>
      <c r="DA95" s="41"/>
      <c r="DB95" s="41"/>
      <c r="DC95" s="199"/>
      <c r="DD95" s="200"/>
      <c r="DE95" s="125"/>
      <c r="DF95" s="41"/>
      <c r="DG95" s="41"/>
      <c r="DH95" s="41"/>
      <c r="DI95" s="41"/>
      <c r="DJ95" s="199"/>
      <c r="DK95" s="200"/>
      <c r="DL95" s="125"/>
      <c r="DM95" s="41"/>
      <c r="DN95" s="41"/>
      <c r="DO95" s="41"/>
      <c r="DP95" s="41"/>
      <c r="DQ95" s="199"/>
      <c r="DR95" s="200"/>
      <c r="DS95" s="125"/>
      <c r="DT95" s="41"/>
      <c r="DU95" s="41"/>
      <c r="DV95" s="41"/>
      <c r="DW95" s="41"/>
      <c r="DX95" s="199"/>
      <c r="DY95" s="200"/>
      <c r="DZ95" s="125"/>
      <c r="EA95" s="41"/>
      <c r="EB95" s="41"/>
      <c r="EC95" s="41"/>
      <c r="ED95" s="41"/>
      <c r="EE95" s="199"/>
      <c r="EF95" s="200"/>
      <c r="EG95" s="125"/>
      <c r="EH95" s="41"/>
      <c r="EI95" s="41"/>
      <c r="EJ95" s="41"/>
      <c r="EK95" s="41"/>
      <c r="EL95" s="199"/>
      <c r="EM95" s="200"/>
      <c r="EN95" s="125"/>
      <c r="EO95" s="41"/>
      <c r="EP95" s="41"/>
      <c r="EQ95" s="41"/>
      <c r="ER95" s="41"/>
      <c r="ES95" s="199"/>
      <c r="ET95" s="200"/>
      <c r="EU95" s="125"/>
      <c r="EV95" s="41"/>
      <c r="EW95" s="41"/>
      <c r="EX95" s="41"/>
      <c r="EY95" s="41"/>
      <c r="EZ95" s="199"/>
      <c r="FA95" s="200"/>
      <c r="FB95" s="125"/>
      <c r="FC95" s="41"/>
      <c r="FD95" s="41"/>
      <c r="FE95" s="41"/>
      <c r="FF95" s="41"/>
      <c r="FG95" s="199"/>
      <c r="FH95" s="200"/>
      <c r="FI95" s="125"/>
      <c r="FJ95" s="41"/>
      <c r="FK95" s="41"/>
      <c r="FL95" s="41"/>
      <c r="FM95" s="41"/>
      <c r="FN95" s="199"/>
      <c r="FO95" s="200"/>
      <c r="FP95" s="125"/>
      <c r="FQ95" s="41"/>
      <c r="FR95" s="41"/>
      <c r="FS95" s="41"/>
      <c r="FT95" s="41"/>
      <c r="FU95" s="199"/>
      <c r="FV95" s="200"/>
      <c r="FW95" s="125"/>
      <c r="FX95" s="41"/>
      <c r="FY95" s="41"/>
      <c r="FZ95" s="41"/>
      <c r="GA95" s="41"/>
      <c r="GB95" s="199"/>
      <c r="GC95" s="200"/>
      <c r="GD95" s="125"/>
      <c r="GE95" s="41"/>
      <c r="GF95" s="41"/>
      <c r="GG95" s="41"/>
      <c r="GH95" s="41"/>
      <c r="GI95" s="199"/>
      <c r="GJ95" s="200"/>
      <c r="GK95" s="125"/>
      <c r="GL95" s="41"/>
      <c r="GM95" s="41"/>
      <c r="GN95" s="41"/>
      <c r="GO95" s="41"/>
      <c r="GP95" s="199"/>
      <c r="GQ95" s="200"/>
      <c r="GR95" s="125"/>
      <c r="GS95" s="41"/>
      <c r="GT95" s="41"/>
      <c r="GU95" s="41"/>
      <c r="GV95" s="41"/>
      <c r="GW95" s="199"/>
      <c r="GX95" s="200"/>
      <c r="GY95" s="125"/>
      <c r="GZ95" s="41"/>
      <c r="HA95" s="41"/>
      <c r="HB95" s="41"/>
      <c r="HC95" s="41"/>
      <c r="HD95" s="199"/>
      <c r="HE95" s="200"/>
    </row>
    <row r="96" spans="2:213" x14ac:dyDescent="0.3">
      <c r="B96" s="19">
        <v>16824</v>
      </c>
      <c r="C96" s="9">
        <v>39</v>
      </c>
      <c r="D96" s="10" t="str">
        <f t="shared" si="11"/>
        <v>X</v>
      </c>
      <c r="E96" s="11" t="str">
        <f t="shared" si="9"/>
        <v>16824X</v>
      </c>
      <c r="F96" s="193" t="s">
        <v>20</v>
      </c>
      <c r="G96" s="183" t="s">
        <v>8</v>
      </c>
      <c r="H96" s="146" t="s">
        <v>9</v>
      </c>
      <c r="I96" s="151" t="s">
        <v>264</v>
      </c>
      <c r="J96" s="152" t="s">
        <v>265</v>
      </c>
      <c r="K96" s="125" t="s">
        <v>459</v>
      </c>
      <c r="L96" s="41" t="s">
        <v>459</v>
      </c>
      <c r="M96" s="41" t="s">
        <v>459</v>
      </c>
      <c r="N96" s="41" t="s">
        <v>459</v>
      </c>
      <c r="O96" s="41" t="s">
        <v>459</v>
      </c>
      <c r="P96" s="199"/>
      <c r="Q96" s="200"/>
      <c r="R96" s="125" t="s">
        <v>459</v>
      </c>
      <c r="S96" s="41" t="s">
        <v>459</v>
      </c>
      <c r="T96" s="41" t="s">
        <v>459</v>
      </c>
      <c r="U96" s="41" t="s">
        <v>459</v>
      </c>
      <c r="V96" s="41" t="s">
        <v>459</v>
      </c>
      <c r="W96" s="199"/>
      <c r="X96" s="200"/>
      <c r="Y96" s="125"/>
      <c r="Z96" s="41"/>
      <c r="AA96" s="41"/>
      <c r="AB96" s="41"/>
      <c r="AC96" s="41"/>
      <c r="AD96" s="199"/>
      <c r="AE96" s="200"/>
      <c r="AF96" s="125"/>
      <c r="AG96" s="41"/>
      <c r="AH96" s="41"/>
      <c r="AI96" s="41"/>
      <c r="AJ96" s="41"/>
      <c r="AK96" s="199"/>
      <c r="AL96" s="200"/>
      <c r="AM96" s="125"/>
      <c r="AN96" s="41"/>
      <c r="AO96" s="41"/>
      <c r="AP96" s="41"/>
      <c r="AQ96" s="41"/>
      <c r="AR96" s="199"/>
      <c r="AS96" s="200"/>
      <c r="AT96" s="125"/>
      <c r="AU96" s="41"/>
      <c r="AV96" s="41"/>
      <c r="AW96" s="41"/>
      <c r="AX96" s="41"/>
      <c r="AY96" s="199"/>
      <c r="AZ96" s="200"/>
      <c r="BA96" s="125"/>
      <c r="BB96" s="41"/>
      <c r="BC96" s="41"/>
      <c r="BD96" s="41"/>
      <c r="BE96" s="41"/>
      <c r="BF96" s="199"/>
      <c r="BG96" s="200"/>
      <c r="BH96" s="125"/>
      <c r="BI96" s="41"/>
      <c r="BJ96" s="41"/>
      <c r="BK96" s="41"/>
      <c r="BL96" s="41"/>
      <c r="BM96" s="199"/>
      <c r="BN96" s="200"/>
      <c r="BO96" s="125"/>
      <c r="BP96" s="41"/>
      <c r="BQ96" s="41"/>
      <c r="BR96" s="41"/>
      <c r="BS96" s="41"/>
      <c r="BT96" s="199"/>
      <c r="BU96" s="200"/>
      <c r="BV96" s="125"/>
      <c r="BW96" s="41"/>
      <c r="BX96" s="41"/>
      <c r="BY96" s="41"/>
      <c r="BZ96" s="41"/>
      <c r="CA96" s="199"/>
      <c r="CB96" s="200"/>
      <c r="CC96" s="125"/>
      <c r="CD96" s="41"/>
      <c r="CE96" s="41"/>
      <c r="CF96" s="41"/>
      <c r="CG96" s="41"/>
      <c r="CH96" s="199"/>
      <c r="CI96" s="200"/>
      <c r="CJ96" s="125"/>
      <c r="CK96" s="41"/>
      <c r="CL96" s="41"/>
      <c r="CM96" s="41"/>
      <c r="CN96" s="41"/>
      <c r="CO96" s="199"/>
      <c r="CP96" s="200"/>
      <c r="CQ96" s="125"/>
      <c r="CR96" s="41"/>
      <c r="CS96" s="41"/>
      <c r="CT96" s="41"/>
      <c r="CU96" s="41"/>
      <c r="CV96" s="199"/>
      <c r="CW96" s="200"/>
      <c r="CX96" s="125"/>
      <c r="CY96" s="41"/>
      <c r="CZ96" s="41"/>
      <c r="DA96" s="41"/>
      <c r="DB96" s="41"/>
      <c r="DC96" s="199"/>
      <c r="DD96" s="200"/>
      <c r="DE96" s="125"/>
      <c r="DF96" s="41"/>
      <c r="DG96" s="41"/>
      <c r="DH96" s="41"/>
      <c r="DI96" s="41"/>
      <c r="DJ96" s="199"/>
      <c r="DK96" s="200"/>
      <c r="DL96" s="125"/>
      <c r="DM96" s="41"/>
      <c r="DN96" s="41"/>
      <c r="DO96" s="41"/>
      <c r="DP96" s="41"/>
      <c r="DQ96" s="199"/>
      <c r="DR96" s="200"/>
      <c r="DS96" s="125"/>
      <c r="DT96" s="41"/>
      <c r="DU96" s="41"/>
      <c r="DV96" s="41"/>
      <c r="DW96" s="41"/>
      <c r="DX96" s="199"/>
      <c r="DY96" s="200"/>
      <c r="DZ96" s="125"/>
      <c r="EA96" s="41"/>
      <c r="EB96" s="41"/>
      <c r="EC96" s="41"/>
      <c r="ED96" s="41"/>
      <c r="EE96" s="199"/>
      <c r="EF96" s="200"/>
      <c r="EG96" s="125"/>
      <c r="EH96" s="41"/>
      <c r="EI96" s="41"/>
      <c r="EJ96" s="41"/>
      <c r="EK96" s="41"/>
      <c r="EL96" s="199"/>
      <c r="EM96" s="200"/>
      <c r="EN96" s="125"/>
      <c r="EO96" s="41"/>
      <c r="EP96" s="41"/>
      <c r="EQ96" s="41"/>
      <c r="ER96" s="41"/>
      <c r="ES96" s="199"/>
      <c r="ET96" s="200"/>
      <c r="EU96" s="125"/>
      <c r="EV96" s="41"/>
      <c r="EW96" s="41"/>
      <c r="EX96" s="41"/>
      <c r="EY96" s="41"/>
      <c r="EZ96" s="199"/>
      <c r="FA96" s="200"/>
      <c r="FB96" s="125"/>
      <c r="FC96" s="41"/>
      <c r="FD96" s="41"/>
      <c r="FE96" s="41"/>
      <c r="FF96" s="41"/>
      <c r="FG96" s="199"/>
      <c r="FH96" s="200"/>
      <c r="FI96" s="125"/>
      <c r="FJ96" s="41"/>
      <c r="FK96" s="41"/>
      <c r="FL96" s="41"/>
      <c r="FM96" s="41"/>
      <c r="FN96" s="199"/>
      <c r="FO96" s="200"/>
      <c r="FP96" s="125"/>
      <c r="FQ96" s="41"/>
      <c r="FR96" s="41"/>
      <c r="FS96" s="41"/>
      <c r="FT96" s="41"/>
      <c r="FU96" s="199"/>
      <c r="FV96" s="200"/>
      <c r="FW96" s="125"/>
      <c r="FX96" s="41"/>
      <c r="FY96" s="41"/>
      <c r="FZ96" s="41"/>
      <c r="GA96" s="41"/>
      <c r="GB96" s="199"/>
      <c r="GC96" s="200"/>
      <c r="GD96" s="125"/>
      <c r="GE96" s="41"/>
      <c r="GF96" s="41"/>
      <c r="GG96" s="41"/>
      <c r="GH96" s="41"/>
      <c r="GI96" s="199"/>
      <c r="GJ96" s="200"/>
      <c r="GK96" s="125"/>
      <c r="GL96" s="41"/>
      <c r="GM96" s="41"/>
      <c r="GN96" s="41"/>
      <c r="GO96" s="41"/>
      <c r="GP96" s="199"/>
      <c r="GQ96" s="200"/>
      <c r="GR96" s="125"/>
      <c r="GS96" s="41"/>
      <c r="GT96" s="41"/>
      <c r="GU96" s="41"/>
      <c r="GV96" s="41"/>
      <c r="GW96" s="199"/>
      <c r="GX96" s="200"/>
      <c r="GY96" s="125"/>
      <c r="GZ96" s="41"/>
      <c r="HA96" s="41"/>
      <c r="HB96" s="41"/>
      <c r="HC96" s="41"/>
      <c r="HD96" s="199"/>
      <c r="HE96" s="200"/>
    </row>
    <row r="97" spans="2:213" x14ac:dyDescent="0.3">
      <c r="B97" s="95">
        <v>16345</v>
      </c>
      <c r="C97" s="9">
        <v>39</v>
      </c>
      <c r="D97" s="41" t="str">
        <f t="shared" si="11"/>
        <v>X</v>
      </c>
      <c r="E97" s="10" t="str">
        <f t="shared" si="9"/>
        <v>16345X</v>
      </c>
      <c r="F97" s="193" t="s">
        <v>20</v>
      </c>
      <c r="G97" s="185" t="s">
        <v>8</v>
      </c>
      <c r="H97" s="146" t="s">
        <v>9</v>
      </c>
      <c r="I97" s="155" t="s">
        <v>286</v>
      </c>
      <c r="J97" s="156" t="s">
        <v>200</v>
      </c>
      <c r="K97" s="125" t="s">
        <v>459</v>
      </c>
      <c r="L97" s="41" t="s">
        <v>459</v>
      </c>
      <c r="M97" s="41" t="s">
        <v>459</v>
      </c>
      <c r="N97" s="41" t="s">
        <v>459</v>
      </c>
      <c r="O97" s="41" t="s">
        <v>459</v>
      </c>
      <c r="P97" s="199"/>
      <c r="Q97" s="200"/>
      <c r="R97" s="125" t="s">
        <v>459</v>
      </c>
      <c r="S97" s="41" t="s">
        <v>459</v>
      </c>
      <c r="T97" s="41" t="s">
        <v>459</v>
      </c>
      <c r="U97" s="41" t="s">
        <v>459</v>
      </c>
      <c r="V97" s="41" t="s">
        <v>459</v>
      </c>
      <c r="W97" s="199"/>
      <c r="X97" s="200"/>
      <c r="Y97" s="125"/>
      <c r="Z97" s="41"/>
      <c r="AA97" s="41"/>
      <c r="AB97" s="41"/>
      <c r="AC97" s="41"/>
      <c r="AD97" s="199"/>
      <c r="AE97" s="200"/>
      <c r="AF97" s="125"/>
      <c r="AG97" s="41"/>
      <c r="AH97" s="41"/>
      <c r="AI97" s="41"/>
      <c r="AJ97" s="41"/>
      <c r="AK97" s="199"/>
      <c r="AL97" s="200"/>
      <c r="AM97" s="125"/>
      <c r="AN97" s="41"/>
      <c r="AO97" s="41"/>
      <c r="AP97" s="41"/>
      <c r="AQ97" s="41"/>
      <c r="AR97" s="199"/>
      <c r="AS97" s="200"/>
      <c r="AT97" s="125"/>
      <c r="AU97" s="41"/>
      <c r="AV97" s="41"/>
      <c r="AW97" s="41"/>
      <c r="AX97" s="41"/>
      <c r="AY97" s="199"/>
      <c r="AZ97" s="200"/>
      <c r="BA97" s="125"/>
      <c r="BB97" s="41"/>
      <c r="BC97" s="41"/>
      <c r="BD97" s="41"/>
      <c r="BE97" s="41"/>
      <c r="BF97" s="199"/>
      <c r="BG97" s="200"/>
      <c r="BH97" s="125"/>
      <c r="BI97" s="41"/>
      <c r="BJ97" s="41"/>
      <c r="BK97" s="41"/>
      <c r="BL97" s="41"/>
      <c r="BM97" s="199"/>
      <c r="BN97" s="200"/>
      <c r="BO97" s="125"/>
      <c r="BP97" s="41"/>
      <c r="BQ97" s="41"/>
      <c r="BR97" s="41"/>
      <c r="BS97" s="41"/>
      <c r="BT97" s="199"/>
      <c r="BU97" s="200"/>
      <c r="BV97" s="125"/>
      <c r="BW97" s="41"/>
      <c r="BX97" s="41"/>
      <c r="BY97" s="41"/>
      <c r="BZ97" s="41"/>
      <c r="CA97" s="199"/>
      <c r="CB97" s="200"/>
      <c r="CC97" s="125"/>
      <c r="CD97" s="41"/>
      <c r="CE97" s="41"/>
      <c r="CF97" s="41"/>
      <c r="CG97" s="41"/>
      <c r="CH97" s="199"/>
      <c r="CI97" s="200"/>
      <c r="CJ97" s="125"/>
      <c r="CK97" s="41"/>
      <c r="CL97" s="41"/>
      <c r="CM97" s="41"/>
      <c r="CN97" s="41"/>
      <c r="CO97" s="199"/>
      <c r="CP97" s="200"/>
      <c r="CQ97" s="125"/>
      <c r="CR97" s="41"/>
      <c r="CS97" s="41"/>
      <c r="CT97" s="41"/>
      <c r="CU97" s="41"/>
      <c r="CV97" s="199"/>
      <c r="CW97" s="200"/>
      <c r="CX97" s="125"/>
      <c r="CY97" s="41"/>
      <c r="CZ97" s="41"/>
      <c r="DA97" s="41"/>
      <c r="DB97" s="41"/>
      <c r="DC97" s="199"/>
      <c r="DD97" s="200"/>
      <c r="DE97" s="125"/>
      <c r="DF97" s="41"/>
      <c r="DG97" s="41"/>
      <c r="DH97" s="41"/>
      <c r="DI97" s="41"/>
      <c r="DJ97" s="199"/>
      <c r="DK97" s="200"/>
      <c r="DL97" s="125"/>
      <c r="DM97" s="41"/>
      <c r="DN97" s="41"/>
      <c r="DO97" s="41"/>
      <c r="DP97" s="41"/>
      <c r="DQ97" s="199"/>
      <c r="DR97" s="200"/>
      <c r="DS97" s="125"/>
      <c r="DT97" s="41"/>
      <c r="DU97" s="41"/>
      <c r="DV97" s="41"/>
      <c r="DW97" s="41"/>
      <c r="DX97" s="199"/>
      <c r="DY97" s="200"/>
      <c r="DZ97" s="125"/>
      <c r="EA97" s="41"/>
      <c r="EB97" s="41"/>
      <c r="EC97" s="41"/>
      <c r="ED97" s="41"/>
      <c r="EE97" s="199"/>
      <c r="EF97" s="200"/>
      <c r="EG97" s="125"/>
      <c r="EH97" s="41"/>
      <c r="EI97" s="41"/>
      <c r="EJ97" s="41"/>
      <c r="EK97" s="41"/>
      <c r="EL97" s="199"/>
      <c r="EM97" s="200"/>
      <c r="EN97" s="125"/>
      <c r="EO97" s="41"/>
      <c r="EP97" s="41"/>
      <c r="EQ97" s="41"/>
      <c r="ER97" s="41"/>
      <c r="ES97" s="199"/>
      <c r="ET97" s="200"/>
      <c r="EU97" s="125"/>
      <c r="EV97" s="41"/>
      <c r="EW97" s="41"/>
      <c r="EX97" s="41"/>
      <c r="EY97" s="41"/>
      <c r="EZ97" s="199"/>
      <c r="FA97" s="200"/>
      <c r="FB97" s="125"/>
      <c r="FC97" s="41"/>
      <c r="FD97" s="41"/>
      <c r="FE97" s="41"/>
      <c r="FF97" s="41"/>
      <c r="FG97" s="199"/>
      <c r="FH97" s="200"/>
      <c r="FI97" s="125"/>
      <c r="FJ97" s="41"/>
      <c r="FK97" s="41"/>
      <c r="FL97" s="41"/>
      <c r="FM97" s="41"/>
      <c r="FN97" s="199"/>
      <c r="FO97" s="200"/>
      <c r="FP97" s="125"/>
      <c r="FQ97" s="41"/>
      <c r="FR97" s="41"/>
      <c r="FS97" s="41"/>
      <c r="FT97" s="41"/>
      <c r="FU97" s="199"/>
      <c r="FV97" s="200"/>
      <c r="FW97" s="125"/>
      <c r="FX97" s="41"/>
      <c r="FY97" s="41"/>
      <c r="FZ97" s="41"/>
      <c r="GA97" s="41"/>
      <c r="GB97" s="199"/>
      <c r="GC97" s="200"/>
      <c r="GD97" s="125"/>
      <c r="GE97" s="41"/>
      <c r="GF97" s="41"/>
      <c r="GG97" s="41"/>
      <c r="GH97" s="41"/>
      <c r="GI97" s="199"/>
      <c r="GJ97" s="200"/>
      <c r="GK97" s="125"/>
      <c r="GL97" s="41"/>
      <c r="GM97" s="41"/>
      <c r="GN97" s="41"/>
      <c r="GO97" s="41"/>
      <c r="GP97" s="199"/>
      <c r="GQ97" s="200"/>
      <c r="GR97" s="125"/>
      <c r="GS97" s="41"/>
      <c r="GT97" s="41"/>
      <c r="GU97" s="41"/>
      <c r="GV97" s="41"/>
      <c r="GW97" s="199"/>
      <c r="GX97" s="200"/>
      <c r="GY97" s="125"/>
      <c r="GZ97" s="41"/>
      <c r="HA97" s="41"/>
      <c r="HB97" s="41"/>
      <c r="HC97" s="41"/>
      <c r="HD97" s="199"/>
      <c r="HE97" s="200"/>
    </row>
    <row r="98" spans="2:213" x14ac:dyDescent="0.3">
      <c r="B98" s="19">
        <v>34475</v>
      </c>
      <c r="C98" s="9">
        <v>39</v>
      </c>
      <c r="D98" s="10" t="str">
        <f t="shared" si="11"/>
        <v>X</v>
      </c>
      <c r="E98" s="11" t="str">
        <f t="shared" si="9"/>
        <v>34475X</v>
      </c>
      <c r="F98" s="193" t="s">
        <v>20</v>
      </c>
      <c r="G98" s="184" t="s">
        <v>8</v>
      </c>
      <c r="H98" s="146" t="s">
        <v>9</v>
      </c>
      <c r="I98" s="153" t="s">
        <v>287</v>
      </c>
      <c r="J98" s="154" t="s">
        <v>288</v>
      </c>
      <c r="K98" s="125" t="s">
        <v>459</v>
      </c>
      <c r="L98" s="41" t="s">
        <v>459</v>
      </c>
      <c r="M98" s="41" t="s">
        <v>459</v>
      </c>
      <c r="N98" s="41" t="s">
        <v>459</v>
      </c>
      <c r="O98" s="41" t="s">
        <v>459</v>
      </c>
      <c r="P98" s="199"/>
      <c r="Q98" s="200"/>
      <c r="R98" s="125" t="s">
        <v>459</v>
      </c>
      <c r="S98" s="41" t="s">
        <v>459</v>
      </c>
      <c r="T98" s="41" t="s">
        <v>459</v>
      </c>
      <c r="U98" s="41" t="s">
        <v>459</v>
      </c>
      <c r="V98" s="41" t="s">
        <v>459</v>
      </c>
      <c r="W98" s="199"/>
      <c r="X98" s="200"/>
      <c r="Y98" s="125"/>
      <c r="Z98" s="41"/>
      <c r="AA98" s="41"/>
      <c r="AB98" s="41"/>
      <c r="AC98" s="41"/>
      <c r="AD98" s="199"/>
      <c r="AE98" s="200"/>
      <c r="AF98" s="125"/>
      <c r="AG98" s="41"/>
      <c r="AH98" s="41"/>
      <c r="AI98" s="41"/>
      <c r="AJ98" s="41"/>
      <c r="AK98" s="199"/>
      <c r="AL98" s="200"/>
      <c r="AM98" s="125"/>
      <c r="AN98" s="41"/>
      <c r="AO98" s="41"/>
      <c r="AP98" s="41"/>
      <c r="AQ98" s="41"/>
      <c r="AR98" s="199"/>
      <c r="AS98" s="200"/>
      <c r="AT98" s="125"/>
      <c r="AU98" s="41"/>
      <c r="AV98" s="41"/>
      <c r="AW98" s="41"/>
      <c r="AX98" s="41"/>
      <c r="AY98" s="199"/>
      <c r="AZ98" s="200"/>
      <c r="BA98" s="125"/>
      <c r="BB98" s="41"/>
      <c r="BC98" s="41"/>
      <c r="BD98" s="41"/>
      <c r="BE98" s="41"/>
      <c r="BF98" s="199"/>
      <c r="BG98" s="200"/>
      <c r="BH98" s="125"/>
      <c r="BI98" s="41"/>
      <c r="BJ98" s="41"/>
      <c r="BK98" s="41"/>
      <c r="BL98" s="41"/>
      <c r="BM98" s="199"/>
      <c r="BN98" s="200"/>
      <c r="BO98" s="125"/>
      <c r="BP98" s="41"/>
      <c r="BQ98" s="41"/>
      <c r="BR98" s="41"/>
      <c r="BS98" s="41"/>
      <c r="BT98" s="199"/>
      <c r="BU98" s="200"/>
      <c r="BV98" s="125"/>
      <c r="BW98" s="41"/>
      <c r="BX98" s="41"/>
      <c r="BY98" s="41"/>
      <c r="BZ98" s="41"/>
      <c r="CA98" s="199"/>
      <c r="CB98" s="200"/>
      <c r="CC98" s="125"/>
      <c r="CD98" s="41"/>
      <c r="CE98" s="41"/>
      <c r="CF98" s="41"/>
      <c r="CG98" s="41"/>
      <c r="CH98" s="199"/>
      <c r="CI98" s="200"/>
      <c r="CJ98" s="125"/>
      <c r="CK98" s="41"/>
      <c r="CL98" s="41"/>
      <c r="CM98" s="41"/>
      <c r="CN98" s="41"/>
      <c r="CO98" s="199"/>
      <c r="CP98" s="200"/>
      <c r="CQ98" s="125"/>
      <c r="CR98" s="41"/>
      <c r="CS98" s="41"/>
      <c r="CT98" s="41"/>
      <c r="CU98" s="41"/>
      <c r="CV98" s="199"/>
      <c r="CW98" s="200"/>
      <c r="CX98" s="125"/>
      <c r="CY98" s="41"/>
      <c r="CZ98" s="41"/>
      <c r="DA98" s="41"/>
      <c r="DB98" s="41"/>
      <c r="DC98" s="199"/>
      <c r="DD98" s="200"/>
      <c r="DE98" s="125"/>
      <c r="DF98" s="41"/>
      <c r="DG98" s="41"/>
      <c r="DH98" s="41"/>
      <c r="DI98" s="41"/>
      <c r="DJ98" s="199"/>
      <c r="DK98" s="200"/>
      <c r="DL98" s="125"/>
      <c r="DM98" s="41"/>
      <c r="DN98" s="41"/>
      <c r="DO98" s="41"/>
      <c r="DP98" s="41"/>
      <c r="DQ98" s="199"/>
      <c r="DR98" s="200"/>
      <c r="DS98" s="125"/>
      <c r="DT98" s="41"/>
      <c r="DU98" s="41"/>
      <c r="DV98" s="41"/>
      <c r="DW98" s="41"/>
      <c r="DX98" s="199"/>
      <c r="DY98" s="200"/>
      <c r="DZ98" s="125"/>
      <c r="EA98" s="41"/>
      <c r="EB98" s="41"/>
      <c r="EC98" s="41"/>
      <c r="ED98" s="41"/>
      <c r="EE98" s="199"/>
      <c r="EF98" s="200"/>
      <c r="EG98" s="125"/>
      <c r="EH98" s="41"/>
      <c r="EI98" s="41"/>
      <c r="EJ98" s="41"/>
      <c r="EK98" s="41"/>
      <c r="EL98" s="199"/>
      <c r="EM98" s="200"/>
      <c r="EN98" s="125"/>
      <c r="EO98" s="41"/>
      <c r="EP98" s="41"/>
      <c r="EQ98" s="41"/>
      <c r="ER98" s="41"/>
      <c r="ES98" s="199"/>
      <c r="ET98" s="200"/>
      <c r="EU98" s="125"/>
      <c r="EV98" s="41"/>
      <c r="EW98" s="41"/>
      <c r="EX98" s="41"/>
      <c r="EY98" s="41"/>
      <c r="EZ98" s="199"/>
      <c r="FA98" s="200"/>
      <c r="FB98" s="125"/>
      <c r="FC98" s="41"/>
      <c r="FD98" s="41"/>
      <c r="FE98" s="41"/>
      <c r="FF98" s="41"/>
      <c r="FG98" s="199"/>
      <c r="FH98" s="200"/>
      <c r="FI98" s="125"/>
      <c r="FJ98" s="41"/>
      <c r="FK98" s="41"/>
      <c r="FL98" s="41"/>
      <c r="FM98" s="41"/>
      <c r="FN98" s="199"/>
      <c r="FO98" s="200"/>
      <c r="FP98" s="125"/>
      <c r="FQ98" s="41"/>
      <c r="FR98" s="41"/>
      <c r="FS98" s="41"/>
      <c r="FT98" s="41"/>
      <c r="FU98" s="199"/>
      <c r="FV98" s="200"/>
      <c r="FW98" s="125"/>
      <c r="FX98" s="41"/>
      <c r="FY98" s="41"/>
      <c r="FZ98" s="41"/>
      <c r="GA98" s="41"/>
      <c r="GB98" s="199"/>
      <c r="GC98" s="200"/>
      <c r="GD98" s="125"/>
      <c r="GE98" s="41"/>
      <c r="GF98" s="41"/>
      <c r="GG98" s="41"/>
      <c r="GH98" s="41"/>
      <c r="GI98" s="199"/>
      <c r="GJ98" s="200"/>
      <c r="GK98" s="125"/>
      <c r="GL98" s="41"/>
      <c r="GM98" s="41"/>
      <c r="GN98" s="41"/>
      <c r="GO98" s="41"/>
      <c r="GP98" s="199"/>
      <c r="GQ98" s="200"/>
      <c r="GR98" s="125"/>
      <c r="GS98" s="41"/>
      <c r="GT98" s="41"/>
      <c r="GU98" s="41"/>
      <c r="GV98" s="41"/>
      <c r="GW98" s="199"/>
      <c r="GX98" s="200"/>
      <c r="GY98" s="125"/>
      <c r="GZ98" s="41"/>
      <c r="HA98" s="41"/>
      <c r="HB98" s="41"/>
      <c r="HC98" s="41"/>
      <c r="HD98" s="199"/>
      <c r="HE98" s="200"/>
    </row>
    <row r="99" spans="2:213" x14ac:dyDescent="0.3">
      <c r="B99" s="32">
        <v>16931</v>
      </c>
      <c r="C99" s="9">
        <v>35</v>
      </c>
      <c r="D99" s="10" t="str">
        <f t="shared" si="11"/>
        <v>X</v>
      </c>
      <c r="E99" s="11" t="str">
        <f t="shared" si="9"/>
        <v>16931X</v>
      </c>
      <c r="F99" s="193" t="s">
        <v>20</v>
      </c>
      <c r="G99" s="184" t="s">
        <v>8</v>
      </c>
      <c r="H99" s="146" t="s">
        <v>9</v>
      </c>
      <c r="I99" s="153" t="s">
        <v>290</v>
      </c>
      <c r="J99" s="154" t="s">
        <v>291</v>
      </c>
      <c r="K99" s="125" t="s">
        <v>459</v>
      </c>
      <c r="L99" s="41" t="s">
        <v>459</v>
      </c>
      <c r="M99" s="41" t="s">
        <v>459</v>
      </c>
      <c r="N99" s="41" t="s">
        <v>459</v>
      </c>
      <c r="O99" s="41" t="s">
        <v>459</v>
      </c>
      <c r="P99" s="199"/>
      <c r="Q99" s="200"/>
      <c r="R99" s="125" t="s">
        <v>459</v>
      </c>
      <c r="S99" s="41" t="s">
        <v>459</v>
      </c>
      <c r="T99" s="41" t="s">
        <v>459</v>
      </c>
      <c r="U99" s="41" t="s">
        <v>459</v>
      </c>
      <c r="V99" s="41" t="s">
        <v>459</v>
      </c>
      <c r="W99" s="199"/>
      <c r="X99" s="200"/>
      <c r="Y99" s="125"/>
      <c r="Z99" s="41"/>
      <c r="AA99" s="41"/>
      <c r="AB99" s="41"/>
      <c r="AC99" s="41"/>
      <c r="AD99" s="199"/>
      <c r="AE99" s="200"/>
      <c r="AF99" s="125"/>
      <c r="AG99" s="41"/>
      <c r="AH99" s="41"/>
      <c r="AI99" s="41"/>
      <c r="AJ99" s="41"/>
      <c r="AK99" s="199"/>
      <c r="AL99" s="200"/>
      <c r="AM99" s="125"/>
      <c r="AN99" s="41"/>
      <c r="AO99" s="41"/>
      <c r="AP99" s="41"/>
      <c r="AQ99" s="41"/>
      <c r="AR99" s="199"/>
      <c r="AS99" s="200"/>
      <c r="AT99" s="125"/>
      <c r="AU99" s="41"/>
      <c r="AV99" s="41"/>
      <c r="AW99" s="41"/>
      <c r="AX99" s="41"/>
      <c r="AY99" s="199"/>
      <c r="AZ99" s="200"/>
      <c r="BA99" s="125"/>
      <c r="BB99" s="41"/>
      <c r="BC99" s="41"/>
      <c r="BD99" s="41"/>
      <c r="BE99" s="41"/>
      <c r="BF99" s="199"/>
      <c r="BG99" s="200"/>
      <c r="BH99" s="125"/>
      <c r="BI99" s="41"/>
      <c r="BJ99" s="41"/>
      <c r="BK99" s="41"/>
      <c r="BL99" s="41"/>
      <c r="BM99" s="199"/>
      <c r="BN99" s="200"/>
      <c r="BO99" s="125"/>
      <c r="BP99" s="41"/>
      <c r="BQ99" s="41"/>
      <c r="BR99" s="41"/>
      <c r="BS99" s="41"/>
      <c r="BT99" s="199"/>
      <c r="BU99" s="200"/>
      <c r="BV99" s="125"/>
      <c r="BW99" s="41"/>
      <c r="BX99" s="41"/>
      <c r="BY99" s="41"/>
      <c r="BZ99" s="41"/>
      <c r="CA99" s="199"/>
      <c r="CB99" s="200"/>
      <c r="CC99" s="125"/>
      <c r="CD99" s="41"/>
      <c r="CE99" s="41"/>
      <c r="CF99" s="41"/>
      <c r="CG99" s="41"/>
      <c r="CH99" s="199"/>
      <c r="CI99" s="200"/>
      <c r="CJ99" s="125"/>
      <c r="CK99" s="41"/>
      <c r="CL99" s="41"/>
      <c r="CM99" s="41"/>
      <c r="CN99" s="41"/>
      <c r="CO99" s="199"/>
      <c r="CP99" s="200"/>
      <c r="CQ99" s="125"/>
      <c r="CR99" s="41"/>
      <c r="CS99" s="41"/>
      <c r="CT99" s="41"/>
      <c r="CU99" s="41"/>
      <c r="CV99" s="199"/>
      <c r="CW99" s="200"/>
      <c r="CX99" s="125"/>
      <c r="CY99" s="41"/>
      <c r="CZ99" s="41"/>
      <c r="DA99" s="41"/>
      <c r="DB99" s="41"/>
      <c r="DC99" s="199"/>
      <c r="DD99" s="200"/>
      <c r="DE99" s="125"/>
      <c r="DF99" s="41"/>
      <c r="DG99" s="41"/>
      <c r="DH99" s="41"/>
      <c r="DI99" s="41"/>
      <c r="DJ99" s="199"/>
      <c r="DK99" s="200"/>
      <c r="DL99" s="125"/>
      <c r="DM99" s="41"/>
      <c r="DN99" s="41"/>
      <c r="DO99" s="41"/>
      <c r="DP99" s="41"/>
      <c r="DQ99" s="199"/>
      <c r="DR99" s="200"/>
      <c r="DS99" s="125"/>
      <c r="DT99" s="41"/>
      <c r="DU99" s="41"/>
      <c r="DV99" s="41"/>
      <c r="DW99" s="41"/>
      <c r="DX99" s="199"/>
      <c r="DY99" s="200"/>
      <c r="DZ99" s="125"/>
      <c r="EA99" s="41"/>
      <c r="EB99" s="41"/>
      <c r="EC99" s="41"/>
      <c r="ED99" s="41"/>
      <c r="EE99" s="199"/>
      <c r="EF99" s="200"/>
      <c r="EG99" s="125"/>
      <c r="EH99" s="41"/>
      <c r="EI99" s="41"/>
      <c r="EJ99" s="41"/>
      <c r="EK99" s="41"/>
      <c r="EL99" s="199"/>
      <c r="EM99" s="200"/>
      <c r="EN99" s="125"/>
      <c r="EO99" s="41"/>
      <c r="EP99" s="41"/>
      <c r="EQ99" s="41"/>
      <c r="ER99" s="41"/>
      <c r="ES99" s="199"/>
      <c r="ET99" s="200"/>
      <c r="EU99" s="125"/>
      <c r="EV99" s="41"/>
      <c r="EW99" s="41"/>
      <c r="EX99" s="41"/>
      <c r="EY99" s="41"/>
      <c r="EZ99" s="199"/>
      <c r="FA99" s="200"/>
      <c r="FB99" s="125"/>
      <c r="FC99" s="41"/>
      <c r="FD99" s="41"/>
      <c r="FE99" s="41"/>
      <c r="FF99" s="41"/>
      <c r="FG99" s="199"/>
      <c r="FH99" s="200"/>
      <c r="FI99" s="125"/>
      <c r="FJ99" s="41"/>
      <c r="FK99" s="41"/>
      <c r="FL99" s="41"/>
      <c r="FM99" s="41"/>
      <c r="FN99" s="199"/>
      <c r="FO99" s="200"/>
      <c r="FP99" s="125"/>
      <c r="FQ99" s="41"/>
      <c r="FR99" s="41"/>
      <c r="FS99" s="41"/>
      <c r="FT99" s="41"/>
      <c r="FU99" s="199"/>
      <c r="FV99" s="200"/>
      <c r="FW99" s="125"/>
      <c r="FX99" s="41"/>
      <c r="FY99" s="41"/>
      <c r="FZ99" s="41"/>
      <c r="GA99" s="41"/>
      <c r="GB99" s="199"/>
      <c r="GC99" s="200"/>
      <c r="GD99" s="125"/>
      <c r="GE99" s="41"/>
      <c r="GF99" s="41"/>
      <c r="GG99" s="41"/>
      <c r="GH99" s="41"/>
      <c r="GI99" s="199"/>
      <c r="GJ99" s="200"/>
      <c r="GK99" s="125"/>
      <c r="GL99" s="41"/>
      <c r="GM99" s="41"/>
      <c r="GN99" s="41"/>
      <c r="GO99" s="41"/>
      <c r="GP99" s="199"/>
      <c r="GQ99" s="200"/>
      <c r="GR99" s="125"/>
      <c r="GS99" s="41"/>
      <c r="GT99" s="41"/>
      <c r="GU99" s="41"/>
      <c r="GV99" s="41"/>
      <c r="GW99" s="199"/>
      <c r="GX99" s="200"/>
      <c r="GY99" s="125"/>
      <c r="GZ99" s="41"/>
      <c r="HA99" s="41"/>
      <c r="HB99" s="41"/>
      <c r="HC99" s="41"/>
      <c r="HD99" s="199"/>
      <c r="HE99" s="200"/>
    </row>
    <row r="100" spans="2:213" x14ac:dyDescent="0.3">
      <c r="B100" s="68">
        <v>105862</v>
      </c>
      <c r="C100" s="41">
        <v>35</v>
      </c>
      <c r="D100" s="10" t="str">
        <f t="shared" si="11"/>
        <v>X</v>
      </c>
      <c r="E100" s="10" t="str">
        <f t="shared" si="9"/>
        <v>105862X</v>
      </c>
      <c r="F100" s="193" t="s">
        <v>20</v>
      </c>
      <c r="G100" s="183" t="s">
        <v>8</v>
      </c>
      <c r="H100" s="146" t="s">
        <v>113</v>
      </c>
      <c r="I100" s="157" t="s">
        <v>299</v>
      </c>
      <c r="J100" s="158" t="s">
        <v>300</v>
      </c>
      <c r="K100" s="125" t="s">
        <v>459</v>
      </c>
      <c r="L100" s="41" t="s">
        <v>459</v>
      </c>
      <c r="M100" s="41" t="s">
        <v>459</v>
      </c>
      <c r="N100" s="41" t="s">
        <v>459</v>
      </c>
      <c r="O100" s="41" t="s">
        <v>459</v>
      </c>
      <c r="P100" s="199"/>
      <c r="Q100" s="200"/>
      <c r="R100" s="125" t="s">
        <v>459</v>
      </c>
      <c r="S100" s="41" t="s">
        <v>459</v>
      </c>
      <c r="T100" s="41" t="s">
        <v>459</v>
      </c>
      <c r="U100" s="41" t="s">
        <v>459</v>
      </c>
      <c r="V100" s="41" t="s">
        <v>459</v>
      </c>
      <c r="W100" s="199"/>
      <c r="X100" s="200"/>
      <c r="Y100" s="125"/>
      <c r="Z100" s="41"/>
      <c r="AA100" s="41"/>
      <c r="AB100" s="41"/>
      <c r="AC100" s="41"/>
      <c r="AD100" s="199"/>
      <c r="AE100" s="200"/>
      <c r="AF100" s="125"/>
      <c r="AG100" s="41"/>
      <c r="AH100" s="41"/>
      <c r="AI100" s="41"/>
      <c r="AJ100" s="41"/>
      <c r="AK100" s="199"/>
      <c r="AL100" s="200"/>
      <c r="AM100" s="125"/>
      <c r="AN100" s="41"/>
      <c r="AO100" s="41"/>
      <c r="AP100" s="41"/>
      <c r="AQ100" s="41"/>
      <c r="AR100" s="199"/>
      <c r="AS100" s="200"/>
      <c r="AT100" s="125"/>
      <c r="AU100" s="41"/>
      <c r="AV100" s="41"/>
      <c r="AW100" s="41"/>
      <c r="AX100" s="41"/>
      <c r="AY100" s="199"/>
      <c r="AZ100" s="200"/>
      <c r="BA100" s="125"/>
      <c r="BB100" s="41"/>
      <c r="BC100" s="41"/>
      <c r="BD100" s="41"/>
      <c r="BE100" s="41"/>
      <c r="BF100" s="199"/>
      <c r="BG100" s="200"/>
      <c r="BH100" s="125"/>
      <c r="BI100" s="41"/>
      <c r="BJ100" s="41"/>
      <c r="BK100" s="41"/>
      <c r="BL100" s="41"/>
      <c r="BM100" s="199"/>
      <c r="BN100" s="200"/>
      <c r="BO100" s="125"/>
      <c r="BP100" s="41"/>
      <c r="BQ100" s="41"/>
      <c r="BR100" s="41"/>
      <c r="BS100" s="41"/>
      <c r="BT100" s="199"/>
      <c r="BU100" s="200"/>
      <c r="BV100" s="125"/>
      <c r="BW100" s="41"/>
      <c r="BX100" s="41"/>
      <c r="BY100" s="41"/>
      <c r="BZ100" s="41"/>
      <c r="CA100" s="199"/>
      <c r="CB100" s="200"/>
      <c r="CC100" s="125"/>
      <c r="CD100" s="41"/>
      <c r="CE100" s="41"/>
      <c r="CF100" s="41"/>
      <c r="CG100" s="41"/>
      <c r="CH100" s="199"/>
      <c r="CI100" s="200"/>
      <c r="CJ100" s="125"/>
      <c r="CK100" s="41"/>
      <c r="CL100" s="41"/>
      <c r="CM100" s="41"/>
      <c r="CN100" s="41"/>
      <c r="CO100" s="199"/>
      <c r="CP100" s="200"/>
      <c r="CQ100" s="125"/>
      <c r="CR100" s="41"/>
      <c r="CS100" s="41"/>
      <c r="CT100" s="41"/>
      <c r="CU100" s="41"/>
      <c r="CV100" s="199"/>
      <c r="CW100" s="200"/>
      <c r="CX100" s="125"/>
      <c r="CY100" s="41"/>
      <c r="CZ100" s="41"/>
      <c r="DA100" s="41"/>
      <c r="DB100" s="41"/>
      <c r="DC100" s="199"/>
      <c r="DD100" s="200"/>
      <c r="DE100" s="125"/>
      <c r="DF100" s="41"/>
      <c r="DG100" s="41"/>
      <c r="DH100" s="41"/>
      <c r="DI100" s="41"/>
      <c r="DJ100" s="199"/>
      <c r="DK100" s="200"/>
      <c r="DL100" s="125"/>
      <c r="DM100" s="41"/>
      <c r="DN100" s="41"/>
      <c r="DO100" s="41"/>
      <c r="DP100" s="41"/>
      <c r="DQ100" s="199"/>
      <c r="DR100" s="200"/>
      <c r="DS100" s="125"/>
      <c r="DT100" s="41"/>
      <c r="DU100" s="41"/>
      <c r="DV100" s="41"/>
      <c r="DW100" s="41"/>
      <c r="DX100" s="199"/>
      <c r="DY100" s="200"/>
      <c r="DZ100" s="125"/>
      <c r="EA100" s="41"/>
      <c r="EB100" s="41"/>
      <c r="EC100" s="41"/>
      <c r="ED100" s="41"/>
      <c r="EE100" s="199"/>
      <c r="EF100" s="200"/>
      <c r="EG100" s="125"/>
      <c r="EH100" s="41"/>
      <c r="EI100" s="41"/>
      <c r="EJ100" s="41"/>
      <c r="EK100" s="41"/>
      <c r="EL100" s="199"/>
      <c r="EM100" s="200"/>
      <c r="EN100" s="125"/>
      <c r="EO100" s="41"/>
      <c r="EP100" s="41"/>
      <c r="EQ100" s="41"/>
      <c r="ER100" s="41"/>
      <c r="ES100" s="199"/>
      <c r="ET100" s="200"/>
      <c r="EU100" s="125"/>
      <c r="EV100" s="41"/>
      <c r="EW100" s="41"/>
      <c r="EX100" s="41"/>
      <c r="EY100" s="41"/>
      <c r="EZ100" s="199"/>
      <c r="FA100" s="200"/>
      <c r="FB100" s="125"/>
      <c r="FC100" s="41"/>
      <c r="FD100" s="41"/>
      <c r="FE100" s="41"/>
      <c r="FF100" s="41"/>
      <c r="FG100" s="199"/>
      <c r="FH100" s="200"/>
      <c r="FI100" s="125"/>
      <c r="FJ100" s="41"/>
      <c r="FK100" s="41"/>
      <c r="FL100" s="41"/>
      <c r="FM100" s="41"/>
      <c r="FN100" s="199"/>
      <c r="FO100" s="200"/>
      <c r="FP100" s="125"/>
      <c r="FQ100" s="41"/>
      <c r="FR100" s="41"/>
      <c r="FS100" s="41"/>
      <c r="FT100" s="41"/>
      <c r="FU100" s="199"/>
      <c r="FV100" s="200"/>
      <c r="FW100" s="125"/>
      <c r="FX100" s="41"/>
      <c r="FY100" s="41"/>
      <c r="FZ100" s="41"/>
      <c r="GA100" s="41"/>
      <c r="GB100" s="199"/>
      <c r="GC100" s="200"/>
      <c r="GD100" s="125"/>
      <c r="GE100" s="41"/>
      <c r="GF100" s="41"/>
      <c r="GG100" s="41"/>
      <c r="GH100" s="41"/>
      <c r="GI100" s="199"/>
      <c r="GJ100" s="200"/>
      <c r="GK100" s="125"/>
      <c r="GL100" s="41"/>
      <c r="GM100" s="41"/>
      <c r="GN100" s="41"/>
      <c r="GO100" s="41"/>
      <c r="GP100" s="199"/>
      <c r="GQ100" s="200"/>
      <c r="GR100" s="125"/>
      <c r="GS100" s="41"/>
      <c r="GT100" s="41"/>
      <c r="GU100" s="41"/>
      <c r="GV100" s="41"/>
      <c r="GW100" s="199"/>
      <c r="GX100" s="200"/>
      <c r="GY100" s="125"/>
      <c r="GZ100" s="41"/>
      <c r="HA100" s="41"/>
      <c r="HB100" s="41"/>
      <c r="HC100" s="41"/>
      <c r="HD100" s="199"/>
      <c r="HE100" s="200"/>
    </row>
    <row r="101" spans="2:213" x14ac:dyDescent="0.3">
      <c r="B101" s="38">
        <v>65239</v>
      </c>
      <c r="C101" s="9">
        <v>39</v>
      </c>
      <c r="D101" s="10" t="str">
        <f t="shared" si="11"/>
        <v>X</v>
      </c>
      <c r="E101" s="11" t="str">
        <f t="shared" si="9"/>
        <v>65239X</v>
      </c>
      <c r="F101" s="193" t="s">
        <v>20</v>
      </c>
      <c r="G101" s="184" t="s">
        <v>8</v>
      </c>
      <c r="H101" s="146" t="s">
        <v>9</v>
      </c>
      <c r="I101" s="157" t="s">
        <v>332</v>
      </c>
      <c r="J101" s="158" t="s">
        <v>333</v>
      </c>
      <c r="K101" s="125" t="s">
        <v>459</v>
      </c>
      <c r="L101" s="41" t="s">
        <v>459</v>
      </c>
      <c r="M101" s="41" t="s">
        <v>459</v>
      </c>
      <c r="N101" s="41" t="s">
        <v>459</v>
      </c>
      <c r="O101" s="41" t="s">
        <v>459</v>
      </c>
      <c r="P101" s="199"/>
      <c r="Q101" s="200"/>
      <c r="R101" s="125" t="s">
        <v>459</v>
      </c>
      <c r="S101" s="41" t="s">
        <v>459</v>
      </c>
      <c r="T101" s="41" t="s">
        <v>459</v>
      </c>
      <c r="U101" s="41" t="s">
        <v>459</v>
      </c>
      <c r="V101" s="41" t="s">
        <v>459</v>
      </c>
      <c r="W101" s="199"/>
      <c r="X101" s="200"/>
      <c r="Y101" s="125"/>
      <c r="Z101" s="41"/>
      <c r="AA101" s="41"/>
      <c r="AB101" s="41"/>
      <c r="AC101" s="41"/>
      <c r="AD101" s="199"/>
      <c r="AE101" s="200"/>
      <c r="AF101" s="125"/>
      <c r="AG101" s="41"/>
      <c r="AH101" s="41"/>
      <c r="AI101" s="41"/>
      <c r="AJ101" s="41"/>
      <c r="AK101" s="199"/>
      <c r="AL101" s="200"/>
      <c r="AM101" s="125"/>
      <c r="AN101" s="41"/>
      <c r="AO101" s="41"/>
      <c r="AP101" s="41"/>
      <c r="AQ101" s="41"/>
      <c r="AR101" s="199"/>
      <c r="AS101" s="200"/>
      <c r="AT101" s="125"/>
      <c r="AU101" s="41"/>
      <c r="AV101" s="41"/>
      <c r="AW101" s="41"/>
      <c r="AX101" s="41"/>
      <c r="AY101" s="199"/>
      <c r="AZ101" s="200"/>
      <c r="BA101" s="125"/>
      <c r="BB101" s="41"/>
      <c r="BC101" s="41"/>
      <c r="BD101" s="41"/>
      <c r="BE101" s="41"/>
      <c r="BF101" s="199"/>
      <c r="BG101" s="200"/>
      <c r="BH101" s="125"/>
      <c r="BI101" s="41"/>
      <c r="BJ101" s="41"/>
      <c r="BK101" s="41"/>
      <c r="BL101" s="41"/>
      <c r="BM101" s="199"/>
      <c r="BN101" s="200"/>
      <c r="BO101" s="125"/>
      <c r="BP101" s="41"/>
      <c r="BQ101" s="41"/>
      <c r="BR101" s="41"/>
      <c r="BS101" s="41"/>
      <c r="BT101" s="199"/>
      <c r="BU101" s="200"/>
      <c r="BV101" s="125"/>
      <c r="BW101" s="41"/>
      <c r="BX101" s="41"/>
      <c r="BY101" s="41"/>
      <c r="BZ101" s="41"/>
      <c r="CA101" s="199"/>
      <c r="CB101" s="200"/>
      <c r="CC101" s="125"/>
      <c r="CD101" s="41"/>
      <c r="CE101" s="41"/>
      <c r="CF101" s="41"/>
      <c r="CG101" s="41"/>
      <c r="CH101" s="199"/>
      <c r="CI101" s="200"/>
      <c r="CJ101" s="125"/>
      <c r="CK101" s="41"/>
      <c r="CL101" s="41"/>
      <c r="CM101" s="41"/>
      <c r="CN101" s="41"/>
      <c r="CO101" s="199"/>
      <c r="CP101" s="200"/>
      <c r="CQ101" s="125"/>
      <c r="CR101" s="41"/>
      <c r="CS101" s="41"/>
      <c r="CT101" s="41"/>
      <c r="CU101" s="41"/>
      <c r="CV101" s="199"/>
      <c r="CW101" s="200"/>
      <c r="CX101" s="125"/>
      <c r="CY101" s="41"/>
      <c r="CZ101" s="41"/>
      <c r="DA101" s="41"/>
      <c r="DB101" s="41"/>
      <c r="DC101" s="199"/>
      <c r="DD101" s="200"/>
      <c r="DE101" s="125"/>
      <c r="DF101" s="41"/>
      <c r="DG101" s="41"/>
      <c r="DH101" s="41"/>
      <c r="DI101" s="41"/>
      <c r="DJ101" s="199"/>
      <c r="DK101" s="200"/>
      <c r="DL101" s="125"/>
      <c r="DM101" s="41"/>
      <c r="DN101" s="41"/>
      <c r="DO101" s="41"/>
      <c r="DP101" s="41"/>
      <c r="DQ101" s="199"/>
      <c r="DR101" s="200"/>
      <c r="DS101" s="125"/>
      <c r="DT101" s="41"/>
      <c r="DU101" s="41"/>
      <c r="DV101" s="41"/>
      <c r="DW101" s="41"/>
      <c r="DX101" s="199"/>
      <c r="DY101" s="200"/>
      <c r="DZ101" s="125"/>
      <c r="EA101" s="41"/>
      <c r="EB101" s="41"/>
      <c r="EC101" s="41"/>
      <c r="ED101" s="41"/>
      <c r="EE101" s="199"/>
      <c r="EF101" s="200"/>
      <c r="EG101" s="125"/>
      <c r="EH101" s="41"/>
      <c r="EI101" s="41"/>
      <c r="EJ101" s="41"/>
      <c r="EK101" s="41"/>
      <c r="EL101" s="199"/>
      <c r="EM101" s="200"/>
      <c r="EN101" s="125"/>
      <c r="EO101" s="41"/>
      <c r="EP101" s="41"/>
      <c r="EQ101" s="41"/>
      <c r="ER101" s="41"/>
      <c r="ES101" s="199"/>
      <c r="ET101" s="200"/>
      <c r="EU101" s="125"/>
      <c r="EV101" s="41"/>
      <c r="EW101" s="41"/>
      <c r="EX101" s="41"/>
      <c r="EY101" s="41"/>
      <c r="EZ101" s="199"/>
      <c r="FA101" s="200"/>
      <c r="FB101" s="125"/>
      <c r="FC101" s="41"/>
      <c r="FD101" s="41"/>
      <c r="FE101" s="41"/>
      <c r="FF101" s="41"/>
      <c r="FG101" s="199"/>
      <c r="FH101" s="200"/>
      <c r="FI101" s="125"/>
      <c r="FJ101" s="41"/>
      <c r="FK101" s="41"/>
      <c r="FL101" s="41"/>
      <c r="FM101" s="41"/>
      <c r="FN101" s="199"/>
      <c r="FO101" s="200"/>
      <c r="FP101" s="125"/>
      <c r="FQ101" s="41"/>
      <c r="FR101" s="41"/>
      <c r="FS101" s="41"/>
      <c r="FT101" s="41"/>
      <c r="FU101" s="199"/>
      <c r="FV101" s="200"/>
      <c r="FW101" s="125"/>
      <c r="FX101" s="41"/>
      <c r="FY101" s="41"/>
      <c r="FZ101" s="41"/>
      <c r="GA101" s="41"/>
      <c r="GB101" s="199"/>
      <c r="GC101" s="200"/>
      <c r="GD101" s="125"/>
      <c r="GE101" s="41"/>
      <c r="GF101" s="41"/>
      <c r="GG101" s="41"/>
      <c r="GH101" s="41"/>
      <c r="GI101" s="199"/>
      <c r="GJ101" s="200"/>
      <c r="GK101" s="125"/>
      <c r="GL101" s="41"/>
      <c r="GM101" s="41"/>
      <c r="GN101" s="41"/>
      <c r="GO101" s="41"/>
      <c r="GP101" s="199"/>
      <c r="GQ101" s="200"/>
      <c r="GR101" s="125"/>
      <c r="GS101" s="41"/>
      <c r="GT101" s="41"/>
      <c r="GU101" s="41"/>
      <c r="GV101" s="41"/>
      <c r="GW101" s="199"/>
      <c r="GX101" s="200"/>
      <c r="GY101" s="125"/>
      <c r="GZ101" s="41"/>
      <c r="HA101" s="41"/>
      <c r="HB101" s="41"/>
      <c r="HC101" s="41"/>
      <c r="HD101" s="199"/>
      <c r="HE101" s="200"/>
    </row>
    <row r="102" spans="2:213" x14ac:dyDescent="0.3">
      <c r="B102" s="38">
        <v>16162</v>
      </c>
      <c r="C102" s="9">
        <v>35</v>
      </c>
      <c r="D102" s="10" t="str">
        <f t="shared" si="11"/>
        <v>X</v>
      </c>
      <c r="E102" s="10" t="str">
        <f t="shared" si="9"/>
        <v>16162X</v>
      </c>
      <c r="F102" s="193" t="s">
        <v>20</v>
      </c>
      <c r="G102" s="184" t="s">
        <v>8</v>
      </c>
      <c r="H102" s="146" t="s">
        <v>9</v>
      </c>
      <c r="I102" s="151" t="s">
        <v>367</v>
      </c>
      <c r="J102" s="152" t="s">
        <v>368</v>
      </c>
      <c r="K102" s="125" t="s">
        <v>459</v>
      </c>
      <c r="L102" s="41" t="s">
        <v>459</v>
      </c>
      <c r="M102" s="41" t="s">
        <v>459</v>
      </c>
      <c r="N102" s="41" t="s">
        <v>459</v>
      </c>
      <c r="O102" s="41" t="s">
        <v>459</v>
      </c>
      <c r="P102" s="199"/>
      <c r="Q102" s="200"/>
      <c r="R102" s="125" t="s">
        <v>459</v>
      </c>
      <c r="S102" s="41" t="s">
        <v>459</v>
      </c>
      <c r="T102" s="41" t="s">
        <v>459</v>
      </c>
      <c r="U102" s="41" t="s">
        <v>459</v>
      </c>
      <c r="V102" s="41" t="s">
        <v>459</v>
      </c>
      <c r="W102" s="199"/>
      <c r="X102" s="200"/>
      <c r="Y102" s="125"/>
      <c r="Z102" s="41"/>
      <c r="AA102" s="41"/>
      <c r="AB102" s="41"/>
      <c r="AC102" s="41"/>
      <c r="AD102" s="199"/>
      <c r="AE102" s="200"/>
      <c r="AF102" s="125"/>
      <c r="AG102" s="41"/>
      <c r="AH102" s="41"/>
      <c r="AI102" s="41"/>
      <c r="AJ102" s="41"/>
      <c r="AK102" s="199"/>
      <c r="AL102" s="200"/>
      <c r="AM102" s="125"/>
      <c r="AN102" s="41"/>
      <c r="AO102" s="41"/>
      <c r="AP102" s="41"/>
      <c r="AQ102" s="41"/>
      <c r="AR102" s="199"/>
      <c r="AS102" s="200"/>
      <c r="AT102" s="125"/>
      <c r="AU102" s="41"/>
      <c r="AV102" s="41"/>
      <c r="AW102" s="41"/>
      <c r="AX102" s="41"/>
      <c r="AY102" s="199"/>
      <c r="AZ102" s="200"/>
      <c r="BA102" s="125"/>
      <c r="BB102" s="41"/>
      <c r="BC102" s="41"/>
      <c r="BD102" s="41"/>
      <c r="BE102" s="41"/>
      <c r="BF102" s="199"/>
      <c r="BG102" s="200"/>
      <c r="BH102" s="125"/>
      <c r="BI102" s="41"/>
      <c r="BJ102" s="41"/>
      <c r="BK102" s="41"/>
      <c r="BL102" s="41"/>
      <c r="BM102" s="199"/>
      <c r="BN102" s="200"/>
      <c r="BO102" s="125"/>
      <c r="BP102" s="41"/>
      <c r="BQ102" s="41"/>
      <c r="BR102" s="41"/>
      <c r="BS102" s="41"/>
      <c r="BT102" s="199"/>
      <c r="BU102" s="200"/>
      <c r="BV102" s="125"/>
      <c r="BW102" s="41"/>
      <c r="BX102" s="41"/>
      <c r="BY102" s="41"/>
      <c r="BZ102" s="41"/>
      <c r="CA102" s="199"/>
      <c r="CB102" s="200"/>
      <c r="CC102" s="125"/>
      <c r="CD102" s="41"/>
      <c r="CE102" s="41"/>
      <c r="CF102" s="41"/>
      <c r="CG102" s="41"/>
      <c r="CH102" s="199"/>
      <c r="CI102" s="200"/>
      <c r="CJ102" s="125"/>
      <c r="CK102" s="41"/>
      <c r="CL102" s="41"/>
      <c r="CM102" s="41"/>
      <c r="CN102" s="41"/>
      <c r="CO102" s="199"/>
      <c r="CP102" s="200"/>
      <c r="CQ102" s="125"/>
      <c r="CR102" s="41"/>
      <c r="CS102" s="41"/>
      <c r="CT102" s="41"/>
      <c r="CU102" s="41"/>
      <c r="CV102" s="199"/>
      <c r="CW102" s="200"/>
      <c r="CX102" s="125"/>
      <c r="CY102" s="41"/>
      <c r="CZ102" s="41"/>
      <c r="DA102" s="41"/>
      <c r="DB102" s="41"/>
      <c r="DC102" s="199"/>
      <c r="DD102" s="200"/>
      <c r="DE102" s="125"/>
      <c r="DF102" s="41"/>
      <c r="DG102" s="41"/>
      <c r="DH102" s="41"/>
      <c r="DI102" s="41"/>
      <c r="DJ102" s="199"/>
      <c r="DK102" s="200"/>
      <c r="DL102" s="125"/>
      <c r="DM102" s="41"/>
      <c r="DN102" s="41"/>
      <c r="DO102" s="41"/>
      <c r="DP102" s="41"/>
      <c r="DQ102" s="199"/>
      <c r="DR102" s="200"/>
      <c r="DS102" s="125"/>
      <c r="DT102" s="41"/>
      <c r="DU102" s="41"/>
      <c r="DV102" s="41"/>
      <c r="DW102" s="41"/>
      <c r="DX102" s="199"/>
      <c r="DY102" s="200"/>
      <c r="DZ102" s="125"/>
      <c r="EA102" s="41"/>
      <c r="EB102" s="41"/>
      <c r="EC102" s="41"/>
      <c r="ED102" s="41"/>
      <c r="EE102" s="199"/>
      <c r="EF102" s="200"/>
      <c r="EG102" s="125"/>
      <c r="EH102" s="41"/>
      <c r="EI102" s="41"/>
      <c r="EJ102" s="41"/>
      <c r="EK102" s="41"/>
      <c r="EL102" s="199"/>
      <c r="EM102" s="200"/>
      <c r="EN102" s="125"/>
      <c r="EO102" s="41"/>
      <c r="EP102" s="41"/>
      <c r="EQ102" s="41"/>
      <c r="ER102" s="41"/>
      <c r="ES102" s="199"/>
      <c r="ET102" s="200"/>
      <c r="EU102" s="125"/>
      <c r="EV102" s="41"/>
      <c r="EW102" s="41"/>
      <c r="EX102" s="41"/>
      <c r="EY102" s="41"/>
      <c r="EZ102" s="199"/>
      <c r="FA102" s="200"/>
      <c r="FB102" s="125"/>
      <c r="FC102" s="41"/>
      <c r="FD102" s="41"/>
      <c r="FE102" s="41"/>
      <c r="FF102" s="41"/>
      <c r="FG102" s="199"/>
      <c r="FH102" s="200"/>
      <c r="FI102" s="125"/>
      <c r="FJ102" s="41"/>
      <c r="FK102" s="41"/>
      <c r="FL102" s="41"/>
      <c r="FM102" s="41"/>
      <c r="FN102" s="199"/>
      <c r="FO102" s="200"/>
      <c r="FP102" s="125"/>
      <c r="FQ102" s="41"/>
      <c r="FR102" s="41"/>
      <c r="FS102" s="41"/>
      <c r="FT102" s="41"/>
      <c r="FU102" s="199"/>
      <c r="FV102" s="200"/>
      <c r="FW102" s="125"/>
      <c r="FX102" s="41"/>
      <c r="FY102" s="41"/>
      <c r="FZ102" s="41"/>
      <c r="GA102" s="41"/>
      <c r="GB102" s="199"/>
      <c r="GC102" s="200"/>
      <c r="GD102" s="125"/>
      <c r="GE102" s="41"/>
      <c r="GF102" s="41"/>
      <c r="GG102" s="41"/>
      <c r="GH102" s="41"/>
      <c r="GI102" s="199"/>
      <c r="GJ102" s="200"/>
      <c r="GK102" s="125"/>
      <c r="GL102" s="41"/>
      <c r="GM102" s="41"/>
      <c r="GN102" s="41"/>
      <c r="GO102" s="41"/>
      <c r="GP102" s="199"/>
      <c r="GQ102" s="200"/>
      <c r="GR102" s="125"/>
      <c r="GS102" s="41"/>
      <c r="GT102" s="41"/>
      <c r="GU102" s="41"/>
      <c r="GV102" s="41"/>
      <c r="GW102" s="199"/>
      <c r="GX102" s="200"/>
      <c r="GY102" s="125"/>
      <c r="GZ102" s="41"/>
      <c r="HA102" s="41"/>
      <c r="HB102" s="41"/>
      <c r="HC102" s="41"/>
      <c r="HD102" s="199"/>
      <c r="HE102" s="200"/>
    </row>
    <row r="103" spans="2:213" x14ac:dyDescent="0.3">
      <c r="B103" s="8">
        <v>102433</v>
      </c>
      <c r="C103" s="9">
        <v>35</v>
      </c>
      <c r="D103" s="10" t="s">
        <v>19</v>
      </c>
      <c r="E103" s="11" t="str">
        <f t="shared" si="9"/>
        <v>102433X</v>
      </c>
      <c r="F103" s="193" t="s">
        <v>20</v>
      </c>
      <c r="G103" s="184" t="s">
        <v>8</v>
      </c>
      <c r="H103" s="146" t="s">
        <v>9</v>
      </c>
      <c r="I103" s="149" t="s">
        <v>369</v>
      </c>
      <c r="J103" s="150" t="s">
        <v>370</v>
      </c>
      <c r="K103" s="125" t="s">
        <v>459</v>
      </c>
      <c r="L103" s="41" t="s">
        <v>459</v>
      </c>
      <c r="M103" s="41" t="s">
        <v>459</v>
      </c>
      <c r="N103" s="41" t="s">
        <v>459</v>
      </c>
      <c r="O103" s="41" t="s">
        <v>459</v>
      </c>
      <c r="P103" s="199"/>
      <c r="Q103" s="200"/>
      <c r="R103" s="125" t="s">
        <v>459</v>
      </c>
      <c r="S103" s="41" t="s">
        <v>459</v>
      </c>
      <c r="T103" s="41" t="s">
        <v>459</v>
      </c>
      <c r="U103" s="41" t="s">
        <v>459</v>
      </c>
      <c r="V103" s="41" t="s">
        <v>459</v>
      </c>
      <c r="W103" s="199"/>
      <c r="X103" s="200"/>
      <c r="Y103" s="125"/>
      <c r="Z103" s="41"/>
      <c r="AA103" s="41"/>
      <c r="AB103" s="41"/>
      <c r="AC103" s="41"/>
      <c r="AD103" s="199"/>
      <c r="AE103" s="200"/>
      <c r="AF103" s="125"/>
      <c r="AG103" s="41"/>
      <c r="AH103" s="41"/>
      <c r="AI103" s="41"/>
      <c r="AJ103" s="41"/>
      <c r="AK103" s="199"/>
      <c r="AL103" s="200"/>
      <c r="AM103" s="125"/>
      <c r="AN103" s="41"/>
      <c r="AO103" s="41"/>
      <c r="AP103" s="41"/>
      <c r="AQ103" s="41"/>
      <c r="AR103" s="199"/>
      <c r="AS103" s="200"/>
      <c r="AT103" s="125"/>
      <c r="AU103" s="41"/>
      <c r="AV103" s="41"/>
      <c r="AW103" s="41"/>
      <c r="AX103" s="41"/>
      <c r="AY103" s="199"/>
      <c r="AZ103" s="200"/>
      <c r="BA103" s="125"/>
      <c r="BB103" s="41"/>
      <c r="BC103" s="41"/>
      <c r="BD103" s="41"/>
      <c r="BE103" s="41"/>
      <c r="BF103" s="199"/>
      <c r="BG103" s="200"/>
      <c r="BH103" s="125"/>
      <c r="BI103" s="41"/>
      <c r="BJ103" s="41"/>
      <c r="BK103" s="41"/>
      <c r="BL103" s="41"/>
      <c r="BM103" s="199"/>
      <c r="BN103" s="200"/>
      <c r="BO103" s="125"/>
      <c r="BP103" s="41"/>
      <c r="BQ103" s="41"/>
      <c r="BR103" s="41"/>
      <c r="BS103" s="41"/>
      <c r="BT103" s="199"/>
      <c r="BU103" s="200"/>
      <c r="BV103" s="125"/>
      <c r="BW103" s="41"/>
      <c r="BX103" s="41"/>
      <c r="BY103" s="41"/>
      <c r="BZ103" s="41"/>
      <c r="CA103" s="199"/>
      <c r="CB103" s="200"/>
      <c r="CC103" s="125"/>
      <c r="CD103" s="41"/>
      <c r="CE103" s="41"/>
      <c r="CF103" s="41"/>
      <c r="CG103" s="41"/>
      <c r="CH103" s="199"/>
      <c r="CI103" s="200"/>
      <c r="CJ103" s="125"/>
      <c r="CK103" s="41"/>
      <c r="CL103" s="41"/>
      <c r="CM103" s="41"/>
      <c r="CN103" s="41"/>
      <c r="CO103" s="199"/>
      <c r="CP103" s="200"/>
      <c r="CQ103" s="125"/>
      <c r="CR103" s="41"/>
      <c r="CS103" s="41"/>
      <c r="CT103" s="41"/>
      <c r="CU103" s="41"/>
      <c r="CV103" s="199"/>
      <c r="CW103" s="200"/>
      <c r="CX103" s="125"/>
      <c r="CY103" s="41"/>
      <c r="CZ103" s="41"/>
      <c r="DA103" s="41"/>
      <c r="DB103" s="41"/>
      <c r="DC103" s="199"/>
      <c r="DD103" s="200"/>
      <c r="DE103" s="125"/>
      <c r="DF103" s="41"/>
      <c r="DG103" s="41"/>
      <c r="DH103" s="41"/>
      <c r="DI103" s="41"/>
      <c r="DJ103" s="199"/>
      <c r="DK103" s="200"/>
      <c r="DL103" s="125"/>
      <c r="DM103" s="41"/>
      <c r="DN103" s="41"/>
      <c r="DO103" s="41"/>
      <c r="DP103" s="41"/>
      <c r="DQ103" s="199"/>
      <c r="DR103" s="200"/>
      <c r="DS103" s="125"/>
      <c r="DT103" s="41"/>
      <c r="DU103" s="41"/>
      <c r="DV103" s="41"/>
      <c r="DW103" s="41"/>
      <c r="DX103" s="199"/>
      <c r="DY103" s="200"/>
      <c r="DZ103" s="125"/>
      <c r="EA103" s="41"/>
      <c r="EB103" s="41"/>
      <c r="EC103" s="41"/>
      <c r="ED103" s="41"/>
      <c r="EE103" s="199"/>
      <c r="EF103" s="200"/>
      <c r="EG103" s="125"/>
      <c r="EH103" s="41"/>
      <c r="EI103" s="41"/>
      <c r="EJ103" s="41"/>
      <c r="EK103" s="41"/>
      <c r="EL103" s="199"/>
      <c r="EM103" s="200"/>
      <c r="EN103" s="125"/>
      <c r="EO103" s="41"/>
      <c r="EP103" s="41"/>
      <c r="EQ103" s="41"/>
      <c r="ER103" s="41"/>
      <c r="ES103" s="199"/>
      <c r="ET103" s="200"/>
      <c r="EU103" s="125"/>
      <c r="EV103" s="41"/>
      <c r="EW103" s="41"/>
      <c r="EX103" s="41"/>
      <c r="EY103" s="41"/>
      <c r="EZ103" s="199"/>
      <c r="FA103" s="200"/>
      <c r="FB103" s="125"/>
      <c r="FC103" s="41"/>
      <c r="FD103" s="41"/>
      <c r="FE103" s="41"/>
      <c r="FF103" s="41"/>
      <c r="FG103" s="199"/>
      <c r="FH103" s="200"/>
      <c r="FI103" s="125"/>
      <c r="FJ103" s="41"/>
      <c r="FK103" s="41"/>
      <c r="FL103" s="41"/>
      <c r="FM103" s="41"/>
      <c r="FN103" s="199"/>
      <c r="FO103" s="200"/>
      <c r="FP103" s="125"/>
      <c r="FQ103" s="41"/>
      <c r="FR103" s="41"/>
      <c r="FS103" s="41"/>
      <c r="FT103" s="41"/>
      <c r="FU103" s="199"/>
      <c r="FV103" s="200"/>
      <c r="FW103" s="125"/>
      <c r="FX103" s="41"/>
      <c r="FY103" s="41"/>
      <c r="FZ103" s="41"/>
      <c r="GA103" s="41"/>
      <c r="GB103" s="199"/>
      <c r="GC103" s="200"/>
      <c r="GD103" s="125"/>
      <c r="GE103" s="41"/>
      <c r="GF103" s="41"/>
      <c r="GG103" s="41"/>
      <c r="GH103" s="41"/>
      <c r="GI103" s="199"/>
      <c r="GJ103" s="200"/>
      <c r="GK103" s="125"/>
      <c r="GL103" s="41"/>
      <c r="GM103" s="41"/>
      <c r="GN103" s="41"/>
      <c r="GO103" s="41"/>
      <c r="GP103" s="199"/>
      <c r="GQ103" s="200"/>
      <c r="GR103" s="125"/>
      <c r="GS103" s="41"/>
      <c r="GT103" s="41"/>
      <c r="GU103" s="41"/>
      <c r="GV103" s="41"/>
      <c r="GW103" s="199"/>
      <c r="GX103" s="200"/>
      <c r="GY103" s="125"/>
      <c r="GZ103" s="41"/>
      <c r="HA103" s="41"/>
      <c r="HB103" s="41"/>
      <c r="HC103" s="41"/>
      <c r="HD103" s="199"/>
      <c r="HE103" s="200"/>
    </row>
    <row r="104" spans="2:213" x14ac:dyDescent="0.3">
      <c r="B104" s="70">
        <v>105940</v>
      </c>
      <c r="C104" s="41">
        <v>35</v>
      </c>
      <c r="D104" s="10" t="s">
        <v>19</v>
      </c>
      <c r="E104" s="10" t="str">
        <f t="shared" si="9"/>
        <v>105940X</v>
      </c>
      <c r="F104" s="193" t="s">
        <v>20</v>
      </c>
      <c r="G104" s="184" t="s">
        <v>8</v>
      </c>
      <c r="H104" s="146" t="s">
        <v>9</v>
      </c>
      <c r="I104" s="157" t="s">
        <v>375</v>
      </c>
      <c r="J104" s="158" t="s">
        <v>325</v>
      </c>
      <c r="K104" s="125" t="s">
        <v>459</v>
      </c>
      <c r="L104" s="41" t="s">
        <v>459</v>
      </c>
      <c r="M104" s="41" t="s">
        <v>459</v>
      </c>
      <c r="N104" s="41" t="s">
        <v>459</v>
      </c>
      <c r="O104" s="41" t="s">
        <v>459</v>
      </c>
      <c r="P104" s="199"/>
      <c r="Q104" s="200"/>
      <c r="R104" s="125" t="s">
        <v>459</v>
      </c>
      <c r="S104" s="41" t="s">
        <v>459</v>
      </c>
      <c r="T104" s="41" t="s">
        <v>459</v>
      </c>
      <c r="U104" s="41" t="s">
        <v>459</v>
      </c>
      <c r="V104" s="41" t="s">
        <v>459</v>
      </c>
      <c r="W104" s="199"/>
      <c r="X104" s="200"/>
      <c r="Y104" s="125"/>
      <c r="Z104" s="41"/>
      <c r="AA104" s="41"/>
      <c r="AB104" s="41"/>
      <c r="AC104" s="41"/>
      <c r="AD104" s="199"/>
      <c r="AE104" s="200"/>
      <c r="AF104" s="125"/>
      <c r="AG104" s="41"/>
      <c r="AH104" s="41"/>
      <c r="AI104" s="41"/>
      <c r="AJ104" s="41"/>
      <c r="AK104" s="199"/>
      <c r="AL104" s="200"/>
      <c r="AM104" s="125"/>
      <c r="AN104" s="41"/>
      <c r="AO104" s="41"/>
      <c r="AP104" s="41"/>
      <c r="AQ104" s="41"/>
      <c r="AR104" s="199"/>
      <c r="AS104" s="200"/>
      <c r="AT104" s="125"/>
      <c r="AU104" s="41"/>
      <c r="AV104" s="41"/>
      <c r="AW104" s="41"/>
      <c r="AX104" s="41"/>
      <c r="AY104" s="199"/>
      <c r="AZ104" s="200"/>
      <c r="BA104" s="125"/>
      <c r="BB104" s="41"/>
      <c r="BC104" s="41"/>
      <c r="BD104" s="41"/>
      <c r="BE104" s="41"/>
      <c r="BF104" s="199"/>
      <c r="BG104" s="200"/>
      <c r="BH104" s="125"/>
      <c r="BI104" s="41"/>
      <c r="BJ104" s="41"/>
      <c r="BK104" s="41"/>
      <c r="BL104" s="41"/>
      <c r="BM104" s="199"/>
      <c r="BN104" s="200"/>
      <c r="BO104" s="125"/>
      <c r="BP104" s="41"/>
      <c r="BQ104" s="41"/>
      <c r="BR104" s="41"/>
      <c r="BS104" s="41"/>
      <c r="BT104" s="199"/>
      <c r="BU104" s="200"/>
      <c r="BV104" s="125"/>
      <c r="BW104" s="41"/>
      <c r="BX104" s="41"/>
      <c r="BY104" s="41"/>
      <c r="BZ104" s="41"/>
      <c r="CA104" s="199"/>
      <c r="CB104" s="200"/>
      <c r="CC104" s="125"/>
      <c r="CD104" s="41"/>
      <c r="CE104" s="41"/>
      <c r="CF104" s="41"/>
      <c r="CG104" s="41"/>
      <c r="CH104" s="199"/>
      <c r="CI104" s="200"/>
      <c r="CJ104" s="125"/>
      <c r="CK104" s="41"/>
      <c r="CL104" s="41"/>
      <c r="CM104" s="41"/>
      <c r="CN104" s="41"/>
      <c r="CO104" s="199"/>
      <c r="CP104" s="200"/>
      <c r="CQ104" s="125"/>
      <c r="CR104" s="41"/>
      <c r="CS104" s="41"/>
      <c r="CT104" s="41"/>
      <c r="CU104" s="41"/>
      <c r="CV104" s="199"/>
      <c r="CW104" s="200"/>
      <c r="CX104" s="125"/>
      <c r="CY104" s="41"/>
      <c r="CZ104" s="41"/>
      <c r="DA104" s="41"/>
      <c r="DB104" s="41"/>
      <c r="DC104" s="199"/>
      <c r="DD104" s="200"/>
      <c r="DE104" s="125"/>
      <c r="DF104" s="41"/>
      <c r="DG104" s="41"/>
      <c r="DH104" s="41"/>
      <c r="DI104" s="41"/>
      <c r="DJ104" s="199"/>
      <c r="DK104" s="200"/>
      <c r="DL104" s="125"/>
      <c r="DM104" s="41"/>
      <c r="DN104" s="41"/>
      <c r="DO104" s="41"/>
      <c r="DP104" s="41"/>
      <c r="DQ104" s="199"/>
      <c r="DR104" s="200"/>
      <c r="DS104" s="125"/>
      <c r="DT104" s="41"/>
      <c r="DU104" s="41"/>
      <c r="DV104" s="41"/>
      <c r="DW104" s="41"/>
      <c r="DX104" s="199"/>
      <c r="DY104" s="200"/>
      <c r="DZ104" s="125"/>
      <c r="EA104" s="41"/>
      <c r="EB104" s="41"/>
      <c r="EC104" s="41"/>
      <c r="ED104" s="41"/>
      <c r="EE104" s="199"/>
      <c r="EF104" s="200"/>
      <c r="EG104" s="125"/>
      <c r="EH104" s="41"/>
      <c r="EI104" s="41"/>
      <c r="EJ104" s="41"/>
      <c r="EK104" s="41"/>
      <c r="EL104" s="199"/>
      <c r="EM104" s="200"/>
      <c r="EN104" s="125"/>
      <c r="EO104" s="41"/>
      <c r="EP104" s="41"/>
      <c r="EQ104" s="41"/>
      <c r="ER104" s="41"/>
      <c r="ES104" s="199"/>
      <c r="ET104" s="200"/>
      <c r="EU104" s="125"/>
      <c r="EV104" s="41"/>
      <c r="EW104" s="41"/>
      <c r="EX104" s="41"/>
      <c r="EY104" s="41"/>
      <c r="EZ104" s="199"/>
      <c r="FA104" s="200"/>
      <c r="FB104" s="125"/>
      <c r="FC104" s="41"/>
      <c r="FD104" s="41"/>
      <c r="FE104" s="41"/>
      <c r="FF104" s="41"/>
      <c r="FG104" s="199"/>
      <c r="FH104" s="200"/>
      <c r="FI104" s="125"/>
      <c r="FJ104" s="41"/>
      <c r="FK104" s="41"/>
      <c r="FL104" s="41"/>
      <c r="FM104" s="41"/>
      <c r="FN104" s="199"/>
      <c r="FO104" s="200"/>
      <c r="FP104" s="125"/>
      <c r="FQ104" s="41"/>
      <c r="FR104" s="41"/>
      <c r="FS104" s="41"/>
      <c r="FT104" s="41"/>
      <c r="FU104" s="199"/>
      <c r="FV104" s="200"/>
      <c r="FW104" s="125"/>
      <c r="FX104" s="41"/>
      <c r="FY104" s="41"/>
      <c r="FZ104" s="41"/>
      <c r="GA104" s="41"/>
      <c r="GB104" s="199"/>
      <c r="GC104" s="200"/>
      <c r="GD104" s="125"/>
      <c r="GE104" s="41"/>
      <c r="GF104" s="41"/>
      <c r="GG104" s="41"/>
      <c r="GH104" s="41"/>
      <c r="GI104" s="199"/>
      <c r="GJ104" s="200"/>
      <c r="GK104" s="125"/>
      <c r="GL104" s="41"/>
      <c r="GM104" s="41"/>
      <c r="GN104" s="41"/>
      <c r="GO104" s="41"/>
      <c r="GP104" s="199"/>
      <c r="GQ104" s="200"/>
      <c r="GR104" s="125"/>
      <c r="GS104" s="41"/>
      <c r="GT104" s="41"/>
      <c r="GU104" s="41"/>
      <c r="GV104" s="41"/>
      <c r="GW104" s="199"/>
      <c r="GX104" s="200"/>
      <c r="GY104" s="125"/>
      <c r="GZ104" s="41"/>
      <c r="HA104" s="41"/>
      <c r="HB104" s="41"/>
      <c r="HC104" s="41"/>
      <c r="HD104" s="199"/>
      <c r="HE104" s="200"/>
    </row>
    <row r="105" spans="2:213" x14ac:dyDescent="0.3">
      <c r="B105" s="8">
        <v>102439</v>
      </c>
      <c r="C105" s="9">
        <v>35</v>
      </c>
      <c r="D105" s="10" t="str">
        <f t="shared" ref="D105:D116" si="12">IF(G105="","","X")</f>
        <v>X</v>
      </c>
      <c r="E105" s="11" t="str">
        <f t="shared" si="9"/>
        <v>102439X</v>
      </c>
      <c r="F105" s="193" t="s">
        <v>20</v>
      </c>
      <c r="G105" s="183" t="s">
        <v>79</v>
      </c>
      <c r="H105" s="146" t="s">
        <v>88</v>
      </c>
      <c r="I105" s="159" t="s">
        <v>89</v>
      </c>
      <c r="J105" s="160" t="s">
        <v>90</v>
      </c>
      <c r="K105" s="125" t="s">
        <v>459</v>
      </c>
      <c r="L105" s="41" t="s">
        <v>459</v>
      </c>
      <c r="M105" s="41" t="s">
        <v>459</v>
      </c>
      <c r="N105" s="41" t="s">
        <v>459</v>
      </c>
      <c r="O105" s="41" t="s">
        <v>459</v>
      </c>
      <c r="P105" s="199"/>
      <c r="Q105" s="200"/>
      <c r="R105" s="125" t="s">
        <v>459</v>
      </c>
      <c r="S105" s="41" t="s">
        <v>459</v>
      </c>
      <c r="T105" s="41" t="s">
        <v>459</v>
      </c>
      <c r="U105" s="41" t="s">
        <v>459</v>
      </c>
      <c r="V105" s="41" t="s">
        <v>459</v>
      </c>
      <c r="W105" s="199"/>
      <c r="X105" s="200"/>
      <c r="Y105" s="125"/>
      <c r="Z105" s="41"/>
      <c r="AA105" s="41"/>
      <c r="AB105" s="41"/>
      <c r="AC105" s="41"/>
      <c r="AD105" s="199"/>
      <c r="AE105" s="200"/>
      <c r="AF105" s="125"/>
      <c r="AG105" s="41"/>
      <c r="AH105" s="41"/>
      <c r="AI105" s="41"/>
      <c r="AJ105" s="41"/>
      <c r="AK105" s="199"/>
      <c r="AL105" s="200"/>
      <c r="AM105" s="125"/>
      <c r="AN105" s="41"/>
      <c r="AO105" s="41"/>
      <c r="AP105" s="41"/>
      <c r="AQ105" s="41"/>
      <c r="AR105" s="199"/>
      <c r="AS105" s="200"/>
      <c r="AT105" s="125"/>
      <c r="AU105" s="41"/>
      <c r="AV105" s="41"/>
      <c r="AW105" s="41"/>
      <c r="AX105" s="41"/>
      <c r="AY105" s="199"/>
      <c r="AZ105" s="200"/>
      <c r="BA105" s="125"/>
      <c r="BB105" s="41"/>
      <c r="BC105" s="41"/>
      <c r="BD105" s="41"/>
      <c r="BE105" s="41"/>
      <c r="BF105" s="199"/>
      <c r="BG105" s="200"/>
      <c r="BH105" s="125"/>
      <c r="BI105" s="41"/>
      <c r="BJ105" s="41"/>
      <c r="BK105" s="41"/>
      <c r="BL105" s="41"/>
      <c r="BM105" s="199"/>
      <c r="BN105" s="200"/>
      <c r="BO105" s="125"/>
      <c r="BP105" s="41"/>
      <c r="BQ105" s="41"/>
      <c r="BR105" s="41"/>
      <c r="BS105" s="41"/>
      <c r="BT105" s="199"/>
      <c r="BU105" s="200"/>
      <c r="BV105" s="125"/>
      <c r="BW105" s="41"/>
      <c r="BX105" s="41"/>
      <c r="BY105" s="41"/>
      <c r="BZ105" s="41"/>
      <c r="CA105" s="199"/>
      <c r="CB105" s="200"/>
      <c r="CC105" s="125"/>
      <c r="CD105" s="41"/>
      <c r="CE105" s="41"/>
      <c r="CF105" s="41"/>
      <c r="CG105" s="41"/>
      <c r="CH105" s="199"/>
      <c r="CI105" s="200"/>
      <c r="CJ105" s="125"/>
      <c r="CK105" s="41"/>
      <c r="CL105" s="41"/>
      <c r="CM105" s="41"/>
      <c r="CN105" s="41"/>
      <c r="CO105" s="199"/>
      <c r="CP105" s="200"/>
      <c r="CQ105" s="125"/>
      <c r="CR105" s="41"/>
      <c r="CS105" s="41"/>
      <c r="CT105" s="41"/>
      <c r="CU105" s="41"/>
      <c r="CV105" s="199"/>
      <c r="CW105" s="200"/>
      <c r="CX105" s="125"/>
      <c r="CY105" s="41"/>
      <c r="CZ105" s="41"/>
      <c r="DA105" s="41"/>
      <c r="DB105" s="41"/>
      <c r="DC105" s="199"/>
      <c r="DD105" s="200"/>
      <c r="DE105" s="125"/>
      <c r="DF105" s="41"/>
      <c r="DG105" s="41"/>
      <c r="DH105" s="41"/>
      <c r="DI105" s="41"/>
      <c r="DJ105" s="199"/>
      <c r="DK105" s="200"/>
      <c r="DL105" s="125"/>
      <c r="DM105" s="41"/>
      <c r="DN105" s="41"/>
      <c r="DO105" s="41"/>
      <c r="DP105" s="41"/>
      <c r="DQ105" s="199"/>
      <c r="DR105" s="200"/>
      <c r="DS105" s="125"/>
      <c r="DT105" s="41"/>
      <c r="DU105" s="41"/>
      <c r="DV105" s="41"/>
      <c r="DW105" s="41"/>
      <c r="DX105" s="199"/>
      <c r="DY105" s="200"/>
      <c r="DZ105" s="125"/>
      <c r="EA105" s="41"/>
      <c r="EB105" s="41"/>
      <c r="EC105" s="41"/>
      <c r="ED105" s="41"/>
      <c r="EE105" s="199"/>
      <c r="EF105" s="200"/>
      <c r="EG105" s="125"/>
      <c r="EH105" s="41"/>
      <c r="EI105" s="41"/>
      <c r="EJ105" s="41"/>
      <c r="EK105" s="41"/>
      <c r="EL105" s="199"/>
      <c r="EM105" s="200"/>
      <c r="EN105" s="125"/>
      <c r="EO105" s="41"/>
      <c r="EP105" s="41"/>
      <c r="EQ105" s="41"/>
      <c r="ER105" s="41"/>
      <c r="ES105" s="199"/>
      <c r="ET105" s="200"/>
      <c r="EU105" s="125"/>
      <c r="EV105" s="41"/>
      <c r="EW105" s="41"/>
      <c r="EX105" s="41"/>
      <c r="EY105" s="41"/>
      <c r="EZ105" s="199"/>
      <c r="FA105" s="200"/>
      <c r="FB105" s="125"/>
      <c r="FC105" s="41"/>
      <c r="FD105" s="41"/>
      <c r="FE105" s="41"/>
      <c r="FF105" s="41"/>
      <c r="FG105" s="199"/>
      <c r="FH105" s="200"/>
      <c r="FI105" s="125"/>
      <c r="FJ105" s="41"/>
      <c r="FK105" s="41"/>
      <c r="FL105" s="41"/>
      <c r="FM105" s="41"/>
      <c r="FN105" s="199"/>
      <c r="FO105" s="200"/>
      <c r="FP105" s="125"/>
      <c r="FQ105" s="41"/>
      <c r="FR105" s="41"/>
      <c r="FS105" s="41"/>
      <c r="FT105" s="41"/>
      <c r="FU105" s="199"/>
      <c r="FV105" s="200"/>
      <c r="FW105" s="125"/>
      <c r="FX105" s="41"/>
      <c r="FY105" s="41"/>
      <c r="FZ105" s="41"/>
      <c r="GA105" s="41"/>
      <c r="GB105" s="199"/>
      <c r="GC105" s="200"/>
      <c r="GD105" s="125"/>
      <c r="GE105" s="41"/>
      <c r="GF105" s="41"/>
      <c r="GG105" s="41"/>
      <c r="GH105" s="41"/>
      <c r="GI105" s="199"/>
      <c r="GJ105" s="200"/>
      <c r="GK105" s="125"/>
      <c r="GL105" s="41"/>
      <c r="GM105" s="41"/>
      <c r="GN105" s="41"/>
      <c r="GO105" s="41"/>
      <c r="GP105" s="199"/>
      <c r="GQ105" s="200"/>
      <c r="GR105" s="125"/>
      <c r="GS105" s="41"/>
      <c r="GT105" s="41"/>
      <c r="GU105" s="41"/>
      <c r="GV105" s="41"/>
      <c r="GW105" s="199"/>
      <c r="GX105" s="200"/>
      <c r="GY105" s="125"/>
      <c r="GZ105" s="41"/>
      <c r="HA105" s="41"/>
      <c r="HB105" s="41"/>
      <c r="HC105" s="41"/>
      <c r="HD105" s="199"/>
      <c r="HE105" s="200"/>
    </row>
    <row r="106" spans="2:213" x14ac:dyDescent="0.3">
      <c r="B106" s="8">
        <v>101366</v>
      </c>
      <c r="C106" s="9">
        <v>35</v>
      </c>
      <c r="D106" s="10" t="str">
        <f t="shared" si="12"/>
        <v>X</v>
      </c>
      <c r="E106" s="11" t="str">
        <f t="shared" si="9"/>
        <v>101366X</v>
      </c>
      <c r="F106" s="193" t="s">
        <v>20</v>
      </c>
      <c r="G106" s="187" t="s">
        <v>21</v>
      </c>
      <c r="H106" s="146" t="s">
        <v>9</v>
      </c>
      <c r="I106" s="149" t="s">
        <v>22</v>
      </c>
      <c r="J106" s="150" t="s">
        <v>23</v>
      </c>
      <c r="K106" s="125" t="s">
        <v>459</v>
      </c>
      <c r="L106" s="41" t="s">
        <v>459</v>
      </c>
      <c r="M106" s="41" t="s">
        <v>459</v>
      </c>
      <c r="N106" s="41" t="s">
        <v>459</v>
      </c>
      <c r="O106" s="41" t="s">
        <v>459</v>
      </c>
      <c r="P106" s="199"/>
      <c r="Q106" s="200"/>
      <c r="R106" s="125" t="s">
        <v>459</v>
      </c>
      <c r="S106" s="41" t="s">
        <v>459</v>
      </c>
      <c r="T106" s="41" t="s">
        <v>459</v>
      </c>
      <c r="U106" s="41" t="s">
        <v>459</v>
      </c>
      <c r="V106" s="41" t="s">
        <v>459</v>
      </c>
      <c r="W106" s="199"/>
      <c r="X106" s="200"/>
      <c r="Y106" s="125"/>
      <c r="Z106" s="41"/>
      <c r="AA106" s="41"/>
      <c r="AB106" s="41"/>
      <c r="AC106" s="41"/>
      <c r="AD106" s="199"/>
      <c r="AE106" s="200"/>
      <c r="AF106" s="125"/>
      <c r="AG106" s="41"/>
      <c r="AH106" s="41"/>
      <c r="AI106" s="41"/>
      <c r="AJ106" s="41"/>
      <c r="AK106" s="199"/>
      <c r="AL106" s="200"/>
      <c r="AM106" s="125"/>
      <c r="AN106" s="41"/>
      <c r="AO106" s="41"/>
      <c r="AP106" s="41"/>
      <c r="AQ106" s="41"/>
      <c r="AR106" s="199"/>
      <c r="AS106" s="200"/>
      <c r="AT106" s="125"/>
      <c r="AU106" s="41"/>
      <c r="AV106" s="41"/>
      <c r="AW106" s="41"/>
      <c r="AX106" s="41"/>
      <c r="AY106" s="199"/>
      <c r="AZ106" s="200"/>
      <c r="BA106" s="125"/>
      <c r="BB106" s="41"/>
      <c r="BC106" s="41"/>
      <c r="BD106" s="41"/>
      <c r="BE106" s="41"/>
      <c r="BF106" s="199"/>
      <c r="BG106" s="200"/>
      <c r="BH106" s="125"/>
      <c r="BI106" s="41"/>
      <c r="BJ106" s="41"/>
      <c r="BK106" s="41"/>
      <c r="BL106" s="41"/>
      <c r="BM106" s="199"/>
      <c r="BN106" s="200"/>
      <c r="BO106" s="125"/>
      <c r="BP106" s="41"/>
      <c r="BQ106" s="41"/>
      <c r="BR106" s="41"/>
      <c r="BS106" s="41"/>
      <c r="BT106" s="199"/>
      <c r="BU106" s="200"/>
      <c r="BV106" s="125"/>
      <c r="BW106" s="41"/>
      <c r="BX106" s="41"/>
      <c r="BY106" s="41"/>
      <c r="BZ106" s="41"/>
      <c r="CA106" s="199"/>
      <c r="CB106" s="200"/>
      <c r="CC106" s="125"/>
      <c r="CD106" s="41"/>
      <c r="CE106" s="41"/>
      <c r="CF106" s="41"/>
      <c r="CG106" s="41"/>
      <c r="CH106" s="199"/>
      <c r="CI106" s="200"/>
      <c r="CJ106" s="125"/>
      <c r="CK106" s="41"/>
      <c r="CL106" s="41"/>
      <c r="CM106" s="41"/>
      <c r="CN106" s="41"/>
      <c r="CO106" s="199"/>
      <c r="CP106" s="200"/>
      <c r="CQ106" s="125"/>
      <c r="CR106" s="41"/>
      <c r="CS106" s="41"/>
      <c r="CT106" s="41"/>
      <c r="CU106" s="41"/>
      <c r="CV106" s="199"/>
      <c r="CW106" s="200"/>
      <c r="CX106" s="125"/>
      <c r="CY106" s="41"/>
      <c r="CZ106" s="41"/>
      <c r="DA106" s="41"/>
      <c r="DB106" s="41"/>
      <c r="DC106" s="199"/>
      <c r="DD106" s="200"/>
      <c r="DE106" s="125"/>
      <c r="DF106" s="41"/>
      <c r="DG106" s="41"/>
      <c r="DH106" s="41"/>
      <c r="DI106" s="41"/>
      <c r="DJ106" s="199"/>
      <c r="DK106" s="200"/>
      <c r="DL106" s="125"/>
      <c r="DM106" s="41"/>
      <c r="DN106" s="41"/>
      <c r="DO106" s="41"/>
      <c r="DP106" s="41"/>
      <c r="DQ106" s="199"/>
      <c r="DR106" s="200"/>
      <c r="DS106" s="125"/>
      <c r="DT106" s="41"/>
      <c r="DU106" s="41"/>
      <c r="DV106" s="41"/>
      <c r="DW106" s="41"/>
      <c r="DX106" s="199"/>
      <c r="DY106" s="200"/>
      <c r="DZ106" s="125"/>
      <c r="EA106" s="41"/>
      <c r="EB106" s="41"/>
      <c r="EC106" s="41"/>
      <c r="ED106" s="41"/>
      <c r="EE106" s="199"/>
      <c r="EF106" s="200"/>
      <c r="EG106" s="125"/>
      <c r="EH106" s="41"/>
      <c r="EI106" s="41"/>
      <c r="EJ106" s="41"/>
      <c r="EK106" s="41"/>
      <c r="EL106" s="199"/>
      <c r="EM106" s="200"/>
      <c r="EN106" s="125"/>
      <c r="EO106" s="41"/>
      <c r="EP106" s="41"/>
      <c r="EQ106" s="41"/>
      <c r="ER106" s="41"/>
      <c r="ES106" s="199"/>
      <c r="ET106" s="200"/>
      <c r="EU106" s="125"/>
      <c r="EV106" s="41"/>
      <c r="EW106" s="41"/>
      <c r="EX106" s="41"/>
      <c r="EY106" s="41"/>
      <c r="EZ106" s="199"/>
      <c r="FA106" s="200"/>
      <c r="FB106" s="125"/>
      <c r="FC106" s="41"/>
      <c r="FD106" s="41"/>
      <c r="FE106" s="41"/>
      <c r="FF106" s="41"/>
      <c r="FG106" s="199"/>
      <c r="FH106" s="200"/>
      <c r="FI106" s="125"/>
      <c r="FJ106" s="41"/>
      <c r="FK106" s="41"/>
      <c r="FL106" s="41"/>
      <c r="FM106" s="41"/>
      <c r="FN106" s="199"/>
      <c r="FO106" s="200"/>
      <c r="FP106" s="125"/>
      <c r="FQ106" s="41"/>
      <c r="FR106" s="41"/>
      <c r="FS106" s="41"/>
      <c r="FT106" s="41"/>
      <c r="FU106" s="199"/>
      <c r="FV106" s="200"/>
      <c r="FW106" s="125"/>
      <c r="FX106" s="41"/>
      <c r="FY106" s="41"/>
      <c r="FZ106" s="41"/>
      <c r="GA106" s="41"/>
      <c r="GB106" s="199"/>
      <c r="GC106" s="200"/>
      <c r="GD106" s="125"/>
      <c r="GE106" s="41"/>
      <c r="GF106" s="41"/>
      <c r="GG106" s="41"/>
      <c r="GH106" s="41"/>
      <c r="GI106" s="199"/>
      <c r="GJ106" s="200"/>
      <c r="GK106" s="125"/>
      <c r="GL106" s="41"/>
      <c r="GM106" s="41"/>
      <c r="GN106" s="41"/>
      <c r="GO106" s="41"/>
      <c r="GP106" s="199"/>
      <c r="GQ106" s="200"/>
      <c r="GR106" s="125"/>
      <c r="GS106" s="41"/>
      <c r="GT106" s="41"/>
      <c r="GU106" s="41"/>
      <c r="GV106" s="41"/>
      <c r="GW106" s="199"/>
      <c r="GX106" s="200"/>
      <c r="GY106" s="125"/>
      <c r="GZ106" s="41"/>
      <c r="HA106" s="41"/>
      <c r="HB106" s="41"/>
      <c r="HC106" s="41"/>
      <c r="HD106" s="199"/>
      <c r="HE106" s="200"/>
    </row>
    <row r="107" spans="2:213" x14ac:dyDescent="0.3">
      <c r="B107" s="72">
        <v>38136</v>
      </c>
      <c r="C107" s="9">
        <v>35</v>
      </c>
      <c r="D107" s="10" t="str">
        <f t="shared" si="12"/>
        <v>X</v>
      </c>
      <c r="E107" s="10" t="str">
        <f t="shared" si="9"/>
        <v>38136X</v>
      </c>
      <c r="F107" s="193" t="s">
        <v>20</v>
      </c>
      <c r="G107" s="187" t="s">
        <v>29</v>
      </c>
      <c r="H107" s="146" t="s">
        <v>9</v>
      </c>
      <c r="I107" s="149" t="s">
        <v>301</v>
      </c>
      <c r="J107" s="180" t="s">
        <v>302</v>
      </c>
      <c r="K107" s="125" t="s">
        <v>459</v>
      </c>
      <c r="L107" s="41" t="s">
        <v>459</v>
      </c>
      <c r="M107" s="41" t="s">
        <v>459</v>
      </c>
      <c r="N107" s="41" t="s">
        <v>459</v>
      </c>
      <c r="O107" s="41" t="s">
        <v>459</v>
      </c>
      <c r="P107" s="199"/>
      <c r="Q107" s="200"/>
      <c r="R107" s="125" t="s">
        <v>459</v>
      </c>
      <c r="S107" s="41" t="s">
        <v>459</v>
      </c>
      <c r="T107" s="41" t="s">
        <v>459</v>
      </c>
      <c r="U107" s="41" t="s">
        <v>459</v>
      </c>
      <c r="V107" s="41" t="s">
        <v>459</v>
      </c>
      <c r="W107" s="199"/>
      <c r="X107" s="200"/>
      <c r="Y107" s="125"/>
      <c r="Z107" s="41"/>
      <c r="AA107" s="41"/>
      <c r="AB107" s="41"/>
      <c r="AC107" s="41"/>
      <c r="AD107" s="199"/>
      <c r="AE107" s="200"/>
      <c r="AF107" s="125"/>
      <c r="AG107" s="41"/>
      <c r="AH107" s="41"/>
      <c r="AI107" s="41"/>
      <c r="AJ107" s="41"/>
      <c r="AK107" s="199"/>
      <c r="AL107" s="200"/>
      <c r="AM107" s="125"/>
      <c r="AN107" s="41"/>
      <c r="AO107" s="41"/>
      <c r="AP107" s="41"/>
      <c r="AQ107" s="41"/>
      <c r="AR107" s="199"/>
      <c r="AS107" s="200"/>
      <c r="AT107" s="125"/>
      <c r="AU107" s="41"/>
      <c r="AV107" s="41"/>
      <c r="AW107" s="41"/>
      <c r="AX107" s="41"/>
      <c r="AY107" s="199"/>
      <c r="AZ107" s="200"/>
      <c r="BA107" s="125"/>
      <c r="BB107" s="41"/>
      <c r="BC107" s="41"/>
      <c r="BD107" s="41"/>
      <c r="BE107" s="41"/>
      <c r="BF107" s="199"/>
      <c r="BG107" s="200"/>
      <c r="BH107" s="125"/>
      <c r="BI107" s="41"/>
      <c r="BJ107" s="41"/>
      <c r="BK107" s="41"/>
      <c r="BL107" s="41"/>
      <c r="BM107" s="199"/>
      <c r="BN107" s="200"/>
      <c r="BO107" s="125"/>
      <c r="BP107" s="41"/>
      <c r="BQ107" s="41"/>
      <c r="BR107" s="41"/>
      <c r="BS107" s="41"/>
      <c r="BT107" s="199"/>
      <c r="BU107" s="200"/>
      <c r="BV107" s="125"/>
      <c r="BW107" s="41"/>
      <c r="BX107" s="41"/>
      <c r="BY107" s="41"/>
      <c r="BZ107" s="41"/>
      <c r="CA107" s="199"/>
      <c r="CB107" s="200"/>
      <c r="CC107" s="125"/>
      <c r="CD107" s="41"/>
      <c r="CE107" s="41"/>
      <c r="CF107" s="41"/>
      <c r="CG107" s="41"/>
      <c r="CH107" s="199"/>
      <c r="CI107" s="200"/>
      <c r="CJ107" s="125"/>
      <c r="CK107" s="41"/>
      <c r="CL107" s="41"/>
      <c r="CM107" s="41"/>
      <c r="CN107" s="41"/>
      <c r="CO107" s="199"/>
      <c r="CP107" s="200"/>
      <c r="CQ107" s="125"/>
      <c r="CR107" s="41"/>
      <c r="CS107" s="41"/>
      <c r="CT107" s="41"/>
      <c r="CU107" s="41"/>
      <c r="CV107" s="199"/>
      <c r="CW107" s="200"/>
      <c r="CX107" s="125"/>
      <c r="CY107" s="41"/>
      <c r="CZ107" s="41"/>
      <c r="DA107" s="41"/>
      <c r="DB107" s="41"/>
      <c r="DC107" s="199"/>
      <c r="DD107" s="200"/>
      <c r="DE107" s="125"/>
      <c r="DF107" s="41"/>
      <c r="DG107" s="41"/>
      <c r="DH107" s="41"/>
      <c r="DI107" s="41"/>
      <c r="DJ107" s="199"/>
      <c r="DK107" s="200"/>
      <c r="DL107" s="125"/>
      <c r="DM107" s="41"/>
      <c r="DN107" s="41"/>
      <c r="DO107" s="41"/>
      <c r="DP107" s="41"/>
      <c r="DQ107" s="199"/>
      <c r="DR107" s="200"/>
      <c r="DS107" s="125"/>
      <c r="DT107" s="41"/>
      <c r="DU107" s="41"/>
      <c r="DV107" s="41"/>
      <c r="DW107" s="41"/>
      <c r="DX107" s="199"/>
      <c r="DY107" s="200"/>
      <c r="DZ107" s="125"/>
      <c r="EA107" s="41"/>
      <c r="EB107" s="41"/>
      <c r="EC107" s="41"/>
      <c r="ED107" s="41"/>
      <c r="EE107" s="199"/>
      <c r="EF107" s="200"/>
      <c r="EG107" s="125"/>
      <c r="EH107" s="41"/>
      <c r="EI107" s="41"/>
      <c r="EJ107" s="41"/>
      <c r="EK107" s="41"/>
      <c r="EL107" s="199"/>
      <c r="EM107" s="200"/>
      <c r="EN107" s="125"/>
      <c r="EO107" s="41"/>
      <c r="EP107" s="41"/>
      <c r="EQ107" s="41"/>
      <c r="ER107" s="41"/>
      <c r="ES107" s="199"/>
      <c r="ET107" s="200"/>
      <c r="EU107" s="125"/>
      <c r="EV107" s="41"/>
      <c r="EW107" s="41"/>
      <c r="EX107" s="41"/>
      <c r="EY107" s="41"/>
      <c r="EZ107" s="199"/>
      <c r="FA107" s="200"/>
      <c r="FB107" s="125"/>
      <c r="FC107" s="41"/>
      <c r="FD107" s="41"/>
      <c r="FE107" s="41"/>
      <c r="FF107" s="41"/>
      <c r="FG107" s="199"/>
      <c r="FH107" s="200"/>
      <c r="FI107" s="125"/>
      <c r="FJ107" s="41"/>
      <c r="FK107" s="41"/>
      <c r="FL107" s="41"/>
      <c r="FM107" s="41"/>
      <c r="FN107" s="199"/>
      <c r="FO107" s="200"/>
      <c r="FP107" s="125"/>
      <c r="FQ107" s="41"/>
      <c r="FR107" s="41"/>
      <c r="FS107" s="41"/>
      <c r="FT107" s="41"/>
      <c r="FU107" s="199"/>
      <c r="FV107" s="200"/>
      <c r="FW107" s="125"/>
      <c r="FX107" s="41"/>
      <c r="FY107" s="41"/>
      <c r="FZ107" s="41"/>
      <c r="GA107" s="41"/>
      <c r="GB107" s="199"/>
      <c r="GC107" s="200"/>
      <c r="GD107" s="125"/>
      <c r="GE107" s="41"/>
      <c r="GF107" s="41"/>
      <c r="GG107" s="41"/>
      <c r="GH107" s="41"/>
      <c r="GI107" s="199"/>
      <c r="GJ107" s="200"/>
      <c r="GK107" s="125"/>
      <c r="GL107" s="41"/>
      <c r="GM107" s="41"/>
      <c r="GN107" s="41"/>
      <c r="GO107" s="41"/>
      <c r="GP107" s="199"/>
      <c r="GQ107" s="200"/>
      <c r="GR107" s="125"/>
      <c r="GS107" s="41"/>
      <c r="GT107" s="41"/>
      <c r="GU107" s="41"/>
      <c r="GV107" s="41"/>
      <c r="GW107" s="199"/>
      <c r="GX107" s="200"/>
      <c r="GY107" s="125"/>
      <c r="GZ107" s="41"/>
      <c r="HA107" s="41"/>
      <c r="HB107" s="41"/>
      <c r="HC107" s="41"/>
      <c r="HD107" s="199"/>
      <c r="HE107" s="200"/>
    </row>
    <row r="108" spans="2:213" x14ac:dyDescent="0.3">
      <c r="B108" s="8">
        <v>77292</v>
      </c>
      <c r="C108" s="9">
        <v>35</v>
      </c>
      <c r="D108" s="10" t="str">
        <f t="shared" si="12"/>
        <v>X</v>
      </c>
      <c r="E108" s="11" t="str">
        <f t="shared" si="9"/>
        <v>77292X</v>
      </c>
      <c r="F108" s="193" t="s">
        <v>20</v>
      </c>
      <c r="G108" s="187" t="s">
        <v>29</v>
      </c>
      <c r="H108" s="146" t="s">
        <v>9</v>
      </c>
      <c r="I108" s="159" t="s">
        <v>317</v>
      </c>
      <c r="J108" s="160" t="s">
        <v>318</v>
      </c>
      <c r="K108" s="125" t="s">
        <v>459</v>
      </c>
      <c r="L108" s="41" t="s">
        <v>459</v>
      </c>
      <c r="M108" s="41" t="s">
        <v>459</v>
      </c>
      <c r="N108" s="41" t="s">
        <v>459</v>
      </c>
      <c r="O108" s="41" t="s">
        <v>459</v>
      </c>
      <c r="P108" s="199"/>
      <c r="Q108" s="200"/>
      <c r="R108" s="125" t="s">
        <v>459</v>
      </c>
      <c r="S108" s="41" t="s">
        <v>459</v>
      </c>
      <c r="T108" s="41" t="s">
        <v>459</v>
      </c>
      <c r="U108" s="41" t="s">
        <v>459</v>
      </c>
      <c r="V108" s="41" t="s">
        <v>459</v>
      </c>
      <c r="W108" s="199"/>
      <c r="X108" s="200"/>
      <c r="Y108" s="125"/>
      <c r="Z108" s="41"/>
      <c r="AA108" s="41"/>
      <c r="AB108" s="41"/>
      <c r="AC108" s="41"/>
      <c r="AD108" s="199"/>
      <c r="AE108" s="200"/>
      <c r="AF108" s="125"/>
      <c r="AG108" s="41"/>
      <c r="AH108" s="41"/>
      <c r="AI108" s="41"/>
      <c r="AJ108" s="41"/>
      <c r="AK108" s="199"/>
      <c r="AL108" s="200"/>
      <c r="AM108" s="125"/>
      <c r="AN108" s="41"/>
      <c r="AO108" s="41"/>
      <c r="AP108" s="41"/>
      <c r="AQ108" s="41"/>
      <c r="AR108" s="199"/>
      <c r="AS108" s="200"/>
      <c r="AT108" s="125"/>
      <c r="AU108" s="41"/>
      <c r="AV108" s="41"/>
      <c r="AW108" s="41"/>
      <c r="AX108" s="41"/>
      <c r="AY108" s="199"/>
      <c r="AZ108" s="200"/>
      <c r="BA108" s="125"/>
      <c r="BB108" s="41"/>
      <c r="BC108" s="41"/>
      <c r="BD108" s="41"/>
      <c r="BE108" s="41"/>
      <c r="BF108" s="199"/>
      <c r="BG108" s="200"/>
      <c r="BH108" s="125"/>
      <c r="BI108" s="41"/>
      <c r="BJ108" s="41"/>
      <c r="BK108" s="41"/>
      <c r="BL108" s="41"/>
      <c r="BM108" s="199"/>
      <c r="BN108" s="200"/>
      <c r="BO108" s="125"/>
      <c r="BP108" s="41"/>
      <c r="BQ108" s="41"/>
      <c r="BR108" s="41"/>
      <c r="BS108" s="41"/>
      <c r="BT108" s="199"/>
      <c r="BU108" s="200"/>
      <c r="BV108" s="125"/>
      <c r="BW108" s="41"/>
      <c r="BX108" s="41"/>
      <c r="BY108" s="41"/>
      <c r="BZ108" s="41"/>
      <c r="CA108" s="199"/>
      <c r="CB108" s="200"/>
      <c r="CC108" s="125"/>
      <c r="CD108" s="41"/>
      <c r="CE108" s="41"/>
      <c r="CF108" s="41"/>
      <c r="CG108" s="41"/>
      <c r="CH108" s="199"/>
      <c r="CI108" s="200"/>
      <c r="CJ108" s="125"/>
      <c r="CK108" s="41"/>
      <c r="CL108" s="41"/>
      <c r="CM108" s="41"/>
      <c r="CN108" s="41"/>
      <c r="CO108" s="199"/>
      <c r="CP108" s="200"/>
      <c r="CQ108" s="125"/>
      <c r="CR108" s="41"/>
      <c r="CS108" s="41"/>
      <c r="CT108" s="41"/>
      <c r="CU108" s="41"/>
      <c r="CV108" s="199"/>
      <c r="CW108" s="200"/>
      <c r="CX108" s="125"/>
      <c r="CY108" s="41"/>
      <c r="CZ108" s="41"/>
      <c r="DA108" s="41"/>
      <c r="DB108" s="41"/>
      <c r="DC108" s="199"/>
      <c r="DD108" s="200"/>
      <c r="DE108" s="125"/>
      <c r="DF108" s="41"/>
      <c r="DG108" s="41"/>
      <c r="DH108" s="41"/>
      <c r="DI108" s="41"/>
      <c r="DJ108" s="199"/>
      <c r="DK108" s="200"/>
      <c r="DL108" s="125"/>
      <c r="DM108" s="41"/>
      <c r="DN108" s="41"/>
      <c r="DO108" s="41"/>
      <c r="DP108" s="41"/>
      <c r="DQ108" s="199"/>
      <c r="DR108" s="200"/>
      <c r="DS108" s="125"/>
      <c r="DT108" s="41"/>
      <c r="DU108" s="41"/>
      <c r="DV108" s="41"/>
      <c r="DW108" s="41"/>
      <c r="DX108" s="199"/>
      <c r="DY108" s="200"/>
      <c r="DZ108" s="125"/>
      <c r="EA108" s="41"/>
      <c r="EB108" s="41"/>
      <c r="EC108" s="41"/>
      <c r="ED108" s="41"/>
      <c r="EE108" s="199"/>
      <c r="EF108" s="200"/>
      <c r="EG108" s="125"/>
      <c r="EH108" s="41"/>
      <c r="EI108" s="41"/>
      <c r="EJ108" s="41"/>
      <c r="EK108" s="41"/>
      <c r="EL108" s="199"/>
      <c r="EM108" s="200"/>
      <c r="EN108" s="125"/>
      <c r="EO108" s="41"/>
      <c r="EP108" s="41"/>
      <c r="EQ108" s="41"/>
      <c r="ER108" s="41"/>
      <c r="ES108" s="199"/>
      <c r="ET108" s="200"/>
      <c r="EU108" s="125"/>
      <c r="EV108" s="41"/>
      <c r="EW108" s="41"/>
      <c r="EX108" s="41"/>
      <c r="EY108" s="41"/>
      <c r="EZ108" s="199"/>
      <c r="FA108" s="200"/>
      <c r="FB108" s="125"/>
      <c r="FC108" s="41"/>
      <c r="FD108" s="41"/>
      <c r="FE108" s="41"/>
      <c r="FF108" s="41"/>
      <c r="FG108" s="199"/>
      <c r="FH108" s="200"/>
      <c r="FI108" s="125"/>
      <c r="FJ108" s="41"/>
      <c r="FK108" s="41"/>
      <c r="FL108" s="41"/>
      <c r="FM108" s="41"/>
      <c r="FN108" s="199"/>
      <c r="FO108" s="200"/>
      <c r="FP108" s="125"/>
      <c r="FQ108" s="41"/>
      <c r="FR108" s="41"/>
      <c r="FS108" s="41"/>
      <c r="FT108" s="41"/>
      <c r="FU108" s="199"/>
      <c r="FV108" s="200"/>
      <c r="FW108" s="125"/>
      <c r="FX108" s="41"/>
      <c r="FY108" s="41"/>
      <c r="FZ108" s="41"/>
      <c r="GA108" s="41"/>
      <c r="GB108" s="199"/>
      <c r="GC108" s="200"/>
      <c r="GD108" s="125"/>
      <c r="GE108" s="41"/>
      <c r="GF108" s="41"/>
      <c r="GG108" s="41"/>
      <c r="GH108" s="41"/>
      <c r="GI108" s="199"/>
      <c r="GJ108" s="200"/>
      <c r="GK108" s="125"/>
      <c r="GL108" s="41"/>
      <c r="GM108" s="41"/>
      <c r="GN108" s="41"/>
      <c r="GO108" s="41"/>
      <c r="GP108" s="199"/>
      <c r="GQ108" s="200"/>
      <c r="GR108" s="125"/>
      <c r="GS108" s="41"/>
      <c r="GT108" s="41"/>
      <c r="GU108" s="41"/>
      <c r="GV108" s="41"/>
      <c r="GW108" s="199"/>
      <c r="GX108" s="200"/>
      <c r="GY108" s="125"/>
      <c r="GZ108" s="41"/>
      <c r="HA108" s="41"/>
      <c r="HB108" s="41"/>
      <c r="HC108" s="41"/>
      <c r="HD108" s="199"/>
      <c r="HE108" s="200"/>
    </row>
    <row r="109" spans="2:213" x14ac:dyDescent="0.3">
      <c r="B109" s="38">
        <v>55906</v>
      </c>
      <c r="C109" s="9">
        <v>35</v>
      </c>
      <c r="D109" s="10" t="str">
        <f t="shared" si="12"/>
        <v>X</v>
      </c>
      <c r="E109" s="11" t="str">
        <f t="shared" si="9"/>
        <v>55906X</v>
      </c>
      <c r="F109" s="193" t="s">
        <v>60</v>
      </c>
      <c r="G109" s="183" t="s">
        <v>26</v>
      </c>
      <c r="H109" s="146" t="s">
        <v>9</v>
      </c>
      <c r="I109" s="159" t="s">
        <v>61</v>
      </c>
      <c r="J109" s="160" t="s">
        <v>23</v>
      </c>
      <c r="K109" s="125" t="s">
        <v>460</v>
      </c>
      <c r="L109" s="41" t="s">
        <v>459</v>
      </c>
      <c r="M109" s="41" t="s">
        <v>459</v>
      </c>
      <c r="N109" s="41" t="s">
        <v>459</v>
      </c>
      <c r="O109" s="41" t="s">
        <v>459</v>
      </c>
      <c r="P109" s="199"/>
      <c r="Q109" s="201"/>
      <c r="R109" s="125" t="s">
        <v>459</v>
      </c>
      <c r="S109" s="41" t="s">
        <v>459</v>
      </c>
      <c r="T109" s="41" t="s">
        <v>459</v>
      </c>
      <c r="U109" s="41" t="s">
        <v>459</v>
      </c>
      <c r="V109" s="41" t="s">
        <v>459</v>
      </c>
      <c r="W109" s="199"/>
      <c r="X109" s="201"/>
      <c r="Y109" s="125"/>
      <c r="Z109" s="41"/>
      <c r="AA109" s="41"/>
      <c r="AB109" s="41"/>
      <c r="AC109" s="41"/>
      <c r="AD109" s="199"/>
      <c r="AE109" s="201"/>
      <c r="AF109" s="125"/>
      <c r="AG109" s="41"/>
      <c r="AH109" s="41"/>
      <c r="AI109" s="41"/>
      <c r="AJ109" s="41"/>
      <c r="AK109" s="199"/>
      <c r="AL109" s="201"/>
      <c r="AM109" s="125"/>
      <c r="AN109" s="41"/>
      <c r="AO109" s="41"/>
      <c r="AP109" s="41"/>
      <c r="AQ109" s="41"/>
      <c r="AR109" s="199"/>
      <c r="AS109" s="201"/>
      <c r="AT109" s="125"/>
      <c r="AU109" s="41"/>
      <c r="AV109" s="41"/>
      <c r="AW109" s="41"/>
      <c r="AX109" s="41"/>
      <c r="AY109" s="199"/>
      <c r="AZ109" s="201"/>
      <c r="BA109" s="125"/>
      <c r="BB109" s="41"/>
      <c r="BC109" s="41"/>
      <c r="BD109" s="41"/>
      <c r="BE109" s="41"/>
      <c r="BF109" s="199"/>
      <c r="BG109" s="201"/>
      <c r="BH109" s="125"/>
      <c r="BI109" s="41"/>
      <c r="BJ109" s="41"/>
      <c r="BK109" s="41"/>
      <c r="BL109" s="41"/>
      <c r="BM109" s="199"/>
      <c r="BN109" s="201"/>
      <c r="BO109" s="125"/>
      <c r="BP109" s="41"/>
      <c r="BQ109" s="41"/>
      <c r="BR109" s="41"/>
      <c r="BS109" s="41"/>
      <c r="BT109" s="199"/>
      <c r="BU109" s="201"/>
      <c r="BV109" s="125"/>
      <c r="BW109" s="41"/>
      <c r="BX109" s="41"/>
      <c r="BY109" s="41"/>
      <c r="BZ109" s="41"/>
      <c r="CA109" s="199"/>
      <c r="CB109" s="201"/>
      <c r="CC109" s="125"/>
      <c r="CD109" s="41"/>
      <c r="CE109" s="41"/>
      <c r="CF109" s="41"/>
      <c r="CG109" s="41"/>
      <c r="CH109" s="199"/>
      <c r="CI109" s="201"/>
      <c r="CJ109" s="125"/>
      <c r="CK109" s="41"/>
      <c r="CL109" s="41"/>
      <c r="CM109" s="41"/>
      <c r="CN109" s="41"/>
      <c r="CO109" s="199"/>
      <c r="CP109" s="201"/>
      <c r="CQ109" s="125"/>
      <c r="CR109" s="41"/>
      <c r="CS109" s="41"/>
      <c r="CT109" s="41"/>
      <c r="CU109" s="41"/>
      <c r="CV109" s="199"/>
      <c r="CW109" s="201"/>
      <c r="CX109" s="125"/>
      <c r="CY109" s="41"/>
      <c r="CZ109" s="41"/>
      <c r="DA109" s="41"/>
      <c r="DB109" s="41"/>
      <c r="DC109" s="199"/>
      <c r="DD109" s="201"/>
      <c r="DE109" s="125"/>
      <c r="DF109" s="41"/>
      <c r="DG109" s="41"/>
      <c r="DH109" s="41"/>
      <c r="DI109" s="41"/>
      <c r="DJ109" s="199"/>
      <c r="DK109" s="201"/>
      <c r="DL109" s="125"/>
      <c r="DM109" s="41"/>
      <c r="DN109" s="41"/>
      <c r="DO109" s="41"/>
      <c r="DP109" s="41"/>
      <c r="DQ109" s="199"/>
      <c r="DR109" s="201"/>
      <c r="DS109" s="125"/>
      <c r="DT109" s="41"/>
      <c r="DU109" s="41"/>
      <c r="DV109" s="41"/>
      <c r="DW109" s="41"/>
      <c r="DX109" s="199"/>
      <c r="DY109" s="201"/>
      <c r="DZ109" s="125"/>
      <c r="EA109" s="41"/>
      <c r="EB109" s="41"/>
      <c r="EC109" s="41"/>
      <c r="ED109" s="41"/>
      <c r="EE109" s="199"/>
      <c r="EF109" s="201"/>
      <c r="EG109" s="125"/>
      <c r="EH109" s="41"/>
      <c r="EI109" s="41"/>
      <c r="EJ109" s="41"/>
      <c r="EK109" s="41"/>
      <c r="EL109" s="199"/>
      <c r="EM109" s="201"/>
      <c r="EN109" s="125"/>
      <c r="EO109" s="41"/>
      <c r="EP109" s="41"/>
      <c r="EQ109" s="41"/>
      <c r="ER109" s="41"/>
      <c r="ES109" s="199"/>
      <c r="ET109" s="201"/>
      <c r="EU109" s="125"/>
      <c r="EV109" s="41"/>
      <c r="EW109" s="41"/>
      <c r="EX109" s="41"/>
      <c r="EY109" s="41"/>
      <c r="EZ109" s="199"/>
      <c r="FA109" s="201"/>
      <c r="FB109" s="125"/>
      <c r="FC109" s="41"/>
      <c r="FD109" s="41"/>
      <c r="FE109" s="41"/>
      <c r="FF109" s="41"/>
      <c r="FG109" s="199"/>
      <c r="FH109" s="201"/>
      <c r="FI109" s="125"/>
      <c r="FJ109" s="41"/>
      <c r="FK109" s="41"/>
      <c r="FL109" s="41"/>
      <c r="FM109" s="41"/>
      <c r="FN109" s="199"/>
      <c r="FO109" s="201"/>
      <c r="FP109" s="125"/>
      <c r="FQ109" s="41"/>
      <c r="FR109" s="41"/>
      <c r="FS109" s="41"/>
      <c r="FT109" s="41"/>
      <c r="FU109" s="199"/>
      <c r="FV109" s="201"/>
      <c r="FW109" s="125"/>
      <c r="FX109" s="41"/>
      <c r="FY109" s="41"/>
      <c r="FZ109" s="41"/>
      <c r="GA109" s="41"/>
      <c r="GB109" s="199"/>
      <c r="GC109" s="201"/>
      <c r="GD109" s="125"/>
      <c r="GE109" s="41"/>
      <c r="GF109" s="41"/>
      <c r="GG109" s="41"/>
      <c r="GH109" s="41"/>
      <c r="GI109" s="199"/>
      <c r="GJ109" s="201"/>
      <c r="GK109" s="125"/>
      <c r="GL109" s="41"/>
      <c r="GM109" s="41"/>
      <c r="GN109" s="41"/>
      <c r="GO109" s="41"/>
      <c r="GP109" s="199"/>
      <c r="GQ109" s="201"/>
      <c r="GR109" s="125"/>
      <c r="GS109" s="41"/>
      <c r="GT109" s="41"/>
      <c r="GU109" s="41"/>
      <c r="GV109" s="41"/>
      <c r="GW109" s="199"/>
      <c r="GX109" s="201"/>
      <c r="GY109" s="125"/>
      <c r="GZ109" s="41"/>
      <c r="HA109" s="41"/>
      <c r="HB109" s="41"/>
      <c r="HC109" s="41"/>
      <c r="HD109" s="199"/>
      <c r="HE109" s="201"/>
    </row>
    <row r="110" spans="2:213" x14ac:dyDescent="0.3">
      <c r="B110" s="38">
        <v>71616</v>
      </c>
      <c r="C110" s="9">
        <v>35</v>
      </c>
      <c r="D110" s="10" t="str">
        <f t="shared" si="12"/>
        <v>X</v>
      </c>
      <c r="E110" s="11" t="str">
        <f t="shared" si="9"/>
        <v>71616X</v>
      </c>
      <c r="F110" s="193" t="s">
        <v>60</v>
      </c>
      <c r="G110" s="183" t="s">
        <v>26</v>
      </c>
      <c r="H110" s="146" t="s">
        <v>9</v>
      </c>
      <c r="I110" s="159" t="s">
        <v>201</v>
      </c>
      <c r="J110" s="160" t="s">
        <v>67</v>
      </c>
      <c r="K110" s="125" t="s">
        <v>459</v>
      </c>
      <c r="L110" s="41" t="s">
        <v>459</v>
      </c>
      <c r="M110" s="41" t="s">
        <v>459</v>
      </c>
      <c r="N110" s="41" t="s">
        <v>459</v>
      </c>
      <c r="O110" s="41" t="s">
        <v>459</v>
      </c>
      <c r="P110" s="199"/>
      <c r="Q110" s="201"/>
      <c r="R110" s="125" t="s">
        <v>459</v>
      </c>
      <c r="S110" s="41" t="s">
        <v>459</v>
      </c>
      <c r="T110" s="41" t="s">
        <v>459</v>
      </c>
      <c r="U110" s="41" t="s">
        <v>459</v>
      </c>
      <c r="V110" s="41" t="s">
        <v>459</v>
      </c>
      <c r="W110" s="199"/>
      <c r="X110" s="201"/>
      <c r="Y110" s="125"/>
      <c r="Z110" s="41"/>
      <c r="AA110" s="41"/>
      <c r="AB110" s="41"/>
      <c r="AC110" s="41"/>
      <c r="AD110" s="199"/>
      <c r="AE110" s="201"/>
      <c r="AF110" s="125"/>
      <c r="AG110" s="41"/>
      <c r="AH110" s="41"/>
      <c r="AI110" s="41"/>
      <c r="AJ110" s="41"/>
      <c r="AK110" s="199"/>
      <c r="AL110" s="201"/>
      <c r="AM110" s="125"/>
      <c r="AN110" s="41"/>
      <c r="AO110" s="41"/>
      <c r="AP110" s="41"/>
      <c r="AQ110" s="41"/>
      <c r="AR110" s="199"/>
      <c r="AS110" s="201"/>
      <c r="AT110" s="125"/>
      <c r="AU110" s="41"/>
      <c r="AV110" s="41"/>
      <c r="AW110" s="41"/>
      <c r="AX110" s="41"/>
      <c r="AY110" s="199"/>
      <c r="AZ110" s="201"/>
      <c r="BA110" s="125"/>
      <c r="BB110" s="41"/>
      <c r="BC110" s="41"/>
      <c r="BD110" s="41"/>
      <c r="BE110" s="41"/>
      <c r="BF110" s="199"/>
      <c r="BG110" s="201"/>
      <c r="BH110" s="125"/>
      <c r="BI110" s="41"/>
      <c r="BJ110" s="41"/>
      <c r="BK110" s="41"/>
      <c r="BL110" s="41"/>
      <c r="BM110" s="199"/>
      <c r="BN110" s="201"/>
      <c r="BO110" s="125"/>
      <c r="BP110" s="41"/>
      <c r="BQ110" s="41"/>
      <c r="BR110" s="41"/>
      <c r="BS110" s="41"/>
      <c r="BT110" s="199"/>
      <c r="BU110" s="201"/>
      <c r="BV110" s="125"/>
      <c r="BW110" s="41"/>
      <c r="BX110" s="41"/>
      <c r="BY110" s="41"/>
      <c r="BZ110" s="41"/>
      <c r="CA110" s="199"/>
      <c r="CB110" s="201"/>
      <c r="CC110" s="125"/>
      <c r="CD110" s="41"/>
      <c r="CE110" s="41"/>
      <c r="CF110" s="41"/>
      <c r="CG110" s="41"/>
      <c r="CH110" s="199"/>
      <c r="CI110" s="201"/>
      <c r="CJ110" s="125"/>
      <c r="CK110" s="41"/>
      <c r="CL110" s="41"/>
      <c r="CM110" s="41"/>
      <c r="CN110" s="41"/>
      <c r="CO110" s="199"/>
      <c r="CP110" s="201"/>
      <c r="CQ110" s="125"/>
      <c r="CR110" s="41"/>
      <c r="CS110" s="41"/>
      <c r="CT110" s="41"/>
      <c r="CU110" s="41"/>
      <c r="CV110" s="199"/>
      <c r="CW110" s="201"/>
      <c r="CX110" s="125"/>
      <c r="CY110" s="41"/>
      <c r="CZ110" s="41"/>
      <c r="DA110" s="41"/>
      <c r="DB110" s="41"/>
      <c r="DC110" s="199"/>
      <c r="DD110" s="201"/>
      <c r="DE110" s="125"/>
      <c r="DF110" s="41"/>
      <c r="DG110" s="41"/>
      <c r="DH110" s="41"/>
      <c r="DI110" s="41"/>
      <c r="DJ110" s="199"/>
      <c r="DK110" s="201"/>
      <c r="DL110" s="125"/>
      <c r="DM110" s="41"/>
      <c r="DN110" s="41"/>
      <c r="DO110" s="41"/>
      <c r="DP110" s="41"/>
      <c r="DQ110" s="199"/>
      <c r="DR110" s="201"/>
      <c r="DS110" s="125"/>
      <c r="DT110" s="41"/>
      <c r="DU110" s="41"/>
      <c r="DV110" s="41"/>
      <c r="DW110" s="41"/>
      <c r="DX110" s="199"/>
      <c r="DY110" s="201"/>
      <c r="DZ110" s="125"/>
      <c r="EA110" s="41"/>
      <c r="EB110" s="41"/>
      <c r="EC110" s="41"/>
      <c r="ED110" s="41"/>
      <c r="EE110" s="199"/>
      <c r="EF110" s="201"/>
      <c r="EG110" s="125"/>
      <c r="EH110" s="41"/>
      <c r="EI110" s="41"/>
      <c r="EJ110" s="41"/>
      <c r="EK110" s="41"/>
      <c r="EL110" s="199"/>
      <c r="EM110" s="201"/>
      <c r="EN110" s="125"/>
      <c r="EO110" s="41"/>
      <c r="EP110" s="41"/>
      <c r="EQ110" s="41"/>
      <c r="ER110" s="41"/>
      <c r="ES110" s="199"/>
      <c r="ET110" s="201"/>
      <c r="EU110" s="125"/>
      <c r="EV110" s="41"/>
      <c r="EW110" s="41"/>
      <c r="EX110" s="41"/>
      <c r="EY110" s="41"/>
      <c r="EZ110" s="199"/>
      <c r="FA110" s="201"/>
      <c r="FB110" s="125"/>
      <c r="FC110" s="41"/>
      <c r="FD110" s="41"/>
      <c r="FE110" s="41"/>
      <c r="FF110" s="41"/>
      <c r="FG110" s="199"/>
      <c r="FH110" s="201"/>
      <c r="FI110" s="125"/>
      <c r="FJ110" s="41"/>
      <c r="FK110" s="41"/>
      <c r="FL110" s="41"/>
      <c r="FM110" s="41"/>
      <c r="FN110" s="199"/>
      <c r="FO110" s="201"/>
      <c r="FP110" s="125"/>
      <c r="FQ110" s="41"/>
      <c r="FR110" s="41"/>
      <c r="FS110" s="41"/>
      <c r="FT110" s="41"/>
      <c r="FU110" s="199"/>
      <c r="FV110" s="201"/>
      <c r="FW110" s="125"/>
      <c r="FX110" s="41"/>
      <c r="FY110" s="41"/>
      <c r="FZ110" s="41"/>
      <c r="GA110" s="41"/>
      <c r="GB110" s="199"/>
      <c r="GC110" s="201"/>
      <c r="GD110" s="125"/>
      <c r="GE110" s="41"/>
      <c r="GF110" s="41"/>
      <c r="GG110" s="41"/>
      <c r="GH110" s="41"/>
      <c r="GI110" s="199"/>
      <c r="GJ110" s="201"/>
      <c r="GK110" s="125"/>
      <c r="GL110" s="41"/>
      <c r="GM110" s="41"/>
      <c r="GN110" s="41"/>
      <c r="GO110" s="41"/>
      <c r="GP110" s="199"/>
      <c r="GQ110" s="201"/>
      <c r="GR110" s="125"/>
      <c r="GS110" s="41"/>
      <c r="GT110" s="41"/>
      <c r="GU110" s="41"/>
      <c r="GV110" s="41"/>
      <c r="GW110" s="199"/>
      <c r="GX110" s="201"/>
      <c r="GY110" s="125"/>
      <c r="GZ110" s="41"/>
      <c r="HA110" s="41"/>
      <c r="HB110" s="41"/>
      <c r="HC110" s="41"/>
      <c r="HD110" s="199"/>
      <c r="HE110" s="201"/>
    </row>
    <row r="111" spans="2:213" x14ac:dyDescent="0.3">
      <c r="B111" s="8">
        <v>43211</v>
      </c>
      <c r="C111" s="9">
        <v>35</v>
      </c>
      <c r="D111" s="10" t="str">
        <f t="shared" si="12"/>
        <v>X</v>
      </c>
      <c r="E111" s="11" t="str">
        <f t="shared" si="9"/>
        <v>43211X</v>
      </c>
      <c r="F111" s="193" t="s">
        <v>60</v>
      </c>
      <c r="G111" s="183" t="s">
        <v>26</v>
      </c>
      <c r="H111" s="146" t="s">
        <v>9</v>
      </c>
      <c r="I111" s="159" t="s">
        <v>293</v>
      </c>
      <c r="J111" s="160" t="s">
        <v>294</v>
      </c>
      <c r="K111" s="125" t="s">
        <v>459</v>
      </c>
      <c r="L111" s="41" t="s">
        <v>459</v>
      </c>
      <c r="M111" s="41" t="s">
        <v>459</v>
      </c>
      <c r="N111" s="41" t="s">
        <v>459</v>
      </c>
      <c r="O111" s="41" t="s">
        <v>459</v>
      </c>
      <c r="P111" s="199"/>
      <c r="Q111" s="201"/>
      <c r="R111" s="125" t="s">
        <v>459</v>
      </c>
      <c r="S111" s="41" t="s">
        <v>459</v>
      </c>
      <c r="T111" s="41" t="s">
        <v>459</v>
      </c>
      <c r="U111" s="41" t="s">
        <v>459</v>
      </c>
      <c r="V111" s="41" t="s">
        <v>459</v>
      </c>
      <c r="W111" s="199"/>
      <c r="X111" s="201"/>
      <c r="Y111" s="125"/>
      <c r="Z111" s="41"/>
      <c r="AA111" s="41"/>
      <c r="AB111" s="41"/>
      <c r="AC111" s="41"/>
      <c r="AD111" s="199"/>
      <c r="AE111" s="201"/>
      <c r="AF111" s="125"/>
      <c r="AG111" s="41"/>
      <c r="AH111" s="41"/>
      <c r="AI111" s="41"/>
      <c r="AJ111" s="41"/>
      <c r="AK111" s="199"/>
      <c r="AL111" s="201"/>
      <c r="AM111" s="125"/>
      <c r="AN111" s="41"/>
      <c r="AO111" s="41"/>
      <c r="AP111" s="41"/>
      <c r="AQ111" s="41"/>
      <c r="AR111" s="199"/>
      <c r="AS111" s="201"/>
      <c r="AT111" s="125"/>
      <c r="AU111" s="41"/>
      <c r="AV111" s="41"/>
      <c r="AW111" s="41"/>
      <c r="AX111" s="41"/>
      <c r="AY111" s="199"/>
      <c r="AZ111" s="201"/>
      <c r="BA111" s="125"/>
      <c r="BB111" s="41"/>
      <c r="BC111" s="41"/>
      <c r="BD111" s="41"/>
      <c r="BE111" s="41"/>
      <c r="BF111" s="199"/>
      <c r="BG111" s="201"/>
      <c r="BH111" s="125"/>
      <c r="BI111" s="41"/>
      <c r="BJ111" s="41"/>
      <c r="BK111" s="41"/>
      <c r="BL111" s="41"/>
      <c r="BM111" s="199"/>
      <c r="BN111" s="201"/>
      <c r="BO111" s="125"/>
      <c r="BP111" s="41"/>
      <c r="BQ111" s="41"/>
      <c r="BR111" s="41"/>
      <c r="BS111" s="41"/>
      <c r="BT111" s="199"/>
      <c r="BU111" s="201"/>
      <c r="BV111" s="125"/>
      <c r="BW111" s="41"/>
      <c r="BX111" s="41"/>
      <c r="BY111" s="41"/>
      <c r="BZ111" s="41"/>
      <c r="CA111" s="199"/>
      <c r="CB111" s="201"/>
      <c r="CC111" s="125"/>
      <c r="CD111" s="41"/>
      <c r="CE111" s="41"/>
      <c r="CF111" s="41"/>
      <c r="CG111" s="41"/>
      <c r="CH111" s="199"/>
      <c r="CI111" s="201"/>
      <c r="CJ111" s="125"/>
      <c r="CK111" s="41"/>
      <c r="CL111" s="41"/>
      <c r="CM111" s="41"/>
      <c r="CN111" s="41"/>
      <c r="CO111" s="199"/>
      <c r="CP111" s="201"/>
      <c r="CQ111" s="125"/>
      <c r="CR111" s="41"/>
      <c r="CS111" s="41"/>
      <c r="CT111" s="41"/>
      <c r="CU111" s="41"/>
      <c r="CV111" s="199"/>
      <c r="CW111" s="201"/>
      <c r="CX111" s="125"/>
      <c r="CY111" s="41"/>
      <c r="CZ111" s="41"/>
      <c r="DA111" s="41"/>
      <c r="DB111" s="41"/>
      <c r="DC111" s="199"/>
      <c r="DD111" s="201"/>
      <c r="DE111" s="125"/>
      <c r="DF111" s="41"/>
      <c r="DG111" s="41"/>
      <c r="DH111" s="41"/>
      <c r="DI111" s="41"/>
      <c r="DJ111" s="199"/>
      <c r="DK111" s="201"/>
      <c r="DL111" s="125"/>
      <c r="DM111" s="41"/>
      <c r="DN111" s="41"/>
      <c r="DO111" s="41"/>
      <c r="DP111" s="41"/>
      <c r="DQ111" s="199"/>
      <c r="DR111" s="201"/>
      <c r="DS111" s="125"/>
      <c r="DT111" s="41"/>
      <c r="DU111" s="41"/>
      <c r="DV111" s="41"/>
      <c r="DW111" s="41"/>
      <c r="DX111" s="199"/>
      <c r="DY111" s="201"/>
      <c r="DZ111" s="125"/>
      <c r="EA111" s="41"/>
      <c r="EB111" s="41"/>
      <c r="EC111" s="41"/>
      <c r="ED111" s="41"/>
      <c r="EE111" s="199"/>
      <c r="EF111" s="201"/>
      <c r="EG111" s="125"/>
      <c r="EH111" s="41"/>
      <c r="EI111" s="41"/>
      <c r="EJ111" s="41"/>
      <c r="EK111" s="41"/>
      <c r="EL111" s="199"/>
      <c r="EM111" s="201"/>
      <c r="EN111" s="125"/>
      <c r="EO111" s="41"/>
      <c r="EP111" s="41"/>
      <c r="EQ111" s="41"/>
      <c r="ER111" s="41"/>
      <c r="ES111" s="199"/>
      <c r="ET111" s="201"/>
      <c r="EU111" s="125"/>
      <c r="EV111" s="41"/>
      <c r="EW111" s="41"/>
      <c r="EX111" s="41"/>
      <c r="EY111" s="41"/>
      <c r="EZ111" s="199"/>
      <c r="FA111" s="201"/>
      <c r="FB111" s="125"/>
      <c r="FC111" s="41"/>
      <c r="FD111" s="41"/>
      <c r="FE111" s="41"/>
      <c r="FF111" s="41"/>
      <c r="FG111" s="199"/>
      <c r="FH111" s="201"/>
      <c r="FI111" s="125"/>
      <c r="FJ111" s="41"/>
      <c r="FK111" s="41"/>
      <c r="FL111" s="41"/>
      <c r="FM111" s="41"/>
      <c r="FN111" s="199"/>
      <c r="FO111" s="201"/>
      <c r="FP111" s="125"/>
      <c r="FQ111" s="41"/>
      <c r="FR111" s="41"/>
      <c r="FS111" s="41"/>
      <c r="FT111" s="41"/>
      <c r="FU111" s="199"/>
      <c r="FV111" s="201"/>
      <c r="FW111" s="125"/>
      <c r="FX111" s="41"/>
      <c r="FY111" s="41"/>
      <c r="FZ111" s="41"/>
      <c r="GA111" s="41"/>
      <c r="GB111" s="199"/>
      <c r="GC111" s="201"/>
      <c r="GD111" s="125"/>
      <c r="GE111" s="41"/>
      <c r="GF111" s="41"/>
      <c r="GG111" s="41"/>
      <c r="GH111" s="41"/>
      <c r="GI111" s="199"/>
      <c r="GJ111" s="201"/>
      <c r="GK111" s="125"/>
      <c r="GL111" s="41"/>
      <c r="GM111" s="41"/>
      <c r="GN111" s="41"/>
      <c r="GO111" s="41"/>
      <c r="GP111" s="199"/>
      <c r="GQ111" s="201"/>
      <c r="GR111" s="125"/>
      <c r="GS111" s="41"/>
      <c r="GT111" s="41"/>
      <c r="GU111" s="41"/>
      <c r="GV111" s="41"/>
      <c r="GW111" s="199"/>
      <c r="GX111" s="201"/>
      <c r="GY111" s="125"/>
      <c r="GZ111" s="41"/>
      <c r="HA111" s="41"/>
      <c r="HB111" s="41"/>
      <c r="HC111" s="41"/>
      <c r="HD111" s="199"/>
      <c r="HE111" s="201"/>
    </row>
    <row r="112" spans="2:213" x14ac:dyDescent="0.3">
      <c r="B112" s="38">
        <v>16882</v>
      </c>
      <c r="C112" s="9">
        <v>35</v>
      </c>
      <c r="D112" s="10" t="str">
        <f t="shared" si="12"/>
        <v>X</v>
      </c>
      <c r="E112" s="11" t="str">
        <f t="shared" si="9"/>
        <v>16882X</v>
      </c>
      <c r="F112" s="193" t="s">
        <v>60</v>
      </c>
      <c r="G112" s="183" t="s">
        <v>8</v>
      </c>
      <c r="H112" s="146" t="s">
        <v>9</v>
      </c>
      <c r="I112" s="155" t="s">
        <v>86</v>
      </c>
      <c r="J112" s="156" t="s">
        <v>87</v>
      </c>
      <c r="K112" s="125" t="s">
        <v>459</v>
      </c>
      <c r="L112" s="41" t="s">
        <v>459</v>
      </c>
      <c r="M112" s="41" t="s">
        <v>459</v>
      </c>
      <c r="N112" s="41" t="s">
        <v>459</v>
      </c>
      <c r="O112" s="41" t="s">
        <v>459</v>
      </c>
      <c r="P112" s="199"/>
      <c r="Q112" s="201"/>
      <c r="R112" s="125" t="s">
        <v>459</v>
      </c>
      <c r="S112" s="41" t="s">
        <v>459</v>
      </c>
      <c r="T112" s="41" t="s">
        <v>459</v>
      </c>
      <c r="U112" s="41" t="s">
        <v>459</v>
      </c>
      <c r="V112" s="41" t="s">
        <v>459</v>
      </c>
      <c r="W112" s="199"/>
      <c r="X112" s="201"/>
      <c r="Y112" s="125"/>
      <c r="Z112" s="41"/>
      <c r="AA112" s="41"/>
      <c r="AB112" s="41"/>
      <c r="AC112" s="41"/>
      <c r="AD112" s="199"/>
      <c r="AE112" s="201"/>
      <c r="AF112" s="125"/>
      <c r="AG112" s="41"/>
      <c r="AH112" s="41"/>
      <c r="AI112" s="41"/>
      <c r="AJ112" s="41"/>
      <c r="AK112" s="199"/>
      <c r="AL112" s="201"/>
      <c r="AM112" s="125"/>
      <c r="AN112" s="41"/>
      <c r="AO112" s="41"/>
      <c r="AP112" s="41"/>
      <c r="AQ112" s="41"/>
      <c r="AR112" s="199"/>
      <c r="AS112" s="201"/>
      <c r="AT112" s="125"/>
      <c r="AU112" s="41"/>
      <c r="AV112" s="41"/>
      <c r="AW112" s="41"/>
      <c r="AX112" s="41"/>
      <c r="AY112" s="199"/>
      <c r="AZ112" s="201"/>
      <c r="BA112" s="125"/>
      <c r="BB112" s="41"/>
      <c r="BC112" s="41"/>
      <c r="BD112" s="41"/>
      <c r="BE112" s="41"/>
      <c r="BF112" s="199"/>
      <c r="BG112" s="201"/>
      <c r="BH112" s="125"/>
      <c r="BI112" s="41"/>
      <c r="BJ112" s="41"/>
      <c r="BK112" s="41"/>
      <c r="BL112" s="41"/>
      <c r="BM112" s="199"/>
      <c r="BN112" s="201"/>
      <c r="BO112" s="125"/>
      <c r="BP112" s="41"/>
      <c r="BQ112" s="41"/>
      <c r="BR112" s="41"/>
      <c r="BS112" s="41"/>
      <c r="BT112" s="199"/>
      <c r="BU112" s="201"/>
      <c r="BV112" s="125"/>
      <c r="BW112" s="41"/>
      <c r="BX112" s="41"/>
      <c r="BY112" s="41"/>
      <c r="BZ112" s="41"/>
      <c r="CA112" s="199"/>
      <c r="CB112" s="201"/>
      <c r="CC112" s="125"/>
      <c r="CD112" s="41"/>
      <c r="CE112" s="41"/>
      <c r="CF112" s="41"/>
      <c r="CG112" s="41"/>
      <c r="CH112" s="199"/>
      <c r="CI112" s="201"/>
      <c r="CJ112" s="125"/>
      <c r="CK112" s="41"/>
      <c r="CL112" s="41"/>
      <c r="CM112" s="41"/>
      <c r="CN112" s="41"/>
      <c r="CO112" s="199"/>
      <c r="CP112" s="201"/>
      <c r="CQ112" s="125"/>
      <c r="CR112" s="41"/>
      <c r="CS112" s="41"/>
      <c r="CT112" s="41"/>
      <c r="CU112" s="41"/>
      <c r="CV112" s="199"/>
      <c r="CW112" s="201"/>
      <c r="CX112" s="125"/>
      <c r="CY112" s="41"/>
      <c r="CZ112" s="41"/>
      <c r="DA112" s="41"/>
      <c r="DB112" s="41"/>
      <c r="DC112" s="199"/>
      <c r="DD112" s="201"/>
      <c r="DE112" s="125"/>
      <c r="DF112" s="41"/>
      <c r="DG112" s="41"/>
      <c r="DH112" s="41"/>
      <c r="DI112" s="41"/>
      <c r="DJ112" s="199"/>
      <c r="DK112" s="201"/>
      <c r="DL112" s="125"/>
      <c r="DM112" s="41"/>
      <c r="DN112" s="41"/>
      <c r="DO112" s="41"/>
      <c r="DP112" s="41"/>
      <c r="DQ112" s="199"/>
      <c r="DR112" s="201"/>
      <c r="DS112" s="125"/>
      <c r="DT112" s="41"/>
      <c r="DU112" s="41"/>
      <c r="DV112" s="41"/>
      <c r="DW112" s="41"/>
      <c r="DX112" s="199"/>
      <c r="DY112" s="201"/>
      <c r="DZ112" s="125"/>
      <c r="EA112" s="41"/>
      <c r="EB112" s="41"/>
      <c r="EC112" s="41"/>
      <c r="ED112" s="41"/>
      <c r="EE112" s="199"/>
      <c r="EF112" s="201"/>
      <c r="EG112" s="125"/>
      <c r="EH112" s="41"/>
      <c r="EI112" s="41"/>
      <c r="EJ112" s="41"/>
      <c r="EK112" s="41"/>
      <c r="EL112" s="199"/>
      <c r="EM112" s="201"/>
      <c r="EN112" s="125"/>
      <c r="EO112" s="41"/>
      <c r="EP112" s="41"/>
      <c r="EQ112" s="41"/>
      <c r="ER112" s="41"/>
      <c r="ES112" s="199"/>
      <c r="ET112" s="201"/>
      <c r="EU112" s="125"/>
      <c r="EV112" s="41"/>
      <c r="EW112" s="41"/>
      <c r="EX112" s="41"/>
      <c r="EY112" s="41"/>
      <c r="EZ112" s="199"/>
      <c r="FA112" s="201"/>
      <c r="FB112" s="125"/>
      <c r="FC112" s="41"/>
      <c r="FD112" s="41"/>
      <c r="FE112" s="41"/>
      <c r="FF112" s="41"/>
      <c r="FG112" s="199"/>
      <c r="FH112" s="201"/>
      <c r="FI112" s="125"/>
      <c r="FJ112" s="41"/>
      <c r="FK112" s="41"/>
      <c r="FL112" s="41"/>
      <c r="FM112" s="41"/>
      <c r="FN112" s="199"/>
      <c r="FO112" s="201"/>
      <c r="FP112" s="125"/>
      <c r="FQ112" s="41"/>
      <c r="FR112" s="41"/>
      <c r="FS112" s="41"/>
      <c r="FT112" s="41"/>
      <c r="FU112" s="199"/>
      <c r="FV112" s="201"/>
      <c r="FW112" s="125"/>
      <c r="FX112" s="41"/>
      <c r="FY112" s="41"/>
      <c r="FZ112" s="41"/>
      <c r="GA112" s="41"/>
      <c r="GB112" s="199"/>
      <c r="GC112" s="201"/>
      <c r="GD112" s="125"/>
      <c r="GE112" s="41"/>
      <c r="GF112" s="41"/>
      <c r="GG112" s="41"/>
      <c r="GH112" s="41"/>
      <c r="GI112" s="199"/>
      <c r="GJ112" s="201"/>
      <c r="GK112" s="125"/>
      <c r="GL112" s="41"/>
      <c r="GM112" s="41"/>
      <c r="GN112" s="41"/>
      <c r="GO112" s="41"/>
      <c r="GP112" s="199"/>
      <c r="GQ112" s="201"/>
      <c r="GR112" s="125"/>
      <c r="GS112" s="41"/>
      <c r="GT112" s="41"/>
      <c r="GU112" s="41"/>
      <c r="GV112" s="41"/>
      <c r="GW112" s="199"/>
      <c r="GX112" s="201"/>
      <c r="GY112" s="125"/>
      <c r="GZ112" s="41"/>
      <c r="HA112" s="41"/>
      <c r="HB112" s="41"/>
      <c r="HC112" s="41"/>
      <c r="HD112" s="199"/>
      <c r="HE112" s="201"/>
    </row>
    <row r="113" spans="2:213" x14ac:dyDescent="0.3">
      <c r="B113" s="8">
        <v>48567</v>
      </c>
      <c r="C113" s="9">
        <v>35</v>
      </c>
      <c r="D113" s="10" t="str">
        <f t="shared" si="12"/>
        <v>X</v>
      </c>
      <c r="E113" s="11" t="str">
        <f t="shared" si="9"/>
        <v>48567X</v>
      </c>
      <c r="F113" s="193" t="s">
        <v>60</v>
      </c>
      <c r="G113" s="184" t="s">
        <v>8</v>
      </c>
      <c r="H113" s="146" t="s">
        <v>9</v>
      </c>
      <c r="I113" s="153" t="s">
        <v>116</v>
      </c>
      <c r="J113" s="154" t="s">
        <v>108</v>
      </c>
      <c r="K113" s="125" t="s">
        <v>459</v>
      </c>
      <c r="L113" s="41" t="s">
        <v>459</v>
      </c>
      <c r="M113" s="41" t="s">
        <v>459</v>
      </c>
      <c r="N113" s="41" t="s">
        <v>459</v>
      </c>
      <c r="O113" s="41" t="s">
        <v>459</v>
      </c>
      <c r="P113" s="199"/>
      <c r="Q113" s="201"/>
      <c r="R113" s="125" t="s">
        <v>459</v>
      </c>
      <c r="S113" s="41" t="s">
        <v>459</v>
      </c>
      <c r="T113" s="41" t="s">
        <v>459</v>
      </c>
      <c r="U113" s="41" t="s">
        <v>459</v>
      </c>
      <c r="V113" s="41" t="s">
        <v>459</v>
      </c>
      <c r="W113" s="199"/>
      <c r="X113" s="201"/>
      <c r="Y113" s="125"/>
      <c r="Z113" s="41"/>
      <c r="AA113" s="41"/>
      <c r="AB113" s="41"/>
      <c r="AC113" s="41"/>
      <c r="AD113" s="199"/>
      <c r="AE113" s="201"/>
      <c r="AF113" s="125"/>
      <c r="AG113" s="41"/>
      <c r="AH113" s="41"/>
      <c r="AI113" s="41"/>
      <c r="AJ113" s="41"/>
      <c r="AK113" s="199"/>
      <c r="AL113" s="201"/>
      <c r="AM113" s="125"/>
      <c r="AN113" s="41"/>
      <c r="AO113" s="41"/>
      <c r="AP113" s="41"/>
      <c r="AQ113" s="41"/>
      <c r="AR113" s="199"/>
      <c r="AS113" s="201"/>
      <c r="AT113" s="125"/>
      <c r="AU113" s="41"/>
      <c r="AV113" s="41"/>
      <c r="AW113" s="41"/>
      <c r="AX113" s="41"/>
      <c r="AY113" s="199"/>
      <c r="AZ113" s="201"/>
      <c r="BA113" s="125"/>
      <c r="BB113" s="41"/>
      <c r="BC113" s="41"/>
      <c r="BD113" s="41"/>
      <c r="BE113" s="41"/>
      <c r="BF113" s="199"/>
      <c r="BG113" s="201"/>
      <c r="BH113" s="125"/>
      <c r="BI113" s="41"/>
      <c r="BJ113" s="41"/>
      <c r="BK113" s="41"/>
      <c r="BL113" s="41"/>
      <c r="BM113" s="199"/>
      <c r="BN113" s="201"/>
      <c r="BO113" s="125"/>
      <c r="BP113" s="41"/>
      <c r="BQ113" s="41"/>
      <c r="BR113" s="41"/>
      <c r="BS113" s="41"/>
      <c r="BT113" s="199"/>
      <c r="BU113" s="201"/>
      <c r="BV113" s="125"/>
      <c r="BW113" s="41"/>
      <c r="BX113" s="41"/>
      <c r="BY113" s="41"/>
      <c r="BZ113" s="41"/>
      <c r="CA113" s="199"/>
      <c r="CB113" s="201"/>
      <c r="CC113" s="125"/>
      <c r="CD113" s="41"/>
      <c r="CE113" s="41"/>
      <c r="CF113" s="41"/>
      <c r="CG113" s="41"/>
      <c r="CH113" s="199"/>
      <c r="CI113" s="201"/>
      <c r="CJ113" s="125"/>
      <c r="CK113" s="41"/>
      <c r="CL113" s="41"/>
      <c r="CM113" s="41"/>
      <c r="CN113" s="41"/>
      <c r="CO113" s="199"/>
      <c r="CP113" s="201"/>
      <c r="CQ113" s="125"/>
      <c r="CR113" s="41"/>
      <c r="CS113" s="41"/>
      <c r="CT113" s="41"/>
      <c r="CU113" s="41"/>
      <c r="CV113" s="199"/>
      <c r="CW113" s="201"/>
      <c r="CX113" s="125"/>
      <c r="CY113" s="41"/>
      <c r="CZ113" s="41"/>
      <c r="DA113" s="41"/>
      <c r="DB113" s="41"/>
      <c r="DC113" s="199"/>
      <c r="DD113" s="201"/>
      <c r="DE113" s="125"/>
      <c r="DF113" s="41"/>
      <c r="DG113" s="41"/>
      <c r="DH113" s="41"/>
      <c r="DI113" s="41"/>
      <c r="DJ113" s="199"/>
      <c r="DK113" s="201"/>
      <c r="DL113" s="125"/>
      <c r="DM113" s="41"/>
      <c r="DN113" s="41"/>
      <c r="DO113" s="41"/>
      <c r="DP113" s="41"/>
      <c r="DQ113" s="199"/>
      <c r="DR113" s="201"/>
      <c r="DS113" s="125"/>
      <c r="DT113" s="41"/>
      <c r="DU113" s="41"/>
      <c r="DV113" s="41"/>
      <c r="DW113" s="41"/>
      <c r="DX113" s="199"/>
      <c r="DY113" s="201"/>
      <c r="DZ113" s="125"/>
      <c r="EA113" s="41"/>
      <c r="EB113" s="41"/>
      <c r="EC113" s="41"/>
      <c r="ED113" s="41"/>
      <c r="EE113" s="199"/>
      <c r="EF113" s="201"/>
      <c r="EG113" s="125"/>
      <c r="EH113" s="41"/>
      <c r="EI113" s="41"/>
      <c r="EJ113" s="41"/>
      <c r="EK113" s="41"/>
      <c r="EL113" s="199"/>
      <c r="EM113" s="201"/>
      <c r="EN113" s="125"/>
      <c r="EO113" s="41"/>
      <c r="EP113" s="41"/>
      <c r="EQ113" s="41"/>
      <c r="ER113" s="41"/>
      <c r="ES113" s="199"/>
      <c r="ET113" s="201"/>
      <c r="EU113" s="125"/>
      <c r="EV113" s="41"/>
      <c r="EW113" s="41"/>
      <c r="EX113" s="41"/>
      <c r="EY113" s="41"/>
      <c r="EZ113" s="199"/>
      <c r="FA113" s="201"/>
      <c r="FB113" s="125"/>
      <c r="FC113" s="41"/>
      <c r="FD113" s="41"/>
      <c r="FE113" s="41"/>
      <c r="FF113" s="41"/>
      <c r="FG113" s="199"/>
      <c r="FH113" s="201"/>
      <c r="FI113" s="125"/>
      <c r="FJ113" s="41"/>
      <c r="FK113" s="41"/>
      <c r="FL113" s="41"/>
      <c r="FM113" s="41"/>
      <c r="FN113" s="199"/>
      <c r="FO113" s="201"/>
      <c r="FP113" s="125"/>
      <c r="FQ113" s="41"/>
      <c r="FR113" s="41"/>
      <c r="FS113" s="41"/>
      <c r="FT113" s="41"/>
      <c r="FU113" s="199"/>
      <c r="FV113" s="201"/>
      <c r="FW113" s="125"/>
      <c r="FX113" s="41"/>
      <c r="FY113" s="41"/>
      <c r="FZ113" s="41"/>
      <c r="GA113" s="41"/>
      <c r="GB113" s="199"/>
      <c r="GC113" s="201"/>
      <c r="GD113" s="125"/>
      <c r="GE113" s="41"/>
      <c r="GF113" s="41"/>
      <c r="GG113" s="41"/>
      <c r="GH113" s="41"/>
      <c r="GI113" s="199"/>
      <c r="GJ113" s="201"/>
      <c r="GK113" s="125"/>
      <c r="GL113" s="41"/>
      <c r="GM113" s="41"/>
      <c r="GN113" s="41"/>
      <c r="GO113" s="41"/>
      <c r="GP113" s="199"/>
      <c r="GQ113" s="201"/>
      <c r="GR113" s="125"/>
      <c r="GS113" s="41"/>
      <c r="GT113" s="41"/>
      <c r="GU113" s="41"/>
      <c r="GV113" s="41"/>
      <c r="GW113" s="199"/>
      <c r="GX113" s="201"/>
      <c r="GY113" s="125"/>
      <c r="GZ113" s="41"/>
      <c r="HA113" s="41"/>
      <c r="HB113" s="41"/>
      <c r="HC113" s="41"/>
      <c r="HD113" s="199"/>
      <c r="HE113" s="201"/>
    </row>
    <row r="114" spans="2:213" x14ac:dyDescent="0.3">
      <c r="B114" s="8">
        <v>54903</v>
      </c>
      <c r="C114" s="9">
        <v>35</v>
      </c>
      <c r="D114" s="10" t="str">
        <f t="shared" si="12"/>
        <v>X</v>
      </c>
      <c r="E114" s="11" t="str">
        <f t="shared" si="9"/>
        <v>54903X</v>
      </c>
      <c r="F114" s="193" t="s">
        <v>60</v>
      </c>
      <c r="G114" s="183" t="s">
        <v>8</v>
      </c>
      <c r="H114" s="146" t="s">
        <v>9</v>
      </c>
      <c r="I114" s="155" t="s">
        <v>117</v>
      </c>
      <c r="J114" s="156" t="s">
        <v>118</v>
      </c>
      <c r="K114" s="125" t="s">
        <v>459</v>
      </c>
      <c r="L114" s="41" t="s">
        <v>459</v>
      </c>
      <c r="M114" s="41" t="s">
        <v>459</v>
      </c>
      <c r="N114" s="41" t="s">
        <v>459</v>
      </c>
      <c r="O114" s="41" t="s">
        <v>459</v>
      </c>
      <c r="P114" s="199"/>
      <c r="Q114" s="201"/>
      <c r="R114" s="125" t="s">
        <v>459</v>
      </c>
      <c r="S114" s="41" t="s">
        <v>459</v>
      </c>
      <c r="T114" s="41" t="s">
        <v>459</v>
      </c>
      <c r="U114" s="41" t="s">
        <v>459</v>
      </c>
      <c r="V114" s="41" t="s">
        <v>459</v>
      </c>
      <c r="W114" s="199"/>
      <c r="X114" s="201"/>
      <c r="Y114" s="125"/>
      <c r="Z114" s="41"/>
      <c r="AA114" s="41"/>
      <c r="AB114" s="41"/>
      <c r="AC114" s="41"/>
      <c r="AD114" s="199"/>
      <c r="AE114" s="201"/>
      <c r="AF114" s="125"/>
      <c r="AG114" s="41"/>
      <c r="AH114" s="41"/>
      <c r="AI114" s="41"/>
      <c r="AJ114" s="41"/>
      <c r="AK114" s="199"/>
      <c r="AL114" s="201"/>
      <c r="AM114" s="125"/>
      <c r="AN114" s="41"/>
      <c r="AO114" s="41"/>
      <c r="AP114" s="41"/>
      <c r="AQ114" s="41"/>
      <c r="AR114" s="199"/>
      <c r="AS114" s="201"/>
      <c r="AT114" s="125"/>
      <c r="AU114" s="41"/>
      <c r="AV114" s="41"/>
      <c r="AW114" s="41"/>
      <c r="AX114" s="41"/>
      <c r="AY114" s="199"/>
      <c r="AZ114" s="201"/>
      <c r="BA114" s="125"/>
      <c r="BB114" s="41"/>
      <c r="BC114" s="41"/>
      <c r="BD114" s="41"/>
      <c r="BE114" s="41"/>
      <c r="BF114" s="199"/>
      <c r="BG114" s="201"/>
      <c r="BH114" s="125"/>
      <c r="BI114" s="41"/>
      <c r="BJ114" s="41"/>
      <c r="BK114" s="41"/>
      <c r="BL114" s="41"/>
      <c r="BM114" s="199"/>
      <c r="BN114" s="201"/>
      <c r="BO114" s="125"/>
      <c r="BP114" s="41"/>
      <c r="BQ114" s="41"/>
      <c r="BR114" s="41"/>
      <c r="BS114" s="41"/>
      <c r="BT114" s="199"/>
      <c r="BU114" s="201"/>
      <c r="BV114" s="125"/>
      <c r="BW114" s="41"/>
      <c r="BX114" s="41"/>
      <c r="BY114" s="41"/>
      <c r="BZ114" s="41"/>
      <c r="CA114" s="199"/>
      <c r="CB114" s="201"/>
      <c r="CC114" s="125"/>
      <c r="CD114" s="41"/>
      <c r="CE114" s="41"/>
      <c r="CF114" s="41"/>
      <c r="CG114" s="41"/>
      <c r="CH114" s="199"/>
      <c r="CI114" s="201"/>
      <c r="CJ114" s="125"/>
      <c r="CK114" s="41"/>
      <c r="CL114" s="41"/>
      <c r="CM114" s="41"/>
      <c r="CN114" s="41"/>
      <c r="CO114" s="199"/>
      <c r="CP114" s="201"/>
      <c r="CQ114" s="125"/>
      <c r="CR114" s="41"/>
      <c r="CS114" s="41"/>
      <c r="CT114" s="41"/>
      <c r="CU114" s="41"/>
      <c r="CV114" s="199"/>
      <c r="CW114" s="201"/>
      <c r="CX114" s="125"/>
      <c r="CY114" s="41"/>
      <c r="CZ114" s="41"/>
      <c r="DA114" s="41"/>
      <c r="DB114" s="41"/>
      <c r="DC114" s="199"/>
      <c r="DD114" s="201"/>
      <c r="DE114" s="125"/>
      <c r="DF114" s="41"/>
      <c r="DG114" s="41"/>
      <c r="DH114" s="41"/>
      <c r="DI114" s="41"/>
      <c r="DJ114" s="199"/>
      <c r="DK114" s="201"/>
      <c r="DL114" s="125"/>
      <c r="DM114" s="41"/>
      <c r="DN114" s="41"/>
      <c r="DO114" s="41"/>
      <c r="DP114" s="41"/>
      <c r="DQ114" s="199"/>
      <c r="DR114" s="201"/>
      <c r="DS114" s="125"/>
      <c r="DT114" s="41"/>
      <c r="DU114" s="41"/>
      <c r="DV114" s="41"/>
      <c r="DW114" s="41"/>
      <c r="DX114" s="199"/>
      <c r="DY114" s="201"/>
      <c r="DZ114" s="125"/>
      <c r="EA114" s="41"/>
      <c r="EB114" s="41"/>
      <c r="EC114" s="41"/>
      <c r="ED114" s="41"/>
      <c r="EE114" s="199"/>
      <c r="EF114" s="201"/>
      <c r="EG114" s="125"/>
      <c r="EH114" s="41"/>
      <c r="EI114" s="41"/>
      <c r="EJ114" s="41"/>
      <c r="EK114" s="41"/>
      <c r="EL114" s="199"/>
      <c r="EM114" s="201"/>
      <c r="EN114" s="125"/>
      <c r="EO114" s="41"/>
      <c r="EP114" s="41"/>
      <c r="EQ114" s="41"/>
      <c r="ER114" s="41"/>
      <c r="ES114" s="199"/>
      <c r="ET114" s="201"/>
      <c r="EU114" s="125"/>
      <c r="EV114" s="41"/>
      <c r="EW114" s="41"/>
      <c r="EX114" s="41"/>
      <c r="EY114" s="41"/>
      <c r="EZ114" s="199"/>
      <c r="FA114" s="201"/>
      <c r="FB114" s="125"/>
      <c r="FC114" s="41"/>
      <c r="FD114" s="41"/>
      <c r="FE114" s="41"/>
      <c r="FF114" s="41"/>
      <c r="FG114" s="199"/>
      <c r="FH114" s="201"/>
      <c r="FI114" s="125"/>
      <c r="FJ114" s="41"/>
      <c r="FK114" s="41"/>
      <c r="FL114" s="41"/>
      <c r="FM114" s="41"/>
      <c r="FN114" s="199"/>
      <c r="FO114" s="201"/>
      <c r="FP114" s="125"/>
      <c r="FQ114" s="41"/>
      <c r="FR114" s="41"/>
      <c r="FS114" s="41"/>
      <c r="FT114" s="41"/>
      <c r="FU114" s="199"/>
      <c r="FV114" s="201"/>
      <c r="FW114" s="125"/>
      <c r="FX114" s="41"/>
      <c r="FY114" s="41"/>
      <c r="FZ114" s="41"/>
      <c r="GA114" s="41"/>
      <c r="GB114" s="199"/>
      <c r="GC114" s="201"/>
      <c r="GD114" s="125"/>
      <c r="GE114" s="41"/>
      <c r="GF114" s="41"/>
      <c r="GG114" s="41"/>
      <c r="GH114" s="41"/>
      <c r="GI114" s="199"/>
      <c r="GJ114" s="201"/>
      <c r="GK114" s="125"/>
      <c r="GL114" s="41"/>
      <c r="GM114" s="41"/>
      <c r="GN114" s="41"/>
      <c r="GO114" s="41"/>
      <c r="GP114" s="199"/>
      <c r="GQ114" s="201"/>
      <c r="GR114" s="125"/>
      <c r="GS114" s="41"/>
      <c r="GT114" s="41"/>
      <c r="GU114" s="41"/>
      <c r="GV114" s="41"/>
      <c r="GW114" s="199"/>
      <c r="GX114" s="201"/>
      <c r="GY114" s="125"/>
      <c r="GZ114" s="41"/>
      <c r="HA114" s="41"/>
      <c r="HB114" s="41"/>
      <c r="HC114" s="41"/>
      <c r="HD114" s="199"/>
      <c r="HE114" s="201"/>
    </row>
    <row r="115" spans="2:213" x14ac:dyDescent="0.3">
      <c r="B115" s="38">
        <v>48569</v>
      </c>
      <c r="C115" s="9">
        <v>35</v>
      </c>
      <c r="D115" s="10" t="str">
        <f t="shared" si="12"/>
        <v>X</v>
      </c>
      <c r="E115" s="11" t="str">
        <f t="shared" si="9"/>
        <v>48569X</v>
      </c>
      <c r="F115" s="193" t="s">
        <v>60</v>
      </c>
      <c r="G115" s="183" t="s">
        <v>8</v>
      </c>
      <c r="H115" s="146" t="s">
        <v>9</v>
      </c>
      <c r="I115" s="155" t="s">
        <v>117</v>
      </c>
      <c r="J115" s="156" t="s">
        <v>120</v>
      </c>
      <c r="K115" s="125" t="s">
        <v>459</v>
      </c>
      <c r="L115" s="41" t="s">
        <v>459</v>
      </c>
      <c r="M115" s="41" t="s">
        <v>459</v>
      </c>
      <c r="N115" s="41" t="s">
        <v>459</v>
      </c>
      <c r="O115" s="41" t="s">
        <v>459</v>
      </c>
      <c r="P115" s="199"/>
      <c r="Q115" s="201"/>
      <c r="R115" s="125" t="s">
        <v>459</v>
      </c>
      <c r="S115" s="41" t="s">
        <v>459</v>
      </c>
      <c r="T115" s="41" t="s">
        <v>459</v>
      </c>
      <c r="U115" s="41" t="s">
        <v>459</v>
      </c>
      <c r="V115" s="41" t="s">
        <v>459</v>
      </c>
      <c r="W115" s="199"/>
      <c r="X115" s="201"/>
      <c r="Y115" s="125"/>
      <c r="Z115" s="41"/>
      <c r="AA115" s="41"/>
      <c r="AB115" s="41"/>
      <c r="AC115" s="41"/>
      <c r="AD115" s="199"/>
      <c r="AE115" s="201"/>
      <c r="AF115" s="125"/>
      <c r="AG115" s="41"/>
      <c r="AH115" s="41"/>
      <c r="AI115" s="41"/>
      <c r="AJ115" s="41"/>
      <c r="AK115" s="199"/>
      <c r="AL115" s="201"/>
      <c r="AM115" s="125"/>
      <c r="AN115" s="41"/>
      <c r="AO115" s="41"/>
      <c r="AP115" s="41"/>
      <c r="AQ115" s="41"/>
      <c r="AR115" s="199"/>
      <c r="AS115" s="201"/>
      <c r="AT115" s="125"/>
      <c r="AU115" s="41"/>
      <c r="AV115" s="41"/>
      <c r="AW115" s="41"/>
      <c r="AX115" s="41"/>
      <c r="AY115" s="199"/>
      <c r="AZ115" s="201"/>
      <c r="BA115" s="125"/>
      <c r="BB115" s="41"/>
      <c r="BC115" s="41"/>
      <c r="BD115" s="41"/>
      <c r="BE115" s="41"/>
      <c r="BF115" s="199"/>
      <c r="BG115" s="201"/>
      <c r="BH115" s="125"/>
      <c r="BI115" s="41"/>
      <c r="BJ115" s="41"/>
      <c r="BK115" s="41"/>
      <c r="BL115" s="41"/>
      <c r="BM115" s="199"/>
      <c r="BN115" s="201"/>
      <c r="BO115" s="125"/>
      <c r="BP115" s="41"/>
      <c r="BQ115" s="41"/>
      <c r="BR115" s="41"/>
      <c r="BS115" s="41"/>
      <c r="BT115" s="199"/>
      <c r="BU115" s="201"/>
      <c r="BV115" s="125"/>
      <c r="BW115" s="41"/>
      <c r="BX115" s="41"/>
      <c r="BY115" s="41"/>
      <c r="BZ115" s="41"/>
      <c r="CA115" s="199"/>
      <c r="CB115" s="201"/>
      <c r="CC115" s="125"/>
      <c r="CD115" s="41"/>
      <c r="CE115" s="41"/>
      <c r="CF115" s="41"/>
      <c r="CG115" s="41"/>
      <c r="CH115" s="199"/>
      <c r="CI115" s="201"/>
      <c r="CJ115" s="125"/>
      <c r="CK115" s="41"/>
      <c r="CL115" s="41"/>
      <c r="CM115" s="41"/>
      <c r="CN115" s="41"/>
      <c r="CO115" s="199"/>
      <c r="CP115" s="201"/>
      <c r="CQ115" s="125"/>
      <c r="CR115" s="41"/>
      <c r="CS115" s="41"/>
      <c r="CT115" s="41"/>
      <c r="CU115" s="41"/>
      <c r="CV115" s="199"/>
      <c r="CW115" s="201"/>
      <c r="CX115" s="125"/>
      <c r="CY115" s="41"/>
      <c r="CZ115" s="41"/>
      <c r="DA115" s="41"/>
      <c r="DB115" s="41"/>
      <c r="DC115" s="199"/>
      <c r="DD115" s="201"/>
      <c r="DE115" s="125"/>
      <c r="DF115" s="41"/>
      <c r="DG115" s="41"/>
      <c r="DH115" s="41"/>
      <c r="DI115" s="41"/>
      <c r="DJ115" s="199"/>
      <c r="DK115" s="201"/>
      <c r="DL115" s="125"/>
      <c r="DM115" s="41"/>
      <c r="DN115" s="41"/>
      <c r="DO115" s="41"/>
      <c r="DP115" s="41"/>
      <c r="DQ115" s="199"/>
      <c r="DR115" s="201"/>
      <c r="DS115" s="125"/>
      <c r="DT115" s="41"/>
      <c r="DU115" s="41"/>
      <c r="DV115" s="41"/>
      <c r="DW115" s="41"/>
      <c r="DX115" s="199"/>
      <c r="DY115" s="201"/>
      <c r="DZ115" s="125"/>
      <c r="EA115" s="41"/>
      <c r="EB115" s="41"/>
      <c r="EC115" s="41"/>
      <c r="ED115" s="41"/>
      <c r="EE115" s="199"/>
      <c r="EF115" s="201"/>
      <c r="EG115" s="125"/>
      <c r="EH115" s="41"/>
      <c r="EI115" s="41"/>
      <c r="EJ115" s="41"/>
      <c r="EK115" s="41"/>
      <c r="EL115" s="199"/>
      <c r="EM115" s="201"/>
      <c r="EN115" s="125"/>
      <c r="EO115" s="41"/>
      <c r="EP115" s="41"/>
      <c r="EQ115" s="41"/>
      <c r="ER115" s="41"/>
      <c r="ES115" s="199"/>
      <c r="ET115" s="201"/>
      <c r="EU115" s="125"/>
      <c r="EV115" s="41"/>
      <c r="EW115" s="41"/>
      <c r="EX115" s="41"/>
      <c r="EY115" s="41"/>
      <c r="EZ115" s="199"/>
      <c r="FA115" s="201"/>
      <c r="FB115" s="125"/>
      <c r="FC115" s="41"/>
      <c r="FD115" s="41"/>
      <c r="FE115" s="41"/>
      <c r="FF115" s="41"/>
      <c r="FG115" s="199"/>
      <c r="FH115" s="201"/>
      <c r="FI115" s="125"/>
      <c r="FJ115" s="41"/>
      <c r="FK115" s="41"/>
      <c r="FL115" s="41"/>
      <c r="FM115" s="41"/>
      <c r="FN115" s="199"/>
      <c r="FO115" s="201"/>
      <c r="FP115" s="125"/>
      <c r="FQ115" s="41"/>
      <c r="FR115" s="41"/>
      <c r="FS115" s="41"/>
      <c r="FT115" s="41"/>
      <c r="FU115" s="199"/>
      <c r="FV115" s="201"/>
      <c r="FW115" s="125"/>
      <c r="FX115" s="41"/>
      <c r="FY115" s="41"/>
      <c r="FZ115" s="41"/>
      <c r="GA115" s="41"/>
      <c r="GB115" s="199"/>
      <c r="GC115" s="201"/>
      <c r="GD115" s="125"/>
      <c r="GE115" s="41"/>
      <c r="GF115" s="41"/>
      <c r="GG115" s="41"/>
      <c r="GH115" s="41"/>
      <c r="GI115" s="199"/>
      <c r="GJ115" s="201"/>
      <c r="GK115" s="125"/>
      <c r="GL115" s="41"/>
      <c r="GM115" s="41"/>
      <c r="GN115" s="41"/>
      <c r="GO115" s="41"/>
      <c r="GP115" s="199"/>
      <c r="GQ115" s="201"/>
      <c r="GR115" s="125"/>
      <c r="GS115" s="41"/>
      <c r="GT115" s="41"/>
      <c r="GU115" s="41"/>
      <c r="GV115" s="41"/>
      <c r="GW115" s="199"/>
      <c r="GX115" s="201"/>
      <c r="GY115" s="125"/>
      <c r="GZ115" s="41"/>
      <c r="HA115" s="41"/>
      <c r="HB115" s="41"/>
      <c r="HC115" s="41"/>
      <c r="HD115" s="199"/>
      <c r="HE115" s="201"/>
    </row>
    <row r="116" spans="2:213" x14ac:dyDescent="0.3">
      <c r="B116" s="8">
        <v>101354</v>
      </c>
      <c r="C116" s="9">
        <v>35</v>
      </c>
      <c r="D116" s="10" t="str">
        <f t="shared" si="12"/>
        <v>X</v>
      </c>
      <c r="E116" s="11" t="str">
        <f t="shared" si="9"/>
        <v>101354X</v>
      </c>
      <c r="F116" s="193" t="s">
        <v>60</v>
      </c>
      <c r="G116" s="183" t="s">
        <v>8</v>
      </c>
      <c r="H116" s="146" t="s">
        <v>9</v>
      </c>
      <c r="I116" s="155" t="s">
        <v>125</v>
      </c>
      <c r="J116" s="156" t="s">
        <v>106</v>
      </c>
      <c r="K116" s="125" t="s">
        <v>459</v>
      </c>
      <c r="L116" s="41" t="s">
        <v>459</v>
      </c>
      <c r="M116" s="41" t="s">
        <v>459</v>
      </c>
      <c r="N116" s="41" t="s">
        <v>459</v>
      </c>
      <c r="O116" s="41" t="s">
        <v>459</v>
      </c>
      <c r="P116" s="199"/>
      <c r="Q116" s="201"/>
      <c r="R116" s="125" t="s">
        <v>459</v>
      </c>
      <c r="S116" s="41" t="s">
        <v>459</v>
      </c>
      <c r="T116" s="41" t="s">
        <v>459</v>
      </c>
      <c r="U116" s="41" t="s">
        <v>459</v>
      </c>
      <c r="V116" s="41" t="s">
        <v>459</v>
      </c>
      <c r="W116" s="199"/>
      <c r="X116" s="201"/>
      <c r="Y116" s="125"/>
      <c r="Z116" s="41"/>
      <c r="AA116" s="41"/>
      <c r="AB116" s="41"/>
      <c r="AC116" s="41"/>
      <c r="AD116" s="199"/>
      <c r="AE116" s="201"/>
      <c r="AF116" s="125"/>
      <c r="AG116" s="41"/>
      <c r="AH116" s="41"/>
      <c r="AI116" s="41"/>
      <c r="AJ116" s="41"/>
      <c r="AK116" s="199"/>
      <c r="AL116" s="201"/>
      <c r="AM116" s="125"/>
      <c r="AN116" s="41"/>
      <c r="AO116" s="41"/>
      <c r="AP116" s="41"/>
      <c r="AQ116" s="41"/>
      <c r="AR116" s="199"/>
      <c r="AS116" s="201"/>
      <c r="AT116" s="125"/>
      <c r="AU116" s="41"/>
      <c r="AV116" s="41"/>
      <c r="AW116" s="41"/>
      <c r="AX116" s="41"/>
      <c r="AY116" s="199"/>
      <c r="AZ116" s="201"/>
      <c r="BA116" s="125"/>
      <c r="BB116" s="41"/>
      <c r="BC116" s="41"/>
      <c r="BD116" s="41"/>
      <c r="BE116" s="41"/>
      <c r="BF116" s="199"/>
      <c r="BG116" s="201"/>
      <c r="BH116" s="125"/>
      <c r="BI116" s="41"/>
      <c r="BJ116" s="41"/>
      <c r="BK116" s="41"/>
      <c r="BL116" s="41"/>
      <c r="BM116" s="199"/>
      <c r="BN116" s="201"/>
      <c r="BO116" s="125"/>
      <c r="BP116" s="41"/>
      <c r="BQ116" s="41"/>
      <c r="BR116" s="41"/>
      <c r="BS116" s="41"/>
      <c r="BT116" s="199"/>
      <c r="BU116" s="201"/>
      <c r="BV116" s="125"/>
      <c r="BW116" s="41"/>
      <c r="BX116" s="41"/>
      <c r="BY116" s="41"/>
      <c r="BZ116" s="41"/>
      <c r="CA116" s="199"/>
      <c r="CB116" s="201"/>
      <c r="CC116" s="125"/>
      <c r="CD116" s="41"/>
      <c r="CE116" s="41"/>
      <c r="CF116" s="41"/>
      <c r="CG116" s="41"/>
      <c r="CH116" s="199"/>
      <c r="CI116" s="201"/>
      <c r="CJ116" s="125"/>
      <c r="CK116" s="41"/>
      <c r="CL116" s="41"/>
      <c r="CM116" s="41"/>
      <c r="CN116" s="41"/>
      <c r="CO116" s="199"/>
      <c r="CP116" s="201"/>
      <c r="CQ116" s="125"/>
      <c r="CR116" s="41"/>
      <c r="CS116" s="41"/>
      <c r="CT116" s="41"/>
      <c r="CU116" s="41"/>
      <c r="CV116" s="199"/>
      <c r="CW116" s="201"/>
      <c r="CX116" s="125"/>
      <c r="CY116" s="41"/>
      <c r="CZ116" s="41"/>
      <c r="DA116" s="41"/>
      <c r="DB116" s="41"/>
      <c r="DC116" s="199"/>
      <c r="DD116" s="201"/>
      <c r="DE116" s="125"/>
      <c r="DF116" s="41"/>
      <c r="DG116" s="41"/>
      <c r="DH116" s="41"/>
      <c r="DI116" s="41"/>
      <c r="DJ116" s="199"/>
      <c r="DK116" s="201"/>
      <c r="DL116" s="125"/>
      <c r="DM116" s="41"/>
      <c r="DN116" s="41"/>
      <c r="DO116" s="41"/>
      <c r="DP116" s="41"/>
      <c r="DQ116" s="199"/>
      <c r="DR116" s="201"/>
      <c r="DS116" s="125"/>
      <c r="DT116" s="41"/>
      <c r="DU116" s="41"/>
      <c r="DV116" s="41"/>
      <c r="DW116" s="41"/>
      <c r="DX116" s="199"/>
      <c r="DY116" s="201"/>
      <c r="DZ116" s="125"/>
      <c r="EA116" s="41"/>
      <c r="EB116" s="41"/>
      <c r="EC116" s="41"/>
      <c r="ED116" s="41"/>
      <c r="EE116" s="199"/>
      <c r="EF116" s="201"/>
      <c r="EG116" s="125"/>
      <c r="EH116" s="41"/>
      <c r="EI116" s="41"/>
      <c r="EJ116" s="41"/>
      <c r="EK116" s="41"/>
      <c r="EL116" s="199"/>
      <c r="EM116" s="201"/>
      <c r="EN116" s="125"/>
      <c r="EO116" s="41"/>
      <c r="EP116" s="41"/>
      <c r="EQ116" s="41"/>
      <c r="ER116" s="41"/>
      <c r="ES116" s="199"/>
      <c r="ET116" s="201"/>
      <c r="EU116" s="125"/>
      <c r="EV116" s="41"/>
      <c r="EW116" s="41"/>
      <c r="EX116" s="41"/>
      <c r="EY116" s="41"/>
      <c r="EZ116" s="199"/>
      <c r="FA116" s="201"/>
      <c r="FB116" s="125"/>
      <c r="FC116" s="41"/>
      <c r="FD116" s="41"/>
      <c r="FE116" s="41"/>
      <c r="FF116" s="41"/>
      <c r="FG116" s="199"/>
      <c r="FH116" s="201"/>
      <c r="FI116" s="125"/>
      <c r="FJ116" s="41"/>
      <c r="FK116" s="41"/>
      <c r="FL116" s="41"/>
      <c r="FM116" s="41"/>
      <c r="FN116" s="199"/>
      <c r="FO116" s="201"/>
      <c r="FP116" s="125"/>
      <c r="FQ116" s="41"/>
      <c r="FR116" s="41"/>
      <c r="FS116" s="41"/>
      <c r="FT116" s="41"/>
      <c r="FU116" s="199"/>
      <c r="FV116" s="201"/>
      <c r="FW116" s="125"/>
      <c r="FX116" s="41"/>
      <c r="FY116" s="41"/>
      <c r="FZ116" s="41"/>
      <c r="GA116" s="41"/>
      <c r="GB116" s="199"/>
      <c r="GC116" s="201"/>
      <c r="GD116" s="125"/>
      <c r="GE116" s="41"/>
      <c r="GF116" s="41"/>
      <c r="GG116" s="41"/>
      <c r="GH116" s="41"/>
      <c r="GI116" s="199"/>
      <c r="GJ116" s="201"/>
      <c r="GK116" s="125"/>
      <c r="GL116" s="41"/>
      <c r="GM116" s="41"/>
      <c r="GN116" s="41"/>
      <c r="GO116" s="41"/>
      <c r="GP116" s="199"/>
      <c r="GQ116" s="201"/>
      <c r="GR116" s="125"/>
      <c r="GS116" s="41"/>
      <c r="GT116" s="41"/>
      <c r="GU116" s="41"/>
      <c r="GV116" s="41"/>
      <c r="GW116" s="199"/>
      <c r="GX116" s="201"/>
      <c r="GY116" s="125"/>
      <c r="GZ116" s="41"/>
      <c r="HA116" s="41"/>
      <c r="HB116" s="41"/>
      <c r="HC116" s="41"/>
      <c r="HD116" s="199"/>
      <c r="HE116" s="201"/>
    </row>
    <row r="117" spans="2:213" x14ac:dyDescent="0.3">
      <c r="B117" s="71">
        <v>107007</v>
      </c>
      <c r="C117" s="9">
        <v>35</v>
      </c>
      <c r="D117" s="46" t="s">
        <v>19</v>
      </c>
      <c r="E117" s="47" t="str">
        <f t="shared" si="9"/>
        <v>107007X</v>
      </c>
      <c r="F117" s="193" t="s">
        <v>60</v>
      </c>
      <c r="G117" s="184" t="s">
        <v>8</v>
      </c>
      <c r="H117" s="146" t="s">
        <v>113</v>
      </c>
      <c r="I117" s="157" t="s">
        <v>182</v>
      </c>
      <c r="J117" s="158" t="s">
        <v>184</v>
      </c>
      <c r="K117" s="125" t="s">
        <v>459</v>
      </c>
      <c r="L117" s="41" t="s">
        <v>459</v>
      </c>
      <c r="M117" s="41" t="s">
        <v>459</v>
      </c>
      <c r="N117" s="41" t="s">
        <v>459</v>
      </c>
      <c r="O117" s="41" t="s">
        <v>459</v>
      </c>
      <c r="P117" s="199"/>
      <c r="Q117" s="201"/>
      <c r="R117" s="125" t="s">
        <v>459</v>
      </c>
      <c r="S117" s="41" t="s">
        <v>459</v>
      </c>
      <c r="T117" s="41" t="s">
        <v>459</v>
      </c>
      <c r="U117" s="41" t="s">
        <v>459</v>
      </c>
      <c r="V117" s="41" t="s">
        <v>459</v>
      </c>
      <c r="W117" s="199"/>
      <c r="X117" s="201"/>
      <c r="Y117" s="125"/>
      <c r="Z117" s="41"/>
      <c r="AA117" s="41"/>
      <c r="AB117" s="41"/>
      <c r="AC117" s="41"/>
      <c r="AD117" s="199"/>
      <c r="AE117" s="201"/>
      <c r="AF117" s="125"/>
      <c r="AG117" s="41"/>
      <c r="AH117" s="41"/>
      <c r="AI117" s="41"/>
      <c r="AJ117" s="41"/>
      <c r="AK117" s="199"/>
      <c r="AL117" s="201"/>
      <c r="AM117" s="125"/>
      <c r="AN117" s="41"/>
      <c r="AO117" s="41"/>
      <c r="AP117" s="41"/>
      <c r="AQ117" s="41"/>
      <c r="AR117" s="199"/>
      <c r="AS117" s="201"/>
      <c r="AT117" s="125"/>
      <c r="AU117" s="41"/>
      <c r="AV117" s="41"/>
      <c r="AW117" s="41"/>
      <c r="AX117" s="41"/>
      <c r="AY117" s="199"/>
      <c r="AZ117" s="201"/>
      <c r="BA117" s="125"/>
      <c r="BB117" s="41"/>
      <c r="BC117" s="41"/>
      <c r="BD117" s="41"/>
      <c r="BE117" s="41"/>
      <c r="BF117" s="199"/>
      <c r="BG117" s="201"/>
      <c r="BH117" s="125"/>
      <c r="BI117" s="41"/>
      <c r="BJ117" s="41"/>
      <c r="BK117" s="41"/>
      <c r="BL117" s="41"/>
      <c r="BM117" s="199"/>
      <c r="BN117" s="201"/>
      <c r="BO117" s="125"/>
      <c r="BP117" s="41"/>
      <c r="BQ117" s="41"/>
      <c r="BR117" s="41"/>
      <c r="BS117" s="41"/>
      <c r="BT117" s="199"/>
      <c r="BU117" s="201"/>
      <c r="BV117" s="125"/>
      <c r="BW117" s="41"/>
      <c r="BX117" s="41"/>
      <c r="BY117" s="41"/>
      <c r="BZ117" s="41"/>
      <c r="CA117" s="199"/>
      <c r="CB117" s="201"/>
      <c r="CC117" s="125"/>
      <c r="CD117" s="41"/>
      <c r="CE117" s="41"/>
      <c r="CF117" s="41"/>
      <c r="CG117" s="41"/>
      <c r="CH117" s="199"/>
      <c r="CI117" s="201"/>
      <c r="CJ117" s="125"/>
      <c r="CK117" s="41"/>
      <c r="CL117" s="41"/>
      <c r="CM117" s="41"/>
      <c r="CN117" s="41"/>
      <c r="CO117" s="199"/>
      <c r="CP117" s="201"/>
      <c r="CQ117" s="125"/>
      <c r="CR117" s="41"/>
      <c r="CS117" s="41"/>
      <c r="CT117" s="41"/>
      <c r="CU117" s="41"/>
      <c r="CV117" s="199"/>
      <c r="CW117" s="201"/>
      <c r="CX117" s="125"/>
      <c r="CY117" s="41"/>
      <c r="CZ117" s="41"/>
      <c r="DA117" s="41"/>
      <c r="DB117" s="41"/>
      <c r="DC117" s="199"/>
      <c r="DD117" s="201"/>
      <c r="DE117" s="125"/>
      <c r="DF117" s="41"/>
      <c r="DG117" s="41"/>
      <c r="DH117" s="41"/>
      <c r="DI117" s="41"/>
      <c r="DJ117" s="199"/>
      <c r="DK117" s="201"/>
      <c r="DL117" s="125"/>
      <c r="DM117" s="41"/>
      <c r="DN117" s="41"/>
      <c r="DO117" s="41"/>
      <c r="DP117" s="41"/>
      <c r="DQ117" s="199"/>
      <c r="DR117" s="201"/>
      <c r="DS117" s="125"/>
      <c r="DT117" s="41"/>
      <c r="DU117" s="41"/>
      <c r="DV117" s="41"/>
      <c r="DW117" s="41"/>
      <c r="DX117" s="199"/>
      <c r="DY117" s="201"/>
      <c r="DZ117" s="125"/>
      <c r="EA117" s="41"/>
      <c r="EB117" s="41"/>
      <c r="EC117" s="41"/>
      <c r="ED117" s="41"/>
      <c r="EE117" s="199"/>
      <c r="EF117" s="201"/>
      <c r="EG117" s="125"/>
      <c r="EH117" s="41"/>
      <c r="EI117" s="41"/>
      <c r="EJ117" s="41"/>
      <c r="EK117" s="41"/>
      <c r="EL117" s="199"/>
      <c r="EM117" s="201"/>
      <c r="EN117" s="125"/>
      <c r="EO117" s="41"/>
      <c r="EP117" s="41"/>
      <c r="EQ117" s="41"/>
      <c r="ER117" s="41"/>
      <c r="ES117" s="199"/>
      <c r="ET117" s="201"/>
      <c r="EU117" s="125"/>
      <c r="EV117" s="41"/>
      <c r="EW117" s="41"/>
      <c r="EX117" s="41"/>
      <c r="EY117" s="41"/>
      <c r="EZ117" s="199"/>
      <c r="FA117" s="201"/>
      <c r="FB117" s="125"/>
      <c r="FC117" s="41"/>
      <c r="FD117" s="41"/>
      <c r="FE117" s="41"/>
      <c r="FF117" s="41"/>
      <c r="FG117" s="199"/>
      <c r="FH117" s="201"/>
      <c r="FI117" s="125"/>
      <c r="FJ117" s="41"/>
      <c r="FK117" s="41"/>
      <c r="FL117" s="41"/>
      <c r="FM117" s="41"/>
      <c r="FN117" s="199"/>
      <c r="FO117" s="201"/>
      <c r="FP117" s="125"/>
      <c r="FQ117" s="41"/>
      <c r="FR117" s="41"/>
      <c r="FS117" s="41"/>
      <c r="FT117" s="41"/>
      <c r="FU117" s="199"/>
      <c r="FV117" s="201"/>
      <c r="FW117" s="125"/>
      <c r="FX117" s="41"/>
      <c r="FY117" s="41"/>
      <c r="FZ117" s="41"/>
      <c r="GA117" s="41"/>
      <c r="GB117" s="199"/>
      <c r="GC117" s="201"/>
      <c r="GD117" s="125"/>
      <c r="GE117" s="41"/>
      <c r="GF117" s="41"/>
      <c r="GG117" s="41"/>
      <c r="GH117" s="41"/>
      <c r="GI117" s="199"/>
      <c r="GJ117" s="201"/>
      <c r="GK117" s="125"/>
      <c r="GL117" s="41"/>
      <c r="GM117" s="41"/>
      <c r="GN117" s="41"/>
      <c r="GO117" s="41"/>
      <c r="GP117" s="199"/>
      <c r="GQ117" s="201"/>
      <c r="GR117" s="125"/>
      <c r="GS117" s="41"/>
      <c r="GT117" s="41"/>
      <c r="GU117" s="41"/>
      <c r="GV117" s="41"/>
      <c r="GW117" s="199"/>
      <c r="GX117" s="201"/>
      <c r="GY117" s="125"/>
      <c r="GZ117" s="41"/>
      <c r="HA117" s="41"/>
      <c r="HB117" s="41"/>
      <c r="HC117" s="41"/>
      <c r="HD117" s="199"/>
      <c r="HE117" s="201"/>
    </row>
    <row r="118" spans="2:213" x14ac:dyDescent="0.3">
      <c r="B118" s="38">
        <v>44176</v>
      </c>
      <c r="C118" s="9">
        <v>35</v>
      </c>
      <c r="D118" s="10" t="str">
        <f>IF(G118="","","X")</f>
        <v>X</v>
      </c>
      <c r="E118" s="11" t="str">
        <f t="shared" si="9"/>
        <v>44176X</v>
      </c>
      <c r="F118" s="193" t="s">
        <v>60</v>
      </c>
      <c r="G118" s="183" t="s">
        <v>8</v>
      </c>
      <c r="H118" s="146" t="s">
        <v>9</v>
      </c>
      <c r="I118" s="155" t="s">
        <v>192</v>
      </c>
      <c r="J118" s="156" t="s">
        <v>193</v>
      </c>
      <c r="K118" s="125" t="s">
        <v>459</v>
      </c>
      <c r="L118" s="41" t="s">
        <v>459</v>
      </c>
      <c r="M118" s="41" t="s">
        <v>459</v>
      </c>
      <c r="N118" s="41" t="s">
        <v>459</v>
      </c>
      <c r="O118" s="41" t="s">
        <v>459</v>
      </c>
      <c r="P118" s="199"/>
      <c r="Q118" s="201"/>
      <c r="R118" s="125" t="s">
        <v>459</v>
      </c>
      <c r="S118" s="41" t="s">
        <v>459</v>
      </c>
      <c r="T118" s="41" t="s">
        <v>459</v>
      </c>
      <c r="U118" s="41" t="s">
        <v>459</v>
      </c>
      <c r="V118" s="41" t="s">
        <v>459</v>
      </c>
      <c r="W118" s="199"/>
      <c r="X118" s="201"/>
      <c r="Y118" s="125"/>
      <c r="Z118" s="41"/>
      <c r="AA118" s="41"/>
      <c r="AB118" s="41"/>
      <c r="AC118" s="41"/>
      <c r="AD118" s="199"/>
      <c r="AE118" s="201"/>
      <c r="AF118" s="125"/>
      <c r="AG118" s="41"/>
      <c r="AH118" s="41"/>
      <c r="AI118" s="41"/>
      <c r="AJ118" s="41"/>
      <c r="AK118" s="199"/>
      <c r="AL118" s="201"/>
      <c r="AM118" s="125"/>
      <c r="AN118" s="41"/>
      <c r="AO118" s="41"/>
      <c r="AP118" s="41"/>
      <c r="AQ118" s="41"/>
      <c r="AR118" s="199"/>
      <c r="AS118" s="201"/>
      <c r="AT118" s="125"/>
      <c r="AU118" s="41"/>
      <c r="AV118" s="41"/>
      <c r="AW118" s="41"/>
      <c r="AX118" s="41"/>
      <c r="AY118" s="199"/>
      <c r="AZ118" s="201"/>
      <c r="BA118" s="125"/>
      <c r="BB118" s="41"/>
      <c r="BC118" s="41"/>
      <c r="BD118" s="41"/>
      <c r="BE118" s="41"/>
      <c r="BF118" s="199"/>
      <c r="BG118" s="201"/>
      <c r="BH118" s="125"/>
      <c r="BI118" s="41"/>
      <c r="BJ118" s="41"/>
      <c r="BK118" s="41"/>
      <c r="BL118" s="41"/>
      <c r="BM118" s="199"/>
      <c r="BN118" s="201"/>
      <c r="BO118" s="125"/>
      <c r="BP118" s="41"/>
      <c r="BQ118" s="41"/>
      <c r="BR118" s="41"/>
      <c r="BS118" s="41"/>
      <c r="BT118" s="199"/>
      <c r="BU118" s="201"/>
      <c r="BV118" s="125"/>
      <c r="BW118" s="41"/>
      <c r="BX118" s="41"/>
      <c r="BY118" s="41"/>
      <c r="BZ118" s="41"/>
      <c r="CA118" s="199"/>
      <c r="CB118" s="201"/>
      <c r="CC118" s="125"/>
      <c r="CD118" s="41"/>
      <c r="CE118" s="41"/>
      <c r="CF118" s="41"/>
      <c r="CG118" s="41"/>
      <c r="CH118" s="199"/>
      <c r="CI118" s="201"/>
      <c r="CJ118" s="125"/>
      <c r="CK118" s="41"/>
      <c r="CL118" s="41"/>
      <c r="CM118" s="41"/>
      <c r="CN118" s="41"/>
      <c r="CO118" s="199"/>
      <c r="CP118" s="201"/>
      <c r="CQ118" s="125"/>
      <c r="CR118" s="41"/>
      <c r="CS118" s="41"/>
      <c r="CT118" s="41"/>
      <c r="CU118" s="41"/>
      <c r="CV118" s="199"/>
      <c r="CW118" s="201"/>
      <c r="CX118" s="125"/>
      <c r="CY118" s="41"/>
      <c r="CZ118" s="41"/>
      <c r="DA118" s="41"/>
      <c r="DB118" s="41"/>
      <c r="DC118" s="199"/>
      <c r="DD118" s="201"/>
      <c r="DE118" s="125"/>
      <c r="DF118" s="41"/>
      <c r="DG118" s="41"/>
      <c r="DH118" s="41"/>
      <c r="DI118" s="41"/>
      <c r="DJ118" s="199"/>
      <c r="DK118" s="201"/>
      <c r="DL118" s="125"/>
      <c r="DM118" s="41"/>
      <c r="DN118" s="41"/>
      <c r="DO118" s="41"/>
      <c r="DP118" s="41"/>
      <c r="DQ118" s="199"/>
      <c r="DR118" s="201"/>
      <c r="DS118" s="125"/>
      <c r="DT118" s="41"/>
      <c r="DU118" s="41"/>
      <c r="DV118" s="41"/>
      <c r="DW118" s="41"/>
      <c r="DX118" s="199"/>
      <c r="DY118" s="201"/>
      <c r="DZ118" s="125"/>
      <c r="EA118" s="41"/>
      <c r="EB118" s="41"/>
      <c r="EC118" s="41"/>
      <c r="ED118" s="41"/>
      <c r="EE118" s="199"/>
      <c r="EF118" s="201"/>
      <c r="EG118" s="125"/>
      <c r="EH118" s="41"/>
      <c r="EI118" s="41"/>
      <c r="EJ118" s="41"/>
      <c r="EK118" s="41"/>
      <c r="EL118" s="199"/>
      <c r="EM118" s="201"/>
      <c r="EN118" s="125"/>
      <c r="EO118" s="41"/>
      <c r="EP118" s="41"/>
      <c r="EQ118" s="41"/>
      <c r="ER118" s="41"/>
      <c r="ES118" s="199"/>
      <c r="ET118" s="201"/>
      <c r="EU118" s="125"/>
      <c r="EV118" s="41"/>
      <c r="EW118" s="41"/>
      <c r="EX118" s="41"/>
      <c r="EY118" s="41"/>
      <c r="EZ118" s="199"/>
      <c r="FA118" s="201"/>
      <c r="FB118" s="125"/>
      <c r="FC118" s="41"/>
      <c r="FD118" s="41"/>
      <c r="FE118" s="41"/>
      <c r="FF118" s="41"/>
      <c r="FG118" s="199"/>
      <c r="FH118" s="201"/>
      <c r="FI118" s="125"/>
      <c r="FJ118" s="41"/>
      <c r="FK118" s="41"/>
      <c r="FL118" s="41"/>
      <c r="FM118" s="41"/>
      <c r="FN118" s="199"/>
      <c r="FO118" s="201"/>
      <c r="FP118" s="125"/>
      <c r="FQ118" s="41"/>
      <c r="FR118" s="41"/>
      <c r="FS118" s="41"/>
      <c r="FT118" s="41"/>
      <c r="FU118" s="199"/>
      <c r="FV118" s="201"/>
      <c r="FW118" s="125"/>
      <c r="FX118" s="41"/>
      <c r="FY118" s="41"/>
      <c r="FZ118" s="41"/>
      <c r="GA118" s="41"/>
      <c r="GB118" s="199"/>
      <c r="GC118" s="201"/>
      <c r="GD118" s="125"/>
      <c r="GE118" s="41"/>
      <c r="GF118" s="41"/>
      <c r="GG118" s="41"/>
      <c r="GH118" s="41"/>
      <c r="GI118" s="199"/>
      <c r="GJ118" s="201"/>
      <c r="GK118" s="125"/>
      <c r="GL118" s="41"/>
      <c r="GM118" s="41"/>
      <c r="GN118" s="41"/>
      <c r="GO118" s="41"/>
      <c r="GP118" s="199"/>
      <c r="GQ118" s="201"/>
      <c r="GR118" s="125"/>
      <c r="GS118" s="41"/>
      <c r="GT118" s="41"/>
      <c r="GU118" s="41"/>
      <c r="GV118" s="41"/>
      <c r="GW118" s="199"/>
      <c r="GX118" s="201"/>
      <c r="GY118" s="125"/>
      <c r="GZ118" s="41"/>
      <c r="HA118" s="41"/>
      <c r="HB118" s="41"/>
      <c r="HC118" s="41"/>
      <c r="HD118" s="199"/>
      <c r="HE118" s="201"/>
    </row>
    <row r="119" spans="2:213" x14ac:dyDescent="0.3">
      <c r="B119" s="49">
        <v>17098</v>
      </c>
      <c r="C119" s="50">
        <v>35</v>
      </c>
      <c r="D119" s="51" t="str">
        <f>IF(G119="","","X")</f>
        <v>X</v>
      </c>
      <c r="E119" s="10" t="str">
        <f t="shared" si="9"/>
        <v>17098X</v>
      </c>
      <c r="F119" s="194" t="s">
        <v>60</v>
      </c>
      <c r="G119" s="189" t="s">
        <v>8</v>
      </c>
      <c r="H119" s="165" t="s">
        <v>113</v>
      </c>
      <c r="I119" s="166" t="s">
        <v>224</v>
      </c>
      <c r="J119" s="167" t="s">
        <v>225</v>
      </c>
      <c r="K119" s="125" t="s">
        <v>459</v>
      </c>
      <c r="L119" s="41" t="s">
        <v>459</v>
      </c>
      <c r="M119" s="41" t="s">
        <v>459</v>
      </c>
      <c r="N119" s="41" t="s">
        <v>459</v>
      </c>
      <c r="O119" s="41" t="s">
        <v>459</v>
      </c>
      <c r="P119" s="199"/>
      <c r="Q119" s="201"/>
      <c r="R119" s="125" t="s">
        <v>459</v>
      </c>
      <c r="S119" s="41" t="s">
        <v>459</v>
      </c>
      <c r="T119" s="41" t="s">
        <v>459</v>
      </c>
      <c r="U119" s="41" t="s">
        <v>459</v>
      </c>
      <c r="V119" s="41" t="s">
        <v>459</v>
      </c>
      <c r="W119" s="199"/>
      <c r="X119" s="201"/>
      <c r="Y119" s="125"/>
      <c r="Z119" s="41"/>
      <c r="AA119" s="41"/>
      <c r="AB119" s="41"/>
      <c r="AC119" s="41"/>
      <c r="AD119" s="199"/>
      <c r="AE119" s="201"/>
      <c r="AF119" s="125"/>
      <c r="AG119" s="41"/>
      <c r="AH119" s="41"/>
      <c r="AI119" s="41"/>
      <c r="AJ119" s="41"/>
      <c r="AK119" s="199"/>
      <c r="AL119" s="201"/>
      <c r="AM119" s="125"/>
      <c r="AN119" s="41"/>
      <c r="AO119" s="41"/>
      <c r="AP119" s="41"/>
      <c r="AQ119" s="41"/>
      <c r="AR119" s="199"/>
      <c r="AS119" s="201"/>
      <c r="AT119" s="125"/>
      <c r="AU119" s="41"/>
      <c r="AV119" s="41"/>
      <c r="AW119" s="41"/>
      <c r="AX119" s="41"/>
      <c r="AY119" s="199"/>
      <c r="AZ119" s="201"/>
      <c r="BA119" s="125"/>
      <c r="BB119" s="41"/>
      <c r="BC119" s="41"/>
      <c r="BD119" s="41"/>
      <c r="BE119" s="41"/>
      <c r="BF119" s="199"/>
      <c r="BG119" s="201"/>
      <c r="BH119" s="125"/>
      <c r="BI119" s="41"/>
      <c r="BJ119" s="41"/>
      <c r="BK119" s="41"/>
      <c r="BL119" s="41"/>
      <c r="BM119" s="199"/>
      <c r="BN119" s="201"/>
      <c r="BO119" s="125"/>
      <c r="BP119" s="41"/>
      <c r="BQ119" s="41"/>
      <c r="BR119" s="41"/>
      <c r="BS119" s="41"/>
      <c r="BT119" s="199"/>
      <c r="BU119" s="201"/>
      <c r="BV119" s="125"/>
      <c r="BW119" s="41"/>
      <c r="BX119" s="41"/>
      <c r="BY119" s="41"/>
      <c r="BZ119" s="41"/>
      <c r="CA119" s="199"/>
      <c r="CB119" s="201"/>
      <c r="CC119" s="125"/>
      <c r="CD119" s="41"/>
      <c r="CE119" s="41"/>
      <c r="CF119" s="41"/>
      <c r="CG119" s="41"/>
      <c r="CH119" s="199"/>
      <c r="CI119" s="201"/>
      <c r="CJ119" s="125"/>
      <c r="CK119" s="41"/>
      <c r="CL119" s="41"/>
      <c r="CM119" s="41"/>
      <c r="CN119" s="41"/>
      <c r="CO119" s="199"/>
      <c r="CP119" s="201"/>
      <c r="CQ119" s="125"/>
      <c r="CR119" s="41"/>
      <c r="CS119" s="41"/>
      <c r="CT119" s="41"/>
      <c r="CU119" s="41"/>
      <c r="CV119" s="199"/>
      <c r="CW119" s="201"/>
      <c r="CX119" s="125"/>
      <c r="CY119" s="41"/>
      <c r="CZ119" s="41"/>
      <c r="DA119" s="41"/>
      <c r="DB119" s="41"/>
      <c r="DC119" s="199"/>
      <c r="DD119" s="201"/>
      <c r="DE119" s="125"/>
      <c r="DF119" s="41"/>
      <c r="DG119" s="41"/>
      <c r="DH119" s="41"/>
      <c r="DI119" s="41"/>
      <c r="DJ119" s="199"/>
      <c r="DK119" s="201"/>
      <c r="DL119" s="125"/>
      <c r="DM119" s="41"/>
      <c r="DN119" s="41"/>
      <c r="DO119" s="41"/>
      <c r="DP119" s="41"/>
      <c r="DQ119" s="199"/>
      <c r="DR119" s="201"/>
      <c r="DS119" s="125"/>
      <c r="DT119" s="41"/>
      <c r="DU119" s="41"/>
      <c r="DV119" s="41"/>
      <c r="DW119" s="41"/>
      <c r="DX119" s="199"/>
      <c r="DY119" s="201"/>
      <c r="DZ119" s="125"/>
      <c r="EA119" s="41"/>
      <c r="EB119" s="41"/>
      <c r="EC119" s="41"/>
      <c r="ED119" s="41"/>
      <c r="EE119" s="199"/>
      <c r="EF119" s="201"/>
      <c r="EG119" s="125"/>
      <c r="EH119" s="41"/>
      <c r="EI119" s="41"/>
      <c r="EJ119" s="41"/>
      <c r="EK119" s="41"/>
      <c r="EL119" s="199"/>
      <c r="EM119" s="201"/>
      <c r="EN119" s="125"/>
      <c r="EO119" s="41"/>
      <c r="EP119" s="41"/>
      <c r="EQ119" s="41"/>
      <c r="ER119" s="41"/>
      <c r="ES119" s="199"/>
      <c r="ET119" s="201"/>
      <c r="EU119" s="125"/>
      <c r="EV119" s="41"/>
      <c r="EW119" s="41"/>
      <c r="EX119" s="41"/>
      <c r="EY119" s="41"/>
      <c r="EZ119" s="199"/>
      <c r="FA119" s="201"/>
      <c r="FB119" s="125"/>
      <c r="FC119" s="41"/>
      <c r="FD119" s="41"/>
      <c r="FE119" s="41"/>
      <c r="FF119" s="41"/>
      <c r="FG119" s="199"/>
      <c r="FH119" s="201"/>
      <c r="FI119" s="125"/>
      <c r="FJ119" s="41"/>
      <c r="FK119" s="41"/>
      <c r="FL119" s="41"/>
      <c r="FM119" s="41"/>
      <c r="FN119" s="199"/>
      <c r="FO119" s="201"/>
      <c r="FP119" s="125"/>
      <c r="FQ119" s="41"/>
      <c r="FR119" s="41"/>
      <c r="FS119" s="41"/>
      <c r="FT119" s="41"/>
      <c r="FU119" s="199"/>
      <c r="FV119" s="201"/>
      <c r="FW119" s="125"/>
      <c r="FX119" s="41"/>
      <c r="FY119" s="41"/>
      <c r="FZ119" s="41"/>
      <c r="GA119" s="41"/>
      <c r="GB119" s="199"/>
      <c r="GC119" s="201"/>
      <c r="GD119" s="125"/>
      <c r="GE119" s="41"/>
      <c r="GF119" s="41"/>
      <c r="GG119" s="41"/>
      <c r="GH119" s="41"/>
      <c r="GI119" s="199"/>
      <c r="GJ119" s="201"/>
      <c r="GK119" s="125"/>
      <c r="GL119" s="41"/>
      <c r="GM119" s="41"/>
      <c r="GN119" s="41"/>
      <c r="GO119" s="41"/>
      <c r="GP119" s="199"/>
      <c r="GQ119" s="201"/>
      <c r="GR119" s="125"/>
      <c r="GS119" s="41"/>
      <c r="GT119" s="41"/>
      <c r="GU119" s="41"/>
      <c r="GV119" s="41"/>
      <c r="GW119" s="199"/>
      <c r="GX119" s="201"/>
      <c r="GY119" s="125"/>
      <c r="GZ119" s="41"/>
      <c r="HA119" s="41"/>
      <c r="HB119" s="41"/>
      <c r="HC119" s="41"/>
      <c r="HD119" s="199"/>
      <c r="HE119" s="201"/>
    </row>
    <row r="120" spans="2:213" x14ac:dyDescent="0.3">
      <c r="B120" s="67">
        <v>105558</v>
      </c>
      <c r="C120" s="9">
        <v>35</v>
      </c>
      <c r="D120" s="41" t="str">
        <f>IF(G120="","","X")</f>
        <v>X</v>
      </c>
      <c r="E120" s="11" t="str">
        <f t="shared" si="9"/>
        <v>105558X</v>
      </c>
      <c r="F120" s="193" t="s">
        <v>60</v>
      </c>
      <c r="G120" s="184" t="s">
        <v>8</v>
      </c>
      <c r="H120" s="146" t="s">
        <v>9</v>
      </c>
      <c r="I120" s="153" t="s">
        <v>248</v>
      </c>
      <c r="J120" s="154" t="s">
        <v>249</v>
      </c>
      <c r="K120" s="125" t="s">
        <v>459</v>
      </c>
      <c r="L120" s="41" t="s">
        <v>459</v>
      </c>
      <c r="M120" s="41" t="s">
        <v>459</v>
      </c>
      <c r="N120" s="41" t="s">
        <v>459</v>
      </c>
      <c r="O120" s="41" t="s">
        <v>459</v>
      </c>
      <c r="P120" s="199"/>
      <c r="Q120" s="201"/>
      <c r="R120" s="125" t="s">
        <v>459</v>
      </c>
      <c r="S120" s="41" t="s">
        <v>459</v>
      </c>
      <c r="T120" s="41" t="s">
        <v>459</v>
      </c>
      <c r="U120" s="41" t="s">
        <v>459</v>
      </c>
      <c r="V120" s="41" t="s">
        <v>459</v>
      </c>
      <c r="W120" s="199"/>
      <c r="X120" s="201"/>
      <c r="Y120" s="125"/>
      <c r="Z120" s="41"/>
      <c r="AA120" s="41"/>
      <c r="AB120" s="41"/>
      <c r="AC120" s="41"/>
      <c r="AD120" s="199"/>
      <c r="AE120" s="201"/>
      <c r="AF120" s="125"/>
      <c r="AG120" s="41"/>
      <c r="AH120" s="41"/>
      <c r="AI120" s="41"/>
      <c r="AJ120" s="41"/>
      <c r="AK120" s="199"/>
      <c r="AL120" s="201"/>
      <c r="AM120" s="125"/>
      <c r="AN120" s="41"/>
      <c r="AO120" s="41"/>
      <c r="AP120" s="41"/>
      <c r="AQ120" s="41"/>
      <c r="AR120" s="199"/>
      <c r="AS120" s="201"/>
      <c r="AT120" s="125"/>
      <c r="AU120" s="41"/>
      <c r="AV120" s="41"/>
      <c r="AW120" s="41"/>
      <c r="AX120" s="41"/>
      <c r="AY120" s="199"/>
      <c r="AZ120" s="201"/>
      <c r="BA120" s="125"/>
      <c r="BB120" s="41"/>
      <c r="BC120" s="41"/>
      <c r="BD120" s="41"/>
      <c r="BE120" s="41"/>
      <c r="BF120" s="199"/>
      <c r="BG120" s="201"/>
      <c r="BH120" s="125"/>
      <c r="BI120" s="41"/>
      <c r="BJ120" s="41"/>
      <c r="BK120" s="41"/>
      <c r="BL120" s="41"/>
      <c r="BM120" s="199"/>
      <c r="BN120" s="201"/>
      <c r="BO120" s="125"/>
      <c r="BP120" s="41"/>
      <c r="BQ120" s="41"/>
      <c r="BR120" s="41"/>
      <c r="BS120" s="41"/>
      <c r="BT120" s="199"/>
      <c r="BU120" s="201"/>
      <c r="BV120" s="125"/>
      <c r="BW120" s="41"/>
      <c r="BX120" s="41"/>
      <c r="BY120" s="41"/>
      <c r="BZ120" s="41"/>
      <c r="CA120" s="199"/>
      <c r="CB120" s="201"/>
      <c r="CC120" s="125"/>
      <c r="CD120" s="41"/>
      <c r="CE120" s="41"/>
      <c r="CF120" s="41"/>
      <c r="CG120" s="41"/>
      <c r="CH120" s="199"/>
      <c r="CI120" s="201"/>
      <c r="CJ120" s="125"/>
      <c r="CK120" s="41"/>
      <c r="CL120" s="41"/>
      <c r="CM120" s="41"/>
      <c r="CN120" s="41"/>
      <c r="CO120" s="199"/>
      <c r="CP120" s="201"/>
      <c r="CQ120" s="125"/>
      <c r="CR120" s="41"/>
      <c r="CS120" s="41"/>
      <c r="CT120" s="41"/>
      <c r="CU120" s="41"/>
      <c r="CV120" s="199"/>
      <c r="CW120" s="201"/>
      <c r="CX120" s="125"/>
      <c r="CY120" s="41"/>
      <c r="CZ120" s="41"/>
      <c r="DA120" s="41"/>
      <c r="DB120" s="41"/>
      <c r="DC120" s="199"/>
      <c r="DD120" s="201"/>
      <c r="DE120" s="125"/>
      <c r="DF120" s="41"/>
      <c r="DG120" s="41"/>
      <c r="DH120" s="41"/>
      <c r="DI120" s="41"/>
      <c r="DJ120" s="199"/>
      <c r="DK120" s="201"/>
      <c r="DL120" s="125"/>
      <c r="DM120" s="41"/>
      <c r="DN120" s="41"/>
      <c r="DO120" s="41"/>
      <c r="DP120" s="41"/>
      <c r="DQ120" s="199"/>
      <c r="DR120" s="201"/>
      <c r="DS120" s="125"/>
      <c r="DT120" s="41"/>
      <c r="DU120" s="41"/>
      <c r="DV120" s="41"/>
      <c r="DW120" s="41"/>
      <c r="DX120" s="199"/>
      <c r="DY120" s="201"/>
      <c r="DZ120" s="125"/>
      <c r="EA120" s="41"/>
      <c r="EB120" s="41"/>
      <c r="EC120" s="41"/>
      <c r="ED120" s="41"/>
      <c r="EE120" s="199"/>
      <c r="EF120" s="201"/>
      <c r="EG120" s="125"/>
      <c r="EH120" s="41"/>
      <c r="EI120" s="41"/>
      <c r="EJ120" s="41"/>
      <c r="EK120" s="41"/>
      <c r="EL120" s="199"/>
      <c r="EM120" s="201"/>
      <c r="EN120" s="125"/>
      <c r="EO120" s="41"/>
      <c r="EP120" s="41"/>
      <c r="EQ120" s="41"/>
      <c r="ER120" s="41"/>
      <c r="ES120" s="199"/>
      <c r="ET120" s="201"/>
      <c r="EU120" s="125"/>
      <c r="EV120" s="41"/>
      <c r="EW120" s="41"/>
      <c r="EX120" s="41"/>
      <c r="EY120" s="41"/>
      <c r="EZ120" s="199"/>
      <c r="FA120" s="201"/>
      <c r="FB120" s="125"/>
      <c r="FC120" s="41"/>
      <c r="FD120" s="41"/>
      <c r="FE120" s="41"/>
      <c r="FF120" s="41"/>
      <c r="FG120" s="199"/>
      <c r="FH120" s="201"/>
      <c r="FI120" s="125"/>
      <c r="FJ120" s="41"/>
      <c r="FK120" s="41"/>
      <c r="FL120" s="41"/>
      <c r="FM120" s="41"/>
      <c r="FN120" s="199"/>
      <c r="FO120" s="201"/>
      <c r="FP120" s="125"/>
      <c r="FQ120" s="41"/>
      <c r="FR120" s="41"/>
      <c r="FS120" s="41"/>
      <c r="FT120" s="41"/>
      <c r="FU120" s="199"/>
      <c r="FV120" s="201"/>
      <c r="FW120" s="125"/>
      <c r="FX120" s="41"/>
      <c r="FY120" s="41"/>
      <c r="FZ120" s="41"/>
      <c r="GA120" s="41"/>
      <c r="GB120" s="199"/>
      <c r="GC120" s="201"/>
      <c r="GD120" s="125"/>
      <c r="GE120" s="41"/>
      <c r="GF120" s="41"/>
      <c r="GG120" s="41"/>
      <c r="GH120" s="41"/>
      <c r="GI120" s="199"/>
      <c r="GJ120" s="201"/>
      <c r="GK120" s="125"/>
      <c r="GL120" s="41"/>
      <c r="GM120" s="41"/>
      <c r="GN120" s="41"/>
      <c r="GO120" s="41"/>
      <c r="GP120" s="199"/>
      <c r="GQ120" s="201"/>
      <c r="GR120" s="125"/>
      <c r="GS120" s="41"/>
      <c r="GT120" s="41"/>
      <c r="GU120" s="41"/>
      <c r="GV120" s="41"/>
      <c r="GW120" s="199"/>
      <c r="GX120" s="201"/>
      <c r="GY120" s="125"/>
      <c r="GZ120" s="41"/>
      <c r="HA120" s="41"/>
      <c r="HB120" s="41"/>
      <c r="HC120" s="41"/>
      <c r="HD120" s="199"/>
      <c r="HE120" s="201"/>
    </row>
    <row r="121" spans="2:213" x14ac:dyDescent="0.3">
      <c r="B121" s="38">
        <v>53018</v>
      </c>
      <c r="C121" s="9">
        <v>35</v>
      </c>
      <c r="D121" s="10" t="str">
        <f>IF(G121="","","X")</f>
        <v>X</v>
      </c>
      <c r="E121" s="11" t="str">
        <f t="shared" si="9"/>
        <v>53018X</v>
      </c>
      <c r="F121" s="194" t="s">
        <v>60</v>
      </c>
      <c r="G121" s="183" t="s">
        <v>8</v>
      </c>
      <c r="H121" s="146" t="s">
        <v>9</v>
      </c>
      <c r="I121" s="155" t="s">
        <v>255</v>
      </c>
      <c r="J121" s="156" t="s">
        <v>256</v>
      </c>
      <c r="K121" s="125" t="s">
        <v>459</v>
      </c>
      <c r="L121" s="41" t="s">
        <v>459</v>
      </c>
      <c r="M121" s="41" t="s">
        <v>459</v>
      </c>
      <c r="N121" s="41" t="s">
        <v>459</v>
      </c>
      <c r="O121" s="41" t="s">
        <v>459</v>
      </c>
      <c r="P121" s="199"/>
      <c r="Q121" s="201"/>
      <c r="R121" s="125" t="s">
        <v>459</v>
      </c>
      <c r="S121" s="41" t="s">
        <v>459</v>
      </c>
      <c r="T121" s="41" t="s">
        <v>459</v>
      </c>
      <c r="U121" s="41" t="s">
        <v>459</v>
      </c>
      <c r="V121" s="41" t="s">
        <v>459</v>
      </c>
      <c r="W121" s="199"/>
      <c r="X121" s="201"/>
      <c r="Y121" s="125"/>
      <c r="Z121" s="41"/>
      <c r="AA121" s="41"/>
      <c r="AB121" s="41"/>
      <c r="AC121" s="41"/>
      <c r="AD121" s="199"/>
      <c r="AE121" s="201"/>
      <c r="AF121" s="125"/>
      <c r="AG121" s="41"/>
      <c r="AH121" s="41"/>
      <c r="AI121" s="41"/>
      <c r="AJ121" s="41"/>
      <c r="AK121" s="199"/>
      <c r="AL121" s="201"/>
      <c r="AM121" s="125"/>
      <c r="AN121" s="41"/>
      <c r="AO121" s="41"/>
      <c r="AP121" s="41"/>
      <c r="AQ121" s="41"/>
      <c r="AR121" s="199"/>
      <c r="AS121" s="201"/>
      <c r="AT121" s="125"/>
      <c r="AU121" s="41"/>
      <c r="AV121" s="41"/>
      <c r="AW121" s="41"/>
      <c r="AX121" s="41"/>
      <c r="AY121" s="199"/>
      <c r="AZ121" s="201"/>
      <c r="BA121" s="125"/>
      <c r="BB121" s="41"/>
      <c r="BC121" s="41"/>
      <c r="BD121" s="41"/>
      <c r="BE121" s="41"/>
      <c r="BF121" s="199"/>
      <c r="BG121" s="201"/>
      <c r="BH121" s="125"/>
      <c r="BI121" s="41"/>
      <c r="BJ121" s="41"/>
      <c r="BK121" s="41"/>
      <c r="BL121" s="41"/>
      <c r="BM121" s="199"/>
      <c r="BN121" s="201"/>
      <c r="BO121" s="125"/>
      <c r="BP121" s="41"/>
      <c r="BQ121" s="41"/>
      <c r="BR121" s="41"/>
      <c r="BS121" s="41"/>
      <c r="BT121" s="199"/>
      <c r="BU121" s="201"/>
      <c r="BV121" s="125"/>
      <c r="BW121" s="41"/>
      <c r="BX121" s="41"/>
      <c r="BY121" s="41"/>
      <c r="BZ121" s="41"/>
      <c r="CA121" s="199"/>
      <c r="CB121" s="201"/>
      <c r="CC121" s="125"/>
      <c r="CD121" s="41"/>
      <c r="CE121" s="41"/>
      <c r="CF121" s="41"/>
      <c r="CG121" s="41"/>
      <c r="CH121" s="199"/>
      <c r="CI121" s="201"/>
      <c r="CJ121" s="125"/>
      <c r="CK121" s="41"/>
      <c r="CL121" s="41"/>
      <c r="CM121" s="41"/>
      <c r="CN121" s="41"/>
      <c r="CO121" s="199"/>
      <c r="CP121" s="201"/>
      <c r="CQ121" s="125"/>
      <c r="CR121" s="41"/>
      <c r="CS121" s="41"/>
      <c r="CT121" s="41"/>
      <c r="CU121" s="41"/>
      <c r="CV121" s="199"/>
      <c r="CW121" s="201"/>
      <c r="CX121" s="125"/>
      <c r="CY121" s="41"/>
      <c r="CZ121" s="41"/>
      <c r="DA121" s="41"/>
      <c r="DB121" s="41"/>
      <c r="DC121" s="199"/>
      <c r="DD121" s="201"/>
      <c r="DE121" s="125"/>
      <c r="DF121" s="41"/>
      <c r="DG121" s="41"/>
      <c r="DH121" s="41"/>
      <c r="DI121" s="41"/>
      <c r="DJ121" s="199"/>
      <c r="DK121" s="201"/>
      <c r="DL121" s="125"/>
      <c r="DM121" s="41"/>
      <c r="DN121" s="41"/>
      <c r="DO121" s="41"/>
      <c r="DP121" s="41"/>
      <c r="DQ121" s="199"/>
      <c r="DR121" s="201"/>
      <c r="DS121" s="125"/>
      <c r="DT121" s="41"/>
      <c r="DU121" s="41"/>
      <c r="DV121" s="41"/>
      <c r="DW121" s="41"/>
      <c r="DX121" s="199"/>
      <c r="DY121" s="201"/>
      <c r="DZ121" s="125"/>
      <c r="EA121" s="41"/>
      <c r="EB121" s="41"/>
      <c r="EC121" s="41"/>
      <c r="ED121" s="41"/>
      <c r="EE121" s="199"/>
      <c r="EF121" s="201"/>
      <c r="EG121" s="125"/>
      <c r="EH121" s="41"/>
      <c r="EI121" s="41"/>
      <c r="EJ121" s="41"/>
      <c r="EK121" s="41"/>
      <c r="EL121" s="199"/>
      <c r="EM121" s="201"/>
      <c r="EN121" s="125"/>
      <c r="EO121" s="41"/>
      <c r="EP121" s="41"/>
      <c r="EQ121" s="41"/>
      <c r="ER121" s="41"/>
      <c r="ES121" s="199"/>
      <c r="ET121" s="201"/>
      <c r="EU121" s="125"/>
      <c r="EV121" s="41"/>
      <c r="EW121" s="41"/>
      <c r="EX121" s="41"/>
      <c r="EY121" s="41"/>
      <c r="EZ121" s="199"/>
      <c r="FA121" s="201"/>
      <c r="FB121" s="125"/>
      <c r="FC121" s="41"/>
      <c r="FD121" s="41"/>
      <c r="FE121" s="41"/>
      <c r="FF121" s="41"/>
      <c r="FG121" s="199"/>
      <c r="FH121" s="201"/>
      <c r="FI121" s="125"/>
      <c r="FJ121" s="41"/>
      <c r="FK121" s="41"/>
      <c r="FL121" s="41"/>
      <c r="FM121" s="41"/>
      <c r="FN121" s="199"/>
      <c r="FO121" s="201"/>
      <c r="FP121" s="125"/>
      <c r="FQ121" s="41"/>
      <c r="FR121" s="41"/>
      <c r="FS121" s="41"/>
      <c r="FT121" s="41"/>
      <c r="FU121" s="199"/>
      <c r="FV121" s="201"/>
      <c r="FW121" s="125"/>
      <c r="FX121" s="41"/>
      <c r="FY121" s="41"/>
      <c r="FZ121" s="41"/>
      <c r="GA121" s="41"/>
      <c r="GB121" s="199"/>
      <c r="GC121" s="201"/>
      <c r="GD121" s="125"/>
      <c r="GE121" s="41"/>
      <c r="GF121" s="41"/>
      <c r="GG121" s="41"/>
      <c r="GH121" s="41"/>
      <c r="GI121" s="199"/>
      <c r="GJ121" s="201"/>
      <c r="GK121" s="125"/>
      <c r="GL121" s="41"/>
      <c r="GM121" s="41"/>
      <c r="GN121" s="41"/>
      <c r="GO121" s="41"/>
      <c r="GP121" s="199"/>
      <c r="GQ121" s="201"/>
      <c r="GR121" s="125"/>
      <c r="GS121" s="41"/>
      <c r="GT121" s="41"/>
      <c r="GU121" s="41"/>
      <c r="GV121" s="41"/>
      <c r="GW121" s="199"/>
      <c r="GX121" s="201"/>
      <c r="GY121" s="125"/>
      <c r="GZ121" s="41"/>
      <c r="HA121" s="41"/>
      <c r="HB121" s="41"/>
      <c r="HC121" s="41"/>
      <c r="HD121" s="199"/>
      <c r="HE121" s="201"/>
    </row>
    <row r="122" spans="2:213" x14ac:dyDescent="0.3">
      <c r="B122" s="54">
        <v>105861</v>
      </c>
      <c r="C122" s="55">
        <v>35</v>
      </c>
      <c r="D122" s="11" t="s">
        <v>19</v>
      </c>
      <c r="E122" s="10" t="str">
        <f t="shared" si="9"/>
        <v>105861X</v>
      </c>
      <c r="F122" s="192" t="s">
        <v>60</v>
      </c>
      <c r="G122" s="184" t="s">
        <v>8</v>
      </c>
      <c r="H122" s="145" t="s">
        <v>9</v>
      </c>
      <c r="I122" s="177" t="s">
        <v>260</v>
      </c>
      <c r="J122" s="178" t="s">
        <v>261</v>
      </c>
      <c r="K122" s="125" t="s">
        <v>459</v>
      </c>
      <c r="L122" s="41" t="s">
        <v>459</v>
      </c>
      <c r="M122" s="41" t="s">
        <v>459</v>
      </c>
      <c r="N122" s="41" t="s">
        <v>459</v>
      </c>
      <c r="O122" s="41" t="s">
        <v>459</v>
      </c>
      <c r="P122" s="199"/>
      <c r="Q122" s="201"/>
      <c r="R122" s="125" t="s">
        <v>459</v>
      </c>
      <c r="S122" s="41" t="s">
        <v>459</v>
      </c>
      <c r="T122" s="41" t="s">
        <v>459</v>
      </c>
      <c r="U122" s="41" t="s">
        <v>459</v>
      </c>
      <c r="V122" s="41" t="s">
        <v>459</v>
      </c>
      <c r="W122" s="199"/>
      <c r="X122" s="201"/>
      <c r="Y122" s="125"/>
      <c r="Z122" s="41"/>
      <c r="AA122" s="41"/>
      <c r="AB122" s="41"/>
      <c r="AC122" s="41"/>
      <c r="AD122" s="199"/>
      <c r="AE122" s="201"/>
      <c r="AF122" s="125"/>
      <c r="AG122" s="41"/>
      <c r="AH122" s="41"/>
      <c r="AI122" s="41"/>
      <c r="AJ122" s="41"/>
      <c r="AK122" s="199"/>
      <c r="AL122" s="201"/>
      <c r="AM122" s="125"/>
      <c r="AN122" s="41"/>
      <c r="AO122" s="41"/>
      <c r="AP122" s="41"/>
      <c r="AQ122" s="41"/>
      <c r="AR122" s="199"/>
      <c r="AS122" s="201"/>
      <c r="AT122" s="125"/>
      <c r="AU122" s="41"/>
      <c r="AV122" s="41"/>
      <c r="AW122" s="41"/>
      <c r="AX122" s="41"/>
      <c r="AY122" s="199"/>
      <c r="AZ122" s="201"/>
      <c r="BA122" s="125"/>
      <c r="BB122" s="41"/>
      <c r="BC122" s="41"/>
      <c r="BD122" s="41"/>
      <c r="BE122" s="41"/>
      <c r="BF122" s="199"/>
      <c r="BG122" s="201"/>
      <c r="BH122" s="125"/>
      <c r="BI122" s="41"/>
      <c r="BJ122" s="41"/>
      <c r="BK122" s="41"/>
      <c r="BL122" s="41"/>
      <c r="BM122" s="199"/>
      <c r="BN122" s="201"/>
      <c r="BO122" s="125"/>
      <c r="BP122" s="41"/>
      <c r="BQ122" s="41"/>
      <c r="BR122" s="41"/>
      <c r="BS122" s="41"/>
      <c r="BT122" s="199"/>
      <c r="BU122" s="201"/>
      <c r="BV122" s="125"/>
      <c r="BW122" s="41"/>
      <c r="BX122" s="41"/>
      <c r="BY122" s="41"/>
      <c r="BZ122" s="41"/>
      <c r="CA122" s="199"/>
      <c r="CB122" s="201"/>
      <c r="CC122" s="125"/>
      <c r="CD122" s="41"/>
      <c r="CE122" s="41"/>
      <c r="CF122" s="41"/>
      <c r="CG122" s="41"/>
      <c r="CH122" s="199"/>
      <c r="CI122" s="201"/>
      <c r="CJ122" s="125"/>
      <c r="CK122" s="41"/>
      <c r="CL122" s="41"/>
      <c r="CM122" s="41"/>
      <c r="CN122" s="41"/>
      <c r="CO122" s="199"/>
      <c r="CP122" s="201"/>
      <c r="CQ122" s="125"/>
      <c r="CR122" s="41"/>
      <c r="CS122" s="41"/>
      <c r="CT122" s="41"/>
      <c r="CU122" s="41"/>
      <c r="CV122" s="199"/>
      <c r="CW122" s="201"/>
      <c r="CX122" s="125"/>
      <c r="CY122" s="41"/>
      <c r="CZ122" s="41"/>
      <c r="DA122" s="41"/>
      <c r="DB122" s="41"/>
      <c r="DC122" s="199"/>
      <c r="DD122" s="201"/>
      <c r="DE122" s="125"/>
      <c r="DF122" s="41"/>
      <c r="DG122" s="41"/>
      <c r="DH122" s="41"/>
      <c r="DI122" s="41"/>
      <c r="DJ122" s="199"/>
      <c r="DK122" s="201"/>
      <c r="DL122" s="125"/>
      <c r="DM122" s="41"/>
      <c r="DN122" s="41"/>
      <c r="DO122" s="41"/>
      <c r="DP122" s="41"/>
      <c r="DQ122" s="199"/>
      <c r="DR122" s="201"/>
      <c r="DS122" s="125"/>
      <c r="DT122" s="41"/>
      <c r="DU122" s="41"/>
      <c r="DV122" s="41"/>
      <c r="DW122" s="41"/>
      <c r="DX122" s="199"/>
      <c r="DY122" s="201"/>
      <c r="DZ122" s="125"/>
      <c r="EA122" s="41"/>
      <c r="EB122" s="41"/>
      <c r="EC122" s="41"/>
      <c r="ED122" s="41"/>
      <c r="EE122" s="199"/>
      <c r="EF122" s="201"/>
      <c r="EG122" s="125"/>
      <c r="EH122" s="41"/>
      <c r="EI122" s="41"/>
      <c r="EJ122" s="41"/>
      <c r="EK122" s="41"/>
      <c r="EL122" s="199"/>
      <c r="EM122" s="201"/>
      <c r="EN122" s="125"/>
      <c r="EO122" s="41"/>
      <c r="EP122" s="41"/>
      <c r="EQ122" s="41"/>
      <c r="ER122" s="41"/>
      <c r="ES122" s="199"/>
      <c r="ET122" s="201"/>
      <c r="EU122" s="125"/>
      <c r="EV122" s="41"/>
      <c r="EW122" s="41"/>
      <c r="EX122" s="41"/>
      <c r="EY122" s="41"/>
      <c r="EZ122" s="199"/>
      <c r="FA122" s="201"/>
      <c r="FB122" s="125"/>
      <c r="FC122" s="41"/>
      <c r="FD122" s="41"/>
      <c r="FE122" s="41"/>
      <c r="FF122" s="41"/>
      <c r="FG122" s="199"/>
      <c r="FH122" s="201"/>
      <c r="FI122" s="125"/>
      <c r="FJ122" s="41"/>
      <c r="FK122" s="41"/>
      <c r="FL122" s="41"/>
      <c r="FM122" s="41"/>
      <c r="FN122" s="199"/>
      <c r="FO122" s="201"/>
      <c r="FP122" s="125"/>
      <c r="FQ122" s="41"/>
      <c r="FR122" s="41"/>
      <c r="FS122" s="41"/>
      <c r="FT122" s="41"/>
      <c r="FU122" s="199"/>
      <c r="FV122" s="201"/>
      <c r="FW122" s="125"/>
      <c r="FX122" s="41"/>
      <c r="FY122" s="41"/>
      <c r="FZ122" s="41"/>
      <c r="GA122" s="41"/>
      <c r="GB122" s="199"/>
      <c r="GC122" s="201"/>
      <c r="GD122" s="125"/>
      <c r="GE122" s="41"/>
      <c r="GF122" s="41"/>
      <c r="GG122" s="41"/>
      <c r="GH122" s="41"/>
      <c r="GI122" s="199"/>
      <c r="GJ122" s="201"/>
      <c r="GK122" s="125"/>
      <c r="GL122" s="41"/>
      <c r="GM122" s="41"/>
      <c r="GN122" s="41"/>
      <c r="GO122" s="41"/>
      <c r="GP122" s="199"/>
      <c r="GQ122" s="201"/>
      <c r="GR122" s="125"/>
      <c r="GS122" s="41"/>
      <c r="GT122" s="41"/>
      <c r="GU122" s="41"/>
      <c r="GV122" s="41"/>
      <c r="GW122" s="199"/>
      <c r="GX122" s="201"/>
      <c r="GY122" s="125"/>
      <c r="GZ122" s="41"/>
      <c r="HA122" s="41"/>
      <c r="HB122" s="41"/>
      <c r="HC122" s="41"/>
      <c r="HD122" s="199"/>
      <c r="HE122" s="201"/>
    </row>
    <row r="123" spans="2:213" x14ac:dyDescent="0.3">
      <c r="B123" s="8">
        <v>103711</v>
      </c>
      <c r="C123" s="9">
        <v>35</v>
      </c>
      <c r="D123" s="10" t="str">
        <f>IF(G123="","","X")</f>
        <v>X</v>
      </c>
      <c r="E123" s="10" t="str">
        <f t="shared" si="9"/>
        <v>103711X</v>
      </c>
      <c r="F123" s="193" t="s">
        <v>60</v>
      </c>
      <c r="G123" s="183" t="s">
        <v>8</v>
      </c>
      <c r="H123" s="146" t="s">
        <v>9</v>
      </c>
      <c r="I123" s="151" t="s">
        <v>303</v>
      </c>
      <c r="J123" s="152" t="s">
        <v>304</v>
      </c>
      <c r="K123" s="125" t="s">
        <v>459</v>
      </c>
      <c r="L123" s="41" t="s">
        <v>459</v>
      </c>
      <c r="M123" s="41" t="s">
        <v>459</v>
      </c>
      <c r="N123" s="41" t="s">
        <v>459</v>
      </c>
      <c r="O123" s="41" t="s">
        <v>459</v>
      </c>
      <c r="P123" s="199"/>
      <c r="Q123" s="201"/>
      <c r="R123" s="125" t="s">
        <v>459</v>
      </c>
      <c r="S123" s="41" t="s">
        <v>459</v>
      </c>
      <c r="T123" s="41" t="s">
        <v>459</v>
      </c>
      <c r="U123" s="41" t="s">
        <v>459</v>
      </c>
      <c r="V123" s="41" t="s">
        <v>459</v>
      </c>
      <c r="W123" s="199"/>
      <c r="X123" s="201"/>
      <c r="Y123" s="125"/>
      <c r="Z123" s="41"/>
      <c r="AA123" s="41"/>
      <c r="AB123" s="41"/>
      <c r="AC123" s="41"/>
      <c r="AD123" s="199"/>
      <c r="AE123" s="201"/>
      <c r="AF123" s="125"/>
      <c r="AG123" s="41"/>
      <c r="AH123" s="41"/>
      <c r="AI123" s="41"/>
      <c r="AJ123" s="41"/>
      <c r="AK123" s="199"/>
      <c r="AL123" s="201"/>
      <c r="AM123" s="125"/>
      <c r="AN123" s="41"/>
      <c r="AO123" s="41"/>
      <c r="AP123" s="41"/>
      <c r="AQ123" s="41"/>
      <c r="AR123" s="199"/>
      <c r="AS123" s="201"/>
      <c r="AT123" s="125"/>
      <c r="AU123" s="41"/>
      <c r="AV123" s="41"/>
      <c r="AW123" s="41"/>
      <c r="AX123" s="41"/>
      <c r="AY123" s="199"/>
      <c r="AZ123" s="201"/>
      <c r="BA123" s="125"/>
      <c r="BB123" s="41"/>
      <c r="BC123" s="41"/>
      <c r="BD123" s="41"/>
      <c r="BE123" s="41"/>
      <c r="BF123" s="199"/>
      <c r="BG123" s="201"/>
      <c r="BH123" s="125"/>
      <c r="BI123" s="41"/>
      <c r="BJ123" s="41"/>
      <c r="BK123" s="41"/>
      <c r="BL123" s="41"/>
      <c r="BM123" s="199"/>
      <c r="BN123" s="201"/>
      <c r="BO123" s="125"/>
      <c r="BP123" s="41"/>
      <c r="BQ123" s="41"/>
      <c r="BR123" s="41"/>
      <c r="BS123" s="41"/>
      <c r="BT123" s="199"/>
      <c r="BU123" s="201"/>
      <c r="BV123" s="125"/>
      <c r="BW123" s="41"/>
      <c r="BX123" s="41"/>
      <c r="BY123" s="41"/>
      <c r="BZ123" s="41"/>
      <c r="CA123" s="199"/>
      <c r="CB123" s="201"/>
      <c r="CC123" s="125"/>
      <c r="CD123" s="41"/>
      <c r="CE123" s="41"/>
      <c r="CF123" s="41"/>
      <c r="CG123" s="41"/>
      <c r="CH123" s="199"/>
      <c r="CI123" s="201"/>
      <c r="CJ123" s="125"/>
      <c r="CK123" s="41"/>
      <c r="CL123" s="41"/>
      <c r="CM123" s="41"/>
      <c r="CN123" s="41"/>
      <c r="CO123" s="199"/>
      <c r="CP123" s="201"/>
      <c r="CQ123" s="125"/>
      <c r="CR123" s="41"/>
      <c r="CS123" s="41"/>
      <c r="CT123" s="41"/>
      <c r="CU123" s="41"/>
      <c r="CV123" s="199"/>
      <c r="CW123" s="201"/>
      <c r="CX123" s="125"/>
      <c r="CY123" s="41"/>
      <c r="CZ123" s="41"/>
      <c r="DA123" s="41"/>
      <c r="DB123" s="41"/>
      <c r="DC123" s="199"/>
      <c r="DD123" s="201"/>
      <c r="DE123" s="125"/>
      <c r="DF123" s="41"/>
      <c r="DG123" s="41"/>
      <c r="DH123" s="41"/>
      <c r="DI123" s="41"/>
      <c r="DJ123" s="199"/>
      <c r="DK123" s="201"/>
      <c r="DL123" s="125"/>
      <c r="DM123" s="41"/>
      <c r="DN123" s="41"/>
      <c r="DO123" s="41"/>
      <c r="DP123" s="41"/>
      <c r="DQ123" s="199"/>
      <c r="DR123" s="201"/>
      <c r="DS123" s="125"/>
      <c r="DT123" s="41"/>
      <c r="DU123" s="41"/>
      <c r="DV123" s="41"/>
      <c r="DW123" s="41"/>
      <c r="DX123" s="199"/>
      <c r="DY123" s="201"/>
      <c r="DZ123" s="125"/>
      <c r="EA123" s="41"/>
      <c r="EB123" s="41"/>
      <c r="EC123" s="41"/>
      <c r="ED123" s="41"/>
      <c r="EE123" s="199"/>
      <c r="EF123" s="201"/>
      <c r="EG123" s="125"/>
      <c r="EH123" s="41"/>
      <c r="EI123" s="41"/>
      <c r="EJ123" s="41"/>
      <c r="EK123" s="41"/>
      <c r="EL123" s="199"/>
      <c r="EM123" s="201"/>
      <c r="EN123" s="125"/>
      <c r="EO123" s="41"/>
      <c r="EP123" s="41"/>
      <c r="EQ123" s="41"/>
      <c r="ER123" s="41"/>
      <c r="ES123" s="199"/>
      <c r="ET123" s="201"/>
      <c r="EU123" s="125"/>
      <c r="EV123" s="41"/>
      <c r="EW123" s="41"/>
      <c r="EX123" s="41"/>
      <c r="EY123" s="41"/>
      <c r="EZ123" s="199"/>
      <c r="FA123" s="201"/>
      <c r="FB123" s="125"/>
      <c r="FC123" s="41"/>
      <c r="FD123" s="41"/>
      <c r="FE123" s="41"/>
      <c r="FF123" s="41"/>
      <c r="FG123" s="199"/>
      <c r="FH123" s="201"/>
      <c r="FI123" s="125"/>
      <c r="FJ123" s="41"/>
      <c r="FK123" s="41"/>
      <c r="FL123" s="41"/>
      <c r="FM123" s="41"/>
      <c r="FN123" s="199"/>
      <c r="FO123" s="201"/>
      <c r="FP123" s="125"/>
      <c r="FQ123" s="41"/>
      <c r="FR123" s="41"/>
      <c r="FS123" s="41"/>
      <c r="FT123" s="41"/>
      <c r="FU123" s="199"/>
      <c r="FV123" s="201"/>
      <c r="FW123" s="125"/>
      <c r="FX123" s="41"/>
      <c r="FY123" s="41"/>
      <c r="FZ123" s="41"/>
      <c r="GA123" s="41"/>
      <c r="GB123" s="199"/>
      <c r="GC123" s="201"/>
      <c r="GD123" s="125"/>
      <c r="GE123" s="41"/>
      <c r="GF123" s="41"/>
      <c r="GG123" s="41"/>
      <c r="GH123" s="41"/>
      <c r="GI123" s="199"/>
      <c r="GJ123" s="201"/>
      <c r="GK123" s="125"/>
      <c r="GL123" s="41"/>
      <c r="GM123" s="41"/>
      <c r="GN123" s="41"/>
      <c r="GO123" s="41"/>
      <c r="GP123" s="199"/>
      <c r="GQ123" s="201"/>
      <c r="GR123" s="125"/>
      <c r="GS123" s="41"/>
      <c r="GT123" s="41"/>
      <c r="GU123" s="41"/>
      <c r="GV123" s="41"/>
      <c r="GW123" s="199"/>
      <c r="GX123" s="201"/>
      <c r="GY123" s="125"/>
      <c r="GZ123" s="41"/>
      <c r="HA123" s="41"/>
      <c r="HB123" s="41"/>
      <c r="HC123" s="41"/>
      <c r="HD123" s="199"/>
      <c r="HE123" s="201"/>
    </row>
    <row r="124" spans="2:213" x14ac:dyDescent="0.3">
      <c r="B124" s="65" t="s">
        <v>18</v>
      </c>
      <c r="C124" s="25">
        <v>35</v>
      </c>
      <c r="D124" s="26" t="s">
        <v>19</v>
      </c>
      <c r="E124" s="26" t="str">
        <f t="shared" si="9"/>
        <v>IX</v>
      </c>
      <c r="F124" s="193" t="s">
        <v>60</v>
      </c>
      <c r="G124" s="184" t="s">
        <v>8</v>
      </c>
      <c r="H124" s="146" t="s">
        <v>9</v>
      </c>
      <c r="I124" s="157" t="s">
        <v>323</v>
      </c>
      <c r="J124" s="158" t="s">
        <v>108</v>
      </c>
      <c r="K124" s="125" t="s">
        <v>459</v>
      </c>
      <c r="L124" s="41" t="s">
        <v>459</v>
      </c>
      <c r="M124" s="41" t="s">
        <v>459</v>
      </c>
      <c r="N124" s="41" t="s">
        <v>459</v>
      </c>
      <c r="O124" s="41" t="s">
        <v>459</v>
      </c>
      <c r="P124" s="199"/>
      <c r="Q124" s="201"/>
      <c r="R124" s="125" t="s">
        <v>459</v>
      </c>
      <c r="S124" s="41" t="s">
        <v>459</v>
      </c>
      <c r="T124" s="41" t="s">
        <v>459</v>
      </c>
      <c r="U124" s="41" t="s">
        <v>459</v>
      </c>
      <c r="V124" s="41" t="s">
        <v>459</v>
      </c>
      <c r="W124" s="199"/>
      <c r="X124" s="201"/>
      <c r="Y124" s="125"/>
      <c r="Z124" s="41"/>
      <c r="AA124" s="41"/>
      <c r="AB124" s="41"/>
      <c r="AC124" s="41"/>
      <c r="AD124" s="199"/>
      <c r="AE124" s="201"/>
      <c r="AF124" s="125"/>
      <c r="AG124" s="41"/>
      <c r="AH124" s="41"/>
      <c r="AI124" s="41"/>
      <c r="AJ124" s="41"/>
      <c r="AK124" s="199"/>
      <c r="AL124" s="201"/>
      <c r="AM124" s="125"/>
      <c r="AN124" s="41"/>
      <c r="AO124" s="41"/>
      <c r="AP124" s="41"/>
      <c r="AQ124" s="41"/>
      <c r="AR124" s="199"/>
      <c r="AS124" s="201"/>
      <c r="AT124" s="125"/>
      <c r="AU124" s="41"/>
      <c r="AV124" s="41"/>
      <c r="AW124" s="41"/>
      <c r="AX124" s="41"/>
      <c r="AY124" s="199"/>
      <c r="AZ124" s="201"/>
      <c r="BA124" s="125"/>
      <c r="BB124" s="41"/>
      <c r="BC124" s="41"/>
      <c r="BD124" s="41"/>
      <c r="BE124" s="41"/>
      <c r="BF124" s="199"/>
      <c r="BG124" s="201"/>
      <c r="BH124" s="125"/>
      <c r="BI124" s="41"/>
      <c r="BJ124" s="41"/>
      <c r="BK124" s="41"/>
      <c r="BL124" s="41"/>
      <c r="BM124" s="199"/>
      <c r="BN124" s="201"/>
      <c r="BO124" s="125"/>
      <c r="BP124" s="41"/>
      <c r="BQ124" s="41"/>
      <c r="BR124" s="41"/>
      <c r="BS124" s="41"/>
      <c r="BT124" s="199"/>
      <c r="BU124" s="201"/>
      <c r="BV124" s="125"/>
      <c r="BW124" s="41"/>
      <c r="BX124" s="41"/>
      <c r="BY124" s="41"/>
      <c r="BZ124" s="41"/>
      <c r="CA124" s="199"/>
      <c r="CB124" s="201"/>
      <c r="CC124" s="125"/>
      <c r="CD124" s="41"/>
      <c r="CE124" s="41"/>
      <c r="CF124" s="41"/>
      <c r="CG124" s="41"/>
      <c r="CH124" s="199"/>
      <c r="CI124" s="201"/>
      <c r="CJ124" s="125"/>
      <c r="CK124" s="41"/>
      <c r="CL124" s="41"/>
      <c r="CM124" s="41"/>
      <c r="CN124" s="41"/>
      <c r="CO124" s="199"/>
      <c r="CP124" s="201"/>
      <c r="CQ124" s="125"/>
      <c r="CR124" s="41"/>
      <c r="CS124" s="41"/>
      <c r="CT124" s="41"/>
      <c r="CU124" s="41"/>
      <c r="CV124" s="199"/>
      <c r="CW124" s="201"/>
      <c r="CX124" s="125"/>
      <c r="CY124" s="41"/>
      <c r="CZ124" s="41"/>
      <c r="DA124" s="41"/>
      <c r="DB124" s="41"/>
      <c r="DC124" s="199"/>
      <c r="DD124" s="201"/>
      <c r="DE124" s="125"/>
      <c r="DF124" s="41"/>
      <c r="DG124" s="41"/>
      <c r="DH124" s="41"/>
      <c r="DI124" s="41"/>
      <c r="DJ124" s="199"/>
      <c r="DK124" s="201"/>
      <c r="DL124" s="125"/>
      <c r="DM124" s="41"/>
      <c r="DN124" s="41"/>
      <c r="DO124" s="41"/>
      <c r="DP124" s="41"/>
      <c r="DQ124" s="199"/>
      <c r="DR124" s="201"/>
      <c r="DS124" s="125"/>
      <c r="DT124" s="41"/>
      <c r="DU124" s="41"/>
      <c r="DV124" s="41"/>
      <c r="DW124" s="41"/>
      <c r="DX124" s="199"/>
      <c r="DY124" s="201"/>
      <c r="DZ124" s="125"/>
      <c r="EA124" s="41"/>
      <c r="EB124" s="41"/>
      <c r="EC124" s="41"/>
      <c r="ED124" s="41"/>
      <c r="EE124" s="199"/>
      <c r="EF124" s="201"/>
      <c r="EG124" s="125"/>
      <c r="EH124" s="41"/>
      <c r="EI124" s="41"/>
      <c r="EJ124" s="41"/>
      <c r="EK124" s="41"/>
      <c r="EL124" s="199"/>
      <c r="EM124" s="201"/>
      <c r="EN124" s="125"/>
      <c r="EO124" s="41"/>
      <c r="EP124" s="41"/>
      <c r="EQ124" s="41"/>
      <c r="ER124" s="41"/>
      <c r="ES124" s="199"/>
      <c r="ET124" s="201"/>
      <c r="EU124" s="125"/>
      <c r="EV124" s="41"/>
      <c r="EW124" s="41"/>
      <c r="EX124" s="41"/>
      <c r="EY124" s="41"/>
      <c r="EZ124" s="199"/>
      <c r="FA124" s="201"/>
      <c r="FB124" s="125"/>
      <c r="FC124" s="41"/>
      <c r="FD124" s="41"/>
      <c r="FE124" s="41"/>
      <c r="FF124" s="41"/>
      <c r="FG124" s="199"/>
      <c r="FH124" s="201"/>
      <c r="FI124" s="125"/>
      <c r="FJ124" s="41"/>
      <c r="FK124" s="41"/>
      <c r="FL124" s="41"/>
      <c r="FM124" s="41"/>
      <c r="FN124" s="199"/>
      <c r="FO124" s="201"/>
      <c r="FP124" s="125"/>
      <c r="FQ124" s="41"/>
      <c r="FR124" s="41"/>
      <c r="FS124" s="41"/>
      <c r="FT124" s="41"/>
      <c r="FU124" s="199"/>
      <c r="FV124" s="201"/>
      <c r="FW124" s="125"/>
      <c r="FX124" s="41"/>
      <c r="FY124" s="41"/>
      <c r="FZ124" s="41"/>
      <c r="GA124" s="41"/>
      <c r="GB124" s="199"/>
      <c r="GC124" s="201"/>
      <c r="GD124" s="125"/>
      <c r="GE124" s="41"/>
      <c r="GF124" s="41"/>
      <c r="GG124" s="41"/>
      <c r="GH124" s="41"/>
      <c r="GI124" s="199"/>
      <c r="GJ124" s="201"/>
      <c r="GK124" s="125"/>
      <c r="GL124" s="41"/>
      <c r="GM124" s="41"/>
      <c r="GN124" s="41"/>
      <c r="GO124" s="41"/>
      <c r="GP124" s="199"/>
      <c r="GQ124" s="201"/>
      <c r="GR124" s="125"/>
      <c r="GS124" s="41"/>
      <c r="GT124" s="41"/>
      <c r="GU124" s="41"/>
      <c r="GV124" s="41"/>
      <c r="GW124" s="199"/>
      <c r="GX124" s="201"/>
      <c r="GY124" s="125"/>
      <c r="GZ124" s="41"/>
      <c r="HA124" s="41"/>
      <c r="HB124" s="41"/>
      <c r="HC124" s="41"/>
      <c r="HD124" s="199"/>
      <c r="HE124" s="201"/>
    </row>
    <row r="125" spans="2:213" x14ac:dyDescent="0.3">
      <c r="B125" s="24" t="s">
        <v>18</v>
      </c>
      <c r="C125" s="25">
        <v>35</v>
      </c>
      <c r="D125" s="26" t="s">
        <v>91</v>
      </c>
      <c r="E125" s="27" t="str">
        <f t="shared" si="9"/>
        <v>Ix</v>
      </c>
      <c r="F125" s="193" t="s">
        <v>60</v>
      </c>
      <c r="G125" s="183" t="s">
        <v>8</v>
      </c>
      <c r="H125" s="146" t="s">
        <v>9</v>
      </c>
      <c r="I125" s="151" t="s">
        <v>365</v>
      </c>
      <c r="J125" s="152" t="s">
        <v>366</v>
      </c>
      <c r="K125" s="125" t="s">
        <v>459</v>
      </c>
      <c r="L125" s="41" t="s">
        <v>459</v>
      </c>
      <c r="M125" s="41" t="s">
        <v>459</v>
      </c>
      <c r="N125" s="41" t="s">
        <v>459</v>
      </c>
      <c r="O125" s="41" t="s">
        <v>459</v>
      </c>
      <c r="P125" s="199"/>
      <c r="Q125" s="201"/>
      <c r="R125" s="125" t="s">
        <v>459</v>
      </c>
      <c r="S125" s="41" t="s">
        <v>459</v>
      </c>
      <c r="T125" s="41" t="s">
        <v>459</v>
      </c>
      <c r="U125" s="41" t="s">
        <v>459</v>
      </c>
      <c r="V125" s="41" t="s">
        <v>459</v>
      </c>
      <c r="W125" s="199"/>
      <c r="X125" s="201"/>
      <c r="Y125" s="125"/>
      <c r="Z125" s="41"/>
      <c r="AA125" s="41"/>
      <c r="AB125" s="41"/>
      <c r="AC125" s="41"/>
      <c r="AD125" s="199"/>
      <c r="AE125" s="201"/>
      <c r="AF125" s="125"/>
      <c r="AG125" s="41"/>
      <c r="AH125" s="41"/>
      <c r="AI125" s="41"/>
      <c r="AJ125" s="41"/>
      <c r="AK125" s="199"/>
      <c r="AL125" s="201"/>
      <c r="AM125" s="125"/>
      <c r="AN125" s="41"/>
      <c r="AO125" s="41"/>
      <c r="AP125" s="41"/>
      <c r="AQ125" s="41"/>
      <c r="AR125" s="199"/>
      <c r="AS125" s="201"/>
      <c r="AT125" s="125"/>
      <c r="AU125" s="41"/>
      <c r="AV125" s="41"/>
      <c r="AW125" s="41"/>
      <c r="AX125" s="41"/>
      <c r="AY125" s="199"/>
      <c r="AZ125" s="201"/>
      <c r="BA125" s="125"/>
      <c r="BB125" s="41"/>
      <c r="BC125" s="41"/>
      <c r="BD125" s="41"/>
      <c r="BE125" s="41"/>
      <c r="BF125" s="199"/>
      <c r="BG125" s="201"/>
      <c r="BH125" s="125"/>
      <c r="BI125" s="41"/>
      <c r="BJ125" s="41"/>
      <c r="BK125" s="41"/>
      <c r="BL125" s="41"/>
      <c r="BM125" s="199"/>
      <c r="BN125" s="201"/>
      <c r="BO125" s="125"/>
      <c r="BP125" s="41"/>
      <c r="BQ125" s="41"/>
      <c r="BR125" s="41"/>
      <c r="BS125" s="41"/>
      <c r="BT125" s="199"/>
      <c r="BU125" s="201"/>
      <c r="BV125" s="125"/>
      <c r="BW125" s="41"/>
      <c r="BX125" s="41"/>
      <c r="BY125" s="41"/>
      <c r="BZ125" s="41"/>
      <c r="CA125" s="199"/>
      <c r="CB125" s="201"/>
      <c r="CC125" s="125"/>
      <c r="CD125" s="41"/>
      <c r="CE125" s="41"/>
      <c r="CF125" s="41"/>
      <c r="CG125" s="41"/>
      <c r="CH125" s="199"/>
      <c r="CI125" s="201"/>
      <c r="CJ125" s="125"/>
      <c r="CK125" s="41"/>
      <c r="CL125" s="41"/>
      <c r="CM125" s="41"/>
      <c r="CN125" s="41"/>
      <c r="CO125" s="199"/>
      <c r="CP125" s="201"/>
      <c r="CQ125" s="125"/>
      <c r="CR125" s="41"/>
      <c r="CS125" s="41"/>
      <c r="CT125" s="41"/>
      <c r="CU125" s="41"/>
      <c r="CV125" s="199"/>
      <c r="CW125" s="201"/>
      <c r="CX125" s="125"/>
      <c r="CY125" s="41"/>
      <c r="CZ125" s="41"/>
      <c r="DA125" s="41"/>
      <c r="DB125" s="41"/>
      <c r="DC125" s="199"/>
      <c r="DD125" s="201"/>
      <c r="DE125" s="125"/>
      <c r="DF125" s="41"/>
      <c r="DG125" s="41"/>
      <c r="DH125" s="41"/>
      <c r="DI125" s="41"/>
      <c r="DJ125" s="199"/>
      <c r="DK125" s="201"/>
      <c r="DL125" s="125"/>
      <c r="DM125" s="41"/>
      <c r="DN125" s="41"/>
      <c r="DO125" s="41"/>
      <c r="DP125" s="41"/>
      <c r="DQ125" s="199"/>
      <c r="DR125" s="201"/>
      <c r="DS125" s="125"/>
      <c r="DT125" s="41"/>
      <c r="DU125" s="41"/>
      <c r="DV125" s="41"/>
      <c r="DW125" s="41"/>
      <c r="DX125" s="199"/>
      <c r="DY125" s="201"/>
      <c r="DZ125" s="125"/>
      <c r="EA125" s="41"/>
      <c r="EB125" s="41"/>
      <c r="EC125" s="41"/>
      <c r="ED125" s="41"/>
      <c r="EE125" s="199"/>
      <c r="EF125" s="201"/>
      <c r="EG125" s="125"/>
      <c r="EH125" s="41"/>
      <c r="EI125" s="41"/>
      <c r="EJ125" s="41"/>
      <c r="EK125" s="41"/>
      <c r="EL125" s="199"/>
      <c r="EM125" s="201"/>
      <c r="EN125" s="125"/>
      <c r="EO125" s="41"/>
      <c r="EP125" s="41"/>
      <c r="EQ125" s="41"/>
      <c r="ER125" s="41"/>
      <c r="ES125" s="199"/>
      <c r="ET125" s="201"/>
      <c r="EU125" s="125"/>
      <c r="EV125" s="41"/>
      <c r="EW125" s="41"/>
      <c r="EX125" s="41"/>
      <c r="EY125" s="41"/>
      <c r="EZ125" s="199"/>
      <c r="FA125" s="201"/>
      <c r="FB125" s="125"/>
      <c r="FC125" s="41"/>
      <c r="FD125" s="41"/>
      <c r="FE125" s="41"/>
      <c r="FF125" s="41"/>
      <c r="FG125" s="199"/>
      <c r="FH125" s="201"/>
      <c r="FI125" s="125"/>
      <c r="FJ125" s="41"/>
      <c r="FK125" s="41"/>
      <c r="FL125" s="41"/>
      <c r="FM125" s="41"/>
      <c r="FN125" s="199"/>
      <c r="FO125" s="201"/>
      <c r="FP125" s="125"/>
      <c r="FQ125" s="41"/>
      <c r="FR125" s="41"/>
      <c r="FS125" s="41"/>
      <c r="FT125" s="41"/>
      <c r="FU125" s="199"/>
      <c r="FV125" s="201"/>
      <c r="FW125" s="125"/>
      <c r="FX125" s="41"/>
      <c r="FY125" s="41"/>
      <c r="FZ125" s="41"/>
      <c r="GA125" s="41"/>
      <c r="GB125" s="199"/>
      <c r="GC125" s="201"/>
      <c r="GD125" s="125"/>
      <c r="GE125" s="41"/>
      <c r="GF125" s="41"/>
      <c r="GG125" s="41"/>
      <c r="GH125" s="41"/>
      <c r="GI125" s="199"/>
      <c r="GJ125" s="201"/>
      <c r="GK125" s="125"/>
      <c r="GL125" s="41"/>
      <c r="GM125" s="41"/>
      <c r="GN125" s="41"/>
      <c r="GO125" s="41"/>
      <c r="GP125" s="199"/>
      <c r="GQ125" s="201"/>
      <c r="GR125" s="125"/>
      <c r="GS125" s="41"/>
      <c r="GT125" s="41"/>
      <c r="GU125" s="41"/>
      <c r="GV125" s="41"/>
      <c r="GW125" s="199"/>
      <c r="GX125" s="201"/>
      <c r="GY125" s="125"/>
      <c r="GZ125" s="41"/>
      <c r="HA125" s="41"/>
      <c r="HB125" s="41"/>
      <c r="HC125" s="41"/>
      <c r="HD125" s="199"/>
      <c r="HE125" s="201"/>
    </row>
    <row r="126" spans="2:213" x14ac:dyDescent="0.3">
      <c r="B126" s="66" t="s">
        <v>18</v>
      </c>
      <c r="C126" s="25">
        <v>35</v>
      </c>
      <c r="D126" s="25" t="s">
        <v>19</v>
      </c>
      <c r="E126" s="26" t="str">
        <f t="shared" si="9"/>
        <v>IX</v>
      </c>
      <c r="F126" s="193" t="s">
        <v>60</v>
      </c>
      <c r="G126" s="184" t="s">
        <v>8</v>
      </c>
      <c r="H126" s="146" t="s">
        <v>113</v>
      </c>
      <c r="I126" s="155" t="s">
        <v>374</v>
      </c>
      <c r="J126" s="156" t="s">
        <v>57</v>
      </c>
      <c r="K126" s="125" t="s">
        <v>458</v>
      </c>
      <c r="L126" s="41" t="s">
        <v>459</v>
      </c>
      <c r="M126" s="41" t="s">
        <v>459</v>
      </c>
      <c r="N126" s="41" t="s">
        <v>459</v>
      </c>
      <c r="O126" s="41" t="s">
        <v>459</v>
      </c>
      <c r="P126" s="199"/>
      <c r="Q126" s="201"/>
      <c r="R126" s="125" t="s">
        <v>459</v>
      </c>
      <c r="S126" s="41" t="s">
        <v>459</v>
      </c>
      <c r="T126" s="41" t="s">
        <v>459</v>
      </c>
      <c r="U126" s="41" t="s">
        <v>459</v>
      </c>
      <c r="V126" s="41" t="s">
        <v>459</v>
      </c>
      <c r="W126" s="199"/>
      <c r="X126" s="201"/>
      <c r="Y126" s="125"/>
      <c r="Z126" s="41"/>
      <c r="AA126" s="41"/>
      <c r="AB126" s="41"/>
      <c r="AC126" s="41"/>
      <c r="AD126" s="199"/>
      <c r="AE126" s="201"/>
      <c r="AF126" s="125"/>
      <c r="AG126" s="41"/>
      <c r="AH126" s="41"/>
      <c r="AI126" s="41"/>
      <c r="AJ126" s="41"/>
      <c r="AK126" s="199"/>
      <c r="AL126" s="201"/>
      <c r="AM126" s="125"/>
      <c r="AN126" s="41"/>
      <c r="AO126" s="41"/>
      <c r="AP126" s="41"/>
      <c r="AQ126" s="41"/>
      <c r="AR126" s="199"/>
      <c r="AS126" s="201"/>
      <c r="AT126" s="125"/>
      <c r="AU126" s="41"/>
      <c r="AV126" s="41"/>
      <c r="AW126" s="41"/>
      <c r="AX126" s="41"/>
      <c r="AY126" s="199"/>
      <c r="AZ126" s="201"/>
      <c r="BA126" s="125"/>
      <c r="BB126" s="41"/>
      <c r="BC126" s="41"/>
      <c r="BD126" s="41"/>
      <c r="BE126" s="41"/>
      <c r="BF126" s="199"/>
      <c r="BG126" s="201"/>
      <c r="BH126" s="125"/>
      <c r="BI126" s="41"/>
      <c r="BJ126" s="41"/>
      <c r="BK126" s="41"/>
      <c r="BL126" s="41"/>
      <c r="BM126" s="199"/>
      <c r="BN126" s="201"/>
      <c r="BO126" s="125"/>
      <c r="BP126" s="41"/>
      <c r="BQ126" s="41"/>
      <c r="BR126" s="41"/>
      <c r="BS126" s="41"/>
      <c r="BT126" s="199"/>
      <c r="BU126" s="201"/>
      <c r="BV126" s="125"/>
      <c r="BW126" s="41"/>
      <c r="BX126" s="41"/>
      <c r="BY126" s="41"/>
      <c r="BZ126" s="41"/>
      <c r="CA126" s="199"/>
      <c r="CB126" s="201"/>
      <c r="CC126" s="125"/>
      <c r="CD126" s="41"/>
      <c r="CE126" s="41"/>
      <c r="CF126" s="41"/>
      <c r="CG126" s="41"/>
      <c r="CH126" s="199"/>
      <c r="CI126" s="201"/>
      <c r="CJ126" s="125"/>
      <c r="CK126" s="41"/>
      <c r="CL126" s="41"/>
      <c r="CM126" s="41"/>
      <c r="CN126" s="41"/>
      <c r="CO126" s="199"/>
      <c r="CP126" s="201"/>
      <c r="CQ126" s="125"/>
      <c r="CR126" s="41"/>
      <c r="CS126" s="41"/>
      <c r="CT126" s="41"/>
      <c r="CU126" s="41"/>
      <c r="CV126" s="199"/>
      <c r="CW126" s="201"/>
      <c r="CX126" s="125"/>
      <c r="CY126" s="41"/>
      <c r="CZ126" s="41"/>
      <c r="DA126" s="41"/>
      <c r="DB126" s="41"/>
      <c r="DC126" s="199"/>
      <c r="DD126" s="201"/>
      <c r="DE126" s="125"/>
      <c r="DF126" s="41"/>
      <c r="DG126" s="41"/>
      <c r="DH126" s="41"/>
      <c r="DI126" s="41"/>
      <c r="DJ126" s="199"/>
      <c r="DK126" s="201"/>
      <c r="DL126" s="125"/>
      <c r="DM126" s="41"/>
      <c r="DN126" s="41"/>
      <c r="DO126" s="41"/>
      <c r="DP126" s="41"/>
      <c r="DQ126" s="199"/>
      <c r="DR126" s="201"/>
      <c r="DS126" s="125"/>
      <c r="DT126" s="41"/>
      <c r="DU126" s="41"/>
      <c r="DV126" s="41"/>
      <c r="DW126" s="41"/>
      <c r="DX126" s="199"/>
      <c r="DY126" s="201"/>
      <c r="DZ126" s="125"/>
      <c r="EA126" s="41"/>
      <c r="EB126" s="41"/>
      <c r="EC126" s="41"/>
      <c r="ED126" s="41"/>
      <c r="EE126" s="199"/>
      <c r="EF126" s="201"/>
      <c r="EG126" s="125"/>
      <c r="EH126" s="41"/>
      <c r="EI126" s="41"/>
      <c r="EJ126" s="41"/>
      <c r="EK126" s="41"/>
      <c r="EL126" s="199"/>
      <c r="EM126" s="201"/>
      <c r="EN126" s="125"/>
      <c r="EO126" s="41"/>
      <c r="EP126" s="41"/>
      <c r="EQ126" s="41"/>
      <c r="ER126" s="41"/>
      <c r="ES126" s="199"/>
      <c r="ET126" s="201"/>
      <c r="EU126" s="125"/>
      <c r="EV126" s="41"/>
      <c r="EW126" s="41"/>
      <c r="EX126" s="41"/>
      <c r="EY126" s="41"/>
      <c r="EZ126" s="199"/>
      <c r="FA126" s="201"/>
      <c r="FB126" s="125"/>
      <c r="FC126" s="41"/>
      <c r="FD126" s="41"/>
      <c r="FE126" s="41"/>
      <c r="FF126" s="41"/>
      <c r="FG126" s="199"/>
      <c r="FH126" s="201"/>
      <c r="FI126" s="125"/>
      <c r="FJ126" s="41"/>
      <c r="FK126" s="41"/>
      <c r="FL126" s="41"/>
      <c r="FM126" s="41"/>
      <c r="FN126" s="199"/>
      <c r="FO126" s="201"/>
      <c r="FP126" s="125"/>
      <c r="FQ126" s="41"/>
      <c r="FR126" s="41"/>
      <c r="FS126" s="41"/>
      <c r="FT126" s="41"/>
      <c r="FU126" s="199"/>
      <c r="FV126" s="201"/>
      <c r="FW126" s="125"/>
      <c r="FX126" s="41"/>
      <c r="FY126" s="41"/>
      <c r="FZ126" s="41"/>
      <c r="GA126" s="41"/>
      <c r="GB126" s="199"/>
      <c r="GC126" s="201"/>
      <c r="GD126" s="125"/>
      <c r="GE126" s="41"/>
      <c r="GF126" s="41"/>
      <c r="GG126" s="41"/>
      <c r="GH126" s="41"/>
      <c r="GI126" s="199"/>
      <c r="GJ126" s="201"/>
      <c r="GK126" s="125"/>
      <c r="GL126" s="41"/>
      <c r="GM126" s="41"/>
      <c r="GN126" s="41"/>
      <c r="GO126" s="41"/>
      <c r="GP126" s="199"/>
      <c r="GQ126" s="201"/>
      <c r="GR126" s="125"/>
      <c r="GS126" s="41"/>
      <c r="GT126" s="41"/>
      <c r="GU126" s="41"/>
      <c r="GV126" s="41"/>
      <c r="GW126" s="199"/>
      <c r="GX126" s="201"/>
      <c r="GY126" s="125"/>
      <c r="GZ126" s="41"/>
      <c r="HA126" s="41"/>
      <c r="HB126" s="41"/>
      <c r="HC126" s="41"/>
      <c r="HD126" s="199"/>
      <c r="HE126" s="201"/>
    </row>
    <row r="127" spans="2:213" x14ac:dyDescent="0.3">
      <c r="B127" s="24" t="s">
        <v>18</v>
      </c>
      <c r="C127" s="25">
        <v>35</v>
      </c>
      <c r="D127" s="26" t="s">
        <v>19</v>
      </c>
      <c r="E127" s="27" t="str">
        <f t="shared" si="9"/>
        <v>IX</v>
      </c>
      <c r="F127" s="193" t="s">
        <v>60</v>
      </c>
      <c r="G127" s="183" t="s">
        <v>79</v>
      </c>
      <c r="H127" s="146" t="s">
        <v>88</v>
      </c>
      <c r="I127" s="157" t="s">
        <v>309</v>
      </c>
      <c r="J127" s="158" t="s">
        <v>310</v>
      </c>
      <c r="K127" s="125" t="s">
        <v>459</v>
      </c>
      <c r="L127" s="41" t="s">
        <v>459</v>
      </c>
      <c r="M127" s="41" t="s">
        <v>459</v>
      </c>
      <c r="N127" s="41" t="s">
        <v>459</v>
      </c>
      <c r="O127" s="41" t="s">
        <v>459</v>
      </c>
      <c r="P127" s="199"/>
      <c r="Q127" s="201"/>
      <c r="R127" s="125" t="s">
        <v>459</v>
      </c>
      <c r="S127" s="41" t="s">
        <v>459</v>
      </c>
      <c r="T127" s="41" t="s">
        <v>459</v>
      </c>
      <c r="U127" s="41" t="s">
        <v>459</v>
      </c>
      <c r="V127" s="41" t="s">
        <v>459</v>
      </c>
      <c r="W127" s="199"/>
      <c r="X127" s="201"/>
      <c r="Y127" s="125"/>
      <c r="Z127" s="41"/>
      <c r="AA127" s="41"/>
      <c r="AB127" s="41"/>
      <c r="AC127" s="41"/>
      <c r="AD127" s="199"/>
      <c r="AE127" s="201"/>
      <c r="AF127" s="125"/>
      <c r="AG127" s="41"/>
      <c r="AH127" s="41"/>
      <c r="AI127" s="41"/>
      <c r="AJ127" s="41"/>
      <c r="AK127" s="199"/>
      <c r="AL127" s="201"/>
      <c r="AM127" s="125"/>
      <c r="AN127" s="41"/>
      <c r="AO127" s="41"/>
      <c r="AP127" s="41"/>
      <c r="AQ127" s="41"/>
      <c r="AR127" s="199"/>
      <c r="AS127" s="201"/>
      <c r="AT127" s="125"/>
      <c r="AU127" s="41"/>
      <c r="AV127" s="41"/>
      <c r="AW127" s="41"/>
      <c r="AX127" s="41"/>
      <c r="AY127" s="199"/>
      <c r="AZ127" s="201"/>
      <c r="BA127" s="125"/>
      <c r="BB127" s="41"/>
      <c r="BC127" s="41"/>
      <c r="BD127" s="41"/>
      <c r="BE127" s="41"/>
      <c r="BF127" s="199"/>
      <c r="BG127" s="201"/>
      <c r="BH127" s="125"/>
      <c r="BI127" s="41"/>
      <c r="BJ127" s="41"/>
      <c r="BK127" s="41"/>
      <c r="BL127" s="41"/>
      <c r="BM127" s="199"/>
      <c r="BN127" s="201"/>
      <c r="BO127" s="125"/>
      <c r="BP127" s="41"/>
      <c r="BQ127" s="41"/>
      <c r="BR127" s="41"/>
      <c r="BS127" s="41"/>
      <c r="BT127" s="199"/>
      <c r="BU127" s="201"/>
      <c r="BV127" s="125"/>
      <c r="BW127" s="41"/>
      <c r="BX127" s="41"/>
      <c r="BY127" s="41"/>
      <c r="BZ127" s="41"/>
      <c r="CA127" s="199"/>
      <c r="CB127" s="201"/>
      <c r="CC127" s="125"/>
      <c r="CD127" s="41"/>
      <c r="CE127" s="41"/>
      <c r="CF127" s="41"/>
      <c r="CG127" s="41"/>
      <c r="CH127" s="199"/>
      <c r="CI127" s="201"/>
      <c r="CJ127" s="125"/>
      <c r="CK127" s="41"/>
      <c r="CL127" s="41"/>
      <c r="CM127" s="41"/>
      <c r="CN127" s="41"/>
      <c r="CO127" s="199"/>
      <c r="CP127" s="201"/>
      <c r="CQ127" s="125"/>
      <c r="CR127" s="41"/>
      <c r="CS127" s="41"/>
      <c r="CT127" s="41"/>
      <c r="CU127" s="41"/>
      <c r="CV127" s="199"/>
      <c r="CW127" s="201"/>
      <c r="CX127" s="125"/>
      <c r="CY127" s="41"/>
      <c r="CZ127" s="41"/>
      <c r="DA127" s="41"/>
      <c r="DB127" s="41"/>
      <c r="DC127" s="199"/>
      <c r="DD127" s="201"/>
      <c r="DE127" s="125"/>
      <c r="DF127" s="41"/>
      <c r="DG127" s="41"/>
      <c r="DH127" s="41"/>
      <c r="DI127" s="41"/>
      <c r="DJ127" s="199"/>
      <c r="DK127" s="201"/>
      <c r="DL127" s="125"/>
      <c r="DM127" s="41"/>
      <c r="DN127" s="41"/>
      <c r="DO127" s="41"/>
      <c r="DP127" s="41"/>
      <c r="DQ127" s="199"/>
      <c r="DR127" s="201"/>
      <c r="DS127" s="125"/>
      <c r="DT127" s="41"/>
      <c r="DU127" s="41"/>
      <c r="DV127" s="41"/>
      <c r="DW127" s="41"/>
      <c r="DX127" s="199"/>
      <c r="DY127" s="201"/>
      <c r="DZ127" s="125"/>
      <c r="EA127" s="41"/>
      <c r="EB127" s="41"/>
      <c r="EC127" s="41"/>
      <c r="ED127" s="41"/>
      <c r="EE127" s="199"/>
      <c r="EF127" s="201"/>
      <c r="EG127" s="125"/>
      <c r="EH127" s="41"/>
      <c r="EI127" s="41"/>
      <c r="EJ127" s="41"/>
      <c r="EK127" s="41"/>
      <c r="EL127" s="199"/>
      <c r="EM127" s="201"/>
      <c r="EN127" s="125"/>
      <c r="EO127" s="41"/>
      <c r="EP127" s="41"/>
      <c r="EQ127" s="41"/>
      <c r="ER127" s="41"/>
      <c r="ES127" s="199"/>
      <c r="ET127" s="201"/>
      <c r="EU127" s="125"/>
      <c r="EV127" s="41"/>
      <c r="EW127" s="41"/>
      <c r="EX127" s="41"/>
      <c r="EY127" s="41"/>
      <c r="EZ127" s="199"/>
      <c r="FA127" s="201"/>
      <c r="FB127" s="125"/>
      <c r="FC127" s="41"/>
      <c r="FD127" s="41"/>
      <c r="FE127" s="41"/>
      <c r="FF127" s="41"/>
      <c r="FG127" s="199"/>
      <c r="FH127" s="201"/>
      <c r="FI127" s="125"/>
      <c r="FJ127" s="41"/>
      <c r="FK127" s="41"/>
      <c r="FL127" s="41"/>
      <c r="FM127" s="41"/>
      <c r="FN127" s="199"/>
      <c r="FO127" s="201"/>
      <c r="FP127" s="125"/>
      <c r="FQ127" s="41"/>
      <c r="FR127" s="41"/>
      <c r="FS127" s="41"/>
      <c r="FT127" s="41"/>
      <c r="FU127" s="199"/>
      <c r="FV127" s="201"/>
      <c r="FW127" s="125"/>
      <c r="FX127" s="41"/>
      <c r="FY127" s="41"/>
      <c r="FZ127" s="41"/>
      <c r="GA127" s="41"/>
      <c r="GB127" s="199"/>
      <c r="GC127" s="201"/>
      <c r="GD127" s="125"/>
      <c r="GE127" s="41"/>
      <c r="GF127" s="41"/>
      <c r="GG127" s="41"/>
      <c r="GH127" s="41"/>
      <c r="GI127" s="199"/>
      <c r="GJ127" s="201"/>
      <c r="GK127" s="125"/>
      <c r="GL127" s="41"/>
      <c r="GM127" s="41"/>
      <c r="GN127" s="41"/>
      <c r="GO127" s="41"/>
      <c r="GP127" s="199"/>
      <c r="GQ127" s="201"/>
      <c r="GR127" s="125"/>
      <c r="GS127" s="41"/>
      <c r="GT127" s="41"/>
      <c r="GU127" s="41"/>
      <c r="GV127" s="41"/>
      <c r="GW127" s="199"/>
      <c r="GX127" s="201"/>
      <c r="GY127" s="125"/>
      <c r="GZ127" s="41"/>
      <c r="HA127" s="41"/>
      <c r="HB127" s="41"/>
      <c r="HC127" s="41"/>
      <c r="HD127" s="199"/>
      <c r="HE127" s="201"/>
    </row>
    <row r="128" spans="2:213" x14ac:dyDescent="0.3">
      <c r="B128" s="24" t="s">
        <v>18</v>
      </c>
      <c r="C128" s="25">
        <v>35</v>
      </c>
      <c r="D128" s="26" t="s">
        <v>19</v>
      </c>
      <c r="E128" s="26" t="str">
        <f t="shared" si="9"/>
        <v>IX</v>
      </c>
      <c r="F128" s="193" t="s">
        <v>60</v>
      </c>
      <c r="G128" s="187" t="s">
        <v>21</v>
      </c>
      <c r="H128" s="146" t="s">
        <v>9</v>
      </c>
      <c r="I128" s="149" t="s">
        <v>167</v>
      </c>
      <c r="J128" s="150" t="s">
        <v>168</v>
      </c>
      <c r="K128" s="125" t="s">
        <v>459</v>
      </c>
      <c r="L128" s="41" t="s">
        <v>459</v>
      </c>
      <c r="M128" s="41" t="s">
        <v>459</v>
      </c>
      <c r="N128" s="41" t="s">
        <v>459</v>
      </c>
      <c r="O128" s="41" t="s">
        <v>459</v>
      </c>
      <c r="P128" s="199"/>
      <c r="Q128" s="201"/>
      <c r="R128" s="125" t="s">
        <v>459</v>
      </c>
      <c r="S128" s="41" t="s">
        <v>459</v>
      </c>
      <c r="T128" s="41" t="s">
        <v>459</v>
      </c>
      <c r="U128" s="41" t="s">
        <v>459</v>
      </c>
      <c r="V128" s="41" t="s">
        <v>459</v>
      </c>
      <c r="W128" s="199"/>
      <c r="X128" s="201"/>
      <c r="Y128" s="125"/>
      <c r="Z128" s="41"/>
      <c r="AA128" s="41"/>
      <c r="AB128" s="41"/>
      <c r="AC128" s="41"/>
      <c r="AD128" s="199"/>
      <c r="AE128" s="201"/>
      <c r="AF128" s="125"/>
      <c r="AG128" s="41"/>
      <c r="AH128" s="41"/>
      <c r="AI128" s="41"/>
      <c r="AJ128" s="41"/>
      <c r="AK128" s="199"/>
      <c r="AL128" s="201"/>
      <c r="AM128" s="125"/>
      <c r="AN128" s="41"/>
      <c r="AO128" s="41"/>
      <c r="AP128" s="41"/>
      <c r="AQ128" s="41"/>
      <c r="AR128" s="199"/>
      <c r="AS128" s="201"/>
      <c r="AT128" s="125"/>
      <c r="AU128" s="41"/>
      <c r="AV128" s="41"/>
      <c r="AW128" s="41"/>
      <c r="AX128" s="41"/>
      <c r="AY128" s="199"/>
      <c r="AZ128" s="201"/>
      <c r="BA128" s="125"/>
      <c r="BB128" s="41"/>
      <c r="BC128" s="41"/>
      <c r="BD128" s="41"/>
      <c r="BE128" s="41"/>
      <c r="BF128" s="199"/>
      <c r="BG128" s="201"/>
      <c r="BH128" s="125"/>
      <c r="BI128" s="41"/>
      <c r="BJ128" s="41"/>
      <c r="BK128" s="41"/>
      <c r="BL128" s="41"/>
      <c r="BM128" s="199"/>
      <c r="BN128" s="201"/>
      <c r="BO128" s="125"/>
      <c r="BP128" s="41"/>
      <c r="BQ128" s="41"/>
      <c r="BR128" s="41"/>
      <c r="BS128" s="41"/>
      <c r="BT128" s="199"/>
      <c r="BU128" s="201"/>
      <c r="BV128" s="125"/>
      <c r="BW128" s="41"/>
      <c r="BX128" s="41"/>
      <c r="BY128" s="41"/>
      <c r="BZ128" s="41"/>
      <c r="CA128" s="199"/>
      <c r="CB128" s="201"/>
      <c r="CC128" s="125"/>
      <c r="CD128" s="41"/>
      <c r="CE128" s="41"/>
      <c r="CF128" s="41"/>
      <c r="CG128" s="41"/>
      <c r="CH128" s="199"/>
      <c r="CI128" s="201"/>
      <c r="CJ128" s="125"/>
      <c r="CK128" s="41"/>
      <c r="CL128" s="41"/>
      <c r="CM128" s="41"/>
      <c r="CN128" s="41"/>
      <c r="CO128" s="199"/>
      <c r="CP128" s="201"/>
      <c r="CQ128" s="125"/>
      <c r="CR128" s="41"/>
      <c r="CS128" s="41"/>
      <c r="CT128" s="41"/>
      <c r="CU128" s="41"/>
      <c r="CV128" s="199"/>
      <c r="CW128" s="201"/>
      <c r="CX128" s="125"/>
      <c r="CY128" s="41"/>
      <c r="CZ128" s="41"/>
      <c r="DA128" s="41"/>
      <c r="DB128" s="41"/>
      <c r="DC128" s="199"/>
      <c r="DD128" s="201"/>
      <c r="DE128" s="125"/>
      <c r="DF128" s="41"/>
      <c r="DG128" s="41"/>
      <c r="DH128" s="41"/>
      <c r="DI128" s="41"/>
      <c r="DJ128" s="199"/>
      <c r="DK128" s="201"/>
      <c r="DL128" s="125"/>
      <c r="DM128" s="41"/>
      <c r="DN128" s="41"/>
      <c r="DO128" s="41"/>
      <c r="DP128" s="41"/>
      <c r="DQ128" s="199"/>
      <c r="DR128" s="201"/>
      <c r="DS128" s="125"/>
      <c r="DT128" s="41"/>
      <c r="DU128" s="41"/>
      <c r="DV128" s="41"/>
      <c r="DW128" s="41"/>
      <c r="DX128" s="199"/>
      <c r="DY128" s="201"/>
      <c r="DZ128" s="125"/>
      <c r="EA128" s="41"/>
      <c r="EB128" s="41"/>
      <c r="EC128" s="41"/>
      <c r="ED128" s="41"/>
      <c r="EE128" s="199"/>
      <c r="EF128" s="201"/>
      <c r="EG128" s="125"/>
      <c r="EH128" s="41"/>
      <c r="EI128" s="41"/>
      <c r="EJ128" s="41"/>
      <c r="EK128" s="41"/>
      <c r="EL128" s="199"/>
      <c r="EM128" s="201"/>
      <c r="EN128" s="125"/>
      <c r="EO128" s="41"/>
      <c r="EP128" s="41"/>
      <c r="EQ128" s="41"/>
      <c r="ER128" s="41"/>
      <c r="ES128" s="199"/>
      <c r="ET128" s="201"/>
      <c r="EU128" s="125"/>
      <c r="EV128" s="41"/>
      <c r="EW128" s="41"/>
      <c r="EX128" s="41"/>
      <c r="EY128" s="41"/>
      <c r="EZ128" s="199"/>
      <c r="FA128" s="201"/>
      <c r="FB128" s="125"/>
      <c r="FC128" s="41"/>
      <c r="FD128" s="41"/>
      <c r="FE128" s="41"/>
      <c r="FF128" s="41"/>
      <c r="FG128" s="199"/>
      <c r="FH128" s="201"/>
      <c r="FI128" s="125"/>
      <c r="FJ128" s="41"/>
      <c r="FK128" s="41"/>
      <c r="FL128" s="41"/>
      <c r="FM128" s="41"/>
      <c r="FN128" s="199"/>
      <c r="FO128" s="201"/>
      <c r="FP128" s="125"/>
      <c r="FQ128" s="41"/>
      <c r="FR128" s="41"/>
      <c r="FS128" s="41"/>
      <c r="FT128" s="41"/>
      <c r="FU128" s="199"/>
      <c r="FV128" s="201"/>
      <c r="FW128" s="125"/>
      <c r="FX128" s="41"/>
      <c r="FY128" s="41"/>
      <c r="FZ128" s="41"/>
      <c r="GA128" s="41"/>
      <c r="GB128" s="199"/>
      <c r="GC128" s="201"/>
      <c r="GD128" s="125"/>
      <c r="GE128" s="41"/>
      <c r="GF128" s="41"/>
      <c r="GG128" s="41"/>
      <c r="GH128" s="41"/>
      <c r="GI128" s="199"/>
      <c r="GJ128" s="201"/>
      <c r="GK128" s="125"/>
      <c r="GL128" s="41"/>
      <c r="GM128" s="41"/>
      <c r="GN128" s="41"/>
      <c r="GO128" s="41"/>
      <c r="GP128" s="199"/>
      <c r="GQ128" s="201"/>
      <c r="GR128" s="125"/>
      <c r="GS128" s="41"/>
      <c r="GT128" s="41"/>
      <c r="GU128" s="41"/>
      <c r="GV128" s="41"/>
      <c r="GW128" s="199"/>
      <c r="GX128" s="201"/>
      <c r="GY128" s="125"/>
      <c r="GZ128" s="41"/>
      <c r="HA128" s="41"/>
      <c r="HB128" s="41"/>
      <c r="HC128" s="41"/>
      <c r="HD128" s="199"/>
      <c r="HE128" s="201"/>
    </row>
    <row r="129" spans="2:213" x14ac:dyDescent="0.3">
      <c r="B129" s="24" t="s">
        <v>18</v>
      </c>
      <c r="C129" s="25">
        <v>35</v>
      </c>
      <c r="D129" s="26" t="s">
        <v>19</v>
      </c>
      <c r="E129" s="27" t="str">
        <f t="shared" si="9"/>
        <v>IX</v>
      </c>
      <c r="F129" s="193" t="s">
        <v>60</v>
      </c>
      <c r="G129" s="187" t="s">
        <v>21</v>
      </c>
      <c r="H129" s="146" t="s">
        <v>35</v>
      </c>
      <c r="I129" s="159" t="s">
        <v>207</v>
      </c>
      <c r="J129" s="160" t="s">
        <v>208</v>
      </c>
      <c r="K129" s="125" t="s">
        <v>459</v>
      </c>
      <c r="L129" s="41" t="s">
        <v>459</v>
      </c>
      <c r="M129" s="41" t="s">
        <v>459</v>
      </c>
      <c r="N129" s="41" t="s">
        <v>459</v>
      </c>
      <c r="O129" s="41" t="s">
        <v>459</v>
      </c>
      <c r="P129" s="199"/>
      <c r="Q129" s="200"/>
      <c r="R129" s="125" t="s">
        <v>459</v>
      </c>
      <c r="S129" s="41" t="s">
        <v>459</v>
      </c>
      <c r="T129" s="41" t="s">
        <v>459</v>
      </c>
      <c r="U129" s="41" t="s">
        <v>459</v>
      </c>
      <c r="V129" s="41" t="s">
        <v>459</v>
      </c>
      <c r="W129" s="199"/>
      <c r="X129" s="200"/>
      <c r="Y129" s="125"/>
      <c r="Z129" s="41"/>
      <c r="AA129" s="41"/>
      <c r="AB129" s="41"/>
      <c r="AC129" s="41"/>
      <c r="AD129" s="199"/>
      <c r="AE129" s="200"/>
      <c r="AF129" s="125"/>
      <c r="AG129" s="41"/>
      <c r="AH129" s="41"/>
      <c r="AI129" s="41"/>
      <c r="AJ129" s="41"/>
      <c r="AK129" s="199"/>
      <c r="AL129" s="200"/>
      <c r="AM129" s="125"/>
      <c r="AN129" s="41"/>
      <c r="AO129" s="41"/>
      <c r="AP129" s="41"/>
      <c r="AQ129" s="41"/>
      <c r="AR129" s="199"/>
      <c r="AS129" s="200"/>
      <c r="AT129" s="125"/>
      <c r="AU129" s="41"/>
      <c r="AV129" s="41"/>
      <c r="AW129" s="41"/>
      <c r="AX129" s="41"/>
      <c r="AY129" s="199"/>
      <c r="AZ129" s="200"/>
      <c r="BA129" s="125"/>
      <c r="BB129" s="41"/>
      <c r="BC129" s="41"/>
      <c r="BD129" s="41"/>
      <c r="BE129" s="41"/>
      <c r="BF129" s="199"/>
      <c r="BG129" s="200"/>
      <c r="BH129" s="125"/>
      <c r="BI129" s="41"/>
      <c r="BJ129" s="41"/>
      <c r="BK129" s="41"/>
      <c r="BL129" s="41"/>
      <c r="BM129" s="199"/>
      <c r="BN129" s="200"/>
      <c r="BO129" s="125"/>
      <c r="BP129" s="41"/>
      <c r="BQ129" s="41"/>
      <c r="BR129" s="41"/>
      <c r="BS129" s="41"/>
      <c r="BT129" s="199"/>
      <c r="BU129" s="200"/>
      <c r="BV129" s="125"/>
      <c r="BW129" s="41"/>
      <c r="BX129" s="41"/>
      <c r="BY129" s="41"/>
      <c r="BZ129" s="41"/>
      <c r="CA129" s="199"/>
      <c r="CB129" s="200"/>
      <c r="CC129" s="125"/>
      <c r="CD129" s="41"/>
      <c r="CE129" s="41"/>
      <c r="CF129" s="41"/>
      <c r="CG129" s="41"/>
      <c r="CH129" s="199"/>
      <c r="CI129" s="200"/>
      <c r="CJ129" s="125"/>
      <c r="CK129" s="41"/>
      <c r="CL129" s="41"/>
      <c r="CM129" s="41"/>
      <c r="CN129" s="41"/>
      <c r="CO129" s="199"/>
      <c r="CP129" s="200"/>
      <c r="CQ129" s="125"/>
      <c r="CR129" s="41"/>
      <c r="CS129" s="41"/>
      <c r="CT129" s="41"/>
      <c r="CU129" s="41"/>
      <c r="CV129" s="199"/>
      <c r="CW129" s="200"/>
      <c r="CX129" s="125"/>
      <c r="CY129" s="41"/>
      <c r="CZ129" s="41"/>
      <c r="DA129" s="41"/>
      <c r="DB129" s="41"/>
      <c r="DC129" s="199"/>
      <c r="DD129" s="200"/>
      <c r="DE129" s="125"/>
      <c r="DF129" s="41"/>
      <c r="DG129" s="41"/>
      <c r="DH129" s="41"/>
      <c r="DI129" s="41"/>
      <c r="DJ129" s="199"/>
      <c r="DK129" s="200"/>
      <c r="DL129" s="125"/>
      <c r="DM129" s="41"/>
      <c r="DN129" s="41"/>
      <c r="DO129" s="41"/>
      <c r="DP129" s="41"/>
      <c r="DQ129" s="199"/>
      <c r="DR129" s="200"/>
      <c r="DS129" s="125"/>
      <c r="DT129" s="41"/>
      <c r="DU129" s="41"/>
      <c r="DV129" s="41"/>
      <c r="DW129" s="41"/>
      <c r="DX129" s="199"/>
      <c r="DY129" s="200"/>
      <c r="DZ129" s="125"/>
      <c r="EA129" s="41"/>
      <c r="EB129" s="41"/>
      <c r="EC129" s="41"/>
      <c r="ED129" s="41"/>
      <c r="EE129" s="199"/>
      <c r="EF129" s="200"/>
      <c r="EG129" s="125"/>
      <c r="EH129" s="41"/>
      <c r="EI129" s="41"/>
      <c r="EJ129" s="41"/>
      <c r="EK129" s="41"/>
      <c r="EL129" s="199"/>
      <c r="EM129" s="200"/>
      <c r="EN129" s="125"/>
      <c r="EO129" s="41"/>
      <c r="EP129" s="41"/>
      <c r="EQ129" s="41"/>
      <c r="ER129" s="41"/>
      <c r="ES129" s="199"/>
      <c r="ET129" s="200"/>
      <c r="EU129" s="125"/>
      <c r="EV129" s="41"/>
      <c r="EW129" s="41"/>
      <c r="EX129" s="41"/>
      <c r="EY129" s="41"/>
      <c r="EZ129" s="199"/>
      <c r="FA129" s="200"/>
      <c r="FB129" s="125"/>
      <c r="FC129" s="41"/>
      <c r="FD129" s="41"/>
      <c r="FE129" s="41"/>
      <c r="FF129" s="41"/>
      <c r="FG129" s="199"/>
      <c r="FH129" s="200"/>
      <c r="FI129" s="125"/>
      <c r="FJ129" s="41"/>
      <c r="FK129" s="41"/>
      <c r="FL129" s="41"/>
      <c r="FM129" s="41"/>
      <c r="FN129" s="199"/>
      <c r="FO129" s="200"/>
      <c r="FP129" s="125"/>
      <c r="FQ129" s="41"/>
      <c r="FR129" s="41"/>
      <c r="FS129" s="41"/>
      <c r="FT129" s="41"/>
      <c r="FU129" s="199"/>
      <c r="FV129" s="200"/>
      <c r="FW129" s="125"/>
      <c r="FX129" s="41"/>
      <c r="FY129" s="41"/>
      <c r="FZ129" s="41"/>
      <c r="GA129" s="41"/>
      <c r="GB129" s="199"/>
      <c r="GC129" s="200"/>
      <c r="GD129" s="125"/>
      <c r="GE129" s="41"/>
      <c r="GF129" s="41"/>
      <c r="GG129" s="41"/>
      <c r="GH129" s="41"/>
      <c r="GI129" s="199"/>
      <c r="GJ129" s="200"/>
      <c r="GK129" s="125"/>
      <c r="GL129" s="41"/>
      <c r="GM129" s="41"/>
      <c r="GN129" s="41"/>
      <c r="GO129" s="41"/>
      <c r="GP129" s="199"/>
      <c r="GQ129" s="200"/>
      <c r="GR129" s="125"/>
      <c r="GS129" s="41"/>
      <c r="GT129" s="41"/>
      <c r="GU129" s="41"/>
      <c r="GV129" s="41"/>
      <c r="GW129" s="199"/>
      <c r="GX129" s="200"/>
      <c r="GY129" s="125"/>
      <c r="GZ129" s="41"/>
      <c r="HA129" s="41"/>
      <c r="HB129" s="41"/>
      <c r="HC129" s="41"/>
      <c r="HD129" s="199"/>
      <c r="HE129" s="200"/>
    </row>
    <row r="130" spans="2:213" x14ac:dyDescent="0.3">
      <c r="B130" s="65" t="s">
        <v>18</v>
      </c>
      <c r="C130" s="25">
        <v>35</v>
      </c>
      <c r="D130" s="26" t="s">
        <v>19</v>
      </c>
      <c r="E130" s="27" t="str">
        <f t="shared" si="9"/>
        <v>IX</v>
      </c>
      <c r="F130" s="193" t="s">
        <v>60</v>
      </c>
      <c r="G130" s="187" t="s">
        <v>29</v>
      </c>
      <c r="H130" s="146" t="s">
        <v>9</v>
      </c>
      <c r="I130" s="149" t="s">
        <v>74</v>
      </c>
      <c r="J130" s="150" t="s">
        <v>75</v>
      </c>
      <c r="K130" s="125" t="s">
        <v>459</v>
      </c>
      <c r="L130" s="41" t="s">
        <v>459</v>
      </c>
      <c r="M130" s="41" t="s">
        <v>459</v>
      </c>
      <c r="N130" s="41" t="s">
        <v>459</v>
      </c>
      <c r="O130" s="41" t="s">
        <v>459</v>
      </c>
      <c r="P130" s="199"/>
      <c r="Q130" s="200"/>
      <c r="R130" s="125" t="s">
        <v>459</v>
      </c>
      <c r="S130" s="41" t="s">
        <v>459</v>
      </c>
      <c r="T130" s="41" t="s">
        <v>459</v>
      </c>
      <c r="U130" s="41" t="s">
        <v>459</v>
      </c>
      <c r="V130" s="41" t="s">
        <v>459</v>
      </c>
      <c r="W130" s="199"/>
      <c r="X130" s="200"/>
      <c r="Y130" s="125"/>
      <c r="Z130" s="41"/>
      <c r="AA130" s="41"/>
      <c r="AB130" s="41"/>
      <c r="AC130" s="41"/>
      <c r="AD130" s="199"/>
      <c r="AE130" s="200"/>
      <c r="AF130" s="125"/>
      <c r="AG130" s="41"/>
      <c r="AH130" s="41"/>
      <c r="AI130" s="41"/>
      <c r="AJ130" s="41"/>
      <c r="AK130" s="199"/>
      <c r="AL130" s="200"/>
      <c r="AM130" s="125"/>
      <c r="AN130" s="41"/>
      <c r="AO130" s="41"/>
      <c r="AP130" s="41"/>
      <c r="AQ130" s="41"/>
      <c r="AR130" s="199"/>
      <c r="AS130" s="200"/>
      <c r="AT130" s="125"/>
      <c r="AU130" s="41"/>
      <c r="AV130" s="41"/>
      <c r="AW130" s="41"/>
      <c r="AX130" s="41"/>
      <c r="AY130" s="199"/>
      <c r="AZ130" s="200"/>
      <c r="BA130" s="125"/>
      <c r="BB130" s="41"/>
      <c r="BC130" s="41"/>
      <c r="BD130" s="41"/>
      <c r="BE130" s="41"/>
      <c r="BF130" s="199"/>
      <c r="BG130" s="200"/>
      <c r="BH130" s="125"/>
      <c r="BI130" s="41"/>
      <c r="BJ130" s="41"/>
      <c r="BK130" s="41"/>
      <c r="BL130" s="41"/>
      <c r="BM130" s="199"/>
      <c r="BN130" s="200"/>
      <c r="BO130" s="125"/>
      <c r="BP130" s="41"/>
      <c r="BQ130" s="41"/>
      <c r="BR130" s="41"/>
      <c r="BS130" s="41"/>
      <c r="BT130" s="199"/>
      <c r="BU130" s="200"/>
      <c r="BV130" s="125"/>
      <c r="BW130" s="41"/>
      <c r="BX130" s="41"/>
      <c r="BY130" s="41"/>
      <c r="BZ130" s="41"/>
      <c r="CA130" s="199"/>
      <c r="CB130" s="200"/>
      <c r="CC130" s="125"/>
      <c r="CD130" s="41"/>
      <c r="CE130" s="41"/>
      <c r="CF130" s="41"/>
      <c r="CG130" s="41"/>
      <c r="CH130" s="199"/>
      <c r="CI130" s="200"/>
      <c r="CJ130" s="125"/>
      <c r="CK130" s="41"/>
      <c r="CL130" s="41"/>
      <c r="CM130" s="41"/>
      <c r="CN130" s="41"/>
      <c r="CO130" s="199"/>
      <c r="CP130" s="200"/>
      <c r="CQ130" s="125"/>
      <c r="CR130" s="41"/>
      <c r="CS130" s="41"/>
      <c r="CT130" s="41"/>
      <c r="CU130" s="41"/>
      <c r="CV130" s="199"/>
      <c r="CW130" s="200"/>
      <c r="CX130" s="125"/>
      <c r="CY130" s="41"/>
      <c r="CZ130" s="41"/>
      <c r="DA130" s="41"/>
      <c r="DB130" s="41"/>
      <c r="DC130" s="199"/>
      <c r="DD130" s="200"/>
      <c r="DE130" s="125"/>
      <c r="DF130" s="41"/>
      <c r="DG130" s="41"/>
      <c r="DH130" s="41"/>
      <c r="DI130" s="41"/>
      <c r="DJ130" s="199"/>
      <c r="DK130" s="200"/>
      <c r="DL130" s="125"/>
      <c r="DM130" s="41"/>
      <c r="DN130" s="41"/>
      <c r="DO130" s="41"/>
      <c r="DP130" s="41"/>
      <c r="DQ130" s="199"/>
      <c r="DR130" s="200"/>
      <c r="DS130" s="125"/>
      <c r="DT130" s="41"/>
      <c r="DU130" s="41"/>
      <c r="DV130" s="41"/>
      <c r="DW130" s="41"/>
      <c r="DX130" s="199"/>
      <c r="DY130" s="200"/>
      <c r="DZ130" s="125"/>
      <c r="EA130" s="41"/>
      <c r="EB130" s="41"/>
      <c r="EC130" s="41"/>
      <c r="ED130" s="41"/>
      <c r="EE130" s="199"/>
      <c r="EF130" s="200"/>
      <c r="EG130" s="125"/>
      <c r="EH130" s="41"/>
      <c r="EI130" s="41"/>
      <c r="EJ130" s="41"/>
      <c r="EK130" s="41"/>
      <c r="EL130" s="199"/>
      <c r="EM130" s="200"/>
      <c r="EN130" s="125"/>
      <c r="EO130" s="41"/>
      <c r="EP130" s="41"/>
      <c r="EQ130" s="41"/>
      <c r="ER130" s="41"/>
      <c r="ES130" s="199"/>
      <c r="ET130" s="200"/>
      <c r="EU130" s="125"/>
      <c r="EV130" s="41"/>
      <c r="EW130" s="41"/>
      <c r="EX130" s="41"/>
      <c r="EY130" s="41"/>
      <c r="EZ130" s="199"/>
      <c r="FA130" s="200"/>
      <c r="FB130" s="125"/>
      <c r="FC130" s="41"/>
      <c r="FD130" s="41"/>
      <c r="FE130" s="41"/>
      <c r="FF130" s="41"/>
      <c r="FG130" s="199"/>
      <c r="FH130" s="200"/>
      <c r="FI130" s="125"/>
      <c r="FJ130" s="41"/>
      <c r="FK130" s="41"/>
      <c r="FL130" s="41"/>
      <c r="FM130" s="41"/>
      <c r="FN130" s="199"/>
      <c r="FO130" s="200"/>
      <c r="FP130" s="125"/>
      <c r="FQ130" s="41"/>
      <c r="FR130" s="41"/>
      <c r="FS130" s="41"/>
      <c r="FT130" s="41"/>
      <c r="FU130" s="199"/>
      <c r="FV130" s="200"/>
      <c r="FW130" s="125"/>
      <c r="FX130" s="41"/>
      <c r="FY130" s="41"/>
      <c r="FZ130" s="41"/>
      <c r="GA130" s="41"/>
      <c r="GB130" s="199"/>
      <c r="GC130" s="200"/>
      <c r="GD130" s="125"/>
      <c r="GE130" s="41"/>
      <c r="GF130" s="41"/>
      <c r="GG130" s="41"/>
      <c r="GH130" s="41"/>
      <c r="GI130" s="199"/>
      <c r="GJ130" s="200"/>
      <c r="GK130" s="125"/>
      <c r="GL130" s="41"/>
      <c r="GM130" s="41"/>
      <c r="GN130" s="41"/>
      <c r="GO130" s="41"/>
      <c r="GP130" s="199"/>
      <c r="GQ130" s="200"/>
      <c r="GR130" s="125"/>
      <c r="GS130" s="41"/>
      <c r="GT130" s="41"/>
      <c r="GU130" s="41"/>
      <c r="GV130" s="41"/>
      <c r="GW130" s="199"/>
      <c r="GX130" s="200"/>
      <c r="GY130" s="125"/>
      <c r="GZ130" s="41"/>
      <c r="HA130" s="41"/>
      <c r="HB130" s="41"/>
      <c r="HC130" s="41"/>
      <c r="HD130" s="199"/>
      <c r="HE130" s="200"/>
    </row>
    <row r="131" spans="2:213" ht="15" thickBot="1" x14ac:dyDescent="0.35">
      <c r="B131" s="24" t="s">
        <v>18</v>
      </c>
      <c r="C131" s="25">
        <v>35</v>
      </c>
      <c r="D131" s="26" t="s">
        <v>19</v>
      </c>
      <c r="E131" s="27" t="str">
        <f t="shared" si="9"/>
        <v>IX</v>
      </c>
      <c r="F131" s="195" t="s">
        <v>60</v>
      </c>
      <c r="G131" s="190" t="s">
        <v>29</v>
      </c>
      <c r="H131" s="146" t="s">
        <v>9</v>
      </c>
      <c r="I131" s="168" t="s">
        <v>298</v>
      </c>
      <c r="J131" s="169" t="s">
        <v>55</v>
      </c>
      <c r="K131" s="125" t="s">
        <v>459</v>
      </c>
      <c r="L131" s="41" t="s">
        <v>459</v>
      </c>
      <c r="M131" s="41" t="s">
        <v>459</v>
      </c>
      <c r="N131" s="41" t="s">
        <v>459</v>
      </c>
      <c r="O131" s="41" t="s">
        <v>459</v>
      </c>
      <c r="P131" s="202"/>
      <c r="Q131" s="203"/>
      <c r="R131" s="125" t="s">
        <v>459</v>
      </c>
      <c r="S131" s="41" t="s">
        <v>459</v>
      </c>
      <c r="T131" s="41" t="s">
        <v>459</v>
      </c>
      <c r="U131" s="41" t="s">
        <v>459</v>
      </c>
      <c r="V131" s="41" t="s">
        <v>459</v>
      </c>
      <c r="W131" s="202"/>
      <c r="X131" s="203"/>
      <c r="Y131" s="125"/>
      <c r="Z131" s="41"/>
      <c r="AA131" s="41"/>
      <c r="AB131" s="41"/>
      <c r="AC131" s="41"/>
      <c r="AD131" s="202"/>
      <c r="AE131" s="203"/>
      <c r="AF131" s="125"/>
      <c r="AG131" s="41"/>
      <c r="AH131" s="41"/>
      <c r="AI131" s="41"/>
      <c r="AJ131" s="41"/>
      <c r="AK131" s="202"/>
      <c r="AL131" s="203"/>
      <c r="AM131" s="125"/>
      <c r="AN131" s="41"/>
      <c r="AO131" s="41"/>
      <c r="AP131" s="41"/>
      <c r="AQ131" s="41"/>
      <c r="AR131" s="202"/>
      <c r="AS131" s="203"/>
      <c r="AT131" s="125"/>
      <c r="AU131" s="41"/>
      <c r="AV131" s="41"/>
      <c r="AW131" s="41"/>
      <c r="AX131" s="41"/>
      <c r="AY131" s="202"/>
      <c r="AZ131" s="203"/>
      <c r="BA131" s="125"/>
      <c r="BB131" s="41"/>
      <c r="BC131" s="41"/>
      <c r="BD131" s="41"/>
      <c r="BE131" s="41"/>
      <c r="BF131" s="202"/>
      <c r="BG131" s="203"/>
      <c r="BH131" s="125"/>
      <c r="BI131" s="41"/>
      <c r="BJ131" s="41"/>
      <c r="BK131" s="41"/>
      <c r="BL131" s="41"/>
      <c r="BM131" s="202"/>
      <c r="BN131" s="203"/>
      <c r="BO131" s="125"/>
      <c r="BP131" s="41"/>
      <c r="BQ131" s="41"/>
      <c r="BR131" s="41"/>
      <c r="BS131" s="41"/>
      <c r="BT131" s="202"/>
      <c r="BU131" s="203"/>
      <c r="BV131" s="125"/>
      <c r="BW131" s="41"/>
      <c r="BX131" s="41"/>
      <c r="BY131" s="41"/>
      <c r="BZ131" s="41"/>
      <c r="CA131" s="202"/>
      <c r="CB131" s="203"/>
      <c r="CC131" s="125"/>
      <c r="CD131" s="41"/>
      <c r="CE131" s="41"/>
      <c r="CF131" s="41"/>
      <c r="CG131" s="41"/>
      <c r="CH131" s="202"/>
      <c r="CI131" s="203"/>
      <c r="CJ131" s="125"/>
      <c r="CK131" s="41"/>
      <c r="CL131" s="41"/>
      <c r="CM131" s="41"/>
      <c r="CN131" s="41"/>
      <c r="CO131" s="202"/>
      <c r="CP131" s="203"/>
      <c r="CQ131" s="125"/>
      <c r="CR131" s="41"/>
      <c r="CS131" s="41"/>
      <c r="CT131" s="41"/>
      <c r="CU131" s="41"/>
      <c r="CV131" s="202"/>
      <c r="CW131" s="203"/>
      <c r="CX131" s="125"/>
      <c r="CY131" s="41"/>
      <c r="CZ131" s="41"/>
      <c r="DA131" s="41"/>
      <c r="DB131" s="41"/>
      <c r="DC131" s="202"/>
      <c r="DD131" s="203"/>
      <c r="DE131" s="125"/>
      <c r="DF131" s="41"/>
      <c r="DG131" s="41"/>
      <c r="DH131" s="41"/>
      <c r="DI131" s="41"/>
      <c r="DJ131" s="202"/>
      <c r="DK131" s="203"/>
      <c r="DL131" s="125"/>
      <c r="DM131" s="41"/>
      <c r="DN131" s="41"/>
      <c r="DO131" s="41"/>
      <c r="DP131" s="41"/>
      <c r="DQ131" s="202"/>
      <c r="DR131" s="203"/>
      <c r="DS131" s="125"/>
      <c r="DT131" s="41"/>
      <c r="DU131" s="41"/>
      <c r="DV131" s="41"/>
      <c r="DW131" s="41"/>
      <c r="DX131" s="202"/>
      <c r="DY131" s="203"/>
      <c r="DZ131" s="125"/>
      <c r="EA131" s="41"/>
      <c r="EB131" s="41"/>
      <c r="EC131" s="41"/>
      <c r="ED131" s="41"/>
      <c r="EE131" s="202"/>
      <c r="EF131" s="203"/>
      <c r="EG131" s="125"/>
      <c r="EH131" s="41"/>
      <c r="EI131" s="41"/>
      <c r="EJ131" s="41"/>
      <c r="EK131" s="41"/>
      <c r="EL131" s="202"/>
      <c r="EM131" s="203"/>
      <c r="EN131" s="125"/>
      <c r="EO131" s="41"/>
      <c r="EP131" s="41"/>
      <c r="EQ131" s="41"/>
      <c r="ER131" s="41"/>
      <c r="ES131" s="202"/>
      <c r="ET131" s="203"/>
      <c r="EU131" s="125"/>
      <c r="EV131" s="41"/>
      <c r="EW131" s="41"/>
      <c r="EX131" s="41"/>
      <c r="EY131" s="41"/>
      <c r="EZ131" s="202"/>
      <c r="FA131" s="203"/>
      <c r="FB131" s="125"/>
      <c r="FC131" s="41"/>
      <c r="FD131" s="41"/>
      <c r="FE131" s="41"/>
      <c r="FF131" s="41"/>
      <c r="FG131" s="202"/>
      <c r="FH131" s="203"/>
      <c r="FI131" s="125"/>
      <c r="FJ131" s="41"/>
      <c r="FK131" s="41"/>
      <c r="FL131" s="41"/>
      <c r="FM131" s="41"/>
      <c r="FN131" s="202"/>
      <c r="FO131" s="203"/>
      <c r="FP131" s="125"/>
      <c r="FQ131" s="41"/>
      <c r="FR131" s="41"/>
      <c r="FS131" s="41"/>
      <c r="FT131" s="41"/>
      <c r="FU131" s="202"/>
      <c r="FV131" s="203"/>
      <c r="FW131" s="125"/>
      <c r="FX131" s="41"/>
      <c r="FY131" s="41"/>
      <c r="FZ131" s="41"/>
      <c r="GA131" s="41"/>
      <c r="GB131" s="202"/>
      <c r="GC131" s="203"/>
      <c r="GD131" s="125"/>
      <c r="GE131" s="41"/>
      <c r="GF131" s="41"/>
      <c r="GG131" s="41"/>
      <c r="GH131" s="41"/>
      <c r="GI131" s="202"/>
      <c r="GJ131" s="203"/>
      <c r="GK131" s="125"/>
      <c r="GL131" s="41"/>
      <c r="GM131" s="41"/>
      <c r="GN131" s="41"/>
      <c r="GO131" s="41"/>
      <c r="GP131" s="202"/>
      <c r="GQ131" s="203"/>
      <c r="GR131" s="125"/>
      <c r="GS131" s="41"/>
      <c r="GT131" s="41"/>
      <c r="GU131" s="41"/>
      <c r="GV131" s="41"/>
      <c r="GW131" s="202"/>
      <c r="GX131" s="203"/>
      <c r="GY131" s="125"/>
      <c r="GZ131" s="41"/>
      <c r="HA131" s="41"/>
      <c r="HB131" s="41"/>
      <c r="HC131" s="41"/>
      <c r="HD131" s="202"/>
      <c r="HE131" s="203"/>
    </row>
  </sheetData>
  <autoFilter ref="F4:AE131" xr:uid="{B6AE03AC-4A18-45D4-9A39-5F5C716D4FEF}"/>
  <mergeCells count="29">
    <mergeCell ref="GR2:GX2"/>
    <mergeCell ref="GY2:HE2"/>
    <mergeCell ref="FI2:FO2"/>
    <mergeCell ref="FP2:FV2"/>
    <mergeCell ref="FW2:GC2"/>
    <mergeCell ref="GD2:GJ2"/>
    <mergeCell ref="GK2:GQ2"/>
    <mergeCell ref="DZ2:EF2"/>
    <mergeCell ref="EG2:EM2"/>
    <mergeCell ref="EN2:ET2"/>
    <mergeCell ref="EU2:FA2"/>
    <mergeCell ref="FB2:FH2"/>
    <mergeCell ref="CQ2:CW2"/>
    <mergeCell ref="CX2:DD2"/>
    <mergeCell ref="DE2:DK2"/>
    <mergeCell ref="DL2:DR2"/>
    <mergeCell ref="DS2:DY2"/>
    <mergeCell ref="CC2:CI2"/>
    <mergeCell ref="CJ2:CP2"/>
    <mergeCell ref="AM2:AS2"/>
    <mergeCell ref="AT2:AZ2"/>
    <mergeCell ref="BA2:BG2"/>
    <mergeCell ref="BH2:BN2"/>
    <mergeCell ref="BO2:BU2"/>
    <mergeCell ref="K2:Q2"/>
    <mergeCell ref="R2:X2"/>
    <mergeCell ref="Y2:AE2"/>
    <mergeCell ref="AF2:AL2"/>
    <mergeCell ref="BV2:CB2"/>
  </mergeCells>
  <phoneticPr fontId="9" type="noConversion"/>
  <conditionalFormatting sqref="G5:G131">
    <cfRule type="cellIs" dxfId="6334" priority="322" operator="equal">
      <formula>"CDD"</formula>
    </cfRule>
    <cfRule type="containsText" dxfId="6333" priority="566" operator="containsText" text="COG">
      <formula>NOT(ISERROR(SEARCH("COG",G5)))</formula>
    </cfRule>
    <cfRule type="containsText" dxfId="6332" priority="567" operator="containsText" text="CDI">
      <formula>NOT(ISERROR(SEARCH(("CDI"),(G5))))</formula>
    </cfRule>
  </conditionalFormatting>
  <conditionalFormatting sqref="K5:O131">
    <cfRule type="containsText" dxfId="6331" priority="333" operator="containsText" text="FILM">
      <formula>NOT(ISERROR(SEARCH("FILM",K5)))</formula>
    </cfRule>
    <cfRule type="containsText" dxfId="6330" priority="334" operator="containsText" text="VRAC">
      <formula>NOT(ISERROR(SEARCH("VRAC",K5)))</formula>
    </cfRule>
    <cfRule type="containsText" dxfId="6329" priority="335" operator="containsText" text="ECH">
      <formula>NOT(ISERROR(SEARCH("ECH",K5)))</formula>
    </cfRule>
    <cfRule type="containsText" dxfId="6328" priority="336" operator="containsText" text="CAR">
      <formula>NOT(ISERROR(SEARCH("CAR",K5)))</formula>
    </cfRule>
    <cfRule type="containsText" dxfId="6327" priority="337" operator="containsText" text="ETIQ">
      <formula>NOT(ISERROR(SEARCH("ETIQ",K5)))</formula>
    </cfRule>
    <cfRule type="containsText" dxfId="6326" priority="338" operator="containsText" text="ENCA">
      <formula>NOT(ISERROR(SEARCH("ENCA",K5)))</formula>
    </cfRule>
    <cfRule type="containsText" dxfId="6325" priority="339" operator="containsText" text="FERIE">
      <formula>NOT(ISERROR(SEARCH("FERIE",K5)))</formula>
    </cfRule>
  </conditionalFormatting>
  <conditionalFormatting sqref="K5:Q1048576 K4:HE4">
    <cfRule type="expression" dxfId="6324" priority="332">
      <formula>OR(K$4="sam.",K$4="dim.")</formula>
    </cfRule>
  </conditionalFormatting>
  <conditionalFormatting sqref="R5:V131">
    <cfRule type="containsText" dxfId="6323" priority="325" operator="containsText" text="FILM">
      <formula>NOT(ISERROR(SEARCH("FILM",R5)))</formula>
    </cfRule>
    <cfRule type="containsText" dxfId="6322" priority="326" operator="containsText" text="VRAC">
      <formula>NOT(ISERROR(SEARCH("VRAC",R5)))</formula>
    </cfRule>
    <cfRule type="containsText" dxfId="6321" priority="327" operator="containsText" text="ECHANT">
      <formula>NOT(ISERROR(SEARCH("ECHANT",R5)))</formula>
    </cfRule>
    <cfRule type="containsText" dxfId="6320" priority="328" operator="containsText" text="CAR">
      <formula>NOT(ISERROR(SEARCH("CAR",R5)))</formula>
    </cfRule>
    <cfRule type="containsText" dxfId="6319" priority="329" operator="containsText" text="AUTRE">
      <formula>NOT(ISERROR(SEARCH("AUTRE",R5)))</formula>
    </cfRule>
    <cfRule type="containsText" dxfId="6318" priority="330" operator="containsText" text="ENCA">
      <formula>NOT(ISERROR(SEARCH("ENCA",R5)))</formula>
    </cfRule>
    <cfRule type="containsText" dxfId="6317" priority="331" operator="containsText" text="FERIE">
      <formula>NOT(ISERROR(SEARCH("FERIE",R5)))</formula>
    </cfRule>
  </conditionalFormatting>
  <conditionalFormatting sqref="R5:X1048576">
    <cfRule type="expression" dxfId="6316" priority="324">
      <formula>OR(R$4="sam.",R$4="dim.")</formula>
    </cfRule>
  </conditionalFormatting>
  <conditionalFormatting sqref="I5:J131">
    <cfRule type="expression" dxfId="6315" priority="321">
      <formula>$F5=PA</formula>
    </cfRule>
  </conditionalFormatting>
  <conditionalFormatting sqref="K5:X131">
    <cfRule type="cellIs" dxfId="6314" priority="320" operator="equal">
      <formula>"A."</formula>
    </cfRule>
  </conditionalFormatting>
  <conditionalFormatting sqref="F5:F131">
    <cfRule type="cellIs" dxfId="6313" priority="316" operator="equal">
      <formula>"PA"</formula>
    </cfRule>
    <cfRule type="cellIs" dxfId="6312" priority="317" operator="equal">
      <formula>"EUP"</formula>
    </cfRule>
    <cfRule type="cellIs" dxfId="6311" priority="318" operator="equal">
      <formula>"CFP"</formula>
    </cfRule>
    <cfRule type="cellIs" dxfId="6310" priority="319" operator="equal">
      <formula>"27O"</formula>
    </cfRule>
  </conditionalFormatting>
  <conditionalFormatting sqref="Y5:AC131">
    <cfRule type="containsText" dxfId="6309" priority="309" operator="containsText" text="FILM">
      <formula>NOT(ISERROR(SEARCH("FILM",Y5)))</formula>
    </cfRule>
    <cfRule type="containsText" dxfId="6308" priority="310" operator="containsText" text="VRAC">
      <formula>NOT(ISERROR(SEARCH("VRAC",Y5)))</formula>
    </cfRule>
    <cfRule type="containsText" dxfId="6307" priority="311" operator="containsText" text="ECHANT">
      <formula>NOT(ISERROR(SEARCH("ECHANT",Y5)))</formula>
    </cfRule>
    <cfRule type="containsText" dxfId="6306" priority="312" operator="containsText" text="CAR">
      <formula>NOT(ISERROR(SEARCH("CAR",Y5)))</formula>
    </cfRule>
    <cfRule type="containsText" dxfId="6305" priority="313" operator="containsText" text="ETIQ">
      <formula>NOT(ISERROR(SEARCH("ETIQ",Y5)))</formula>
    </cfRule>
    <cfRule type="containsText" dxfId="6304" priority="314" operator="containsText" text="ENCA">
      <formula>NOT(ISERROR(SEARCH("ENCA",Y5)))</formula>
    </cfRule>
    <cfRule type="containsText" dxfId="6303" priority="315" operator="containsText" text="FERIE">
      <formula>NOT(ISERROR(SEARCH("FERIE",Y5)))</formula>
    </cfRule>
  </conditionalFormatting>
  <conditionalFormatting sqref="Y132:AE1048576 Y5:AC131">
    <cfRule type="expression" dxfId="6302" priority="308">
      <formula>OR(Y$4="sam.",Y$4="dim.")</formula>
    </cfRule>
  </conditionalFormatting>
  <conditionalFormatting sqref="Y5:AC131">
    <cfRule type="cellIs" dxfId="6301" priority="307" operator="equal">
      <formula>"A."</formula>
    </cfRule>
  </conditionalFormatting>
  <conditionalFormatting sqref="AF5:AJ131">
    <cfRule type="containsText" dxfId="6300" priority="300" operator="containsText" text="FILM">
      <formula>NOT(ISERROR(SEARCH("FILM",AF5)))</formula>
    </cfRule>
    <cfRule type="containsText" dxfId="6299" priority="301" operator="containsText" text="VRAC">
      <formula>NOT(ISERROR(SEARCH("VRAC",AF5)))</formula>
    </cfRule>
    <cfRule type="containsText" dxfId="6298" priority="302" operator="containsText" text="ECHANT">
      <formula>NOT(ISERROR(SEARCH("ECHANT",AF5)))</formula>
    </cfRule>
    <cfRule type="containsText" dxfId="6297" priority="303" operator="containsText" text="CAR">
      <formula>NOT(ISERROR(SEARCH("CAR",AF5)))</formula>
    </cfRule>
    <cfRule type="containsText" dxfId="6296" priority="304" operator="containsText" text="ETIQ">
      <formula>NOT(ISERROR(SEARCH("ETIQ",AF5)))</formula>
    </cfRule>
    <cfRule type="containsText" dxfId="6295" priority="305" operator="containsText" text="ENCA">
      <formula>NOT(ISERROR(SEARCH("ENCA",AF5)))</formula>
    </cfRule>
    <cfRule type="containsText" dxfId="6294" priority="306" operator="containsText" text="FERIE">
      <formula>NOT(ISERROR(SEARCH("FERIE",AF5)))</formula>
    </cfRule>
  </conditionalFormatting>
  <conditionalFormatting sqref="AF132:AL1048576 AF5:AJ131">
    <cfRule type="expression" dxfId="6293" priority="299">
      <formula>OR(AF$4="sam.",AF$4="dim.")</formula>
    </cfRule>
  </conditionalFormatting>
  <conditionalFormatting sqref="AF5:AJ131">
    <cfRule type="cellIs" dxfId="6292" priority="298" operator="equal">
      <formula>"A."</formula>
    </cfRule>
  </conditionalFormatting>
  <conditionalFormatting sqref="AM5:AQ131">
    <cfRule type="containsText" dxfId="6291" priority="291" operator="containsText" text="FILM">
      <formula>NOT(ISERROR(SEARCH("FILM",AM5)))</formula>
    </cfRule>
    <cfRule type="containsText" dxfId="6290" priority="292" operator="containsText" text="VRAC">
      <formula>NOT(ISERROR(SEARCH("VRAC",AM5)))</formula>
    </cfRule>
    <cfRule type="containsText" dxfId="6289" priority="293" operator="containsText" text="ECHANT">
      <formula>NOT(ISERROR(SEARCH("ECHANT",AM5)))</formula>
    </cfRule>
    <cfRule type="containsText" dxfId="6288" priority="294" operator="containsText" text="CAR">
      <formula>NOT(ISERROR(SEARCH("CAR",AM5)))</formula>
    </cfRule>
    <cfRule type="containsText" dxfId="6287" priority="295" operator="containsText" text="ETIQ">
      <formula>NOT(ISERROR(SEARCH("ETIQ",AM5)))</formula>
    </cfRule>
    <cfRule type="containsText" dxfId="6286" priority="296" operator="containsText" text="ENCA">
      <formula>NOT(ISERROR(SEARCH("ENCA",AM5)))</formula>
    </cfRule>
    <cfRule type="containsText" dxfId="6285" priority="297" operator="containsText" text="FERIE">
      <formula>NOT(ISERROR(SEARCH("FERIE",AM5)))</formula>
    </cfRule>
  </conditionalFormatting>
  <conditionalFormatting sqref="AM132:AS1048576 AM5:AQ131">
    <cfRule type="expression" dxfId="6284" priority="290">
      <formula>OR(AM$4="sam.",AM$4="dim.")</formula>
    </cfRule>
  </conditionalFormatting>
  <conditionalFormatting sqref="AM5:AQ131">
    <cfRule type="cellIs" dxfId="6283" priority="289" operator="equal">
      <formula>"A."</formula>
    </cfRule>
  </conditionalFormatting>
  <conditionalFormatting sqref="AT5:AX131">
    <cfRule type="containsText" dxfId="6282" priority="282" operator="containsText" text="FILM">
      <formula>NOT(ISERROR(SEARCH("FILM",AT5)))</formula>
    </cfRule>
    <cfRule type="containsText" dxfId="6281" priority="283" operator="containsText" text="VRAC">
      <formula>NOT(ISERROR(SEARCH("VRAC",AT5)))</formula>
    </cfRule>
    <cfRule type="containsText" dxfId="6280" priority="284" operator="containsText" text="ECHANT">
      <formula>NOT(ISERROR(SEARCH("ECHANT",AT5)))</formula>
    </cfRule>
    <cfRule type="containsText" dxfId="6279" priority="285" operator="containsText" text="CAR">
      <formula>NOT(ISERROR(SEARCH("CAR",AT5)))</formula>
    </cfRule>
    <cfRule type="containsText" dxfId="6278" priority="286" operator="containsText" text="ETIQ">
      <formula>NOT(ISERROR(SEARCH("ETIQ",AT5)))</formula>
    </cfRule>
    <cfRule type="containsText" dxfId="6277" priority="287" operator="containsText" text="ENCA">
      <formula>NOT(ISERROR(SEARCH("ENCA",AT5)))</formula>
    </cfRule>
    <cfRule type="containsText" dxfId="6276" priority="288" operator="containsText" text="FERIE">
      <formula>NOT(ISERROR(SEARCH("FERIE",AT5)))</formula>
    </cfRule>
  </conditionalFormatting>
  <conditionalFormatting sqref="AT132:AZ1048576 AT5:AX131">
    <cfRule type="expression" dxfId="6275" priority="281">
      <formula>OR(AT$4="sam.",AT$4="dim.")</formula>
    </cfRule>
  </conditionalFormatting>
  <conditionalFormatting sqref="AT5:AX131">
    <cfRule type="cellIs" dxfId="6274" priority="280" operator="equal">
      <formula>"A."</formula>
    </cfRule>
  </conditionalFormatting>
  <conditionalFormatting sqref="BA5:BE131">
    <cfRule type="containsText" dxfId="6273" priority="273" operator="containsText" text="FILM">
      <formula>NOT(ISERROR(SEARCH("FILM",BA5)))</formula>
    </cfRule>
    <cfRule type="containsText" dxfId="6272" priority="274" operator="containsText" text="VRAC">
      <formula>NOT(ISERROR(SEARCH("VRAC",BA5)))</formula>
    </cfRule>
    <cfRule type="containsText" dxfId="6271" priority="275" operator="containsText" text="ECHANT">
      <formula>NOT(ISERROR(SEARCH("ECHANT",BA5)))</formula>
    </cfRule>
    <cfRule type="containsText" dxfId="6270" priority="276" operator="containsText" text="CAR">
      <formula>NOT(ISERROR(SEARCH("CAR",BA5)))</formula>
    </cfRule>
    <cfRule type="containsText" dxfId="6269" priority="277" operator="containsText" text="ETIQ">
      <formula>NOT(ISERROR(SEARCH("ETIQ",BA5)))</formula>
    </cfRule>
    <cfRule type="containsText" dxfId="6268" priority="278" operator="containsText" text="ENCA">
      <formula>NOT(ISERROR(SEARCH("ENCA",BA5)))</formula>
    </cfRule>
    <cfRule type="containsText" dxfId="6267" priority="279" operator="containsText" text="FERIE">
      <formula>NOT(ISERROR(SEARCH("FERIE",BA5)))</formula>
    </cfRule>
  </conditionalFormatting>
  <conditionalFormatting sqref="BA132:BG1048576 BA5:BE131">
    <cfRule type="expression" dxfId="6266" priority="272">
      <formula>OR(BA$4="sam.",BA$4="dim.")</formula>
    </cfRule>
  </conditionalFormatting>
  <conditionalFormatting sqref="BA5:BE131">
    <cfRule type="cellIs" dxfId="6265" priority="271" operator="equal">
      <formula>"A."</formula>
    </cfRule>
  </conditionalFormatting>
  <conditionalFormatting sqref="BH5:BL131">
    <cfRule type="containsText" dxfId="6264" priority="264" operator="containsText" text="FILM">
      <formula>NOT(ISERROR(SEARCH("FILM",BH5)))</formula>
    </cfRule>
    <cfRule type="containsText" dxfId="6263" priority="265" operator="containsText" text="VRAC">
      <formula>NOT(ISERROR(SEARCH("VRAC",BH5)))</formula>
    </cfRule>
    <cfRule type="containsText" dxfId="6262" priority="266" operator="containsText" text="ECHANT">
      <formula>NOT(ISERROR(SEARCH("ECHANT",BH5)))</formula>
    </cfRule>
    <cfRule type="containsText" dxfId="6261" priority="267" operator="containsText" text="CAR">
      <formula>NOT(ISERROR(SEARCH("CAR",BH5)))</formula>
    </cfRule>
    <cfRule type="containsText" dxfId="6260" priority="268" operator="containsText" text="ETIQ">
      <formula>NOT(ISERROR(SEARCH("ETIQ",BH5)))</formula>
    </cfRule>
    <cfRule type="containsText" dxfId="6259" priority="269" operator="containsText" text="ENCA">
      <formula>NOT(ISERROR(SEARCH("ENCA",BH5)))</formula>
    </cfRule>
    <cfRule type="containsText" dxfId="6258" priority="270" operator="containsText" text="FERIE">
      <formula>NOT(ISERROR(SEARCH("FERIE",BH5)))</formula>
    </cfRule>
  </conditionalFormatting>
  <conditionalFormatting sqref="BH132:BN1048576 BH5:BL131">
    <cfRule type="expression" dxfId="6257" priority="263">
      <formula>OR(BH$4="sam.",BH$4="dim.")</formula>
    </cfRule>
  </conditionalFormatting>
  <conditionalFormatting sqref="BH5:BL131">
    <cfRule type="cellIs" dxfId="6256" priority="262" operator="equal">
      <formula>"A."</formula>
    </cfRule>
  </conditionalFormatting>
  <conditionalFormatting sqref="BO5:BS131">
    <cfRule type="containsText" dxfId="6255" priority="255" operator="containsText" text="FILM">
      <formula>NOT(ISERROR(SEARCH("FILM",BO5)))</formula>
    </cfRule>
    <cfRule type="containsText" dxfId="6254" priority="256" operator="containsText" text="VRAC">
      <formula>NOT(ISERROR(SEARCH("VRAC",BO5)))</formula>
    </cfRule>
    <cfRule type="containsText" dxfId="6253" priority="257" operator="containsText" text="ECHANT">
      <formula>NOT(ISERROR(SEARCH("ECHANT",BO5)))</formula>
    </cfRule>
    <cfRule type="containsText" dxfId="6252" priority="258" operator="containsText" text="CAR">
      <formula>NOT(ISERROR(SEARCH("CAR",BO5)))</formula>
    </cfRule>
    <cfRule type="containsText" dxfId="6251" priority="259" operator="containsText" text="ETIQ">
      <formula>NOT(ISERROR(SEARCH("ETIQ",BO5)))</formula>
    </cfRule>
    <cfRule type="containsText" dxfId="6250" priority="260" operator="containsText" text="ENCA">
      <formula>NOT(ISERROR(SEARCH("ENCA",BO5)))</formula>
    </cfRule>
    <cfRule type="containsText" dxfId="6249" priority="261" operator="containsText" text="FERIE">
      <formula>NOT(ISERROR(SEARCH("FERIE",BO5)))</formula>
    </cfRule>
  </conditionalFormatting>
  <conditionalFormatting sqref="BO132:BU1048576 BO5:BS131">
    <cfRule type="expression" dxfId="6248" priority="254">
      <formula>OR(BO$4="sam.",BO$4="dim.")</formula>
    </cfRule>
  </conditionalFormatting>
  <conditionalFormatting sqref="BO5:BS131">
    <cfRule type="cellIs" dxfId="6247" priority="253" operator="equal">
      <formula>"A."</formula>
    </cfRule>
  </conditionalFormatting>
  <conditionalFormatting sqref="BV5:BZ131">
    <cfRule type="containsText" dxfId="6246" priority="246" operator="containsText" text="FILM">
      <formula>NOT(ISERROR(SEARCH("FILM",BV5)))</formula>
    </cfRule>
    <cfRule type="containsText" dxfId="6245" priority="247" operator="containsText" text="VRAC">
      <formula>NOT(ISERROR(SEARCH("VRAC",BV5)))</formula>
    </cfRule>
    <cfRule type="containsText" dxfId="6244" priority="248" operator="containsText" text="ECHANT">
      <formula>NOT(ISERROR(SEARCH("ECHANT",BV5)))</formula>
    </cfRule>
    <cfRule type="containsText" dxfId="6243" priority="249" operator="containsText" text="CAR">
      <formula>NOT(ISERROR(SEARCH("CAR",BV5)))</formula>
    </cfRule>
    <cfRule type="containsText" dxfId="6242" priority="250" operator="containsText" text="ETIQ">
      <formula>NOT(ISERROR(SEARCH("ETIQ",BV5)))</formula>
    </cfRule>
    <cfRule type="containsText" dxfId="6241" priority="251" operator="containsText" text="ENCA">
      <formula>NOT(ISERROR(SEARCH("ENCA",BV5)))</formula>
    </cfRule>
    <cfRule type="containsText" dxfId="6240" priority="252" operator="containsText" text="FERIE">
      <formula>NOT(ISERROR(SEARCH("FERIE",BV5)))</formula>
    </cfRule>
  </conditionalFormatting>
  <conditionalFormatting sqref="BV132:CB1048576 BV5:BZ131">
    <cfRule type="expression" dxfId="6239" priority="245">
      <formula>OR(BV$4="sam.",BV$4="dim.")</formula>
    </cfRule>
  </conditionalFormatting>
  <conditionalFormatting sqref="BV5:BZ131">
    <cfRule type="cellIs" dxfId="6238" priority="244" operator="equal">
      <formula>"A."</formula>
    </cfRule>
  </conditionalFormatting>
  <conditionalFormatting sqref="CC5:CG131">
    <cfRule type="containsText" dxfId="6237" priority="220" operator="containsText" text="FILM">
      <formula>NOT(ISERROR(SEARCH("FILM",CC5)))</formula>
    </cfRule>
    <cfRule type="containsText" dxfId="6236" priority="221" operator="containsText" text="VRAC">
      <formula>NOT(ISERROR(SEARCH("VRAC",CC5)))</formula>
    </cfRule>
    <cfRule type="containsText" dxfId="6235" priority="222" operator="containsText" text="ECHANT">
      <formula>NOT(ISERROR(SEARCH("ECHANT",CC5)))</formula>
    </cfRule>
    <cfRule type="containsText" dxfId="6234" priority="223" operator="containsText" text="CAR">
      <formula>NOT(ISERROR(SEARCH("CAR",CC5)))</formula>
    </cfRule>
    <cfRule type="containsText" dxfId="6233" priority="224" operator="containsText" text="ETIQ">
      <formula>NOT(ISERROR(SEARCH("ETIQ",CC5)))</formula>
    </cfRule>
    <cfRule type="containsText" dxfId="6232" priority="225" operator="containsText" text="ENCA">
      <formula>NOT(ISERROR(SEARCH("ENCA",CC5)))</formula>
    </cfRule>
    <cfRule type="containsText" dxfId="6231" priority="226" operator="containsText" text="FERIE">
      <formula>NOT(ISERROR(SEARCH("FERIE",CC5)))</formula>
    </cfRule>
  </conditionalFormatting>
  <conditionalFormatting sqref="CC132:CI1048576 CC5:CG131">
    <cfRule type="expression" dxfId="6230" priority="219">
      <formula>OR(CC$4="sam.",CC$4="dim.")</formula>
    </cfRule>
  </conditionalFormatting>
  <conditionalFormatting sqref="CC5:CG131">
    <cfRule type="cellIs" dxfId="6229" priority="218" operator="equal">
      <formula>"A."</formula>
    </cfRule>
  </conditionalFormatting>
  <conditionalFormatting sqref="CJ5:CN131">
    <cfRule type="containsText" dxfId="6228" priority="211" operator="containsText" text="FILM">
      <formula>NOT(ISERROR(SEARCH("FILM",CJ5)))</formula>
    </cfRule>
    <cfRule type="containsText" dxfId="6227" priority="212" operator="containsText" text="VRAC">
      <formula>NOT(ISERROR(SEARCH("VRAC",CJ5)))</formula>
    </cfRule>
    <cfRule type="containsText" dxfId="6226" priority="213" operator="containsText" text="ECHANT">
      <formula>NOT(ISERROR(SEARCH("ECHANT",CJ5)))</formula>
    </cfRule>
    <cfRule type="containsText" dxfId="6225" priority="214" operator="containsText" text="CAR">
      <formula>NOT(ISERROR(SEARCH("CAR",CJ5)))</formula>
    </cfRule>
    <cfRule type="containsText" dxfId="6224" priority="215" operator="containsText" text="ETIQ">
      <formula>NOT(ISERROR(SEARCH("ETIQ",CJ5)))</formula>
    </cfRule>
    <cfRule type="containsText" dxfId="6223" priority="216" operator="containsText" text="ENCA">
      <formula>NOT(ISERROR(SEARCH("ENCA",CJ5)))</formula>
    </cfRule>
    <cfRule type="containsText" dxfId="6222" priority="217" operator="containsText" text="FERIE">
      <formula>NOT(ISERROR(SEARCH("FERIE",CJ5)))</formula>
    </cfRule>
  </conditionalFormatting>
  <conditionalFormatting sqref="CJ132:CP1048576 CJ5:CN131">
    <cfRule type="expression" dxfId="6221" priority="210">
      <formula>OR(CJ$4="sam.",CJ$4="dim.")</formula>
    </cfRule>
  </conditionalFormatting>
  <conditionalFormatting sqref="CJ5:CN131">
    <cfRule type="cellIs" dxfId="6220" priority="209" operator="equal">
      <formula>"A."</formula>
    </cfRule>
  </conditionalFormatting>
  <conditionalFormatting sqref="CQ5:CU131">
    <cfRule type="containsText" dxfId="6219" priority="202" operator="containsText" text="FILM">
      <formula>NOT(ISERROR(SEARCH("FILM",CQ5)))</formula>
    </cfRule>
    <cfRule type="containsText" dxfId="6218" priority="203" operator="containsText" text="VRAC">
      <formula>NOT(ISERROR(SEARCH("VRAC",CQ5)))</formula>
    </cfRule>
    <cfRule type="containsText" dxfId="6217" priority="204" operator="containsText" text="ECHANT">
      <formula>NOT(ISERROR(SEARCH("ECHANT",CQ5)))</formula>
    </cfRule>
    <cfRule type="containsText" dxfId="6216" priority="205" operator="containsText" text="CAR">
      <formula>NOT(ISERROR(SEARCH("CAR",CQ5)))</formula>
    </cfRule>
    <cfRule type="containsText" dxfId="6215" priority="206" operator="containsText" text="ETIQ">
      <formula>NOT(ISERROR(SEARCH("ETIQ",CQ5)))</formula>
    </cfRule>
    <cfRule type="containsText" dxfId="6214" priority="207" operator="containsText" text="ENCA">
      <formula>NOT(ISERROR(SEARCH("ENCA",CQ5)))</formula>
    </cfRule>
    <cfRule type="containsText" dxfId="6213" priority="208" operator="containsText" text="FERIE">
      <formula>NOT(ISERROR(SEARCH("FERIE",CQ5)))</formula>
    </cfRule>
  </conditionalFormatting>
  <conditionalFormatting sqref="CQ132:CW1048576 CQ5:CU131">
    <cfRule type="expression" dxfId="6212" priority="201">
      <formula>OR(CQ$4="sam.",CQ$4="dim.")</formula>
    </cfRule>
  </conditionalFormatting>
  <conditionalFormatting sqref="CQ5:CU131">
    <cfRule type="cellIs" dxfId="6211" priority="200" operator="equal">
      <formula>"A."</formula>
    </cfRule>
  </conditionalFormatting>
  <conditionalFormatting sqref="CX5:DB131">
    <cfRule type="containsText" dxfId="6210" priority="193" operator="containsText" text="FILM">
      <formula>NOT(ISERROR(SEARCH("FILM",CX5)))</formula>
    </cfRule>
    <cfRule type="containsText" dxfId="6209" priority="194" operator="containsText" text="VRAC">
      <formula>NOT(ISERROR(SEARCH("VRAC",CX5)))</formula>
    </cfRule>
    <cfRule type="containsText" dxfId="6208" priority="195" operator="containsText" text="ECHANT">
      <formula>NOT(ISERROR(SEARCH("ECHANT",CX5)))</formula>
    </cfRule>
    <cfRule type="containsText" dxfId="6207" priority="196" operator="containsText" text="CAR">
      <formula>NOT(ISERROR(SEARCH("CAR",CX5)))</formula>
    </cfRule>
    <cfRule type="containsText" dxfId="6206" priority="197" operator="containsText" text="ETIQ">
      <formula>NOT(ISERROR(SEARCH("ETIQ",CX5)))</formula>
    </cfRule>
    <cfRule type="containsText" dxfId="6205" priority="198" operator="containsText" text="ENCA">
      <formula>NOT(ISERROR(SEARCH("ENCA",CX5)))</formula>
    </cfRule>
    <cfRule type="containsText" dxfId="6204" priority="199" operator="containsText" text="FERIE">
      <formula>NOT(ISERROR(SEARCH("FERIE",CX5)))</formula>
    </cfRule>
  </conditionalFormatting>
  <conditionalFormatting sqref="CX132:DD1048576 CX5:DB131">
    <cfRule type="expression" dxfId="6203" priority="192">
      <formula>OR(CX$4="sam.",CX$4="dim.")</formula>
    </cfRule>
  </conditionalFormatting>
  <conditionalFormatting sqref="CX5:DB131">
    <cfRule type="cellIs" dxfId="6202" priority="191" operator="equal">
      <formula>"A."</formula>
    </cfRule>
  </conditionalFormatting>
  <conditionalFormatting sqref="DE5:DI131">
    <cfRule type="containsText" dxfId="6201" priority="184" operator="containsText" text="FILM">
      <formula>NOT(ISERROR(SEARCH("FILM",DE5)))</formula>
    </cfRule>
    <cfRule type="containsText" dxfId="6200" priority="185" operator="containsText" text="VRAC">
      <formula>NOT(ISERROR(SEARCH("VRAC",DE5)))</formula>
    </cfRule>
    <cfRule type="containsText" dxfId="6199" priority="186" operator="containsText" text="ECHANT">
      <formula>NOT(ISERROR(SEARCH("ECHANT",DE5)))</formula>
    </cfRule>
    <cfRule type="containsText" dxfId="6198" priority="187" operator="containsText" text="CAR">
      <formula>NOT(ISERROR(SEARCH("CAR",DE5)))</formula>
    </cfRule>
    <cfRule type="containsText" dxfId="6197" priority="188" operator="containsText" text="ETIQ">
      <formula>NOT(ISERROR(SEARCH("ETIQ",DE5)))</formula>
    </cfRule>
    <cfRule type="containsText" dxfId="6196" priority="189" operator="containsText" text="ENCA">
      <formula>NOT(ISERROR(SEARCH("ENCA",DE5)))</formula>
    </cfRule>
    <cfRule type="containsText" dxfId="6195" priority="190" operator="containsText" text="FERIE">
      <formula>NOT(ISERROR(SEARCH("FERIE",DE5)))</formula>
    </cfRule>
  </conditionalFormatting>
  <conditionalFormatting sqref="DE132:DK1048576 DE5:DI131">
    <cfRule type="expression" dxfId="6194" priority="183">
      <formula>OR(DE$4="sam.",DE$4="dim.")</formula>
    </cfRule>
  </conditionalFormatting>
  <conditionalFormatting sqref="DE5:DI131">
    <cfRule type="cellIs" dxfId="6193" priority="182" operator="equal">
      <formula>"A."</formula>
    </cfRule>
  </conditionalFormatting>
  <conditionalFormatting sqref="DL5:DP131">
    <cfRule type="containsText" dxfId="6192" priority="175" operator="containsText" text="FILM">
      <formula>NOT(ISERROR(SEARCH("FILM",DL5)))</formula>
    </cfRule>
    <cfRule type="containsText" dxfId="6191" priority="176" operator="containsText" text="VRAC">
      <formula>NOT(ISERROR(SEARCH("VRAC",DL5)))</formula>
    </cfRule>
    <cfRule type="containsText" dxfId="6190" priority="177" operator="containsText" text="ECHANT">
      <formula>NOT(ISERROR(SEARCH("ECHANT",DL5)))</formula>
    </cfRule>
    <cfRule type="containsText" dxfId="6189" priority="178" operator="containsText" text="CAR">
      <formula>NOT(ISERROR(SEARCH("CAR",DL5)))</formula>
    </cfRule>
    <cfRule type="containsText" dxfId="6188" priority="179" operator="containsText" text="ETIQ">
      <formula>NOT(ISERROR(SEARCH("ETIQ",DL5)))</formula>
    </cfRule>
    <cfRule type="containsText" dxfId="6187" priority="180" operator="containsText" text="ENCA">
      <formula>NOT(ISERROR(SEARCH("ENCA",DL5)))</formula>
    </cfRule>
    <cfRule type="containsText" dxfId="6186" priority="181" operator="containsText" text="FERIE">
      <formula>NOT(ISERROR(SEARCH("FERIE",DL5)))</formula>
    </cfRule>
  </conditionalFormatting>
  <conditionalFormatting sqref="DL132:DR1048576 DL5:DP131">
    <cfRule type="expression" dxfId="6185" priority="174">
      <formula>OR(DL$4="sam.",DL$4="dim.")</formula>
    </cfRule>
  </conditionalFormatting>
  <conditionalFormatting sqref="DL5:DP131">
    <cfRule type="cellIs" dxfId="6184" priority="173" operator="equal">
      <formula>"A."</formula>
    </cfRule>
  </conditionalFormatting>
  <conditionalFormatting sqref="DS5:DW131">
    <cfRule type="containsText" dxfId="6183" priority="166" operator="containsText" text="FILM">
      <formula>NOT(ISERROR(SEARCH("FILM",DS5)))</formula>
    </cfRule>
    <cfRule type="containsText" dxfId="6182" priority="167" operator="containsText" text="VRAC">
      <formula>NOT(ISERROR(SEARCH("VRAC",DS5)))</formula>
    </cfRule>
    <cfRule type="containsText" dxfId="6181" priority="168" operator="containsText" text="ECHANT">
      <formula>NOT(ISERROR(SEARCH("ECHANT",DS5)))</formula>
    </cfRule>
    <cfRule type="containsText" dxfId="6180" priority="169" operator="containsText" text="CAR">
      <formula>NOT(ISERROR(SEARCH("CAR",DS5)))</formula>
    </cfRule>
    <cfRule type="containsText" dxfId="6179" priority="170" operator="containsText" text="ETIQ">
      <formula>NOT(ISERROR(SEARCH("ETIQ",DS5)))</formula>
    </cfRule>
    <cfRule type="containsText" dxfId="6178" priority="171" operator="containsText" text="ENCA">
      <formula>NOT(ISERROR(SEARCH("ENCA",DS5)))</formula>
    </cfRule>
    <cfRule type="containsText" dxfId="6177" priority="172" operator="containsText" text="FERIE">
      <formula>NOT(ISERROR(SEARCH("FERIE",DS5)))</formula>
    </cfRule>
  </conditionalFormatting>
  <conditionalFormatting sqref="DS132:DY1048576 DS5:DW131">
    <cfRule type="expression" dxfId="6176" priority="165">
      <formula>OR(DS$4="sam.",DS$4="dim.")</formula>
    </cfRule>
  </conditionalFormatting>
  <conditionalFormatting sqref="DS5:DW131">
    <cfRule type="cellIs" dxfId="6175" priority="164" operator="equal">
      <formula>"A."</formula>
    </cfRule>
  </conditionalFormatting>
  <conditionalFormatting sqref="DZ5:ED131">
    <cfRule type="containsText" dxfId="6174" priority="157" operator="containsText" text="FILM">
      <formula>NOT(ISERROR(SEARCH("FILM",DZ5)))</formula>
    </cfRule>
    <cfRule type="containsText" dxfId="6173" priority="158" operator="containsText" text="VRAC">
      <formula>NOT(ISERROR(SEARCH("VRAC",DZ5)))</formula>
    </cfRule>
    <cfRule type="containsText" dxfId="6172" priority="159" operator="containsText" text="ECHANT">
      <formula>NOT(ISERROR(SEARCH("ECHANT",DZ5)))</formula>
    </cfRule>
    <cfRule type="containsText" dxfId="6171" priority="160" operator="containsText" text="CAR">
      <formula>NOT(ISERROR(SEARCH("CAR",DZ5)))</formula>
    </cfRule>
    <cfRule type="containsText" dxfId="6170" priority="161" operator="containsText" text="ETIQ">
      <formula>NOT(ISERROR(SEARCH("ETIQ",DZ5)))</formula>
    </cfRule>
    <cfRule type="containsText" dxfId="6169" priority="162" operator="containsText" text="ENCA">
      <formula>NOT(ISERROR(SEARCH("ENCA",DZ5)))</formula>
    </cfRule>
    <cfRule type="containsText" dxfId="6168" priority="163" operator="containsText" text="FERIE">
      <formula>NOT(ISERROR(SEARCH("FERIE",DZ5)))</formula>
    </cfRule>
  </conditionalFormatting>
  <conditionalFormatting sqref="DZ132:EF1048576 DZ5:ED131">
    <cfRule type="expression" dxfId="6167" priority="156">
      <formula>OR(DZ$4="sam.",DZ$4="dim.")</formula>
    </cfRule>
  </conditionalFormatting>
  <conditionalFormatting sqref="DZ5:ED131">
    <cfRule type="cellIs" dxfId="6166" priority="155" operator="equal">
      <formula>"A."</formula>
    </cfRule>
  </conditionalFormatting>
  <conditionalFormatting sqref="W5:X131">
    <cfRule type="expression" dxfId="6165" priority="154">
      <formula>OR(W$4="sam.",W$4="dim.")</formula>
    </cfRule>
  </conditionalFormatting>
  <conditionalFormatting sqref="AD5:AE131">
    <cfRule type="expression" dxfId="6164" priority="153">
      <formula>OR(AD$4="sam.",AD$4="dim.")</formula>
    </cfRule>
  </conditionalFormatting>
  <conditionalFormatting sqref="AD5:AE131">
    <cfRule type="cellIs" dxfId="6163" priority="152" operator="equal">
      <formula>"A."</formula>
    </cfRule>
  </conditionalFormatting>
  <conditionalFormatting sqref="AK5:AL131">
    <cfRule type="expression" dxfId="6162" priority="151">
      <formula>OR(AK$4="sam.",AK$4="dim.")</formula>
    </cfRule>
  </conditionalFormatting>
  <conditionalFormatting sqref="AK5:AL131">
    <cfRule type="cellIs" dxfId="6161" priority="150" operator="equal">
      <formula>"A."</formula>
    </cfRule>
  </conditionalFormatting>
  <conditionalFormatting sqref="AR5:AS131">
    <cfRule type="expression" dxfId="6160" priority="149">
      <formula>OR(AR$4="sam.",AR$4="dim.")</formula>
    </cfRule>
  </conditionalFormatting>
  <conditionalFormatting sqref="AR5:AS131">
    <cfRule type="cellIs" dxfId="6159" priority="148" operator="equal">
      <formula>"A."</formula>
    </cfRule>
  </conditionalFormatting>
  <conditionalFormatting sqref="AY5:AZ131">
    <cfRule type="expression" dxfId="6158" priority="147">
      <formula>OR(AY$4="sam.",AY$4="dim.")</formula>
    </cfRule>
  </conditionalFormatting>
  <conditionalFormatting sqref="AY5:AZ131">
    <cfRule type="cellIs" dxfId="6157" priority="146" operator="equal">
      <formula>"A."</formula>
    </cfRule>
  </conditionalFormatting>
  <conditionalFormatting sqref="BF5:BG131">
    <cfRule type="expression" dxfId="6156" priority="145">
      <formula>OR(BF$4="sam.",BF$4="dim.")</formula>
    </cfRule>
  </conditionalFormatting>
  <conditionalFormatting sqref="BF5:BG131">
    <cfRule type="cellIs" dxfId="6155" priority="144" operator="equal">
      <formula>"A."</formula>
    </cfRule>
  </conditionalFormatting>
  <conditionalFormatting sqref="BM5:BN131">
    <cfRule type="expression" dxfId="6154" priority="143">
      <formula>OR(BM$4="sam.",BM$4="dim.")</formula>
    </cfRule>
  </conditionalFormatting>
  <conditionalFormatting sqref="BM5:BN131">
    <cfRule type="cellIs" dxfId="6153" priority="142" operator="equal">
      <formula>"A."</formula>
    </cfRule>
  </conditionalFormatting>
  <conditionalFormatting sqref="BT5:BU131">
    <cfRule type="expression" dxfId="6152" priority="141">
      <formula>OR(BT$4="sam.",BT$4="dim.")</formula>
    </cfRule>
  </conditionalFormatting>
  <conditionalFormatting sqref="BT5:BU131">
    <cfRule type="cellIs" dxfId="6151" priority="140" operator="equal">
      <formula>"A."</formula>
    </cfRule>
  </conditionalFormatting>
  <conditionalFormatting sqref="CA5:CB131">
    <cfRule type="expression" dxfId="6150" priority="139">
      <formula>OR(CA$4="sam.",CA$4="dim.")</formula>
    </cfRule>
  </conditionalFormatting>
  <conditionalFormatting sqref="CA5:CB131">
    <cfRule type="cellIs" dxfId="6149" priority="138" operator="equal">
      <formula>"A."</formula>
    </cfRule>
  </conditionalFormatting>
  <conditionalFormatting sqref="CH5:CI131">
    <cfRule type="expression" dxfId="6148" priority="137">
      <formula>OR(CH$4="sam.",CH$4="dim.")</formula>
    </cfRule>
  </conditionalFormatting>
  <conditionalFormatting sqref="CH5:CI131">
    <cfRule type="cellIs" dxfId="6147" priority="136" operator="equal">
      <formula>"A."</formula>
    </cfRule>
  </conditionalFormatting>
  <conditionalFormatting sqref="CO5:CP131">
    <cfRule type="expression" dxfId="6146" priority="135">
      <formula>OR(CO$4="sam.",CO$4="dim.")</formula>
    </cfRule>
  </conditionalFormatting>
  <conditionalFormatting sqref="CO5:CP131">
    <cfRule type="cellIs" dxfId="6145" priority="134" operator="equal">
      <formula>"A."</formula>
    </cfRule>
  </conditionalFormatting>
  <conditionalFormatting sqref="CV5:CW131">
    <cfRule type="expression" dxfId="6144" priority="133">
      <formula>OR(CV$4="sam.",CV$4="dim.")</formula>
    </cfRule>
  </conditionalFormatting>
  <conditionalFormatting sqref="CV5:CW131">
    <cfRule type="cellIs" dxfId="6143" priority="132" operator="equal">
      <formula>"A."</formula>
    </cfRule>
  </conditionalFormatting>
  <conditionalFormatting sqref="DC5:DD131">
    <cfRule type="expression" dxfId="6142" priority="131">
      <formula>OR(DC$4="sam.",DC$4="dim.")</formula>
    </cfRule>
  </conditionalFormatting>
  <conditionalFormatting sqref="DC5:DD131">
    <cfRule type="cellIs" dxfId="6141" priority="130" operator="equal">
      <formula>"A."</formula>
    </cfRule>
  </conditionalFormatting>
  <conditionalFormatting sqref="DJ5:DK131">
    <cfRule type="expression" dxfId="6140" priority="129">
      <formula>OR(DJ$4="sam.",DJ$4="dim.")</formula>
    </cfRule>
  </conditionalFormatting>
  <conditionalFormatting sqref="DJ5:DK131">
    <cfRule type="cellIs" dxfId="6139" priority="128" operator="equal">
      <formula>"A."</formula>
    </cfRule>
  </conditionalFormatting>
  <conditionalFormatting sqref="DQ5:DR131">
    <cfRule type="expression" dxfId="6138" priority="127">
      <formula>OR(DQ$4="sam.",DQ$4="dim.")</formula>
    </cfRule>
  </conditionalFormatting>
  <conditionalFormatting sqref="DQ5:DR131">
    <cfRule type="cellIs" dxfId="6137" priority="126" operator="equal">
      <formula>"A."</formula>
    </cfRule>
  </conditionalFormatting>
  <conditionalFormatting sqref="DX5:DY131">
    <cfRule type="expression" dxfId="6136" priority="125">
      <formula>OR(DX$4="sam.",DX$4="dim.")</formula>
    </cfRule>
  </conditionalFormatting>
  <conditionalFormatting sqref="DX5:DY131">
    <cfRule type="cellIs" dxfId="6135" priority="124" operator="equal">
      <formula>"A."</formula>
    </cfRule>
  </conditionalFormatting>
  <conditionalFormatting sqref="EE5:EF131">
    <cfRule type="expression" dxfId="6134" priority="123">
      <formula>OR(EE$4="sam.",EE$4="dim.")</formula>
    </cfRule>
  </conditionalFormatting>
  <conditionalFormatting sqref="EE5:EF131">
    <cfRule type="cellIs" dxfId="6133" priority="122" operator="equal">
      <formula>"A."</formula>
    </cfRule>
  </conditionalFormatting>
  <conditionalFormatting sqref="EG5:EK131">
    <cfRule type="containsText" dxfId="6132" priority="115" operator="containsText" text="FILM">
      <formula>NOT(ISERROR(SEARCH("FILM",EG5)))</formula>
    </cfRule>
    <cfRule type="containsText" dxfId="6131" priority="116" operator="containsText" text="VRAC">
      <formula>NOT(ISERROR(SEARCH("VRAC",EG5)))</formula>
    </cfRule>
    <cfRule type="containsText" dxfId="6130" priority="117" operator="containsText" text="ECHANT">
      <formula>NOT(ISERROR(SEARCH("ECHANT",EG5)))</formula>
    </cfRule>
    <cfRule type="containsText" dxfId="6129" priority="118" operator="containsText" text="CAR">
      <formula>NOT(ISERROR(SEARCH("CAR",EG5)))</formula>
    </cfRule>
    <cfRule type="containsText" dxfId="6128" priority="119" operator="containsText" text="ETIQ">
      <formula>NOT(ISERROR(SEARCH("ETIQ",EG5)))</formula>
    </cfRule>
    <cfRule type="containsText" dxfId="6127" priority="120" operator="containsText" text="ENCA">
      <formula>NOT(ISERROR(SEARCH("ENCA",EG5)))</formula>
    </cfRule>
    <cfRule type="containsText" dxfId="6126" priority="121" operator="containsText" text="FERIE">
      <formula>NOT(ISERROR(SEARCH("FERIE",EG5)))</formula>
    </cfRule>
  </conditionalFormatting>
  <conditionalFormatting sqref="EG132:EM1048576 EG5:EK131">
    <cfRule type="expression" dxfId="6125" priority="114">
      <formula>OR(EG$4="sam.",EG$4="dim.")</formula>
    </cfRule>
  </conditionalFormatting>
  <conditionalFormatting sqref="EG5:EK131">
    <cfRule type="cellIs" dxfId="6124" priority="113" operator="equal">
      <formula>"A."</formula>
    </cfRule>
  </conditionalFormatting>
  <conditionalFormatting sqref="EN5:ER131">
    <cfRule type="containsText" dxfId="6123" priority="106" operator="containsText" text="FILM">
      <formula>NOT(ISERROR(SEARCH("FILM",EN5)))</formula>
    </cfRule>
    <cfRule type="containsText" dxfId="6122" priority="107" operator="containsText" text="VRAC">
      <formula>NOT(ISERROR(SEARCH("VRAC",EN5)))</formula>
    </cfRule>
    <cfRule type="containsText" dxfId="6121" priority="108" operator="containsText" text="ECHANT">
      <formula>NOT(ISERROR(SEARCH("ECHANT",EN5)))</formula>
    </cfRule>
    <cfRule type="containsText" dxfId="6120" priority="109" operator="containsText" text="CAR">
      <formula>NOT(ISERROR(SEARCH("CAR",EN5)))</formula>
    </cfRule>
    <cfRule type="containsText" dxfId="6119" priority="110" operator="containsText" text="ETIQ">
      <formula>NOT(ISERROR(SEARCH("ETIQ",EN5)))</formula>
    </cfRule>
    <cfRule type="containsText" dxfId="6118" priority="111" operator="containsText" text="ENCA">
      <formula>NOT(ISERROR(SEARCH("ENCA",EN5)))</formula>
    </cfRule>
    <cfRule type="containsText" dxfId="6117" priority="112" operator="containsText" text="FERIE">
      <formula>NOT(ISERROR(SEARCH("FERIE",EN5)))</formula>
    </cfRule>
  </conditionalFormatting>
  <conditionalFormatting sqref="EN132:ET1048576 EN5:ER131">
    <cfRule type="expression" dxfId="6116" priority="105">
      <formula>OR(EN$4="sam.",EN$4="dim.")</formula>
    </cfRule>
  </conditionalFormatting>
  <conditionalFormatting sqref="EN5:ER131">
    <cfRule type="cellIs" dxfId="6115" priority="104" operator="equal">
      <formula>"A."</formula>
    </cfRule>
  </conditionalFormatting>
  <conditionalFormatting sqref="EU5:EY131">
    <cfRule type="containsText" dxfId="6114" priority="97" operator="containsText" text="FILM">
      <formula>NOT(ISERROR(SEARCH("FILM",EU5)))</formula>
    </cfRule>
    <cfRule type="containsText" dxfId="6113" priority="98" operator="containsText" text="VRAC">
      <formula>NOT(ISERROR(SEARCH("VRAC",EU5)))</formula>
    </cfRule>
    <cfRule type="containsText" dxfId="6112" priority="99" operator="containsText" text="ECHANT">
      <formula>NOT(ISERROR(SEARCH("ECHANT",EU5)))</formula>
    </cfRule>
    <cfRule type="containsText" dxfId="6111" priority="100" operator="containsText" text="CAR">
      <formula>NOT(ISERROR(SEARCH("CAR",EU5)))</formula>
    </cfRule>
    <cfRule type="containsText" dxfId="6110" priority="101" operator="containsText" text="ETIQ">
      <formula>NOT(ISERROR(SEARCH("ETIQ",EU5)))</formula>
    </cfRule>
    <cfRule type="containsText" dxfId="6109" priority="102" operator="containsText" text="ENCA">
      <formula>NOT(ISERROR(SEARCH("ENCA",EU5)))</formula>
    </cfRule>
    <cfRule type="containsText" dxfId="6108" priority="103" operator="containsText" text="FERIE">
      <formula>NOT(ISERROR(SEARCH("FERIE",EU5)))</formula>
    </cfRule>
  </conditionalFormatting>
  <conditionalFormatting sqref="EU132:FA1048576 EU5:EY131">
    <cfRule type="expression" dxfId="6107" priority="96">
      <formula>OR(EU$4="sam.",EU$4="dim.")</formula>
    </cfRule>
  </conditionalFormatting>
  <conditionalFormatting sqref="EU5:EY131">
    <cfRule type="cellIs" dxfId="6106" priority="95" operator="equal">
      <formula>"A."</formula>
    </cfRule>
  </conditionalFormatting>
  <conditionalFormatting sqref="FB5:FF131">
    <cfRule type="containsText" dxfId="6105" priority="88" operator="containsText" text="FILM">
      <formula>NOT(ISERROR(SEARCH("FILM",FB5)))</formula>
    </cfRule>
    <cfRule type="containsText" dxfId="6104" priority="89" operator="containsText" text="VRAC">
      <formula>NOT(ISERROR(SEARCH("VRAC",FB5)))</formula>
    </cfRule>
    <cfRule type="containsText" dxfId="6103" priority="90" operator="containsText" text="ECHANT">
      <formula>NOT(ISERROR(SEARCH("ECHANT",FB5)))</formula>
    </cfRule>
    <cfRule type="containsText" dxfId="6102" priority="91" operator="containsText" text="CAR">
      <formula>NOT(ISERROR(SEARCH("CAR",FB5)))</formula>
    </cfRule>
    <cfRule type="containsText" dxfId="6101" priority="92" operator="containsText" text="ETIQ">
      <formula>NOT(ISERROR(SEARCH("ETIQ",FB5)))</formula>
    </cfRule>
    <cfRule type="containsText" dxfId="6100" priority="93" operator="containsText" text="ENCA">
      <formula>NOT(ISERROR(SEARCH("ENCA",FB5)))</formula>
    </cfRule>
    <cfRule type="containsText" dxfId="6099" priority="94" operator="containsText" text="FERIE">
      <formula>NOT(ISERROR(SEARCH("FERIE",FB5)))</formula>
    </cfRule>
  </conditionalFormatting>
  <conditionalFormatting sqref="FB132:FH1048576 FB5:FF131">
    <cfRule type="expression" dxfId="6098" priority="87">
      <formula>OR(FB$4="sam.",FB$4="dim.")</formula>
    </cfRule>
  </conditionalFormatting>
  <conditionalFormatting sqref="FB5:FF131">
    <cfRule type="cellIs" dxfId="6097" priority="86" operator="equal">
      <formula>"A."</formula>
    </cfRule>
  </conditionalFormatting>
  <conditionalFormatting sqref="FI5:FM131">
    <cfRule type="containsText" dxfId="6096" priority="79" operator="containsText" text="FILM">
      <formula>NOT(ISERROR(SEARCH("FILM",FI5)))</formula>
    </cfRule>
    <cfRule type="containsText" dxfId="6095" priority="80" operator="containsText" text="VRAC">
      <formula>NOT(ISERROR(SEARCH("VRAC",FI5)))</formula>
    </cfRule>
    <cfRule type="containsText" dxfId="6094" priority="81" operator="containsText" text="ECHANT">
      <formula>NOT(ISERROR(SEARCH("ECHANT",FI5)))</formula>
    </cfRule>
    <cfRule type="containsText" dxfId="6093" priority="82" operator="containsText" text="CAR">
      <formula>NOT(ISERROR(SEARCH("CAR",FI5)))</formula>
    </cfRule>
    <cfRule type="containsText" dxfId="6092" priority="83" operator="containsText" text="ETIQ">
      <formula>NOT(ISERROR(SEARCH("ETIQ",FI5)))</formula>
    </cfRule>
    <cfRule type="containsText" dxfId="6091" priority="84" operator="containsText" text="ENCA">
      <formula>NOT(ISERROR(SEARCH("ENCA",FI5)))</formula>
    </cfRule>
    <cfRule type="containsText" dxfId="6090" priority="85" operator="containsText" text="FERIE">
      <formula>NOT(ISERROR(SEARCH("FERIE",FI5)))</formula>
    </cfRule>
  </conditionalFormatting>
  <conditionalFormatting sqref="FI132:FO1048576 FI5:FM131">
    <cfRule type="expression" dxfId="6089" priority="78">
      <formula>OR(FI$4="sam.",FI$4="dim.")</formula>
    </cfRule>
  </conditionalFormatting>
  <conditionalFormatting sqref="FI5:FM131">
    <cfRule type="cellIs" dxfId="6088" priority="77" operator="equal">
      <formula>"A."</formula>
    </cfRule>
  </conditionalFormatting>
  <conditionalFormatting sqref="FP5:FT131">
    <cfRule type="containsText" dxfId="6087" priority="70" operator="containsText" text="FILM">
      <formula>NOT(ISERROR(SEARCH("FILM",FP5)))</formula>
    </cfRule>
    <cfRule type="containsText" dxfId="6086" priority="71" operator="containsText" text="VRAC">
      <formula>NOT(ISERROR(SEARCH("VRAC",FP5)))</formula>
    </cfRule>
    <cfRule type="containsText" dxfId="6085" priority="72" operator="containsText" text="ECHANT">
      <formula>NOT(ISERROR(SEARCH("ECHANT",FP5)))</formula>
    </cfRule>
    <cfRule type="containsText" dxfId="6084" priority="73" operator="containsText" text="CAR">
      <formula>NOT(ISERROR(SEARCH("CAR",FP5)))</formula>
    </cfRule>
    <cfRule type="containsText" dxfId="6083" priority="74" operator="containsText" text="ETIQ">
      <formula>NOT(ISERROR(SEARCH("ETIQ",FP5)))</formula>
    </cfRule>
    <cfRule type="containsText" dxfId="6082" priority="75" operator="containsText" text="ENCA">
      <formula>NOT(ISERROR(SEARCH("ENCA",FP5)))</formula>
    </cfRule>
    <cfRule type="containsText" dxfId="6081" priority="76" operator="containsText" text="FERIE">
      <formula>NOT(ISERROR(SEARCH("FERIE",FP5)))</formula>
    </cfRule>
  </conditionalFormatting>
  <conditionalFormatting sqref="FP132:FV1048576 FP5:FT131">
    <cfRule type="expression" dxfId="6080" priority="69">
      <formula>OR(FP$4="sam.",FP$4="dim.")</formula>
    </cfRule>
  </conditionalFormatting>
  <conditionalFormatting sqref="FP5:FT131">
    <cfRule type="cellIs" dxfId="6079" priority="68" operator="equal">
      <formula>"A."</formula>
    </cfRule>
  </conditionalFormatting>
  <conditionalFormatting sqref="FW5:GA131">
    <cfRule type="containsText" dxfId="6078" priority="61" operator="containsText" text="FILM">
      <formula>NOT(ISERROR(SEARCH("FILM",FW5)))</formula>
    </cfRule>
    <cfRule type="containsText" dxfId="6077" priority="62" operator="containsText" text="VRAC">
      <formula>NOT(ISERROR(SEARCH("VRAC",FW5)))</formula>
    </cfRule>
    <cfRule type="containsText" dxfId="6076" priority="63" operator="containsText" text="ECHANT">
      <formula>NOT(ISERROR(SEARCH("ECHANT",FW5)))</formula>
    </cfRule>
    <cfRule type="containsText" dxfId="6075" priority="64" operator="containsText" text="CAR">
      <formula>NOT(ISERROR(SEARCH("CAR",FW5)))</formula>
    </cfRule>
    <cfRule type="containsText" dxfId="6074" priority="65" operator="containsText" text="ETIQ">
      <formula>NOT(ISERROR(SEARCH("ETIQ",FW5)))</formula>
    </cfRule>
    <cfRule type="containsText" dxfId="6073" priority="66" operator="containsText" text="ENCA">
      <formula>NOT(ISERROR(SEARCH("ENCA",FW5)))</formula>
    </cfRule>
    <cfRule type="containsText" dxfId="6072" priority="67" operator="containsText" text="FERIE">
      <formula>NOT(ISERROR(SEARCH("FERIE",FW5)))</formula>
    </cfRule>
  </conditionalFormatting>
  <conditionalFormatting sqref="FW132:GC1048576 FW5:GA131">
    <cfRule type="expression" dxfId="6071" priority="60">
      <formula>OR(FW$4="sam.",FW$4="dim.")</formula>
    </cfRule>
  </conditionalFormatting>
  <conditionalFormatting sqref="FW5:GA131">
    <cfRule type="cellIs" dxfId="6070" priority="59" operator="equal">
      <formula>"A."</formula>
    </cfRule>
  </conditionalFormatting>
  <conditionalFormatting sqref="GD5:GH131">
    <cfRule type="containsText" dxfId="6069" priority="52" operator="containsText" text="FILM">
      <formula>NOT(ISERROR(SEARCH("FILM",GD5)))</formula>
    </cfRule>
    <cfRule type="containsText" dxfId="6068" priority="53" operator="containsText" text="VRAC">
      <formula>NOT(ISERROR(SEARCH("VRAC",GD5)))</formula>
    </cfRule>
    <cfRule type="containsText" dxfId="6067" priority="54" operator="containsText" text="ECHANT">
      <formula>NOT(ISERROR(SEARCH("ECHANT",GD5)))</formula>
    </cfRule>
    <cfRule type="containsText" dxfId="6066" priority="55" operator="containsText" text="CAR">
      <formula>NOT(ISERROR(SEARCH("CAR",GD5)))</formula>
    </cfRule>
    <cfRule type="containsText" dxfId="6065" priority="56" operator="containsText" text="ETIQ">
      <formula>NOT(ISERROR(SEARCH("ETIQ",GD5)))</formula>
    </cfRule>
    <cfRule type="containsText" dxfId="6064" priority="57" operator="containsText" text="ENCA">
      <formula>NOT(ISERROR(SEARCH("ENCA",GD5)))</formula>
    </cfRule>
    <cfRule type="containsText" dxfId="6063" priority="58" operator="containsText" text="FERIE">
      <formula>NOT(ISERROR(SEARCH("FERIE",GD5)))</formula>
    </cfRule>
  </conditionalFormatting>
  <conditionalFormatting sqref="GD132:GJ1048576 GD5:GH131">
    <cfRule type="expression" dxfId="6062" priority="51">
      <formula>OR(GD$4="sam.",GD$4="dim.")</formula>
    </cfRule>
  </conditionalFormatting>
  <conditionalFormatting sqref="GD5:GH131">
    <cfRule type="cellIs" dxfId="6061" priority="50" operator="equal">
      <formula>"A."</formula>
    </cfRule>
  </conditionalFormatting>
  <conditionalFormatting sqref="GK5:GO131">
    <cfRule type="containsText" dxfId="6060" priority="43" operator="containsText" text="FILM">
      <formula>NOT(ISERROR(SEARCH("FILM",GK5)))</formula>
    </cfRule>
    <cfRule type="containsText" dxfId="6059" priority="44" operator="containsText" text="VRAC">
      <formula>NOT(ISERROR(SEARCH("VRAC",GK5)))</formula>
    </cfRule>
    <cfRule type="containsText" dxfId="6058" priority="45" operator="containsText" text="ECHANT">
      <formula>NOT(ISERROR(SEARCH("ECHANT",GK5)))</formula>
    </cfRule>
    <cfRule type="containsText" dxfId="6057" priority="46" operator="containsText" text="CAR">
      <formula>NOT(ISERROR(SEARCH("CAR",GK5)))</formula>
    </cfRule>
    <cfRule type="containsText" dxfId="6056" priority="47" operator="containsText" text="ETIQ">
      <formula>NOT(ISERROR(SEARCH("ETIQ",GK5)))</formula>
    </cfRule>
    <cfRule type="containsText" dxfId="6055" priority="48" operator="containsText" text="ENCA">
      <formula>NOT(ISERROR(SEARCH("ENCA",GK5)))</formula>
    </cfRule>
    <cfRule type="containsText" dxfId="6054" priority="49" operator="containsText" text="FERIE">
      <formula>NOT(ISERROR(SEARCH("FERIE",GK5)))</formula>
    </cfRule>
  </conditionalFormatting>
  <conditionalFormatting sqref="GK132:GQ1048576 GK5:GO131">
    <cfRule type="expression" dxfId="6053" priority="42">
      <formula>OR(GK$4="sam.",GK$4="dim.")</formula>
    </cfRule>
  </conditionalFormatting>
  <conditionalFormatting sqref="GK5:GO131">
    <cfRule type="cellIs" dxfId="6052" priority="41" operator="equal">
      <formula>"A."</formula>
    </cfRule>
  </conditionalFormatting>
  <conditionalFormatting sqref="GR5:GV131">
    <cfRule type="containsText" dxfId="6051" priority="34" operator="containsText" text="FILM">
      <formula>NOT(ISERROR(SEARCH("FILM",GR5)))</formula>
    </cfRule>
    <cfRule type="containsText" dxfId="6050" priority="35" operator="containsText" text="VRAC">
      <formula>NOT(ISERROR(SEARCH("VRAC",GR5)))</formula>
    </cfRule>
    <cfRule type="containsText" dxfId="6049" priority="36" operator="containsText" text="ECHANT">
      <formula>NOT(ISERROR(SEARCH("ECHANT",GR5)))</formula>
    </cfRule>
    <cfRule type="containsText" dxfId="6048" priority="37" operator="containsText" text="CAR">
      <formula>NOT(ISERROR(SEARCH("CAR",GR5)))</formula>
    </cfRule>
    <cfRule type="containsText" dxfId="6047" priority="38" operator="containsText" text="ETIQ">
      <formula>NOT(ISERROR(SEARCH("ETIQ",GR5)))</formula>
    </cfRule>
    <cfRule type="containsText" dxfId="6046" priority="39" operator="containsText" text="ENCA">
      <formula>NOT(ISERROR(SEARCH("ENCA",GR5)))</formula>
    </cfRule>
    <cfRule type="containsText" dxfId="6045" priority="40" operator="containsText" text="FERIE">
      <formula>NOT(ISERROR(SEARCH("FERIE",GR5)))</formula>
    </cfRule>
  </conditionalFormatting>
  <conditionalFormatting sqref="GR132:GX1048576 GR5:GV131">
    <cfRule type="expression" dxfId="6044" priority="33">
      <formula>OR(GR$4="sam.",GR$4="dim.")</formula>
    </cfRule>
  </conditionalFormatting>
  <conditionalFormatting sqref="GR5:GV131">
    <cfRule type="cellIs" dxfId="6043" priority="32" operator="equal">
      <formula>"A."</formula>
    </cfRule>
  </conditionalFormatting>
  <conditionalFormatting sqref="GY5:HC131">
    <cfRule type="containsText" dxfId="6042" priority="25" operator="containsText" text="FILM">
      <formula>NOT(ISERROR(SEARCH("FILM",GY5)))</formula>
    </cfRule>
    <cfRule type="containsText" dxfId="6041" priority="26" operator="containsText" text="VRAC">
      <formula>NOT(ISERROR(SEARCH("VRAC",GY5)))</formula>
    </cfRule>
    <cfRule type="containsText" dxfId="6040" priority="27" operator="containsText" text="ECHANT">
      <formula>NOT(ISERROR(SEARCH("ECHANT",GY5)))</formula>
    </cfRule>
    <cfRule type="containsText" dxfId="6039" priority="28" operator="containsText" text="CAR">
      <formula>NOT(ISERROR(SEARCH("CAR",GY5)))</formula>
    </cfRule>
    <cfRule type="containsText" dxfId="6038" priority="29" operator="containsText" text="ETIQ">
      <formula>NOT(ISERROR(SEARCH("ETIQ",GY5)))</formula>
    </cfRule>
    <cfRule type="containsText" dxfId="6037" priority="30" operator="containsText" text="ENCA">
      <formula>NOT(ISERROR(SEARCH("ENCA",GY5)))</formula>
    </cfRule>
    <cfRule type="containsText" dxfId="6036" priority="31" operator="containsText" text="FERIE">
      <formula>NOT(ISERROR(SEARCH("FERIE",GY5)))</formula>
    </cfRule>
  </conditionalFormatting>
  <conditionalFormatting sqref="GY132:HE1048576 GY5:HC131">
    <cfRule type="expression" dxfId="6035" priority="24">
      <formula>OR(GY$4="sam.",GY$4="dim.")</formula>
    </cfRule>
  </conditionalFormatting>
  <conditionalFormatting sqref="GY5:HC131">
    <cfRule type="cellIs" dxfId="6034" priority="23" operator="equal">
      <formula>"A."</formula>
    </cfRule>
  </conditionalFormatting>
  <conditionalFormatting sqref="EL5:EM131">
    <cfRule type="expression" dxfId="6033" priority="22">
      <formula>OR(EL$4="sam.",EL$4="dim.")</formula>
    </cfRule>
  </conditionalFormatting>
  <conditionalFormatting sqref="EL5:EM131">
    <cfRule type="cellIs" dxfId="6032" priority="21" operator="equal">
      <formula>"A."</formula>
    </cfRule>
  </conditionalFormatting>
  <conditionalFormatting sqref="ES5:ET131">
    <cfRule type="expression" dxfId="6031" priority="20">
      <formula>OR(ES$4="sam.",ES$4="dim.")</formula>
    </cfRule>
  </conditionalFormatting>
  <conditionalFormatting sqref="ES5:ET131">
    <cfRule type="cellIs" dxfId="6030" priority="19" operator="equal">
      <formula>"A."</formula>
    </cfRule>
  </conditionalFormatting>
  <conditionalFormatting sqref="EZ5:FA131">
    <cfRule type="expression" dxfId="6029" priority="18">
      <formula>OR(EZ$4="sam.",EZ$4="dim.")</formula>
    </cfRule>
  </conditionalFormatting>
  <conditionalFormatting sqref="EZ5:FA131">
    <cfRule type="cellIs" dxfId="6028" priority="17" operator="equal">
      <formula>"A."</formula>
    </cfRule>
  </conditionalFormatting>
  <conditionalFormatting sqref="FG5:FH131">
    <cfRule type="expression" dxfId="6027" priority="16">
      <formula>OR(FG$4="sam.",FG$4="dim.")</formula>
    </cfRule>
  </conditionalFormatting>
  <conditionalFormatting sqref="FG5:FH131">
    <cfRule type="cellIs" dxfId="6026" priority="15" operator="equal">
      <formula>"A."</formula>
    </cfRule>
  </conditionalFormatting>
  <conditionalFormatting sqref="FN5:FO131">
    <cfRule type="expression" dxfId="6025" priority="14">
      <formula>OR(FN$4="sam.",FN$4="dim.")</formula>
    </cfRule>
  </conditionalFormatting>
  <conditionalFormatting sqref="FN5:FO131">
    <cfRule type="cellIs" dxfId="6024" priority="13" operator="equal">
      <formula>"A."</formula>
    </cfRule>
  </conditionalFormatting>
  <conditionalFormatting sqref="FU5:FV131">
    <cfRule type="expression" dxfId="6023" priority="12">
      <formula>OR(FU$4="sam.",FU$4="dim.")</formula>
    </cfRule>
  </conditionalFormatting>
  <conditionalFormatting sqref="FU5:FV131">
    <cfRule type="cellIs" dxfId="6022" priority="11" operator="equal">
      <formula>"A."</formula>
    </cfRule>
  </conditionalFormatting>
  <conditionalFormatting sqref="GB5:GC131">
    <cfRule type="expression" dxfId="6021" priority="10">
      <formula>OR(GB$4="sam.",GB$4="dim.")</formula>
    </cfRule>
  </conditionalFormatting>
  <conditionalFormatting sqref="GB5:GC131">
    <cfRule type="cellIs" dxfId="6020" priority="9" operator="equal">
      <formula>"A."</formula>
    </cfRule>
  </conditionalFormatting>
  <conditionalFormatting sqref="GI5:GJ131">
    <cfRule type="expression" dxfId="6019" priority="8">
      <formula>OR(GI$4="sam.",GI$4="dim.")</formula>
    </cfRule>
  </conditionalFormatting>
  <conditionalFormatting sqref="GI5:GJ131">
    <cfRule type="cellIs" dxfId="6018" priority="7" operator="equal">
      <formula>"A."</formula>
    </cfRule>
  </conditionalFormatting>
  <conditionalFormatting sqref="GP5:GQ131">
    <cfRule type="expression" dxfId="6017" priority="6">
      <formula>OR(GP$4="sam.",GP$4="dim.")</formula>
    </cfRule>
  </conditionalFormatting>
  <conditionalFormatting sqref="GP5:GQ131">
    <cfRule type="cellIs" dxfId="6016" priority="5" operator="equal">
      <formula>"A."</formula>
    </cfRule>
  </conditionalFormatting>
  <conditionalFormatting sqref="GW5:GX131">
    <cfRule type="expression" dxfId="6015" priority="4">
      <formula>OR(GW$4="sam.",GW$4="dim.")</formula>
    </cfRule>
  </conditionalFormatting>
  <conditionalFormatting sqref="GW5:GX131">
    <cfRule type="cellIs" dxfId="6014" priority="3" operator="equal">
      <formula>"A."</formula>
    </cfRule>
  </conditionalFormatting>
  <conditionalFormatting sqref="HD5:HE131">
    <cfRule type="expression" dxfId="6013" priority="2">
      <formula>OR(HD$4="sam.",HD$4="dim.")</formula>
    </cfRule>
  </conditionalFormatting>
  <conditionalFormatting sqref="HD5:HE131">
    <cfRule type="cellIs" dxfId="6012" priority="1" operator="equal">
      <formula>"A."</formula>
    </cfRule>
  </conditionalFormatting>
  <dataValidations count="5">
    <dataValidation type="list" allowBlank="1" showInputMessage="1" showErrorMessage="1" sqref="F5:F131" xr:uid="{1507D25D-3F80-48FA-8675-A541352159BB}">
      <formula1>SOCIETE</formula1>
    </dataValidation>
    <dataValidation type="list" allowBlank="1" showInputMessage="1" showErrorMessage="1" sqref="G5:G131" xr:uid="{7198B9EE-666B-42DD-9873-077B0EF8F3AE}">
      <formula1>STATUT</formula1>
    </dataValidation>
    <dataValidation type="list" allowBlank="1" showInputMessage="1" showErrorMessage="1" sqref="H5:H131" xr:uid="{F8E864A0-3D77-4688-B739-5247B115FE4B}">
      <formula1>FONCTION</formula1>
    </dataValidation>
    <dataValidation type="list" allowBlank="1" showInputMessage="1" showErrorMessage="1" sqref="Y5:AC131 K5:O131 R5:V131 AF5:AJ131 AM5:AQ131 AT5:AX131 BA5:BE131 BH5:BL131 BO5:BS131 BV5:BZ131 CC5:CG131 CJ5:CN131 CQ5:CU131 CX5:DB131 DE5:DI131 DL5:DP131 DS5:DW131 DZ5:ED131 EG5:EK131 EN5:ER131 EU5:EY131 FB5:FF131 FI5:FM131 FP5:FT131 FW5:GA131 GD5:GH131 GK5:GO131 GR5:GV131 GY5:HC131" xr:uid="{92242FCC-F95F-49B4-97CA-E0B52D2727AD}">
      <formula1>INDIRECT($H5)</formula1>
    </dataValidation>
    <dataValidation type="list" allowBlank="1" showInputMessage="1" showErrorMessage="1" sqref="P5:Q131 BF5:BG131 W5:X131 AD5:AE131 AK5:AL131 AR5:AS131 AY5:AZ131 BM5:BN131 BT5:BU131 CA5:CB131 CH5:CI131 CO5:CP131 CV5:CW131 DC5:DD131 DJ5:DK131 DQ5:DR131 DX5:DY131 EE5:EF131 EL5:EM131 ES5:ET131 EZ5:FA131 FG5:FH131 FN5:FO131 FU5:FV131 GB5:GC131 GI5:GJ131 GP5:GQ131 GW5:GX131 HD5:HE131" xr:uid="{75DD6E7B-0E1B-4A48-A4E5-223795124D42}">
      <formula1>INDIRECT($K5)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323" operator="beginsWith" id="{3838DAA0-38B9-48D9-B5C1-1AC4153EDF35}">
            <xm:f>LEFT(G5,LEN("INT"))="INT"</xm:f>
            <xm:f>"INT"</xm:f>
            <x14:dxf>
              <fill>
                <patternFill>
                  <bgColor theme="9" tint="0.59996337778862885"/>
                </patternFill>
              </fill>
            </x14:dxf>
          </x14:cfRule>
          <xm:sqref>G5:G131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FB82-8342-4C51-84C4-AF124201A7C2}">
  <sheetPr codeName="Feuil3"/>
  <dimension ref="B2:AB258"/>
  <sheetViews>
    <sheetView topLeftCell="J1" zoomScale="85" zoomScaleNormal="85" workbookViewId="0">
      <selection activeCell="G46" sqref="G46"/>
    </sheetView>
  </sheetViews>
  <sheetFormatPr baseColWidth="10" defaultRowHeight="14.4" x14ac:dyDescent="0.3"/>
  <cols>
    <col min="1" max="1" width="2.5546875" customWidth="1"/>
  </cols>
  <sheetData>
    <row r="2" spans="2:28" ht="15" thickBot="1" x14ac:dyDescent="0.35"/>
    <row r="3" spans="2:28" x14ac:dyDescent="0.3">
      <c r="B3" s="1" t="s">
        <v>0</v>
      </c>
      <c r="C3" s="2" t="s">
        <v>1</v>
      </c>
      <c r="D3" s="2"/>
      <c r="E3" s="2"/>
      <c r="F3" s="3" t="s">
        <v>2</v>
      </c>
      <c r="G3" s="4" t="s">
        <v>3</v>
      </c>
      <c r="H3" s="5" t="s">
        <v>4</v>
      </c>
      <c r="I3" s="6" t="s">
        <v>5</v>
      </c>
      <c r="J3" s="7" t="s">
        <v>6</v>
      </c>
      <c r="K3" s="63" t="s">
        <v>380</v>
      </c>
      <c r="L3" s="63" t="s">
        <v>381</v>
      </c>
      <c r="M3" s="63" t="s">
        <v>382</v>
      </c>
      <c r="N3" s="63" t="s">
        <v>383</v>
      </c>
      <c r="O3" s="63" t="s">
        <v>384</v>
      </c>
      <c r="Q3" s="101" t="s">
        <v>393</v>
      </c>
      <c r="R3" s="102" t="s">
        <v>394</v>
      </c>
      <c r="S3" s="102" t="s">
        <v>413</v>
      </c>
      <c r="T3" s="103" t="s">
        <v>412</v>
      </c>
      <c r="V3" s="113" t="s">
        <v>393</v>
      </c>
      <c r="W3" s="129" t="s">
        <v>433</v>
      </c>
      <c r="X3" s="63"/>
      <c r="Y3" s="63"/>
      <c r="Z3" s="63"/>
      <c r="AA3" s="63"/>
      <c r="AB3" s="110"/>
    </row>
    <row r="4" spans="2:28" x14ac:dyDescent="0.3">
      <c r="B4" s="8">
        <v>107522</v>
      </c>
      <c r="C4" s="9">
        <v>35</v>
      </c>
      <c r="D4" s="10" t="s">
        <v>19</v>
      </c>
      <c r="E4" s="11" t="str">
        <f t="shared" ref="E4:E67" si="0">B4&amp;""&amp;D4</f>
        <v>107522X</v>
      </c>
      <c r="F4" s="36" t="s">
        <v>60</v>
      </c>
      <c r="G4" s="13" t="s">
        <v>26</v>
      </c>
      <c r="H4" s="14" t="s">
        <v>9</v>
      </c>
      <c r="I4" s="15" t="s">
        <v>61</v>
      </c>
      <c r="J4" s="15" t="s">
        <v>23</v>
      </c>
      <c r="K4" s="64" t="s">
        <v>395</v>
      </c>
      <c r="L4" s="64" t="s">
        <v>395</v>
      </c>
      <c r="M4" s="64" t="s">
        <v>431</v>
      </c>
      <c r="N4" s="64" t="s">
        <v>395</v>
      </c>
      <c r="O4" s="64" t="s">
        <v>395</v>
      </c>
      <c r="Q4" s="122" t="s">
        <v>387</v>
      </c>
      <c r="R4" s="100">
        <v>350</v>
      </c>
      <c r="S4" s="100"/>
      <c r="T4" s="104"/>
      <c r="V4" s="122" t="s">
        <v>387</v>
      </c>
      <c r="W4" s="127"/>
      <c r="X4" s="110"/>
      <c r="Y4" s="110"/>
      <c r="Z4" s="110"/>
      <c r="AA4" s="110"/>
      <c r="AB4" s="110"/>
    </row>
    <row r="5" spans="2:28" x14ac:dyDescent="0.3">
      <c r="B5" s="16">
        <v>107804</v>
      </c>
      <c r="C5" s="17">
        <v>35</v>
      </c>
      <c r="D5" s="11" t="s">
        <v>19</v>
      </c>
      <c r="E5" s="11" t="str">
        <f t="shared" si="0"/>
        <v>107804X</v>
      </c>
      <c r="F5" s="73" t="s">
        <v>60</v>
      </c>
      <c r="G5" s="13" t="s">
        <v>26</v>
      </c>
      <c r="H5" s="14" t="s">
        <v>9</v>
      </c>
      <c r="I5" s="88" t="s">
        <v>201</v>
      </c>
      <c r="J5" s="88" t="s">
        <v>67</v>
      </c>
      <c r="K5" s="64" t="s">
        <v>395</v>
      </c>
      <c r="L5" s="64" t="s">
        <v>395</v>
      </c>
      <c r="M5" s="64" t="s">
        <v>431</v>
      </c>
      <c r="N5" s="64" t="s">
        <v>395</v>
      </c>
      <c r="O5" s="64" t="s">
        <v>395</v>
      </c>
      <c r="Q5" s="123" t="s">
        <v>388</v>
      </c>
      <c r="R5" s="100">
        <v>350</v>
      </c>
      <c r="S5" s="100"/>
      <c r="T5" s="104"/>
      <c r="V5" s="123" t="s">
        <v>388</v>
      </c>
      <c r="W5" s="127"/>
      <c r="X5" s="110"/>
      <c r="Y5" s="110"/>
      <c r="Z5" s="110"/>
      <c r="AA5" s="110"/>
      <c r="AB5" s="110"/>
    </row>
    <row r="6" spans="2:28" x14ac:dyDescent="0.3">
      <c r="B6" s="8" t="s">
        <v>292</v>
      </c>
      <c r="C6" s="9">
        <v>35</v>
      </c>
      <c r="D6" s="10" t="s">
        <v>91</v>
      </c>
      <c r="E6" s="11" t="str">
        <f t="shared" si="0"/>
        <v xml:space="preserve"> x</v>
      </c>
      <c r="F6" s="36" t="s">
        <v>60</v>
      </c>
      <c r="G6" s="13" t="s">
        <v>26</v>
      </c>
      <c r="H6" s="14" t="s">
        <v>9</v>
      </c>
      <c r="I6" s="83" t="s">
        <v>293</v>
      </c>
      <c r="J6" s="83" t="s">
        <v>294</v>
      </c>
      <c r="K6" s="64" t="s">
        <v>395</v>
      </c>
      <c r="L6" s="64" t="s">
        <v>395</v>
      </c>
      <c r="M6" s="64" t="s">
        <v>431</v>
      </c>
      <c r="N6" s="64" t="s">
        <v>395</v>
      </c>
      <c r="O6" s="64" t="s">
        <v>395</v>
      </c>
      <c r="Q6" s="123" t="s">
        <v>389</v>
      </c>
      <c r="R6" s="100">
        <v>350</v>
      </c>
      <c r="S6" s="100"/>
      <c r="T6" s="104"/>
      <c r="V6" s="123" t="s">
        <v>389</v>
      </c>
      <c r="W6" s="127"/>
      <c r="X6" s="110"/>
      <c r="Y6" s="110"/>
      <c r="Z6" s="110"/>
      <c r="AA6" s="110"/>
      <c r="AB6" s="110"/>
    </row>
    <row r="7" spans="2:28" x14ac:dyDescent="0.3">
      <c r="B7" s="8">
        <v>104224</v>
      </c>
      <c r="C7" s="9">
        <v>35</v>
      </c>
      <c r="D7" s="10" t="str">
        <f t="shared" ref="D7:D22" si="1">IF(G7="","","X")</f>
        <v>X</v>
      </c>
      <c r="E7" s="11" t="str">
        <f t="shared" si="0"/>
        <v>104224X</v>
      </c>
      <c r="F7" s="36" t="s">
        <v>60</v>
      </c>
      <c r="G7" s="13" t="s">
        <v>8</v>
      </c>
      <c r="H7" s="14" t="s">
        <v>9</v>
      </c>
      <c r="I7" s="42" t="s">
        <v>86</v>
      </c>
      <c r="J7" s="39" t="s">
        <v>87</v>
      </c>
      <c r="K7" s="64" t="s">
        <v>395</v>
      </c>
      <c r="L7" s="64" t="s">
        <v>395</v>
      </c>
      <c r="M7" s="64" t="s">
        <v>431</v>
      </c>
      <c r="N7" s="64" t="s">
        <v>395</v>
      </c>
      <c r="O7" s="64" t="s">
        <v>395</v>
      </c>
      <c r="Q7" s="123" t="s">
        <v>390</v>
      </c>
      <c r="R7" s="100">
        <v>350</v>
      </c>
      <c r="S7" s="100"/>
      <c r="T7" s="104"/>
      <c r="V7" s="123" t="s">
        <v>390</v>
      </c>
      <c r="W7" s="127"/>
      <c r="X7" s="110"/>
      <c r="Y7" s="110"/>
      <c r="Z7" s="110"/>
      <c r="AA7" s="110"/>
      <c r="AB7" s="110"/>
    </row>
    <row r="8" spans="2:28" x14ac:dyDescent="0.3">
      <c r="B8" s="38">
        <v>35714</v>
      </c>
      <c r="C8" s="9">
        <v>35</v>
      </c>
      <c r="D8" s="10" t="str">
        <f t="shared" si="1"/>
        <v>X</v>
      </c>
      <c r="E8" s="11" t="str">
        <f t="shared" si="0"/>
        <v>35714X</v>
      </c>
      <c r="F8" s="36" t="s">
        <v>60</v>
      </c>
      <c r="G8" s="34" t="s">
        <v>8</v>
      </c>
      <c r="H8" s="14" t="s">
        <v>9</v>
      </c>
      <c r="I8" s="84" t="s">
        <v>116</v>
      </c>
      <c r="J8" s="84" t="s">
        <v>108</v>
      </c>
      <c r="K8" s="64" t="s">
        <v>395</v>
      </c>
      <c r="L8" s="64" t="s">
        <v>396</v>
      </c>
      <c r="M8" s="64" t="s">
        <v>431</v>
      </c>
      <c r="N8" s="64" t="s">
        <v>395</v>
      </c>
      <c r="O8" s="64" t="s">
        <v>395</v>
      </c>
      <c r="Q8" s="123" t="s">
        <v>391</v>
      </c>
      <c r="R8" s="100">
        <v>350</v>
      </c>
      <c r="S8" s="100"/>
      <c r="T8" s="104"/>
      <c r="V8" s="123" t="s">
        <v>391</v>
      </c>
      <c r="W8" s="127"/>
      <c r="X8" s="110"/>
      <c r="Y8" s="110"/>
      <c r="Z8" s="110"/>
      <c r="AA8" s="110"/>
      <c r="AB8" s="110"/>
    </row>
    <row r="9" spans="2:28" ht="15" thickBot="1" x14ac:dyDescent="0.35">
      <c r="B9" s="8">
        <v>101143</v>
      </c>
      <c r="C9" s="9">
        <v>35</v>
      </c>
      <c r="D9" s="10" t="str">
        <f t="shared" si="1"/>
        <v>X</v>
      </c>
      <c r="E9" s="11" t="str">
        <f t="shared" si="0"/>
        <v>101143X</v>
      </c>
      <c r="F9" s="36" t="s">
        <v>60</v>
      </c>
      <c r="G9" s="13" t="s">
        <v>8</v>
      </c>
      <c r="H9" s="14" t="s">
        <v>9</v>
      </c>
      <c r="I9" s="42" t="s">
        <v>117</v>
      </c>
      <c r="J9" s="39" t="s">
        <v>118</v>
      </c>
      <c r="K9" s="64" t="s">
        <v>395</v>
      </c>
      <c r="L9" s="64" t="s">
        <v>396</v>
      </c>
      <c r="M9" s="64" t="s">
        <v>431</v>
      </c>
      <c r="N9" s="64" t="s">
        <v>395</v>
      </c>
      <c r="O9" s="64" t="s">
        <v>395</v>
      </c>
      <c r="Q9" s="124" t="s">
        <v>392</v>
      </c>
      <c r="R9" s="105">
        <v>350</v>
      </c>
      <c r="S9" s="105"/>
      <c r="T9" s="106"/>
      <c r="V9" s="124" t="s">
        <v>392</v>
      </c>
      <c r="W9" s="128"/>
      <c r="X9" s="110"/>
      <c r="Y9" s="110"/>
      <c r="Z9" s="110"/>
      <c r="AA9" s="110"/>
      <c r="AB9" s="110"/>
    </row>
    <row r="10" spans="2:28" x14ac:dyDescent="0.3">
      <c r="B10" s="8">
        <v>101276</v>
      </c>
      <c r="C10" s="9">
        <v>35</v>
      </c>
      <c r="D10" s="10" t="str">
        <f t="shared" si="1"/>
        <v>X</v>
      </c>
      <c r="E10" s="11" t="str">
        <f t="shared" si="0"/>
        <v>101276X</v>
      </c>
      <c r="F10" s="36" t="s">
        <v>60</v>
      </c>
      <c r="G10" s="13" t="s">
        <v>8</v>
      </c>
      <c r="H10" s="14" t="s">
        <v>9</v>
      </c>
      <c r="I10" s="86" t="s">
        <v>117</v>
      </c>
      <c r="J10" s="82" t="s">
        <v>120</v>
      </c>
      <c r="K10" s="64" t="s">
        <v>395</v>
      </c>
      <c r="L10" s="64" t="s">
        <v>396</v>
      </c>
      <c r="M10" s="64" t="s">
        <v>431</v>
      </c>
      <c r="N10" s="64" t="s">
        <v>395</v>
      </c>
      <c r="O10" s="64" t="s">
        <v>395</v>
      </c>
      <c r="Q10" s="64"/>
      <c r="V10" s="110"/>
      <c r="W10" s="110"/>
      <c r="X10" s="110"/>
      <c r="Y10" s="110"/>
      <c r="Z10" s="110"/>
      <c r="AA10" s="110"/>
      <c r="AB10" s="110"/>
    </row>
    <row r="11" spans="2:28" ht="15" thickBot="1" x14ac:dyDescent="0.35">
      <c r="B11" s="8">
        <v>105076</v>
      </c>
      <c r="C11" s="9">
        <v>35</v>
      </c>
      <c r="D11" s="10" t="str">
        <f t="shared" si="1"/>
        <v>X</v>
      </c>
      <c r="E11" s="11" t="str">
        <f t="shared" si="0"/>
        <v>105076X</v>
      </c>
      <c r="F11" s="36" t="s">
        <v>60</v>
      </c>
      <c r="G11" s="13" t="s">
        <v>8</v>
      </c>
      <c r="H11" s="14" t="s">
        <v>9</v>
      </c>
      <c r="I11" s="86" t="s">
        <v>125</v>
      </c>
      <c r="J11" s="82" t="s">
        <v>106</v>
      </c>
      <c r="K11" s="64" t="s">
        <v>396</v>
      </c>
      <c r="L11" s="64" t="s">
        <v>396</v>
      </c>
      <c r="M11" s="64" t="s">
        <v>431</v>
      </c>
      <c r="N11" s="64" t="s">
        <v>395</v>
      </c>
      <c r="O11" s="64" t="s">
        <v>395</v>
      </c>
      <c r="Q11" s="64"/>
      <c r="V11" s="110"/>
      <c r="W11" s="110"/>
      <c r="X11" s="110"/>
      <c r="Y11" s="110"/>
      <c r="Z11" s="110"/>
      <c r="AA11" s="110"/>
      <c r="AB11" s="110"/>
    </row>
    <row r="12" spans="2:28" x14ac:dyDescent="0.3">
      <c r="B12" s="8">
        <v>59970</v>
      </c>
      <c r="C12" s="9">
        <v>35</v>
      </c>
      <c r="D12" s="10" t="str">
        <f t="shared" si="1"/>
        <v>X</v>
      </c>
      <c r="E12" s="10" t="str">
        <f t="shared" si="0"/>
        <v>59970X</v>
      </c>
      <c r="F12" s="36" t="s">
        <v>60</v>
      </c>
      <c r="G12" s="34" t="s">
        <v>8</v>
      </c>
      <c r="H12" s="14" t="s">
        <v>113</v>
      </c>
      <c r="I12" s="43" t="s">
        <v>182</v>
      </c>
      <c r="J12" s="43" t="s">
        <v>184</v>
      </c>
      <c r="K12" s="64" t="s">
        <v>395</v>
      </c>
      <c r="L12" s="64" t="s">
        <v>396</v>
      </c>
      <c r="M12" s="64" t="s">
        <v>431</v>
      </c>
      <c r="N12" s="64" t="s">
        <v>395</v>
      </c>
      <c r="O12" s="64" t="s">
        <v>395</v>
      </c>
      <c r="Q12" s="107" t="s">
        <v>393</v>
      </c>
      <c r="R12" s="108" t="s">
        <v>407</v>
      </c>
      <c r="S12" s="108" t="s">
        <v>408</v>
      </c>
      <c r="T12" s="109" t="s">
        <v>409</v>
      </c>
      <c r="V12" s="111"/>
      <c r="W12" s="110"/>
      <c r="X12" s="110"/>
      <c r="Y12" s="110"/>
      <c r="Z12" s="110"/>
      <c r="AA12" s="110"/>
      <c r="AB12" s="110"/>
    </row>
    <row r="13" spans="2:28" x14ac:dyDescent="0.3">
      <c r="B13" s="8">
        <v>72844</v>
      </c>
      <c r="C13" s="9">
        <v>35</v>
      </c>
      <c r="D13" s="10" t="str">
        <f t="shared" si="1"/>
        <v>X</v>
      </c>
      <c r="E13" s="11" t="str">
        <f t="shared" si="0"/>
        <v>72844X</v>
      </c>
      <c r="F13" s="36" t="s">
        <v>60</v>
      </c>
      <c r="G13" s="13" t="s">
        <v>8</v>
      </c>
      <c r="H13" s="9" t="s">
        <v>9</v>
      </c>
      <c r="I13" s="90" t="s">
        <v>192</v>
      </c>
      <c r="J13" s="90" t="s">
        <v>193</v>
      </c>
      <c r="K13" s="64" t="s">
        <v>395</v>
      </c>
      <c r="L13" s="64" t="s">
        <v>396</v>
      </c>
      <c r="M13" s="64" t="s">
        <v>431</v>
      </c>
      <c r="N13" s="64" t="s">
        <v>395</v>
      </c>
      <c r="O13" s="64" t="s">
        <v>395</v>
      </c>
      <c r="Q13" s="125" t="s">
        <v>387</v>
      </c>
      <c r="R13" s="100"/>
      <c r="S13" s="100"/>
      <c r="T13" s="104"/>
      <c r="V13" s="110"/>
      <c r="W13" s="110"/>
      <c r="X13" s="110"/>
      <c r="Y13" s="110"/>
      <c r="Z13" s="110"/>
      <c r="AA13" s="110"/>
      <c r="AB13" s="110"/>
    </row>
    <row r="14" spans="2:28" x14ac:dyDescent="0.3">
      <c r="B14" s="38">
        <v>71355</v>
      </c>
      <c r="C14" s="9">
        <v>35</v>
      </c>
      <c r="D14" s="10" t="str">
        <f t="shared" si="1"/>
        <v>X</v>
      </c>
      <c r="E14" s="11" t="str">
        <f t="shared" si="0"/>
        <v>71355X</v>
      </c>
      <c r="F14" s="36" t="s">
        <v>60</v>
      </c>
      <c r="G14" s="34" t="s">
        <v>8</v>
      </c>
      <c r="H14" s="14" t="s">
        <v>113</v>
      </c>
      <c r="I14" s="84" t="s">
        <v>224</v>
      </c>
      <c r="J14" s="84" t="s">
        <v>225</v>
      </c>
      <c r="K14" s="64" t="s">
        <v>417</v>
      </c>
      <c r="L14" s="64" t="s">
        <v>417</v>
      </c>
      <c r="M14" s="64" t="s">
        <v>431</v>
      </c>
      <c r="N14" s="64" t="s">
        <v>417</v>
      </c>
      <c r="O14" s="64" t="s">
        <v>417</v>
      </c>
      <c r="Q14" s="125" t="s">
        <v>388</v>
      </c>
      <c r="R14" s="100"/>
      <c r="S14" s="100"/>
      <c r="T14" s="104"/>
      <c r="V14" s="110"/>
      <c r="W14" s="110"/>
      <c r="X14" s="110"/>
      <c r="Y14" s="110"/>
      <c r="Z14" s="110"/>
      <c r="AA14" s="110"/>
      <c r="AB14" s="110"/>
    </row>
    <row r="15" spans="2:28" x14ac:dyDescent="0.3">
      <c r="B15" s="38">
        <v>40688</v>
      </c>
      <c r="C15" s="9">
        <v>35</v>
      </c>
      <c r="D15" s="10" t="str">
        <f t="shared" si="1"/>
        <v>X</v>
      </c>
      <c r="E15" s="11" t="str">
        <f t="shared" si="0"/>
        <v>40688X</v>
      </c>
      <c r="F15" s="36" t="s">
        <v>60</v>
      </c>
      <c r="G15" s="34" t="s">
        <v>8</v>
      </c>
      <c r="H15" s="14" t="s">
        <v>9</v>
      </c>
      <c r="I15" s="80" t="s">
        <v>248</v>
      </c>
      <c r="J15" s="80" t="s">
        <v>249</v>
      </c>
      <c r="K15" s="64" t="s">
        <v>396</v>
      </c>
      <c r="L15" s="64" t="s">
        <v>396</v>
      </c>
      <c r="M15" s="64" t="s">
        <v>431</v>
      </c>
      <c r="N15" s="64" t="s">
        <v>396</v>
      </c>
      <c r="O15" s="64" t="s">
        <v>396</v>
      </c>
      <c r="Q15" s="125" t="s">
        <v>389</v>
      </c>
      <c r="R15" s="100"/>
      <c r="S15" s="100"/>
      <c r="T15" s="104"/>
      <c r="V15" s="110"/>
      <c r="W15" s="110"/>
      <c r="X15" s="110"/>
      <c r="Y15" s="110"/>
      <c r="Z15" s="110"/>
      <c r="AA15" s="110"/>
      <c r="AB15" s="110"/>
    </row>
    <row r="16" spans="2:28" x14ac:dyDescent="0.3">
      <c r="B16" s="69">
        <v>105600</v>
      </c>
      <c r="C16" s="9">
        <v>35</v>
      </c>
      <c r="D16" s="41" t="str">
        <f t="shared" si="1"/>
        <v>X</v>
      </c>
      <c r="E16" s="10" t="str">
        <f t="shared" si="0"/>
        <v>105600X</v>
      </c>
      <c r="F16" s="36" t="s">
        <v>60</v>
      </c>
      <c r="G16" s="78" t="s">
        <v>8</v>
      </c>
      <c r="H16" s="9" t="s">
        <v>9</v>
      </c>
      <c r="I16" s="82" t="s">
        <v>255</v>
      </c>
      <c r="J16" s="82" t="s">
        <v>256</v>
      </c>
      <c r="K16" s="64" t="s">
        <v>396</v>
      </c>
      <c r="L16" s="64" t="s">
        <v>396</v>
      </c>
      <c r="M16" s="64" t="s">
        <v>431</v>
      </c>
      <c r="N16" s="64" t="s">
        <v>396</v>
      </c>
      <c r="O16" s="64" t="s">
        <v>396</v>
      </c>
      <c r="Q16" s="125" t="s">
        <v>390</v>
      </c>
      <c r="R16" s="100"/>
      <c r="S16" s="100"/>
      <c r="T16" s="104"/>
      <c r="V16" s="110"/>
      <c r="W16" s="110"/>
      <c r="X16" s="110"/>
      <c r="Y16" s="110"/>
      <c r="Z16" s="110"/>
      <c r="AA16" s="110"/>
      <c r="AB16" s="110"/>
    </row>
    <row r="17" spans="2:28" x14ac:dyDescent="0.3">
      <c r="B17" s="38">
        <v>56995</v>
      </c>
      <c r="C17" s="9">
        <v>35</v>
      </c>
      <c r="D17" s="10" t="str">
        <f t="shared" si="1"/>
        <v>X</v>
      </c>
      <c r="E17" s="11" t="str">
        <f t="shared" si="0"/>
        <v>56995X</v>
      </c>
      <c r="F17" s="36" t="s">
        <v>60</v>
      </c>
      <c r="G17" s="34" t="s">
        <v>8</v>
      </c>
      <c r="H17" s="14" t="s">
        <v>9</v>
      </c>
      <c r="I17" s="60" t="s">
        <v>260</v>
      </c>
      <c r="J17" s="59" t="s">
        <v>261</v>
      </c>
      <c r="K17" s="64" t="s">
        <v>396</v>
      </c>
      <c r="L17" s="64" t="s">
        <v>396</v>
      </c>
      <c r="M17" s="64" t="s">
        <v>431</v>
      </c>
      <c r="N17" s="64" t="s">
        <v>396</v>
      </c>
      <c r="O17" s="64" t="s">
        <v>396</v>
      </c>
      <c r="Q17" s="125" t="s">
        <v>391</v>
      </c>
      <c r="R17" s="100"/>
      <c r="S17" s="100"/>
      <c r="T17" s="104"/>
      <c r="V17" s="110"/>
      <c r="W17" s="110"/>
      <c r="X17" s="110"/>
      <c r="Y17" s="110"/>
      <c r="Z17" s="110"/>
      <c r="AA17" s="110"/>
      <c r="AB17" s="110"/>
    </row>
    <row r="18" spans="2:28" ht="15" thickBot="1" x14ac:dyDescent="0.35">
      <c r="B18" s="38">
        <v>104817</v>
      </c>
      <c r="C18" s="9">
        <v>35</v>
      </c>
      <c r="D18" s="10" t="str">
        <f t="shared" si="1"/>
        <v>X</v>
      </c>
      <c r="E18" s="10" t="str">
        <f t="shared" si="0"/>
        <v>104817X</v>
      </c>
      <c r="F18" s="36" t="s">
        <v>60</v>
      </c>
      <c r="G18" s="13" t="s">
        <v>8</v>
      </c>
      <c r="H18" s="14" t="s">
        <v>9</v>
      </c>
      <c r="I18" s="42" t="s">
        <v>303</v>
      </c>
      <c r="J18" s="39" t="s">
        <v>304</v>
      </c>
      <c r="K18" s="64" t="s">
        <v>396</v>
      </c>
      <c r="L18" s="64" t="s">
        <v>396</v>
      </c>
      <c r="M18" s="64" t="s">
        <v>431</v>
      </c>
      <c r="N18" s="64" t="s">
        <v>396</v>
      </c>
      <c r="O18" s="64" t="s">
        <v>396</v>
      </c>
      <c r="Q18" s="126" t="s">
        <v>392</v>
      </c>
      <c r="R18" s="105"/>
      <c r="S18" s="105"/>
      <c r="T18" s="106"/>
      <c r="V18" s="110"/>
      <c r="W18" s="110"/>
      <c r="X18" s="110"/>
      <c r="Y18" s="110"/>
      <c r="Z18" s="110"/>
      <c r="AA18" s="110"/>
      <c r="AB18" s="110"/>
    </row>
    <row r="19" spans="2:28" x14ac:dyDescent="0.3">
      <c r="B19" s="38">
        <v>27609</v>
      </c>
      <c r="C19" s="9">
        <v>35</v>
      </c>
      <c r="D19" s="10" t="str">
        <f t="shared" si="1"/>
        <v>X</v>
      </c>
      <c r="E19" s="11" t="str">
        <f t="shared" si="0"/>
        <v>27609X</v>
      </c>
      <c r="F19" s="36" t="s">
        <v>60</v>
      </c>
      <c r="G19" s="34" t="s">
        <v>8</v>
      </c>
      <c r="H19" s="14" t="s">
        <v>9</v>
      </c>
      <c r="I19" s="60" t="s">
        <v>323</v>
      </c>
      <c r="J19" s="59" t="s">
        <v>108</v>
      </c>
      <c r="K19" s="64" t="s">
        <v>396</v>
      </c>
      <c r="L19" s="64" t="s">
        <v>396</v>
      </c>
      <c r="M19" s="64" t="s">
        <v>431</v>
      </c>
      <c r="N19" s="64" t="s">
        <v>396</v>
      </c>
      <c r="O19" s="64" t="s">
        <v>396</v>
      </c>
      <c r="V19" s="110"/>
      <c r="W19" s="110"/>
      <c r="X19" s="110"/>
      <c r="Y19" s="110"/>
      <c r="Z19" s="110"/>
      <c r="AA19" s="110"/>
      <c r="AB19" s="110"/>
    </row>
    <row r="20" spans="2:28" ht="15" thickBot="1" x14ac:dyDescent="0.35">
      <c r="B20" s="38">
        <v>105254</v>
      </c>
      <c r="C20" s="9">
        <v>35</v>
      </c>
      <c r="D20" s="10" t="str">
        <f t="shared" si="1"/>
        <v>X</v>
      </c>
      <c r="E20" s="10" t="str">
        <f t="shared" si="0"/>
        <v>105254X</v>
      </c>
      <c r="F20" s="36" t="s">
        <v>60</v>
      </c>
      <c r="G20" s="13" t="s">
        <v>8</v>
      </c>
      <c r="H20" s="14" t="s">
        <v>9</v>
      </c>
      <c r="I20" s="42" t="s">
        <v>365</v>
      </c>
      <c r="J20" s="39" t="s">
        <v>366</v>
      </c>
      <c r="K20" s="64" t="s">
        <v>396</v>
      </c>
      <c r="L20" s="64" t="s">
        <v>396</v>
      </c>
      <c r="M20" s="64" t="s">
        <v>431</v>
      </c>
      <c r="N20" s="64" t="s">
        <v>396</v>
      </c>
      <c r="O20" s="64" t="s">
        <v>396</v>
      </c>
      <c r="V20" s="110"/>
      <c r="W20" s="110"/>
      <c r="X20" s="110"/>
      <c r="Y20" s="110"/>
      <c r="Z20" s="110"/>
      <c r="AA20" s="110"/>
      <c r="AB20" s="110"/>
    </row>
    <row r="21" spans="2:28" x14ac:dyDescent="0.3">
      <c r="B21" s="38">
        <v>104227</v>
      </c>
      <c r="C21" s="9">
        <v>35</v>
      </c>
      <c r="D21" s="10" t="str">
        <f t="shared" si="1"/>
        <v>X</v>
      </c>
      <c r="E21" s="11" t="str">
        <f t="shared" si="0"/>
        <v>104227X</v>
      </c>
      <c r="F21" s="36" t="s">
        <v>60</v>
      </c>
      <c r="G21" s="34" t="s">
        <v>8</v>
      </c>
      <c r="H21" s="14" t="s">
        <v>113</v>
      </c>
      <c r="I21" s="42" t="s">
        <v>374</v>
      </c>
      <c r="J21" s="39" t="s">
        <v>57</v>
      </c>
      <c r="K21" s="64" t="s">
        <v>417</v>
      </c>
      <c r="L21" s="64" t="s">
        <v>417</v>
      </c>
      <c r="M21" s="64" t="s">
        <v>431</v>
      </c>
      <c r="N21" s="64" t="s">
        <v>417</v>
      </c>
      <c r="O21" s="64" t="s">
        <v>417</v>
      </c>
      <c r="Q21" s="113" t="s">
        <v>414</v>
      </c>
      <c r="R21" s="102" t="s">
        <v>380</v>
      </c>
      <c r="S21" s="102" t="s">
        <v>381</v>
      </c>
      <c r="T21" s="102" t="s">
        <v>382</v>
      </c>
      <c r="U21" s="102" t="s">
        <v>383</v>
      </c>
      <c r="V21" s="102" t="s">
        <v>384</v>
      </c>
      <c r="W21" s="114"/>
      <c r="X21" s="110"/>
      <c r="Y21" s="110"/>
      <c r="Z21" s="110"/>
      <c r="AA21" s="110"/>
      <c r="AB21" s="110"/>
    </row>
    <row r="22" spans="2:28" x14ac:dyDescent="0.3">
      <c r="B22" s="38">
        <v>50139</v>
      </c>
      <c r="C22" s="9">
        <v>39</v>
      </c>
      <c r="D22" s="10" t="str">
        <f t="shared" si="1"/>
        <v>X</v>
      </c>
      <c r="E22" s="10" t="str">
        <f t="shared" si="0"/>
        <v>50139X</v>
      </c>
      <c r="F22" s="36" t="s">
        <v>60</v>
      </c>
      <c r="G22" s="13" t="s">
        <v>79</v>
      </c>
      <c r="H22" s="14" t="s">
        <v>88</v>
      </c>
      <c r="I22" s="60" t="s">
        <v>309</v>
      </c>
      <c r="J22" s="59" t="s">
        <v>310</v>
      </c>
      <c r="K22" s="64" t="s">
        <v>417</v>
      </c>
      <c r="L22" s="64" t="s">
        <v>417</v>
      </c>
      <c r="M22" s="64" t="s">
        <v>431</v>
      </c>
      <c r="N22" s="64" t="s">
        <v>417</v>
      </c>
      <c r="O22" s="64" t="s">
        <v>417</v>
      </c>
      <c r="Q22" s="115" t="s">
        <v>386</v>
      </c>
      <c r="R22" s="112">
        <v>12</v>
      </c>
      <c r="S22" s="112">
        <v>12</v>
      </c>
      <c r="T22" s="112">
        <v>12</v>
      </c>
      <c r="U22" s="112">
        <v>12</v>
      </c>
      <c r="V22" s="112">
        <v>12</v>
      </c>
      <c r="W22" s="116" t="s">
        <v>415</v>
      </c>
      <c r="X22" s="110"/>
      <c r="Y22" s="110"/>
      <c r="Z22" s="110"/>
      <c r="AA22" s="110"/>
      <c r="AB22" s="110"/>
    </row>
    <row r="23" spans="2:28" x14ac:dyDescent="0.3">
      <c r="B23" s="24" t="s">
        <v>18</v>
      </c>
      <c r="C23" s="25">
        <v>35</v>
      </c>
      <c r="D23" s="26" t="s">
        <v>19</v>
      </c>
      <c r="E23" s="27" t="str">
        <f t="shared" si="0"/>
        <v>IX</v>
      </c>
      <c r="F23" s="28" t="s">
        <v>60</v>
      </c>
      <c r="G23" s="29" t="s">
        <v>21</v>
      </c>
      <c r="H23" s="30" t="s">
        <v>9</v>
      </c>
      <c r="I23" s="98" t="s">
        <v>167</v>
      </c>
      <c r="J23" s="81" t="s">
        <v>168</v>
      </c>
      <c r="K23" s="64" t="s">
        <v>410</v>
      </c>
      <c r="L23" s="64" t="s">
        <v>410</v>
      </c>
      <c r="M23" s="64" t="s">
        <v>431</v>
      </c>
      <c r="N23" s="64" t="s">
        <v>410</v>
      </c>
      <c r="O23" s="64" t="s">
        <v>410</v>
      </c>
      <c r="Q23" s="117"/>
      <c r="R23" s="120"/>
      <c r="S23" s="120"/>
      <c r="T23" s="120"/>
      <c r="U23" s="120"/>
      <c r="V23" s="120"/>
      <c r="W23" s="79" t="s">
        <v>416</v>
      </c>
      <c r="X23" s="110"/>
      <c r="Y23" s="110"/>
      <c r="Z23" s="110"/>
      <c r="AA23" s="110"/>
      <c r="AB23" s="110"/>
    </row>
    <row r="24" spans="2:28" ht="15" thickBot="1" x14ac:dyDescent="0.35">
      <c r="B24" s="24" t="s">
        <v>18</v>
      </c>
      <c r="C24" s="25">
        <v>35</v>
      </c>
      <c r="D24" s="26" t="s">
        <v>91</v>
      </c>
      <c r="E24" s="27" t="str">
        <f t="shared" si="0"/>
        <v>Ix</v>
      </c>
      <c r="F24" s="28" t="s">
        <v>60</v>
      </c>
      <c r="G24" s="29" t="s">
        <v>21</v>
      </c>
      <c r="H24" s="30" t="s">
        <v>35</v>
      </c>
      <c r="I24" s="31" t="s">
        <v>207</v>
      </c>
      <c r="J24" s="31" t="s">
        <v>208</v>
      </c>
      <c r="K24" s="64" t="s">
        <v>410</v>
      </c>
      <c r="L24" s="64" t="s">
        <v>410</v>
      </c>
      <c r="M24" s="64" t="s">
        <v>431</v>
      </c>
      <c r="N24" s="64" t="s">
        <v>410</v>
      </c>
      <c r="O24" s="64" t="s">
        <v>410</v>
      </c>
      <c r="Q24" s="115" t="s">
        <v>385</v>
      </c>
      <c r="R24" s="112">
        <v>6</v>
      </c>
      <c r="S24" s="112">
        <v>6</v>
      </c>
      <c r="T24" s="112">
        <v>6</v>
      </c>
      <c r="U24" s="112">
        <v>6</v>
      </c>
      <c r="V24" s="112">
        <v>6</v>
      </c>
      <c r="W24" s="118"/>
    </row>
    <row r="25" spans="2:28" ht="15" thickBot="1" x14ac:dyDescent="0.35">
      <c r="B25" s="66" t="s">
        <v>18</v>
      </c>
      <c r="C25" s="25">
        <v>35</v>
      </c>
      <c r="D25" s="25" t="s">
        <v>19</v>
      </c>
      <c r="E25" s="26" t="str">
        <f t="shared" si="0"/>
        <v>IX</v>
      </c>
      <c r="F25" s="28" t="s">
        <v>60</v>
      </c>
      <c r="G25" s="29" t="s">
        <v>29</v>
      </c>
      <c r="H25" s="26" t="s">
        <v>9</v>
      </c>
      <c r="I25" s="97" t="s">
        <v>74</v>
      </c>
      <c r="J25" s="99" t="s">
        <v>75</v>
      </c>
      <c r="K25" s="64" t="s">
        <v>410</v>
      </c>
      <c r="L25" s="64" t="s">
        <v>410</v>
      </c>
      <c r="M25" s="64" t="s">
        <v>431</v>
      </c>
      <c r="N25" s="64" t="s">
        <v>410</v>
      </c>
      <c r="O25" s="64" t="s">
        <v>410</v>
      </c>
      <c r="Q25" s="117"/>
      <c r="R25" s="120"/>
      <c r="S25" s="120"/>
      <c r="T25" s="120"/>
      <c r="U25" s="120"/>
      <c r="V25" s="120"/>
      <c r="W25" s="104"/>
    </row>
    <row r="26" spans="2:28" x14ac:dyDescent="0.3">
      <c r="B26" s="24" t="s">
        <v>18</v>
      </c>
      <c r="C26" s="25">
        <v>35</v>
      </c>
      <c r="D26" s="26" t="s">
        <v>19</v>
      </c>
      <c r="E26" s="27" t="str">
        <f t="shared" si="0"/>
        <v>IX</v>
      </c>
      <c r="F26" s="28" t="s">
        <v>60</v>
      </c>
      <c r="G26" s="29" t="s">
        <v>29</v>
      </c>
      <c r="H26" s="25" t="s">
        <v>9</v>
      </c>
      <c r="I26" s="31" t="s">
        <v>298</v>
      </c>
      <c r="J26" s="31" t="s">
        <v>55</v>
      </c>
      <c r="K26" s="64" t="s">
        <v>410</v>
      </c>
      <c r="L26" s="64" t="s">
        <v>410</v>
      </c>
      <c r="M26" s="64" t="s">
        <v>431</v>
      </c>
      <c r="N26" s="64" t="s">
        <v>410</v>
      </c>
      <c r="O26" s="64" t="s">
        <v>410</v>
      </c>
      <c r="Q26" s="115" t="s">
        <v>417</v>
      </c>
      <c r="R26" s="112">
        <v>3</v>
      </c>
      <c r="S26" s="112">
        <v>3</v>
      </c>
      <c r="T26" s="112">
        <v>3</v>
      </c>
      <c r="U26" s="112">
        <v>3</v>
      </c>
      <c r="V26" s="112">
        <v>3</v>
      </c>
      <c r="W26" s="118"/>
    </row>
    <row r="27" spans="2:28" x14ac:dyDescent="0.3">
      <c r="B27" s="8">
        <v>101370</v>
      </c>
      <c r="C27" s="9">
        <v>35</v>
      </c>
      <c r="D27" s="10" t="s">
        <v>19</v>
      </c>
      <c r="E27" s="10" t="str">
        <f t="shared" si="0"/>
        <v>101370X</v>
      </c>
      <c r="F27" s="33" t="s">
        <v>20</v>
      </c>
      <c r="G27" s="13" t="s">
        <v>26</v>
      </c>
      <c r="H27" s="14" t="s">
        <v>9</v>
      </c>
      <c r="I27" s="88" t="s">
        <v>76</v>
      </c>
      <c r="J27" s="83" t="s">
        <v>78</v>
      </c>
      <c r="K27" s="64" t="s">
        <v>399</v>
      </c>
      <c r="L27" s="64" t="s">
        <v>399</v>
      </c>
      <c r="M27" s="64" t="s">
        <v>431</v>
      </c>
      <c r="N27" s="64" t="s">
        <v>399</v>
      </c>
      <c r="O27" s="64" t="s">
        <v>399</v>
      </c>
      <c r="Q27" s="117"/>
      <c r="R27" s="120"/>
      <c r="S27" s="120"/>
      <c r="T27" s="120"/>
      <c r="U27" s="120"/>
      <c r="V27" s="120"/>
      <c r="W27" s="104"/>
    </row>
    <row r="28" spans="2:28" x14ac:dyDescent="0.3">
      <c r="B28" s="8">
        <v>107722</v>
      </c>
      <c r="C28" s="9">
        <v>35</v>
      </c>
      <c r="D28" s="10" t="s">
        <v>91</v>
      </c>
      <c r="E28" s="11" t="str">
        <f t="shared" si="0"/>
        <v>107722x</v>
      </c>
      <c r="F28" s="33" t="s">
        <v>20</v>
      </c>
      <c r="G28" s="13" t="s">
        <v>26</v>
      </c>
      <c r="H28" s="14" t="s">
        <v>9</v>
      </c>
      <c r="I28" s="15" t="s">
        <v>96</v>
      </c>
      <c r="J28" s="15" t="s">
        <v>98</v>
      </c>
      <c r="K28" s="64" t="s">
        <v>399</v>
      </c>
      <c r="L28" s="64" t="s">
        <v>399</v>
      </c>
      <c r="M28" s="64" t="s">
        <v>431</v>
      </c>
      <c r="N28" s="64" t="s">
        <v>399</v>
      </c>
      <c r="O28" s="64" t="s">
        <v>399</v>
      </c>
      <c r="Q28" s="115" t="s">
        <v>418</v>
      </c>
      <c r="R28" s="112">
        <v>3</v>
      </c>
      <c r="S28" s="112">
        <v>3</v>
      </c>
      <c r="T28" s="112">
        <v>3</v>
      </c>
      <c r="U28" s="112">
        <v>3</v>
      </c>
      <c r="V28" s="112">
        <v>3</v>
      </c>
      <c r="W28" s="118"/>
    </row>
    <row r="29" spans="2:28" x14ac:dyDescent="0.3">
      <c r="B29" s="8">
        <v>106565</v>
      </c>
      <c r="C29" s="9">
        <v>35</v>
      </c>
      <c r="D29" s="10" t="s">
        <v>19</v>
      </c>
      <c r="E29" s="11" t="str">
        <f t="shared" si="0"/>
        <v>106565X</v>
      </c>
      <c r="F29" s="33" t="s">
        <v>20</v>
      </c>
      <c r="G29" s="13" t="s">
        <v>26</v>
      </c>
      <c r="H29" s="14" t="s">
        <v>9</v>
      </c>
      <c r="I29" s="83" t="s">
        <v>99</v>
      </c>
      <c r="J29" s="83" t="s">
        <v>100</v>
      </c>
      <c r="K29" s="64" t="s">
        <v>399</v>
      </c>
      <c r="L29" s="64" t="s">
        <v>399</v>
      </c>
      <c r="M29" s="64" t="s">
        <v>431</v>
      </c>
      <c r="N29" s="64" t="s">
        <v>399</v>
      </c>
      <c r="O29" s="64" t="s">
        <v>399</v>
      </c>
      <c r="Q29" s="117"/>
      <c r="R29" s="120"/>
      <c r="S29" s="120"/>
      <c r="T29" s="120"/>
      <c r="U29" s="120"/>
      <c r="V29" s="120"/>
      <c r="W29" s="104"/>
    </row>
    <row r="30" spans="2:28" x14ac:dyDescent="0.3">
      <c r="B30" s="8">
        <v>107892</v>
      </c>
      <c r="C30" s="9">
        <v>35</v>
      </c>
      <c r="D30" s="10" t="s">
        <v>19</v>
      </c>
      <c r="E30" s="11" t="str">
        <f t="shared" si="0"/>
        <v>107892X</v>
      </c>
      <c r="F30" s="33" t="s">
        <v>20</v>
      </c>
      <c r="G30" s="13" t="s">
        <v>26</v>
      </c>
      <c r="H30" s="14" t="s">
        <v>9</v>
      </c>
      <c r="I30" s="15" t="s">
        <v>299</v>
      </c>
      <c r="J30" s="15" t="s">
        <v>23</v>
      </c>
      <c r="K30" s="64" t="s">
        <v>399</v>
      </c>
      <c r="L30" s="64" t="s">
        <v>399</v>
      </c>
      <c r="M30" s="64" t="s">
        <v>431</v>
      </c>
      <c r="N30" s="64" t="s">
        <v>399</v>
      </c>
      <c r="O30" s="64" t="s">
        <v>399</v>
      </c>
      <c r="Q30" s="115" t="s">
        <v>419</v>
      </c>
      <c r="R30" s="112">
        <v>3</v>
      </c>
      <c r="S30" s="112">
        <v>3</v>
      </c>
      <c r="T30" s="112">
        <v>3</v>
      </c>
      <c r="U30" s="112">
        <v>3</v>
      </c>
      <c r="V30" s="112">
        <v>3</v>
      </c>
      <c r="W30" s="118"/>
    </row>
    <row r="31" spans="2:28" x14ac:dyDescent="0.3">
      <c r="B31" s="8">
        <v>102329</v>
      </c>
      <c r="C31" s="9">
        <v>35</v>
      </c>
      <c r="D31" s="10" t="s">
        <v>19</v>
      </c>
      <c r="E31" s="11" t="str">
        <f t="shared" si="0"/>
        <v>102329X</v>
      </c>
      <c r="F31" s="33" t="s">
        <v>20</v>
      </c>
      <c r="G31" s="13" t="s">
        <v>26</v>
      </c>
      <c r="H31" s="14" t="s">
        <v>9</v>
      </c>
      <c r="I31" s="15" t="s">
        <v>316</v>
      </c>
      <c r="J31" s="15" t="s">
        <v>156</v>
      </c>
      <c r="K31" s="64" t="s">
        <v>399</v>
      </c>
      <c r="L31" s="64" t="s">
        <v>399</v>
      </c>
      <c r="M31" s="64" t="s">
        <v>431</v>
      </c>
      <c r="N31" s="64" t="s">
        <v>399</v>
      </c>
      <c r="O31" s="64" t="s">
        <v>399</v>
      </c>
      <c r="Q31" s="117"/>
      <c r="R31" s="120"/>
      <c r="S31" s="120"/>
      <c r="T31" s="120"/>
      <c r="U31" s="120"/>
      <c r="V31" s="120"/>
      <c r="W31" s="104"/>
    </row>
    <row r="32" spans="2:28" x14ac:dyDescent="0.3">
      <c r="B32" s="8">
        <v>106564</v>
      </c>
      <c r="C32" s="9">
        <v>35</v>
      </c>
      <c r="D32" s="10" t="s">
        <v>19</v>
      </c>
      <c r="E32" s="11" t="str">
        <f t="shared" si="0"/>
        <v>106564X</v>
      </c>
      <c r="F32" s="33" t="s">
        <v>20</v>
      </c>
      <c r="G32" s="13" t="s">
        <v>26</v>
      </c>
      <c r="H32" s="14" t="s">
        <v>9</v>
      </c>
      <c r="I32" s="15" t="s">
        <v>377</v>
      </c>
      <c r="J32" s="15" t="s">
        <v>184</v>
      </c>
      <c r="K32" s="64" t="s">
        <v>399</v>
      </c>
      <c r="L32" s="64" t="s">
        <v>399</v>
      </c>
      <c r="M32" s="64" t="s">
        <v>431</v>
      </c>
      <c r="N32" s="64" t="s">
        <v>399</v>
      </c>
      <c r="O32" s="64" t="s">
        <v>399</v>
      </c>
      <c r="Q32" s="115" t="s">
        <v>426</v>
      </c>
      <c r="R32" s="112">
        <v>5</v>
      </c>
      <c r="S32" s="112">
        <v>5</v>
      </c>
      <c r="T32" s="112">
        <v>5</v>
      </c>
      <c r="U32" s="112">
        <v>5</v>
      </c>
      <c r="V32" s="112">
        <v>5</v>
      </c>
      <c r="W32" s="118"/>
    </row>
    <row r="33" spans="2:23" x14ac:dyDescent="0.3">
      <c r="B33" s="32">
        <v>32116</v>
      </c>
      <c r="C33" s="9">
        <v>35</v>
      </c>
      <c r="D33" s="10" t="str">
        <f t="shared" ref="D33:D39" si="2">IF(G33="","","X")</f>
        <v>X</v>
      </c>
      <c r="E33" s="11" t="str">
        <f t="shared" si="0"/>
        <v>32116X</v>
      </c>
      <c r="F33" s="33" t="s">
        <v>20</v>
      </c>
      <c r="G33" s="34" t="s">
        <v>8</v>
      </c>
      <c r="H33" s="14" t="s">
        <v>9</v>
      </c>
      <c r="I33" s="89" t="s">
        <v>24</v>
      </c>
      <c r="J33" s="89" t="s">
        <v>25</v>
      </c>
      <c r="K33" s="64" t="s">
        <v>399</v>
      </c>
      <c r="L33" s="64" t="s">
        <v>399</v>
      </c>
      <c r="M33" s="64" t="s">
        <v>431</v>
      </c>
      <c r="N33" s="64" t="s">
        <v>399</v>
      </c>
      <c r="O33" s="64" t="s">
        <v>399</v>
      </c>
      <c r="Q33" s="117"/>
      <c r="R33" s="120"/>
      <c r="S33" s="120"/>
      <c r="T33" s="120"/>
      <c r="U33" s="120"/>
      <c r="V33" s="120"/>
      <c r="W33" s="104"/>
    </row>
    <row r="34" spans="2:23" x14ac:dyDescent="0.3">
      <c r="B34" s="8">
        <v>101839</v>
      </c>
      <c r="C34" s="9">
        <v>35</v>
      </c>
      <c r="D34" s="10" t="str">
        <f t="shared" si="2"/>
        <v>X</v>
      </c>
      <c r="E34" s="11" t="str">
        <f t="shared" si="0"/>
        <v>101839X</v>
      </c>
      <c r="F34" s="33" t="s">
        <v>20</v>
      </c>
      <c r="G34" s="13" t="s">
        <v>8</v>
      </c>
      <c r="H34" s="14" t="s">
        <v>9</v>
      </c>
      <c r="I34" s="82" t="s">
        <v>56</v>
      </c>
      <c r="J34" s="82" t="s">
        <v>57</v>
      </c>
      <c r="K34" s="64" t="s">
        <v>399</v>
      </c>
      <c r="L34" s="64" t="s">
        <v>399</v>
      </c>
      <c r="M34" s="64" t="s">
        <v>431</v>
      </c>
      <c r="N34" s="64" t="s">
        <v>399</v>
      </c>
      <c r="O34" s="64" t="s">
        <v>399</v>
      </c>
      <c r="Q34" s="115" t="s">
        <v>427</v>
      </c>
      <c r="R34" s="112">
        <v>3</v>
      </c>
      <c r="S34" s="112">
        <v>3</v>
      </c>
      <c r="T34" s="112">
        <v>3</v>
      </c>
      <c r="U34" s="112">
        <v>3</v>
      </c>
      <c r="V34" s="112">
        <v>3</v>
      </c>
      <c r="W34" s="118"/>
    </row>
    <row r="35" spans="2:23" x14ac:dyDescent="0.3">
      <c r="B35" s="38">
        <v>56999</v>
      </c>
      <c r="C35" s="9">
        <v>35</v>
      </c>
      <c r="D35" s="10" t="str">
        <f t="shared" si="2"/>
        <v>X</v>
      </c>
      <c r="E35" s="11" t="str">
        <f t="shared" si="0"/>
        <v>56999X</v>
      </c>
      <c r="F35" s="33" t="s">
        <v>20</v>
      </c>
      <c r="G35" s="34" t="s">
        <v>8</v>
      </c>
      <c r="H35" s="14" t="s">
        <v>9</v>
      </c>
      <c r="I35" s="43" t="s">
        <v>107</v>
      </c>
      <c r="J35" s="43" t="s">
        <v>108</v>
      </c>
      <c r="K35" s="64" t="s">
        <v>399</v>
      </c>
      <c r="L35" s="64" t="s">
        <v>399</v>
      </c>
      <c r="M35" s="64" t="s">
        <v>431</v>
      </c>
      <c r="N35" s="64" t="s">
        <v>399</v>
      </c>
      <c r="O35" s="64" t="s">
        <v>399</v>
      </c>
      <c r="Q35" s="117"/>
      <c r="R35" s="120"/>
      <c r="S35" s="120"/>
      <c r="T35" s="120"/>
      <c r="U35" s="120"/>
      <c r="V35" s="120"/>
      <c r="W35" s="104"/>
    </row>
    <row r="36" spans="2:23" x14ac:dyDescent="0.3">
      <c r="B36" s="38">
        <v>36705</v>
      </c>
      <c r="C36" s="9">
        <v>35</v>
      </c>
      <c r="D36" s="10" t="str">
        <f t="shared" si="2"/>
        <v>X</v>
      </c>
      <c r="E36" s="10" t="str">
        <f t="shared" si="0"/>
        <v>36705X</v>
      </c>
      <c r="F36" s="33" t="s">
        <v>20</v>
      </c>
      <c r="G36" s="34" t="s">
        <v>8</v>
      </c>
      <c r="H36" s="14" t="s">
        <v>9</v>
      </c>
      <c r="I36" s="43" t="s">
        <v>117</v>
      </c>
      <c r="J36" s="43" t="s">
        <v>119</v>
      </c>
      <c r="K36" s="64" t="s">
        <v>399</v>
      </c>
      <c r="L36" s="64" t="s">
        <v>399</v>
      </c>
      <c r="M36" s="64" t="s">
        <v>431</v>
      </c>
      <c r="N36" s="64" t="s">
        <v>399</v>
      </c>
      <c r="O36" s="64" t="s">
        <v>399</v>
      </c>
      <c r="Q36" s="115" t="s">
        <v>430</v>
      </c>
      <c r="R36" s="112">
        <v>1</v>
      </c>
      <c r="S36" s="112">
        <v>1</v>
      </c>
      <c r="T36" s="112">
        <v>1</v>
      </c>
      <c r="U36" s="112">
        <v>1</v>
      </c>
      <c r="V36" s="112">
        <v>1</v>
      </c>
      <c r="W36" s="118"/>
    </row>
    <row r="37" spans="2:23" x14ac:dyDescent="0.3">
      <c r="B37" s="8">
        <v>33008</v>
      </c>
      <c r="C37" s="9">
        <v>35</v>
      </c>
      <c r="D37" s="10" t="str">
        <f t="shared" si="2"/>
        <v>X</v>
      </c>
      <c r="E37" s="11" t="str">
        <f t="shared" si="0"/>
        <v>33008X</v>
      </c>
      <c r="F37" s="33" t="s">
        <v>20</v>
      </c>
      <c r="G37" s="13" t="s">
        <v>8</v>
      </c>
      <c r="H37" s="14" t="s">
        <v>9</v>
      </c>
      <c r="I37" s="84" t="s">
        <v>128</v>
      </c>
      <c r="J37" s="84" t="s">
        <v>129</v>
      </c>
      <c r="K37" s="64" t="s">
        <v>399</v>
      </c>
      <c r="L37" s="64" t="s">
        <v>399</v>
      </c>
      <c r="M37" s="64" t="s">
        <v>431</v>
      </c>
      <c r="N37" s="64" t="s">
        <v>399</v>
      </c>
      <c r="O37" s="64" t="s">
        <v>399</v>
      </c>
      <c r="Q37" s="117"/>
      <c r="R37" s="120"/>
      <c r="S37" s="120"/>
      <c r="T37" s="120"/>
      <c r="U37" s="120"/>
      <c r="V37" s="120"/>
      <c r="W37" s="104"/>
    </row>
    <row r="38" spans="2:23" x14ac:dyDescent="0.3">
      <c r="B38" s="38">
        <v>33388</v>
      </c>
      <c r="C38" s="9">
        <v>35</v>
      </c>
      <c r="D38" s="10" t="str">
        <f t="shared" si="2"/>
        <v>X</v>
      </c>
      <c r="E38" s="11" t="str">
        <f t="shared" si="0"/>
        <v>33388X</v>
      </c>
      <c r="F38" s="33" t="s">
        <v>20</v>
      </c>
      <c r="G38" s="34" t="s">
        <v>8</v>
      </c>
      <c r="H38" s="14" t="s">
        <v>9</v>
      </c>
      <c r="I38" s="43" t="s">
        <v>130</v>
      </c>
      <c r="J38" s="43" t="s">
        <v>131</v>
      </c>
      <c r="K38" s="64" t="s">
        <v>399</v>
      </c>
      <c r="L38" s="64" t="s">
        <v>399</v>
      </c>
      <c r="M38" s="64" t="s">
        <v>431</v>
      </c>
      <c r="N38" s="64" t="s">
        <v>399</v>
      </c>
      <c r="O38" s="64" t="s">
        <v>399</v>
      </c>
      <c r="Q38" s="115" t="s">
        <v>429</v>
      </c>
      <c r="R38" s="112">
        <v>2</v>
      </c>
      <c r="S38" s="112">
        <v>2</v>
      </c>
      <c r="T38" s="112">
        <v>2</v>
      </c>
      <c r="U38" s="112">
        <v>2</v>
      </c>
      <c r="V38" s="112">
        <v>2</v>
      </c>
      <c r="W38" s="118"/>
    </row>
    <row r="39" spans="2:23" x14ac:dyDescent="0.3">
      <c r="B39" s="8">
        <v>51530</v>
      </c>
      <c r="C39" s="9">
        <v>35</v>
      </c>
      <c r="D39" s="10" t="str">
        <f t="shared" si="2"/>
        <v>X</v>
      </c>
      <c r="E39" s="10" t="str">
        <f t="shared" si="0"/>
        <v>51530X</v>
      </c>
      <c r="F39" s="33" t="s">
        <v>20</v>
      </c>
      <c r="G39" s="13" t="s">
        <v>8</v>
      </c>
      <c r="H39" s="14" t="s">
        <v>9</v>
      </c>
      <c r="I39" s="43" t="s">
        <v>132</v>
      </c>
      <c r="J39" s="43" t="s">
        <v>133</v>
      </c>
      <c r="K39" s="64" t="s">
        <v>399</v>
      </c>
      <c r="L39" s="64" t="s">
        <v>399</v>
      </c>
      <c r="M39" s="64" t="s">
        <v>431</v>
      </c>
      <c r="N39" s="64" t="s">
        <v>399</v>
      </c>
      <c r="O39" s="64" t="s">
        <v>399</v>
      </c>
      <c r="Q39" s="117"/>
      <c r="R39" s="120"/>
      <c r="S39" s="120"/>
      <c r="T39" s="120"/>
      <c r="U39" s="120"/>
      <c r="V39" s="120"/>
      <c r="W39" s="104"/>
    </row>
    <row r="40" spans="2:23" x14ac:dyDescent="0.3">
      <c r="B40" s="38">
        <v>105536</v>
      </c>
      <c r="C40" s="9">
        <v>35</v>
      </c>
      <c r="D40" s="10" t="s">
        <v>19</v>
      </c>
      <c r="E40" s="11" t="str">
        <f t="shared" si="0"/>
        <v>105536X</v>
      </c>
      <c r="F40" s="33" t="s">
        <v>20</v>
      </c>
      <c r="G40" s="13" t="s">
        <v>8</v>
      </c>
      <c r="H40" s="14" t="s">
        <v>9</v>
      </c>
      <c r="I40" s="82" t="s">
        <v>157</v>
      </c>
      <c r="J40" s="82" t="s">
        <v>158</v>
      </c>
      <c r="K40" s="64" t="s">
        <v>399</v>
      </c>
      <c r="L40" s="64" t="s">
        <v>399</v>
      </c>
      <c r="M40" s="64" t="s">
        <v>431</v>
      </c>
      <c r="N40" s="64" t="s">
        <v>399</v>
      </c>
      <c r="O40" s="64" t="s">
        <v>399</v>
      </c>
      <c r="Q40" s="115" t="s">
        <v>432</v>
      </c>
      <c r="R40" s="112">
        <v>1</v>
      </c>
      <c r="S40" s="112">
        <v>1</v>
      </c>
      <c r="T40" s="112">
        <v>1</v>
      </c>
      <c r="U40" s="112">
        <v>1</v>
      </c>
      <c r="V40" s="112">
        <v>1</v>
      </c>
      <c r="W40" s="118"/>
    </row>
    <row r="41" spans="2:23" ht="15" thickBot="1" x14ac:dyDescent="0.35">
      <c r="B41" s="38">
        <v>71336</v>
      </c>
      <c r="C41" s="9">
        <v>35</v>
      </c>
      <c r="D41" s="10" t="str">
        <f>IF(G41="","","X")</f>
        <v>X</v>
      </c>
      <c r="E41" s="11" t="str">
        <f t="shared" si="0"/>
        <v>71336X</v>
      </c>
      <c r="F41" s="33" t="s">
        <v>20</v>
      </c>
      <c r="G41" s="34" t="s">
        <v>8</v>
      </c>
      <c r="H41" s="9" t="s">
        <v>9</v>
      </c>
      <c r="I41" s="90" t="s">
        <v>164</v>
      </c>
      <c r="J41" s="90" t="s">
        <v>17</v>
      </c>
      <c r="K41" s="64" t="s">
        <v>399</v>
      </c>
      <c r="L41" s="64" t="s">
        <v>399</v>
      </c>
      <c r="M41" s="64" t="s">
        <v>431</v>
      </c>
      <c r="N41" s="64" t="s">
        <v>399</v>
      </c>
      <c r="O41" s="64" t="s">
        <v>399</v>
      </c>
      <c r="Q41" s="119"/>
      <c r="R41" s="121"/>
      <c r="S41" s="121"/>
      <c r="T41" s="121"/>
      <c r="U41" s="121"/>
      <c r="V41" s="121"/>
      <c r="W41" s="106"/>
    </row>
    <row r="42" spans="2:23" x14ac:dyDescent="0.3">
      <c r="B42" s="38">
        <v>34246</v>
      </c>
      <c r="C42" s="9">
        <v>35</v>
      </c>
      <c r="D42" s="10" t="str">
        <f>IF(G42="","","X")</f>
        <v>X</v>
      </c>
      <c r="E42" s="11" t="str">
        <f t="shared" si="0"/>
        <v>34246X</v>
      </c>
      <c r="F42" s="33" t="s">
        <v>20</v>
      </c>
      <c r="G42" s="34" t="s">
        <v>8</v>
      </c>
      <c r="H42" s="14" t="s">
        <v>113</v>
      </c>
      <c r="I42" s="84" t="s">
        <v>185</v>
      </c>
      <c r="J42" s="84" t="s">
        <v>57</v>
      </c>
      <c r="K42" s="64" t="s">
        <v>400</v>
      </c>
      <c r="L42" s="64" t="s">
        <v>400</v>
      </c>
      <c r="M42" s="64" t="s">
        <v>431</v>
      </c>
      <c r="N42" s="64" t="s">
        <v>399</v>
      </c>
      <c r="O42" s="64" t="s">
        <v>400</v>
      </c>
    </row>
    <row r="43" spans="2:23" x14ac:dyDescent="0.3">
      <c r="B43" s="38">
        <v>34254</v>
      </c>
      <c r="C43" s="9">
        <v>35</v>
      </c>
      <c r="D43" s="10" t="str">
        <f>IF(G43="","","X")</f>
        <v>X</v>
      </c>
      <c r="E43" s="10" t="str">
        <f t="shared" si="0"/>
        <v>34254X</v>
      </c>
      <c r="F43" s="33" t="s">
        <v>20</v>
      </c>
      <c r="G43" s="34" t="s">
        <v>8</v>
      </c>
      <c r="H43" s="14" t="s">
        <v>9</v>
      </c>
      <c r="I43" s="43" t="s">
        <v>194</v>
      </c>
      <c r="J43" s="43" t="s">
        <v>195</v>
      </c>
      <c r="K43" s="64" t="s">
        <v>400</v>
      </c>
      <c r="L43" s="64" t="s">
        <v>400</v>
      </c>
      <c r="M43" s="64" t="s">
        <v>431</v>
      </c>
      <c r="N43" s="64" t="s">
        <v>400</v>
      </c>
      <c r="O43" s="64" t="s">
        <v>400</v>
      </c>
    </row>
    <row r="44" spans="2:23" x14ac:dyDescent="0.3">
      <c r="B44" s="68">
        <v>105924</v>
      </c>
      <c r="C44" s="41">
        <v>35</v>
      </c>
      <c r="D44" s="10" t="s">
        <v>91</v>
      </c>
      <c r="E44" s="11" t="str">
        <f t="shared" si="0"/>
        <v>105924x</v>
      </c>
      <c r="F44" s="33" t="s">
        <v>20</v>
      </c>
      <c r="G44" s="34" t="s">
        <v>8</v>
      </c>
      <c r="H44" s="79" t="s">
        <v>9</v>
      </c>
      <c r="I44" s="15" t="s">
        <v>250</v>
      </c>
      <c r="J44" s="15" t="s">
        <v>251</v>
      </c>
      <c r="K44" s="64" t="s">
        <v>400</v>
      </c>
      <c r="L44" s="64" t="s">
        <v>400</v>
      </c>
      <c r="M44" s="64" t="s">
        <v>431</v>
      </c>
      <c r="N44" s="64" t="s">
        <v>400</v>
      </c>
      <c r="O44" s="64" t="s">
        <v>400</v>
      </c>
    </row>
    <row r="45" spans="2:23" x14ac:dyDescent="0.3">
      <c r="B45" s="8">
        <v>63720</v>
      </c>
      <c r="C45" s="9">
        <v>35</v>
      </c>
      <c r="D45" s="10" t="str">
        <f t="shared" ref="D45:D51" si="3">IF(G45="","","X")</f>
        <v>X</v>
      </c>
      <c r="E45" s="11" t="str">
        <f t="shared" si="0"/>
        <v>63720X</v>
      </c>
      <c r="F45" s="33" t="s">
        <v>20</v>
      </c>
      <c r="G45" s="13" t="s">
        <v>8</v>
      </c>
      <c r="H45" s="14" t="s">
        <v>9</v>
      </c>
      <c r="I45" s="82" t="s">
        <v>264</v>
      </c>
      <c r="J45" s="82" t="s">
        <v>265</v>
      </c>
      <c r="K45" s="64" t="s">
        <v>400</v>
      </c>
      <c r="L45" s="64" t="s">
        <v>400</v>
      </c>
      <c r="M45" s="64" t="s">
        <v>431</v>
      </c>
      <c r="N45" s="64" t="s">
        <v>400</v>
      </c>
      <c r="O45" s="64" t="s">
        <v>400</v>
      </c>
    </row>
    <row r="46" spans="2:23" x14ac:dyDescent="0.3">
      <c r="B46" s="38">
        <v>101367</v>
      </c>
      <c r="C46" s="9">
        <v>35</v>
      </c>
      <c r="D46" s="10" t="str">
        <f t="shared" si="3"/>
        <v>X</v>
      </c>
      <c r="E46" s="11" t="str">
        <f t="shared" si="0"/>
        <v>101367X</v>
      </c>
      <c r="F46" s="33" t="s">
        <v>20</v>
      </c>
      <c r="G46" s="34" t="s">
        <v>8</v>
      </c>
      <c r="H46" s="14" t="s">
        <v>9</v>
      </c>
      <c r="I46" s="82" t="s">
        <v>286</v>
      </c>
      <c r="J46" s="82" t="s">
        <v>200</v>
      </c>
      <c r="K46" s="64" t="s">
        <v>400</v>
      </c>
      <c r="L46" s="64" t="s">
        <v>400</v>
      </c>
      <c r="M46" s="64" t="s">
        <v>431</v>
      </c>
      <c r="N46" s="64" t="s">
        <v>400</v>
      </c>
      <c r="O46" s="64" t="s">
        <v>400</v>
      </c>
    </row>
    <row r="47" spans="2:23" x14ac:dyDescent="0.3">
      <c r="B47" s="38">
        <v>64319</v>
      </c>
      <c r="C47" s="9">
        <v>35</v>
      </c>
      <c r="D47" s="10" t="str">
        <f t="shared" si="3"/>
        <v>X</v>
      </c>
      <c r="E47" s="11" t="str">
        <f t="shared" si="0"/>
        <v>64319X</v>
      </c>
      <c r="F47" s="33" t="s">
        <v>20</v>
      </c>
      <c r="G47" s="34" t="s">
        <v>8</v>
      </c>
      <c r="H47" s="14" t="s">
        <v>9</v>
      </c>
      <c r="I47" s="80" t="s">
        <v>287</v>
      </c>
      <c r="J47" s="80" t="s">
        <v>288</v>
      </c>
      <c r="K47" s="64" t="s">
        <v>400</v>
      </c>
      <c r="L47" s="64" t="s">
        <v>400</v>
      </c>
      <c r="M47" s="64" t="s">
        <v>431</v>
      </c>
      <c r="N47" s="64" t="s">
        <v>400</v>
      </c>
      <c r="O47" s="64" t="s">
        <v>400</v>
      </c>
    </row>
    <row r="48" spans="2:23" x14ac:dyDescent="0.3">
      <c r="B48" s="38">
        <v>41615</v>
      </c>
      <c r="C48" s="9">
        <v>35</v>
      </c>
      <c r="D48" s="10" t="str">
        <f t="shared" si="3"/>
        <v>X</v>
      </c>
      <c r="E48" s="11" t="str">
        <f t="shared" si="0"/>
        <v>41615X</v>
      </c>
      <c r="F48" s="33" t="s">
        <v>20</v>
      </c>
      <c r="G48" s="34" t="s">
        <v>8</v>
      </c>
      <c r="H48" s="14" t="s">
        <v>9</v>
      </c>
      <c r="I48" s="80" t="s">
        <v>290</v>
      </c>
      <c r="J48" s="80" t="s">
        <v>291</v>
      </c>
      <c r="K48" s="64" t="s">
        <v>400</v>
      </c>
      <c r="L48" s="64" t="s">
        <v>400</v>
      </c>
      <c r="M48" s="64" t="s">
        <v>431</v>
      </c>
      <c r="N48" s="64" t="s">
        <v>400</v>
      </c>
      <c r="O48" s="64" t="s">
        <v>400</v>
      </c>
    </row>
    <row r="49" spans="2:20" x14ac:dyDescent="0.3">
      <c r="B49" s="8">
        <v>2946</v>
      </c>
      <c r="C49" s="9">
        <v>35</v>
      </c>
      <c r="D49" s="10" t="str">
        <f t="shared" si="3"/>
        <v>X</v>
      </c>
      <c r="E49" s="11" t="str">
        <f t="shared" si="0"/>
        <v>2946X</v>
      </c>
      <c r="F49" s="33" t="s">
        <v>20</v>
      </c>
      <c r="G49" s="13" t="s">
        <v>8</v>
      </c>
      <c r="H49" s="14" t="s">
        <v>113</v>
      </c>
      <c r="I49" s="80" t="s">
        <v>299</v>
      </c>
      <c r="J49" s="80" t="s">
        <v>300</v>
      </c>
      <c r="K49" s="64" t="s">
        <v>419</v>
      </c>
      <c r="L49" s="64" t="s">
        <v>419</v>
      </c>
      <c r="M49" s="64" t="s">
        <v>431</v>
      </c>
      <c r="N49" s="64" t="s">
        <v>419</v>
      </c>
      <c r="O49" s="64" t="s">
        <v>419</v>
      </c>
    </row>
    <row r="50" spans="2:20" x14ac:dyDescent="0.3">
      <c r="B50" s="38">
        <v>55426</v>
      </c>
      <c r="C50" s="9">
        <v>35</v>
      </c>
      <c r="D50" s="10" t="str">
        <f t="shared" si="3"/>
        <v>X</v>
      </c>
      <c r="E50" s="11" t="str">
        <f t="shared" si="0"/>
        <v>55426X</v>
      </c>
      <c r="F50" s="33" t="s">
        <v>20</v>
      </c>
      <c r="G50" s="34" t="s">
        <v>8</v>
      </c>
      <c r="H50" s="14" t="s">
        <v>9</v>
      </c>
      <c r="I50" s="59" t="s">
        <v>332</v>
      </c>
      <c r="J50" s="59" t="s">
        <v>333</v>
      </c>
      <c r="K50" s="64" t="s">
        <v>410</v>
      </c>
      <c r="L50" s="64" t="s">
        <v>410</v>
      </c>
      <c r="M50" s="64" t="s">
        <v>431</v>
      </c>
      <c r="N50" s="64" t="s">
        <v>410</v>
      </c>
      <c r="O50" s="64" t="s">
        <v>410</v>
      </c>
    </row>
    <row r="51" spans="2:20" x14ac:dyDescent="0.3">
      <c r="B51" s="38">
        <v>104720</v>
      </c>
      <c r="C51" s="9">
        <v>35</v>
      </c>
      <c r="D51" s="10" t="str">
        <f t="shared" si="3"/>
        <v>X</v>
      </c>
      <c r="E51" s="11" t="str">
        <f t="shared" si="0"/>
        <v>104720X</v>
      </c>
      <c r="F51" s="33" t="s">
        <v>20</v>
      </c>
      <c r="G51" s="34" t="s">
        <v>8</v>
      </c>
      <c r="H51" s="14" t="s">
        <v>9</v>
      </c>
      <c r="I51" s="82" t="s">
        <v>367</v>
      </c>
      <c r="J51" s="82" t="s">
        <v>368</v>
      </c>
      <c r="K51" s="64" t="s">
        <v>400</v>
      </c>
      <c r="L51" s="64" t="s">
        <v>400</v>
      </c>
      <c r="M51" s="64" t="s">
        <v>431</v>
      </c>
      <c r="N51" s="64" t="s">
        <v>400</v>
      </c>
      <c r="O51" s="64" t="s">
        <v>400</v>
      </c>
    </row>
    <row r="52" spans="2:20" x14ac:dyDescent="0.3">
      <c r="B52" s="40">
        <v>106155</v>
      </c>
      <c r="C52" s="41">
        <v>35</v>
      </c>
      <c r="D52" s="41" t="s">
        <v>19</v>
      </c>
      <c r="E52" s="11" t="str">
        <f t="shared" si="0"/>
        <v>106155X</v>
      </c>
      <c r="F52" s="33" t="s">
        <v>20</v>
      </c>
      <c r="G52" s="34" t="s">
        <v>8</v>
      </c>
      <c r="H52" s="41" t="s">
        <v>9</v>
      </c>
      <c r="I52" s="15" t="s">
        <v>369</v>
      </c>
      <c r="J52" s="15" t="s">
        <v>370</v>
      </c>
      <c r="K52" s="64" t="s">
        <v>400</v>
      </c>
      <c r="L52" s="64" t="s">
        <v>400</v>
      </c>
      <c r="M52" s="64" t="s">
        <v>431</v>
      </c>
      <c r="N52" s="64" t="s">
        <v>400</v>
      </c>
      <c r="O52" s="64" t="s">
        <v>400</v>
      </c>
    </row>
    <row r="53" spans="2:20" x14ac:dyDescent="0.3">
      <c r="B53" s="38">
        <v>44174</v>
      </c>
      <c r="C53" s="9">
        <v>28</v>
      </c>
      <c r="D53" s="10" t="str">
        <f>IF(G53="","","X")</f>
        <v>X</v>
      </c>
      <c r="E53" s="10" t="str">
        <f t="shared" si="0"/>
        <v>44174X</v>
      </c>
      <c r="F53" s="33" t="s">
        <v>20</v>
      </c>
      <c r="G53" s="34" t="s">
        <v>8</v>
      </c>
      <c r="H53" s="14" t="s">
        <v>9</v>
      </c>
      <c r="I53" s="59" t="s">
        <v>375</v>
      </c>
      <c r="J53" s="59" t="s">
        <v>325</v>
      </c>
      <c r="K53" s="64" t="s">
        <v>400</v>
      </c>
      <c r="L53" s="64" t="s">
        <v>400</v>
      </c>
      <c r="M53" s="64" t="s">
        <v>431</v>
      </c>
      <c r="N53" s="64" t="s">
        <v>400</v>
      </c>
      <c r="O53" s="64" t="s">
        <v>400</v>
      </c>
    </row>
    <row r="54" spans="2:20" x14ac:dyDescent="0.3">
      <c r="B54" s="8">
        <v>107809</v>
      </c>
      <c r="C54" s="9">
        <v>39</v>
      </c>
      <c r="D54" s="10" t="s">
        <v>19</v>
      </c>
      <c r="E54" s="11" t="str">
        <f t="shared" si="0"/>
        <v>107809X</v>
      </c>
      <c r="F54" s="33" t="s">
        <v>20</v>
      </c>
      <c r="G54" s="13" t="s">
        <v>79</v>
      </c>
      <c r="H54" s="14" t="s">
        <v>88</v>
      </c>
      <c r="I54" s="83" t="s">
        <v>89</v>
      </c>
      <c r="J54" s="83" t="s">
        <v>90</v>
      </c>
      <c r="K54" s="64" t="s">
        <v>419</v>
      </c>
      <c r="L54" s="64" t="s">
        <v>419</v>
      </c>
      <c r="M54" s="64" t="s">
        <v>431</v>
      </c>
      <c r="N54" s="64" t="s">
        <v>419</v>
      </c>
      <c r="O54" s="64" t="s">
        <v>419</v>
      </c>
    </row>
    <row r="55" spans="2:20" x14ac:dyDescent="0.3">
      <c r="B55" s="24" t="s">
        <v>18</v>
      </c>
      <c r="C55" s="25">
        <v>35</v>
      </c>
      <c r="D55" s="26" t="s">
        <v>19</v>
      </c>
      <c r="E55" s="26" t="str">
        <f t="shared" si="0"/>
        <v>IX</v>
      </c>
      <c r="F55" s="28" t="s">
        <v>20</v>
      </c>
      <c r="G55" s="29" t="s">
        <v>21</v>
      </c>
      <c r="H55" s="30" t="s">
        <v>9</v>
      </c>
      <c r="I55" s="81" t="s">
        <v>22</v>
      </c>
      <c r="J55" s="81" t="s">
        <v>23</v>
      </c>
      <c r="K55" s="64" t="s">
        <v>410</v>
      </c>
      <c r="L55" s="64" t="s">
        <v>410</v>
      </c>
      <c r="M55" s="64" t="s">
        <v>431</v>
      </c>
      <c r="N55" s="64" t="s">
        <v>410</v>
      </c>
      <c r="O55" s="64" t="s">
        <v>410</v>
      </c>
    </row>
    <row r="56" spans="2:20" x14ac:dyDescent="0.3">
      <c r="B56" s="24" t="s">
        <v>18</v>
      </c>
      <c r="C56" s="25">
        <v>35</v>
      </c>
      <c r="D56" s="26" t="s">
        <v>19</v>
      </c>
      <c r="E56" s="27" t="str">
        <f t="shared" si="0"/>
        <v>IX</v>
      </c>
      <c r="F56" s="28" t="s">
        <v>20</v>
      </c>
      <c r="G56" s="29" t="s">
        <v>29</v>
      </c>
      <c r="H56" s="30" t="s">
        <v>9</v>
      </c>
      <c r="I56" s="81" t="s">
        <v>301</v>
      </c>
      <c r="J56" s="81" t="s">
        <v>302</v>
      </c>
      <c r="K56" s="64" t="s">
        <v>410</v>
      </c>
      <c r="L56" s="64" t="s">
        <v>410</v>
      </c>
      <c r="M56" s="64" t="s">
        <v>431</v>
      </c>
      <c r="N56" s="64" t="s">
        <v>410</v>
      </c>
      <c r="O56" s="64" t="s">
        <v>410</v>
      </c>
    </row>
    <row r="57" spans="2:20" x14ac:dyDescent="0.3">
      <c r="B57" s="24" t="s">
        <v>18</v>
      </c>
      <c r="C57" s="25">
        <v>35</v>
      </c>
      <c r="D57" s="26" t="s">
        <v>19</v>
      </c>
      <c r="E57" s="26" t="str">
        <f t="shared" si="0"/>
        <v>IX</v>
      </c>
      <c r="F57" s="28" t="s">
        <v>20</v>
      </c>
      <c r="G57" s="29" t="s">
        <v>29</v>
      </c>
      <c r="H57" s="30" t="s">
        <v>9</v>
      </c>
      <c r="I57" s="81" t="s">
        <v>317</v>
      </c>
      <c r="J57" s="81" t="s">
        <v>318</v>
      </c>
      <c r="K57" s="64" t="s">
        <v>410</v>
      </c>
      <c r="L57" s="64" t="s">
        <v>410</v>
      </c>
      <c r="M57" s="64" t="s">
        <v>431</v>
      </c>
      <c r="N57" s="64" t="s">
        <v>410</v>
      </c>
      <c r="O57" s="64" t="s">
        <v>410</v>
      </c>
      <c r="S57" t="s">
        <v>682</v>
      </c>
      <c r="T57" t="s">
        <v>683</v>
      </c>
    </row>
    <row r="58" spans="2:20" x14ac:dyDescent="0.3">
      <c r="B58" s="8">
        <v>60964</v>
      </c>
      <c r="C58" s="9">
        <v>35</v>
      </c>
      <c r="D58" s="10" t="s">
        <v>19</v>
      </c>
      <c r="E58" s="11" t="str">
        <f t="shared" si="0"/>
        <v>60964X</v>
      </c>
      <c r="F58" s="20" t="s">
        <v>12</v>
      </c>
      <c r="G58" s="13" t="s">
        <v>26</v>
      </c>
      <c r="H58" s="14" t="s">
        <v>9</v>
      </c>
      <c r="I58" s="15" t="s">
        <v>27</v>
      </c>
      <c r="J58" s="15" t="s">
        <v>28</v>
      </c>
      <c r="K58" s="64" t="s">
        <v>397</v>
      </c>
      <c r="L58" s="64" t="s">
        <v>397</v>
      </c>
      <c r="M58" s="64" t="s">
        <v>431</v>
      </c>
      <c r="N58" s="64" t="s">
        <v>397</v>
      </c>
      <c r="O58" s="64" t="s">
        <v>397</v>
      </c>
    </row>
    <row r="59" spans="2:20" x14ac:dyDescent="0.3">
      <c r="B59" s="8">
        <v>107560</v>
      </c>
      <c r="C59" s="9">
        <v>35</v>
      </c>
      <c r="D59" s="10" t="s">
        <v>91</v>
      </c>
      <c r="E59" s="11" t="str">
        <f t="shared" si="0"/>
        <v>107560x</v>
      </c>
      <c r="F59" s="20" t="s">
        <v>12</v>
      </c>
      <c r="G59" s="13" t="s">
        <v>26</v>
      </c>
      <c r="H59" s="9" t="s">
        <v>9</v>
      </c>
      <c r="I59" s="15" t="s">
        <v>190</v>
      </c>
      <c r="J59" s="15" t="s">
        <v>191</v>
      </c>
      <c r="K59" s="64" t="s">
        <v>397</v>
      </c>
      <c r="L59" s="64" t="s">
        <v>397</v>
      </c>
      <c r="M59" s="64" t="s">
        <v>431</v>
      </c>
      <c r="N59" s="64" t="s">
        <v>397</v>
      </c>
      <c r="O59" s="64" t="s">
        <v>397</v>
      </c>
      <c r="S59">
        <f>IF(OR(LEFT(S57,1)="s",LEFT(S57,1)="d"),1,0)</f>
        <v>0</v>
      </c>
      <c r="T59">
        <f>IF(OR(LEFT(T57,1)="s",LEFT(T57,1)="d"),1,0)</f>
        <v>0</v>
      </c>
    </row>
    <row r="60" spans="2:20" x14ac:dyDescent="0.3">
      <c r="B60" s="8">
        <v>107523</v>
      </c>
      <c r="C60" s="9">
        <v>35</v>
      </c>
      <c r="D60" s="10" t="s">
        <v>19</v>
      </c>
      <c r="E60" s="11" t="str">
        <f t="shared" si="0"/>
        <v>107523X</v>
      </c>
      <c r="F60" s="20" t="s">
        <v>12</v>
      </c>
      <c r="G60" s="13" t="s">
        <v>26</v>
      </c>
      <c r="H60" s="14" t="s">
        <v>9</v>
      </c>
      <c r="I60" s="83" t="s">
        <v>209</v>
      </c>
      <c r="J60" s="83" t="s">
        <v>210</v>
      </c>
      <c r="K60" s="64" t="s">
        <v>397</v>
      </c>
      <c r="L60" s="64" t="s">
        <v>397</v>
      </c>
      <c r="M60" s="64" t="s">
        <v>431</v>
      </c>
      <c r="N60" s="64" t="s">
        <v>397</v>
      </c>
      <c r="O60" s="64" t="s">
        <v>397</v>
      </c>
    </row>
    <row r="61" spans="2:20" x14ac:dyDescent="0.3">
      <c r="B61" s="8">
        <v>107561</v>
      </c>
      <c r="C61" s="9">
        <v>35</v>
      </c>
      <c r="D61" s="10" t="s">
        <v>19</v>
      </c>
      <c r="E61" s="11" t="str">
        <f t="shared" si="0"/>
        <v>107561X</v>
      </c>
      <c r="F61" s="20" t="s">
        <v>12</v>
      </c>
      <c r="G61" s="13" t="s">
        <v>26</v>
      </c>
      <c r="H61" s="14" t="s">
        <v>9</v>
      </c>
      <c r="I61" s="83" t="s">
        <v>239</v>
      </c>
      <c r="J61" s="83" t="s">
        <v>240</v>
      </c>
      <c r="K61" s="64" t="s">
        <v>397</v>
      </c>
      <c r="L61" s="64" t="s">
        <v>397</v>
      </c>
      <c r="M61" s="64" t="s">
        <v>431</v>
      </c>
      <c r="N61" s="64" t="s">
        <v>397</v>
      </c>
      <c r="O61" s="64" t="s">
        <v>397</v>
      </c>
    </row>
    <row r="62" spans="2:20" x14ac:dyDescent="0.3">
      <c r="B62" s="8">
        <v>107766</v>
      </c>
      <c r="C62" s="9">
        <v>35</v>
      </c>
      <c r="D62" s="10" t="s">
        <v>19</v>
      </c>
      <c r="E62" s="10" t="str">
        <f t="shared" si="0"/>
        <v>107766X</v>
      </c>
      <c r="F62" s="20" t="s">
        <v>12</v>
      </c>
      <c r="G62" s="13" t="s">
        <v>26</v>
      </c>
      <c r="H62" s="14" t="s">
        <v>9</v>
      </c>
      <c r="I62" s="83" t="s">
        <v>276</v>
      </c>
      <c r="J62" s="83" t="s">
        <v>240</v>
      </c>
      <c r="K62" s="64" t="s">
        <v>398</v>
      </c>
      <c r="L62" s="64" t="s">
        <v>403</v>
      </c>
      <c r="M62" s="64" t="s">
        <v>431</v>
      </c>
      <c r="N62" s="64" t="s">
        <v>397</v>
      </c>
      <c r="O62" s="64" t="s">
        <v>397</v>
      </c>
    </row>
    <row r="63" spans="2:20" x14ac:dyDescent="0.3">
      <c r="B63" s="8">
        <v>105687</v>
      </c>
      <c r="C63" s="9">
        <v>35</v>
      </c>
      <c r="D63" s="10" t="s">
        <v>19</v>
      </c>
      <c r="E63" s="11" t="str">
        <f t="shared" si="0"/>
        <v>105687X</v>
      </c>
      <c r="F63" s="20" t="s">
        <v>12</v>
      </c>
      <c r="G63" s="13" t="s">
        <v>26</v>
      </c>
      <c r="H63" s="14" t="s">
        <v>9</v>
      </c>
      <c r="I63" s="83" t="s">
        <v>326</v>
      </c>
      <c r="J63" s="83" t="s">
        <v>288</v>
      </c>
      <c r="K63" s="64" t="s">
        <v>410</v>
      </c>
      <c r="L63" s="64" t="s">
        <v>410</v>
      </c>
      <c r="M63" s="64" t="s">
        <v>431</v>
      </c>
      <c r="N63" s="64" t="s">
        <v>410</v>
      </c>
      <c r="O63" s="64" t="s">
        <v>410</v>
      </c>
    </row>
    <row r="64" spans="2:20" x14ac:dyDescent="0.3">
      <c r="B64" s="19">
        <v>17158</v>
      </c>
      <c r="C64" s="9">
        <v>35</v>
      </c>
      <c r="D64" s="10" t="str">
        <f t="shared" ref="D64:D70" si="4">IF(G64="","","X")</f>
        <v>X</v>
      </c>
      <c r="E64" s="11" t="str">
        <f t="shared" si="0"/>
        <v>17158X</v>
      </c>
      <c r="F64" s="20" t="s">
        <v>12</v>
      </c>
      <c r="G64" s="13" t="s">
        <v>8</v>
      </c>
      <c r="H64" s="14" t="s">
        <v>9</v>
      </c>
      <c r="I64" s="21" t="s">
        <v>13</v>
      </c>
      <c r="J64" s="22" t="s">
        <v>14</v>
      </c>
      <c r="K64" s="64" t="s">
        <v>397</v>
      </c>
      <c r="L64" s="64" t="s">
        <v>397</v>
      </c>
      <c r="M64" s="64" t="s">
        <v>431</v>
      </c>
      <c r="N64" s="64" t="s">
        <v>397</v>
      </c>
      <c r="O64" s="64" t="s">
        <v>397</v>
      </c>
    </row>
    <row r="65" spans="2:15" x14ac:dyDescent="0.3">
      <c r="B65" s="32">
        <v>56493</v>
      </c>
      <c r="C65" s="9">
        <v>35</v>
      </c>
      <c r="D65" s="10" t="str">
        <f t="shared" si="4"/>
        <v>X</v>
      </c>
      <c r="E65" s="10" t="str">
        <f t="shared" si="0"/>
        <v>56493X</v>
      </c>
      <c r="F65" s="20" t="s">
        <v>12</v>
      </c>
      <c r="G65" s="34" t="s">
        <v>8</v>
      </c>
      <c r="H65" s="14" t="s">
        <v>9</v>
      </c>
      <c r="I65" s="21" t="s">
        <v>48</v>
      </c>
      <c r="J65" s="22" t="s">
        <v>50</v>
      </c>
      <c r="K65" s="64" t="s">
        <v>397</v>
      </c>
      <c r="L65" s="64" t="s">
        <v>397</v>
      </c>
      <c r="M65" s="64" t="s">
        <v>431</v>
      </c>
      <c r="N65" s="64" t="s">
        <v>397</v>
      </c>
      <c r="O65" s="64" t="s">
        <v>397</v>
      </c>
    </row>
    <row r="66" spans="2:15" x14ac:dyDescent="0.3">
      <c r="B66" s="32">
        <v>59329</v>
      </c>
      <c r="C66" s="9">
        <v>35</v>
      </c>
      <c r="D66" s="10" t="str">
        <f t="shared" si="4"/>
        <v>X</v>
      </c>
      <c r="E66" s="11" t="str">
        <f t="shared" si="0"/>
        <v>59329X</v>
      </c>
      <c r="F66" s="20" t="s">
        <v>12</v>
      </c>
      <c r="G66" s="34" t="s">
        <v>8</v>
      </c>
      <c r="H66" s="14" t="s">
        <v>9</v>
      </c>
      <c r="I66" s="91" t="s">
        <v>54</v>
      </c>
      <c r="J66" s="89" t="s">
        <v>55</v>
      </c>
      <c r="K66" s="64" t="s">
        <v>397</v>
      </c>
      <c r="L66" s="64" t="s">
        <v>397</v>
      </c>
      <c r="M66" s="64" t="s">
        <v>431</v>
      </c>
      <c r="N66" s="64" t="s">
        <v>397</v>
      </c>
      <c r="O66" s="64" t="s">
        <v>397</v>
      </c>
    </row>
    <row r="67" spans="2:15" x14ac:dyDescent="0.3">
      <c r="B67" s="95">
        <v>46325</v>
      </c>
      <c r="C67" s="9">
        <v>35</v>
      </c>
      <c r="D67" s="41" t="str">
        <f t="shared" si="4"/>
        <v>X</v>
      </c>
      <c r="E67" s="11" t="str">
        <f t="shared" si="0"/>
        <v>46325X</v>
      </c>
      <c r="F67" s="20" t="s">
        <v>12</v>
      </c>
      <c r="G67" s="13" t="s">
        <v>8</v>
      </c>
      <c r="H67" s="9" t="s">
        <v>9</v>
      </c>
      <c r="I67" s="87" t="s">
        <v>66</v>
      </c>
      <c r="J67" s="87" t="s">
        <v>67</v>
      </c>
      <c r="K67" s="64" t="s">
        <v>418</v>
      </c>
      <c r="L67" s="64" t="s">
        <v>418</v>
      </c>
      <c r="M67" s="64" t="s">
        <v>431</v>
      </c>
      <c r="N67" s="64" t="s">
        <v>418</v>
      </c>
      <c r="O67" s="64" t="s">
        <v>418</v>
      </c>
    </row>
    <row r="68" spans="2:15" x14ac:dyDescent="0.3">
      <c r="B68" s="38">
        <v>105075</v>
      </c>
      <c r="C68" s="9">
        <v>35</v>
      </c>
      <c r="D68" s="10" t="str">
        <f t="shared" si="4"/>
        <v>X</v>
      </c>
      <c r="E68" s="11" t="str">
        <f t="shared" ref="E68:E131" si="5">B68&amp;""&amp;D68</f>
        <v>105075X</v>
      </c>
      <c r="F68" s="20" t="s">
        <v>12</v>
      </c>
      <c r="G68" s="13" t="s">
        <v>8</v>
      </c>
      <c r="H68" s="14" t="s">
        <v>9</v>
      </c>
      <c r="I68" s="86" t="s">
        <v>70</v>
      </c>
      <c r="J68" s="82" t="s">
        <v>71</v>
      </c>
      <c r="K68" s="64" t="s">
        <v>398</v>
      </c>
      <c r="L68" s="64" t="s">
        <v>398</v>
      </c>
      <c r="M68" s="64" t="s">
        <v>431</v>
      </c>
      <c r="N68" s="64" t="s">
        <v>398</v>
      </c>
      <c r="O68" s="64" t="s">
        <v>398</v>
      </c>
    </row>
    <row r="69" spans="2:15" x14ac:dyDescent="0.3">
      <c r="B69" s="38">
        <v>53663</v>
      </c>
      <c r="C69" s="9">
        <v>35</v>
      </c>
      <c r="D69" s="10" t="str">
        <f t="shared" si="4"/>
        <v>X</v>
      </c>
      <c r="E69" s="11" t="str">
        <f t="shared" si="5"/>
        <v>53663X</v>
      </c>
      <c r="F69" s="20" t="s">
        <v>12</v>
      </c>
      <c r="G69" s="34" t="s">
        <v>8</v>
      </c>
      <c r="H69" s="14" t="s">
        <v>9</v>
      </c>
      <c r="I69" s="84" t="s">
        <v>126</v>
      </c>
      <c r="J69" s="84" t="s">
        <v>127</v>
      </c>
      <c r="K69" s="64" t="s">
        <v>398</v>
      </c>
      <c r="L69" s="64" t="s">
        <v>398</v>
      </c>
      <c r="M69" s="64" t="s">
        <v>431</v>
      </c>
      <c r="N69" s="64" t="s">
        <v>398</v>
      </c>
      <c r="O69" s="64" t="s">
        <v>398</v>
      </c>
    </row>
    <row r="70" spans="2:15" x14ac:dyDescent="0.3">
      <c r="B70" s="8">
        <v>75987</v>
      </c>
      <c r="C70" s="9">
        <v>35</v>
      </c>
      <c r="D70" s="10" t="str">
        <f t="shared" si="4"/>
        <v>X</v>
      </c>
      <c r="E70" s="11" t="str">
        <f t="shared" si="5"/>
        <v>75987X</v>
      </c>
      <c r="F70" s="20" t="s">
        <v>12</v>
      </c>
      <c r="G70" s="13" t="s">
        <v>8</v>
      </c>
      <c r="H70" s="14" t="s">
        <v>9</v>
      </c>
      <c r="I70" s="42" t="s">
        <v>149</v>
      </c>
      <c r="J70" s="39" t="s">
        <v>150</v>
      </c>
      <c r="K70" s="64" t="s">
        <v>398</v>
      </c>
      <c r="L70" s="64" t="s">
        <v>398</v>
      </c>
      <c r="M70" s="64" t="s">
        <v>431</v>
      </c>
      <c r="N70" s="64" t="s">
        <v>398</v>
      </c>
      <c r="O70" s="64" t="s">
        <v>398</v>
      </c>
    </row>
    <row r="71" spans="2:15" x14ac:dyDescent="0.3">
      <c r="B71" s="8">
        <v>106566</v>
      </c>
      <c r="C71" s="9">
        <v>35</v>
      </c>
      <c r="D71" s="10" t="s">
        <v>91</v>
      </c>
      <c r="E71" s="10" t="str">
        <f t="shared" si="5"/>
        <v>106566x</v>
      </c>
      <c r="F71" s="20" t="s">
        <v>12</v>
      </c>
      <c r="G71" s="13" t="s">
        <v>8</v>
      </c>
      <c r="H71" s="14" t="s">
        <v>9</v>
      </c>
      <c r="I71" s="83" t="s">
        <v>151</v>
      </c>
      <c r="J71" s="83" t="s">
        <v>152</v>
      </c>
      <c r="K71" s="64" t="s">
        <v>398</v>
      </c>
      <c r="L71" s="64" t="s">
        <v>398</v>
      </c>
      <c r="M71" s="64" t="s">
        <v>431</v>
      </c>
      <c r="N71" s="64" t="s">
        <v>398</v>
      </c>
      <c r="O71" s="64" t="s">
        <v>398</v>
      </c>
    </row>
    <row r="72" spans="2:15" x14ac:dyDescent="0.3">
      <c r="B72" s="8">
        <v>60962</v>
      </c>
      <c r="C72" s="9">
        <v>35</v>
      </c>
      <c r="D72" s="10" t="str">
        <f>IF(G72="","","X")</f>
        <v>X</v>
      </c>
      <c r="E72" s="11" t="str">
        <f t="shared" si="5"/>
        <v>60962X</v>
      </c>
      <c r="F72" s="20" t="s">
        <v>12</v>
      </c>
      <c r="G72" s="13" t="s">
        <v>8</v>
      </c>
      <c r="H72" s="14" t="s">
        <v>9</v>
      </c>
      <c r="I72" s="43" t="s">
        <v>159</v>
      </c>
      <c r="J72" s="43" t="s">
        <v>160</v>
      </c>
      <c r="K72" s="64" t="s">
        <v>398</v>
      </c>
      <c r="L72" s="64" t="s">
        <v>398</v>
      </c>
      <c r="M72" s="64" t="s">
        <v>431</v>
      </c>
      <c r="N72" s="64" t="s">
        <v>398</v>
      </c>
      <c r="O72" s="64" t="s">
        <v>398</v>
      </c>
    </row>
    <row r="73" spans="2:15" x14ac:dyDescent="0.3">
      <c r="B73" s="8">
        <v>35508</v>
      </c>
      <c r="C73" s="9">
        <v>28</v>
      </c>
      <c r="D73" s="10" t="str">
        <f>IF(G73="","","X")</f>
        <v>X</v>
      </c>
      <c r="E73" s="10" t="str">
        <f t="shared" si="5"/>
        <v>35508X</v>
      </c>
      <c r="F73" s="20" t="s">
        <v>12</v>
      </c>
      <c r="G73" s="13" t="s">
        <v>8</v>
      </c>
      <c r="H73" s="14" t="s">
        <v>9</v>
      </c>
      <c r="I73" s="43" t="s">
        <v>171</v>
      </c>
      <c r="J73" s="43" t="s">
        <v>172</v>
      </c>
      <c r="K73" s="64" t="s">
        <v>398</v>
      </c>
      <c r="L73" s="64" t="s">
        <v>398</v>
      </c>
      <c r="M73" s="64" t="s">
        <v>431</v>
      </c>
      <c r="N73" s="64" t="s">
        <v>398</v>
      </c>
      <c r="O73" s="64" t="s">
        <v>398</v>
      </c>
    </row>
    <row r="74" spans="2:15" x14ac:dyDescent="0.3">
      <c r="B74" s="45">
        <v>107227</v>
      </c>
      <c r="C74" s="9">
        <v>35</v>
      </c>
      <c r="D74" s="46" t="s">
        <v>19</v>
      </c>
      <c r="E74" s="47" t="str">
        <f t="shared" si="5"/>
        <v>107227X</v>
      </c>
      <c r="F74" s="20" t="s">
        <v>12</v>
      </c>
      <c r="G74" s="34" t="s">
        <v>8</v>
      </c>
      <c r="H74" s="14" t="s">
        <v>9</v>
      </c>
      <c r="I74" s="48" t="s">
        <v>181</v>
      </c>
      <c r="J74" s="48" t="s">
        <v>160</v>
      </c>
      <c r="K74" s="64" t="s">
        <v>398</v>
      </c>
      <c r="L74" s="64" t="s">
        <v>398</v>
      </c>
      <c r="M74" s="64" t="s">
        <v>431</v>
      </c>
      <c r="N74" s="64" t="s">
        <v>398</v>
      </c>
      <c r="O74" s="64" t="s">
        <v>398</v>
      </c>
    </row>
    <row r="75" spans="2:15" x14ac:dyDescent="0.3">
      <c r="B75" s="38">
        <v>47008</v>
      </c>
      <c r="C75" s="9">
        <v>35</v>
      </c>
      <c r="D75" s="10" t="str">
        <f t="shared" ref="D75:D82" si="6">IF(G75="","","X")</f>
        <v>X</v>
      </c>
      <c r="E75" s="10" t="str">
        <f t="shared" si="5"/>
        <v>47008X</v>
      </c>
      <c r="F75" s="20" t="s">
        <v>12</v>
      </c>
      <c r="G75" s="34" t="s">
        <v>8</v>
      </c>
      <c r="H75" s="14" t="s">
        <v>9</v>
      </c>
      <c r="I75" s="43" t="s">
        <v>182</v>
      </c>
      <c r="J75" s="43" t="s">
        <v>183</v>
      </c>
      <c r="K75" s="64" t="s">
        <v>398</v>
      </c>
      <c r="L75" s="64" t="s">
        <v>398</v>
      </c>
      <c r="M75" s="64" t="s">
        <v>431</v>
      </c>
      <c r="N75" s="64" t="s">
        <v>398</v>
      </c>
      <c r="O75" s="64" t="s">
        <v>398</v>
      </c>
    </row>
    <row r="76" spans="2:15" x14ac:dyDescent="0.3">
      <c r="B76" s="8">
        <v>16520</v>
      </c>
      <c r="C76" s="9">
        <v>35</v>
      </c>
      <c r="D76" s="10" t="str">
        <f t="shared" si="6"/>
        <v>X</v>
      </c>
      <c r="E76" s="11" t="str">
        <f t="shared" si="5"/>
        <v>16520X</v>
      </c>
      <c r="F76" s="20" t="s">
        <v>12</v>
      </c>
      <c r="G76" s="13" t="s">
        <v>8</v>
      </c>
      <c r="H76" s="14" t="s">
        <v>9</v>
      </c>
      <c r="I76" s="84" t="s">
        <v>199</v>
      </c>
      <c r="J76" s="84" t="s">
        <v>200</v>
      </c>
      <c r="K76" s="64" t="s">
        <v>398</v>
      </c>
      <c r="L76" s="64" t="s">
        <v>398</v>
      </c>
      <c r="M76" s="64" t="s">
        <v>431</v>
      </c>
      <c r="N76" s="64" t="s">
        <v>398</v>
      </c>
      <c r="O76" s="64" t="s">
        <v>398</v>
      </c>
    </row>
    <row r="77" spans="2:15" x14ac:dyDescent="0.3">
      <c r="B77" s="8">
        <v>65460</v>
      </c>
      <c r="C77" s="9">
        <v>35</v>
      </c>
      <c r="D77" s="10" t="str">
        <f t="shared" si="6"/>
        <v>X</v>
      </c>
      <c r="E77" s="11" t="str">
        <f t="shared" si="5"/>
        <v>65460X</v>
      </c>
      <c r="F77" s="20" t="s">
        <v>12</v>
      </c>
      <c r="G77" s="13" t="s">
        <v>8</v>
      </c>
      <c r="H77" s="14" t="s">
        <v>9</v>
      </c>
      <c r="I77" s="92" t="s">
        <v>203</v>
      </c>
      <c r="J77" s="92" t="s">
        <v>204</v>
      </c>
      <c r="K77" s="64" t="s">
        <v>398</v>
      </c>
      <c r="L77" s="64" t="s">
        <v>398</v>
      </c>
      <c r="M77" s="64" t="s">
        <v>431</v>
      </c>
      <c r="N77" s="64" t="s">
        <v>398</v>
      </c>
      <c r="O77" s="64" t="s">
        <v>398</v>
      </c>
    </row>
    <row r="78" spans="2:15" x14ac:dyDescent="0.3">
      <c r="B78" s="8">
        <v>101638</v>
      </c>
      <c r="C78" s="9">
        <v>35</v>
      </c>
      <c r="D78" s="10" t="str">
        <f t="shared" si="6"/>
        <v>X</v>
      </c>
      <c r="E78" s="10" t="str">
        <f t="shared" si="5"/>
        <v>101638X</v>
      </c>
      <c r="F78" s="20" t="s">
        <v>12</v>
      </c>
      <c r="G78" s="13" t="s">
        <v>8</v>
      </c>
      <c r="H78" s="14" t="s">
        <v>9</v>
      </c>
      <c r="I78" s="42" t="s">
        <v>228</v>
      </c>
      <c r="J78" s="39" t="s">
        <v>229</v>
      </c>
      <c r="K78" s="64" t="s">
        <v>398</v>
      </c>
      <c r="L78" s="64" t="s">
        <v>398</v>
      </c>
      <c r="M78" s="64" t="s">
        <v>431</v>
      </c>
      <c r="N78" s="64" t="s">
        <v>398</v>
      </c>
      <c r="O78" s="64" t="s">
        <v>398</v>
      </c>
    </row>
    <row r="79" spans="2:15" x14ac:dyDescent="0.3">
      <c r="B79" s="8">
        <v>57034</v>
      </c>
      <c r="C79" s="9">
        <v>35</v>
      </c>
      <c r="D79" s="10" t="str">
        <f t="shared" si="6"/>
        <v>X</v>
      </c>
      <c r="E79" s="11" t="str">
        <f t="shared" si="5"/>
        <v>57034X</v>
      </c>
      <c r="F79" s="20" t="s">
        <v>12</v>
      </c>
      <c r="G79" s="13" t="s">
        <v>8</v>
      </c>
      <c r="H79" s="14" t="s">
        <v>9</v>
      </c>
      <c r="I79" s="60" t="s">
        <v>250</v>
      </c>
      <c r="J79" s="59" t="s">
        <v>122</v>
      </c>
      <c r="K79" s="64" t="s">
        <v>398</v>
      </c>
      <c r="L79" s="64" t="s">
        <v>398</v>
      </c>
      <c r="M79" s="64" t="s">
        <v>431</v>
      </c>
      <c r="N79" s="64" t="s">
        <v>398</v>
      </c>
      <c r="O79" s="64" t="s">
        <v>398</v>
      </c>
    </row>
    <row r="80" spans="2:15" x14ac:dyDescent="0.3">
      <c r="B80" s="38">
        <v>46263</v>
      </c>
      <c r="C80" s="9">
        <v>35</v>
      </c>
      <c r="D80" s="10" t="str">
        <f t="shared" si="6"/>
        <v>X</v>
      </c>
      <c r="E80" s="10" t="str">
        <f t="shared" si="5"/>
        <v>46263X</v>
      </c>
      <c r="F80" s="20" t="s">
        <v>12</v>
      </c>
      <c r="G80" s="34" t="s">
        <v>8</v>
      </c>
      <c r="H80" s="14" t="s">
        <v>9</v>
      </c>
      <c r="I80" s="60" t="s">
        <v>314</v>
      </c>
      <c r="J80" s="59" t="s">
        <v>315</v>
      </c>
      <c r="K80" s="64" t="s">
        <v>398</v>
      </c>
      <c r="L80" s="64" t="s">
        <v>398</v>
      </c>
      <c r="M80" s="64" t="s">
        <v>431</v>
      </c>
      <c r="N80" s="64" t="s">
        <v>398</v>
      </c>
      <c r="O80" s="64" t="s">
        <v>398</v>
      </c>
    </row>
    <row r="81" spans="2:15" x14ac:dyDescent="0.3">
      <c r="B81" s="38">
        <v>105559</v>
      </c>
      <c r="C81" s="9">
        <v>35</v>
      </c>
      <c r="D81" s="10" t="str">
        <f t="shared" si="6"/>
        <v>X</v>
      </c>
      <c r="E81" s="11" t="str">
        <f t="shared" si="5"/>
        <v>105559X</v>
      </c>
      <c r="F81" s="20" t="s">
        <v>12</v>
      </c>
      <c r="G81" s="34" t="s">
        <v>8</v>
      </c>
      <c r="H81" s="14" t="s">
        <v>9</v>
      </c>
      <c r="I81" s="42" t="s">
        <v>355</v>
      </c>
      <c r="J81" s="39" t="s">
        <v>356</v>
      </c>
      <c r="K81" s="64" t="s">
        <v>398</v>
      </c>
      <c r="L81" s="64" t="s">
        <v>398</v>
      </c>
      <c r="M81" s="64" t="s">
        <v>431</v>
      </c>
      <c r="N81" s="64" t="s">
        <v>398</v>
      </c>
      <c r="O81" s="64" t="s">
        <v>398</v>
      </c>
    </row>
    <row r="82" spans="2:15" x14ac:dyDescent="0.3">
      <c r="B82" s="38">
        <v>48575</v>
      </c>
      <c r="C82" s="9">
        <v>35</v>
      </c>
      <c r="D82" s="10" t="str">
        <f t="shared" si="6"/>
        <v>X</v>
      </c>
      <c r="E82" s="11" t="str">
        <f t="shared" si="5"/>
        <v>48575X</v>
      </c>
      <c r="F82" s="20" t="s">
        <v>12</v>
      </c>
      <c r="G82" s="34" t="s">
        <v>8</v>
      </c>
      <c r="H82" s="14" t="s">
        <v>9</v>
      </c>
      <c r="I82" s="85" t="s">
        <v>359</v>
      </c>
      <c r="J82" s="80" t="s">
        <v>360</v>
      </c>
      <c r="K82" s="64" t="s">
        <v>398</v>
      </c>
      <c r="L82" s="64" t="s">
        <v>398</v>
      </c>
      <c r="M82" s="64" t="s">
        <v>431</v>
      </c>
      <c r="N82" s="64" t="s">
        <v>398</v>
      </c>
      <c r="O82" s="64" t="s">
        <v>398</v>
      </c>
    </row>
    <row r="83" spans="2:15" x14ac:dyDescent="0.3">
      <c r="B83" s="45">
        <v>107228</v>
      </c>
      <c r="C83" s="9">
        <v>35</v>
      </c>
      <c r="D83" s="46" t="s">
        <v>19</v>
      </c>
      <c r="E83" s="47" t="str">
        <f t="shared" si="5"/>
        <v>107228X</v>
      </c>
      <c r="F83" s="20" t="s">
        <v>12</v>
      </c>
      <c r="G83" s="62" t="s">
        <v>8</v>
      </c>
      <c r="H83" s="14" t="s">
        <v>9</v>
      </c>
      <c r="I83" s="48" t="s">
        <v>371</v>
      </c>
      <c r="J83" s="48" t="s">
        <v>372</v>
      </c>
      <c r="K83" s="64" t="s">
        <v>398</v>
      </c>
      <c r="L83" s="64" t="s">
        <v>398</v>
      </c>
      <c r="M83" s="64" t="s">
        <v>431</v>
      </c>
      <c r="N83" s="64" t="s">
        <v>398</v>
      </c>
      <c r="O83" s="64" t="s">
        <v>398</v>
      </c>
    </row>
    <row r="84" spans="2:15" x14ac:dyDescent="0.3">
      <c r="B84" s="8">
        <v>54394</v>
      </c>
      <c r="C84" s="9">
        <v>39</v>
      </c>
      <c r="D84" s="10" t="str">
        <f>IF(G84="","","X")</f>
        <v>X</v>
      </c>
      <c r="E84" s="11" t="str">
        <f t="shared" si="5"/>
        <v>54394X</v>
      </c>
      <c r="F84" s="20" t="s">
        <v>12</v>
      </c>
      <c r="G84" s="13" t="s">
        <v>79</v>
      </c>
      <c r="H84" s="14" t="s">
        <v>113</v>
      </c>
      <c r="I84" s="84" t="s">
        <v>134</v>
      </c>
      <c r="J84" s="84" t="s">
        <v>135</v>
      </c>
      <c r="K84" s="64" t="s">
        <v>418</v>
      </c>
      <c r="L84" s="64" t="s">
        <v>418</v>
      </c>
      <c r="M84" s="64" t="s">
        <v>431</v>
      </c>
      <c r="N84" s="64" t="s">
        <v>418</v>
      </c>
      <c r="O84" s="64" t="s">
        <v>418</v>
      </c>
    </row>
    <row r="85" spans="2:15" x14ac:dyDescent="0.3">
      <c r="B85" s="8">
        <v>18596</v>
      </c>
      <c r="C85" s="9">
        <v>39</v>
      </c>
      <c r="D85" s="10" t="str">
        <f>IF(G85="","","X")</f>
        <v>X</v>
      </c>
      <c r="E85" s="11" t="str">
        <f t="shared" si="5"/>
        <v>18596X</v>
      </c>
      <c r="F85" s="20" t="s">
        <v>12</v>
      </c>
      <c r="G85" s="13" t="s">
        <v>79</v>
      </c>
      <c r="H85" s="14" t="s">
        <v>88</v>
      </c>
      <c r="I85" s="60" t="s">
        <v>289</v>
      </c>
      <c r="J85" s="59" t="s">
        <v>232</v>
      </c>
      <c r="K85" s="64" t="s">
        <v>418</v>
      </c>
      <c r="L85" s="64" t="s">
        <v>418</v>
      </c>
      <c r="M85" s="64" t="s">
        <v>431</v>
      </c>
      <c r="N85" s="64" t="s">
        <v>418</v>
      </c>
      <c r="O85" s="64" t="s">
        <v>418</v>
      </c>
    </row>
    <row r="86" spans="2:15" x14ac:dyDescent="0.3">
      <c r="B86" s="24" t="s">
        <v>18</v>
      </c>
      <c r="C86" s="25">
        <v>35</v>
      </c>
      <c r="D86" s="26" t="s">
        <v>19</v>
      </c>
      <c r="E86" s="26" t="str">
        <f t="shared" si="5"/>
        <v>IX</v>
      </c>
      <c r="F86" s="28" t="s">
        <v>12</v>
      </c>
      <c r="G86" s="29" t="s">
        <v>29</v>
      </c>
      <c r="H86" s="30" t="s">
        <v>9</v>
      </c>
      <c r="I86" s="81" t="s">
        <v>253</v>
      </c>
      <c r="J86" s="81" t="s">
        <v>254</v>
      </c>
      <c r="K86" s="64" t="s">
        <v>410</v>
      </c>
      <c r="L86" s="64" t="s">
        <v>410</v>
      </c>
      <c r="M86" s="64" t="s">
        <v>431</v>
      </c>
      <c r="N86" s="64" t="s">
        <v>410</v>
      </c>
      <c r="O86" s="64" t="s">
        <v>410</v>
      </c>
    </row>
    <row r="87" spans="2:15" x14ac:dyDescent="0.3">
      <c r="B87" s="24" t="s">
        <v>18</v>
      </c>
      <c r="C87" s="25">
        <v>35</v>
      </c>
      <c r="D87" s="26" t="s">
        <v>19</v>
      </c>
      <c r="E87" s="27" t="str">
        <f t="shared" si="5"/>
        <v>IX</v>
      </c>
      <c r="F87" s="28" t="s">
        <v>12</v>
      </c>
      <c r="G87" s="29" t="s">
        <v>29</v>
      </c>
      <c r="H87" s="30" t="s">
        <v>9</v>
      </c>
      <c r="I87" s="81" t="s">
        <v>268</v>
      </c>
      <c r="J87" s="81" t="s">
        <v>269</v>
      </c>
      <c r="K87" s="64" t="s">
        <v>410</v>
      </c>
      <c r="L87" s="64" t="s">
        <v>410</v>
      </c>
      <c r="M87" s="64" t="s">
        <v>431</v>
      </c>
      <c r="N87" s="64" t="s">
        <v>410</v>
      </c>
      <c r="O87" s="64" t="s">
        <v>410</v>
      </c>
    </row>
    <row r="88" spans="2:15" x14ac:dyDescent="0.3">
      <c r="B88" s="8">
        <v>105080</v>
      </c>
      <c r="C88" s="9">
        <v>35</v>
      </c>
      <c r="D88" s="10" t="str">
        <f>IF(G88="","","X")</f>
        <v>X</v>
      </c>
      <c r="E88" s="10" t="str">
        <f t="shared" si="5"/>
        <v>105080X</v>
      </c>
      <c r="F88" s="23" t="s">
        <v>7</v>
      </c>
      <c r="G88" s="13" t="s">
        <v>26</v>
      </c>
      <c r="H88" s="14" t="s">
        <v>44</v>
      </c>
      <c r="I88" s="42" t="s">
        <v>175</v>
      </c>
      <c r="J88" s="39" t="s">
        <v>176</v>
      </c>
      <c r="K88" s="64" t="s">
        <v>385</v>
      </c>
      <c r="L88" s="64" t="s">
        <v>385</v>
      </c>
      <c r="M88" s="64" t="s">
        <v>431</v>
      </c>
      <c r="N88" s="64" t="s">
        <v>385</v>
      </c>
      <c r="O88" s="64" t="s">
        <v>385</v>
      </c>
    </row>
    <row r="89" spans="2:15" x14ac:dyDescent="0.3">
      <c r="B89" s="8">
        <v>107055</v>
      </c>
      <c r="C89" s="9">
        <v>35</v>
      </c>
      <c r="D89" s="10" t="s">
        <v>19</v>
      </c>
      <c r="E89" s="11" t="str">
        <f t="shared" si="5"/>
        <v>107055X</v>
      </c>
      <c r="F89" s="23" t="s">
        <v>7</v>
      </c>
      <c r="G89" s="13" t="s">
        <v>26</v>
      </c>
      <c r="H89" s="79" t="s">
        <v>44</v>
      </c>
      <c r="I89" s="15" t="s">
        <v>312</v>
      </c>
      <c r="J89" s="15" t="s">
        <v>313</v>
      </c>
      <c r="K89" s="64" t="s">
        <v>386</v>
      </c>
      <c r="L89" s="64" t="s">
        <v>386</v>
      </c>
      <c r="M89" s="64" t="s">
        <v>431</v>
      </c>
      <c r="N89" s="64" t="s">
        <v>386</v>
      </c>
      <c r="O89" s="64" t="s">
        <v>386</v>
      </c>
    </row>
    <row r="90" spans="2:15" x14ac:dyDescent="0.3">
      <c r="B90" s="8">
        <v>74435</v>
      </c>
      <c r="C90" s="9">
        <v>35</v>
      </c>
      <c r="D90" s="10" t="s">
        <v>19</v>
      </c>
      <c r="E90" s="10" t="str">
        <f t="shared" si="5"/>
        <v>74435X</v>
      </c>
      <c r="F90" s="23" t="s">
        <v>7</v>
      </c>
      <c r="G90" s="13" t="s">
        <v>26</v>
      </c>
      <c r="H90" s="14" t="s">
        <v>9</v>
      </c>
      <c r="I90" s="83" t="s">
        <v>336</v>
      </c>
      <c r="J90" s="83" t="s">
        <v>337</v>
      </c>
      <c r="K90" s="64" t="s">
        <v>386</v>
      </c>
      <c r="L90" s="64" t="s">
        <v>386</v>
      </c>
      <c r="M90" s="64" t="s">
        <v>431</v>
      </c>
      <c r="N90" s="64" t="s">
        <v>386</v>
      </c>
      <c r="O90" s="64" t="s">
        <v>386</v>
      </c>
    </row>
    <row r="91" spans="2:15" x14ac:dyDescent="0.3">
      <c r="B91" s="8">
        <v>105538</v>
      </c>
      <c r="C91" s="9">
        <v>35</v>
      </c>
      <c r="D91" s="10" t="s">
        <v>19</v>
      </c>
      <c r="E91" s="11" t="str">
        <f t="shared" si="5"/>
        <v>105538X</v>
      </c>
      <c r="F91" s="23" t="s">
        <v>7</v>
      </c>
      <c r="G91" s="13" t="s">
        <v>26</v>
      </c>
      <c r="H91" s="14" t="s">
        <v>9</v>
      </c>
      <c r="I91" s="86" t="s">
        <v>354</v>
      </c>
      <c r="J91" s="82" t="s">
        <v>106</v>
      </c>
      <c r="K91" s="64" t="s">
        <v>386</v>
      </c>
      <c r="L91" s="64" t="s">
        <v>386</v>
      </c>
      <c r="M91" s="64" t="s">
        <v>431</v>
      </c>
      <c r="N91" s="64" t="s">
        <v>386</v>
      </c>
      <c r="O91" s="64" t="s">
        <v>386</v>
      </c>
    </row>
    <row r="92" spans="2:15" x14ac:dyDescent="0.3">
      <c r="B92" s="8">
        <v>107316</v>
      </c>
      <c r="C92" s="9">
        <v>35</v>
      </c>
      <c r="D92" s="10" t="s">
        <v>19</v>
      </c>
      <c r="E92" s="11" t="str">
        <f t="shared" si="5"/>
        <v>107316X</v>
      </c>
      <c r="F92" s="23" t="s">
        <v>7</v>
      </c>
      <c r="G92" s="13" t="s">
        <v>26</v>
      </c>
      <c r="H92" s="14" t="s">
        <v>44</v>
      </c>
      <c r="I92" s="15" t="s">
        <v>358</v>
      </c>
      <c r="J92" s="15" t="s">
        <v>138</v>
      </c>
      <c r="K92" s="64" t="s">
        <v>385</v>
      </c>
      <c r="L92" s="64" t="s">
        <v>385</v>
      </c>
      <c r="M92" s="64" t="s">
        <v>431</v>
      </c>
      <c r="N92" s="64" t="s">
        <v>385</v>
      </c>
      <c r="O92" s="64" t="s">
        <v>385</v>
      </c>
    </row>
    <row r="93" spans="2:15" x14ac:dyDescent="0.3">
      <c r="B93" s="8">
        <v>104816</v>
      </c>
      <c r="C93" s="9">
        <v>35</v>
      </c>
      <c r="D93" s="10" t="str">
        <f t="shared" ref="D93:D101" si="7">IF(G93="","","X")</f>
        <v>X</v>
      </c>
      <c r="E93" s="11" t="str">
        <f t="shared" si="5"/>
        <v>104816X</v>
      </c>
      <c r="F93" s="23" t="s">
        <v>7</v>
      </c>
      <c r="G93" s="13" t="s">
        <v>8</v>
      </c>
      <c r="H93" s="14" t="s">
        <v>9</v>
      </c>
      <c r="I93" s="39" t="s">
        <v>10</v>
      </c>
      <c r="J93" s="39" t="s">
        <v>11</v>
      </c>
      <c r="K93" s="64" t="s">
        <v>410</v>
      </c>
      <c r="L93" s="64" t="s">
        <v>410</v>
      </c>
      <c r="M93" s="64" t="s">
        <v>431</v>
      </c>
      <c r="N93" s="64" t="s">
        <v>410</v>
      </c>
      <c r="O93" s="64" t="s">
        <v>410</v>
      </c>
    </row>
    <row r="94" spans="2:15" x14ac:dyDescent="0.3">
      <c r="B94" s="19">
        <v>23895</v>
      </c>
      <c r="C94" s="9">
        <v>28</v>
      </c>
      <c r="D94" s="10" t="str">
        <f t="shared" si="7"/>
        <v>X</v>
      </c>
      <c r="E94" s="10" t="str">
        <f t="shared" si="5"/>
        <v>23895X</v>
      </c>
      <c r="F94" s="23" t="s">
        <v>7</v>
      </c>
      <c r="G94" s="13" t="s">
        <v>8</v>
      </c>
      <c r="H94" s="14" t="s">
        <v>15</v>
      </c>
      <c r="I94" s="22" t="s">
        <v>16</v>
      </c>
      <c r="J94" s="22" t="s">
        <v>17</v>
      </c>
      <c r="K94" s="64" t="s">
        <v>427</v>
      </c>
      <c r="L94" s="64" t="s">
        <v>427</v>
      </c>
      <c r="M94" s="64" t="s">
        <v>431</v>
      </c>
      <c r="N94" s="64" t="s">
        <v>427</v>
      </c>
      <c r="O94" s="64" t="s">
        <v>427</v>
      </c>
    </row>
    <row r="95" spans="2:15" x14ac:dyDescent="0.3">
      <c r="B95" s="19">
        <v>16824</v>
      </c>
      <c r="C95" s="9">
        <v>39</v>
      </c>
      <c r="D95" s="10" t="str">
        <f t="shared" si="7"/>
        <v>X</v>
      </c>
      <c r="E95" s="11" t="str">
        <f t="shared" si="5"/>
        <v>16824X</v>
      </c>
      <c r="F95" s="23" t="s">
        <v>7</v>
      </c>
      <c r="G95" s="13" t="s">
        <v>8</v>
      </c>
      <c r="H95" s="14" t="s">
        <v>32</v>
      </c>
      <c r="I95" s="22" t="s">
        <v>33</v>
      </c>
      <c r="J95" s="22" t="s">
        <v>34</v>
      </c>
      <c r="K95" s="64" t="s">
        <v>410</v>
      </c>
      <c r="L95" s="64" t="s">
        <v>410</v>
      </c>
      <c r="M95" s="64" t="s">
        <v>431</v>
      </c>
      <c r="N95" s="64" t="s">
        <v>410</v>
      </c>
      <c r="O95" s="64" t="s">
        <v>410</v>
      </c>
    </row>
    <row r="96" spans="2:15" x14ac:dyDescent="0.3">
      <c r="B96" s="95">
        <v>16345</v>
      </c>
      <c r="C96" s="9">
        <v>39</v>
      </c>
      <c r="D96" s="41" t="str">
        <f t="shared" si="7"/>
        <v>X</v>
      </c>
      <c r="E96" s="10" t="str">
        <f t="shared" si="5"/>
        <v>16345X</v>
      </c>
      <c r="F96" s="23" t="s">
        <v>7</v>
      </c>
      <c r="G96" s="78" t="s">
        <v>8</v>
      </c>
      <c r="H96" s="9" t="s">
        <v>47</v>
      </c>
      <c r="I96" s="89" t="s">
        <v>48</v>
      </c>
      <c r="J96" s="89" t="s">
        <v>49</v>
      </c>
      <c r="K96" s="64" t="s">
        <v>410</v>
      </c>
      <c r="L96" s="64" t="s">
        <v>410</v>
      </c>
      <c r="M96" s="64" t="s">
        <v>431</v>
      </c>
      <c r="N96" s="64" t="s">
        <v>410</v>
      </c>
      <c r="O96" s="64" t="s">
        <v>410</v>
      </c>
    </row>
    <row r="97" spans="2:15" x14ac:dyDescent="0.3">
      <c r="B97" s="19">
        <v>34475</v>
      </c>
      <c r="C97" s="9">
        <v>39</v>
      </c>
      <c r="D97" s="10" t="str">
        <f t="shared" si="7"/>
        <v>X</v>
      </c>
      <c r="E97" s="11" t="str">
        <f t="shared" si="5"/>
        <v>34475X</v>
      </c>
      <c r="F97" s="23" t="s">
        <v>7</v>
      </c>
      <c r="G97" s="13" t="s">
        <v>8</v>
      </c>
      <c r="H97" s="14" t="s">
        <v>51</v>
      </c>
      <c r="I97" s="89" t="s">
        <v>52</v>
      </c>
      <c r="J97" s="89" t="s">
        <v>53</v>
      </c>
      <c r="K97" s="64" t="s">
        <v>410</v>
      </c>
      <c r="L97" s="64" t="s">
        <v>410</v>
      </c>
      <c r="M97" s="64" t="s">
        <v>431</v>
      </c>
      <c r="N97" s="64" t="s">
        <v>410</v>
      </c>
      <c r="O97" s="64" t="s">
        <v>410</v>
      </c>
    </row>
    <row r="98" spans="2:15" x14ac:dyDescent="0.3">
      <c r="B98" s="32">
        <v>16931</v>
      </c>
      <c r="C98" s="9">
        <v>35</v>
      </c>
      <c r="D98" s="10" t="str">
        <f t="shared" si="7"/>
        <v>X</v>
      </c>
      <c r="E98" s="11" t="str">
        <f t="shared" si="5"/>
        <v>16931X</v>
      </c>
      <c r="F98" s="23" t="s">
        <v>7</v>
      </c>
      <c r="G98" s="34" t="s">
        <v>8</v>
      </c>
      <c r="H98" s="14" t="s">
        <v>15</v>
      </c>
      <c r="I98" s="87" t="s">
        <v>58</v>
      </c>
      <c r="J98" s="87" t="s">
        <v>59</v>
      </c>
      <c r="K98" s="64" t="s">
        <v>427</v>
      </c>
      <c r="L98" s="64" t="s">
        <v>427</v>
      </c>
      <c r="M98" s="64" t="s">
        <v>431</v>
      </c>
      <c r="N98" s="64" t="s">
        <v>427</v>
      </c>
      <c r="O98" s="64" t="s">
        <v>427</v>
      </c>
    </row>
    <row r="99" spans="2:15" x14ac:dyDescent="0.3">
      <c r="B99" s="68">
        <v>105862</v>
      </c>
      <c r="C99" s="41">
        <v>35</v>
      </c>
      <c r="D99" s="10" t="str">
        <f t="shared" si="7"/>
        <v>X</v>
      </c>
      <c r="E99" s="10" t="str">
        <f t="shared" si="5"/>
        <v>105862X</v>
      </c>
      <c r="F99" s="23" t="s">
        <v>7</v>
      </c>
      <c r="G99" s="34" t="s">
        <v>8</v>
      </c>
      <c r="H99" s="79" t="s">
        <v>9</v>
      </c>
      <c r="I99" s="83" t="s">
        <v>62</v>
      </c>
      <c r="J99" s="83" t="s">
        <v>63</v>
      </c>
      <c r="K99" s="64" t="s">
        <v>426</v>
      </c>
      <c r="L99" s="64" t="s">
        <v>426</v>
      </c>
      <c r="M99" s="64" t="s">
        <v>431</v>
      </c>
      <c r="N99" s="64" t="s">
        <v>426</v>
      </c>
      <c r="O99" s="64" t="s">
        <v>426</v>
      </c>
    </row>
    <row r="100" spans="2:15" x14ac:dyDescent="0.3">
      <c r="B100" s="38">
        <v>65239</v>
      </c>
      <c r="C100" s="9">
        <v>39</v>
      </c>
      <c r="D100" s="10" t="str">
        <f t="shared" si="7"/>
        <v>X</v>
      </c>
      <c r="E100" s="11" t="str">
        <f t="shared" si="5"/>
        <v>65239X</v>
      </c>
      <c r="F100" s="23" t="s">
        <v>7</v>
      </c>
      <c r="G100" s="34" t="s">
        <v>8</v>
      </c>
      <c r="H100" s="14" t="s">
        <v>44</v>
      </c>
      <c r="I100" s="43" t="s">
        <v>84</v>
      </c>
      <c r="J100" s="43" t="s">
        <v>85</v>
      </c>
      <c r="K100" s="64" t="s">
        <v>410</v>
      </c>
      <c r="L100" s="64" t="s">
        <v>410</v>
      </c>
      <c r="M100" s="64" t="s">
        <v>431</v>
      </c>
      <c r="N100" s="64" t="s">
        <v>410</v>
      </c>
      <c r="O100" s="64" t="s">
        <v>410</v>
      </c>
    </row>
    <row r="101" spans="2:15" x14ac:dyDescent="0.3">
      <c r="B101" s="38">
        <v>16162</v>
      </c>
      <c r="C101" s="9">
        <v>35</v>
      </c>
      <c r="D101" s="10" t="str">
        <f t="shared" si="7"/>
        <v>X</v>
      </c>
      <c r="E101" s="10" t="str">
        <f t="shared" si="5"/>
        <v>16162X</v>
      </c>
      <c r="F101" s="23" t="s">
        <v>7</v>
      </c>
      <c r="G101" s="13" t="s">
        <v>8</v>
      </c>
      <c r="H101" s="14" t="s">
        <v>9</v>
      </c>
      <c r="I101" s="43" t="s">
        <v>96</v>
      </c>
      <c r="J101" s="43" t="s">
        <v>97</v>
      </c>
      <c r="K101" s="64" t="s">
        <v>429</v>
      </c>
      <c r="L101" s="64" t="s">
        <v>429</v>
      </c>
      <c r="M101" s="64" t="s">
        <v>431</v>
      </c>
      <c r="N101" s="64" t="s">
        <v>429</v>
      </c>
      <c r="O101" s="64" t="s">
        <v>429</v>
      </c>
    </row>
    <row r="102" spans="2:15" x14ac:dyDescent="0.3">
      <c r="B102" s="8">
        <v>102433</v>
      </c>
      <c r="C102" s="9">
        <v>35</v>
      </c>
      <c r="D102" s="10" t="s">
        <v>19</v>
      </c>
      <c r="E102" s="11" t="str">
        <f t="shared" si="5"/>
        <v>102433X</v>
      </c>
      <c r="F102" s="23" t="s">
        <v>7</v>
      </c>
      <c r="G102" s="13" t="s">
        <v>8</v>
      </c>
      <c r="H102" s="14" t="s">
        <v>9</v>
      </c>
      <c r="I102" s="83" t="s">
        <v>103</v>
      </c>
      <c r="J102" s="83" t="s">
        <v>104</v>
      </c>
      <c r="K102" s="64" t="s">
        <v>386</v>
      </c>
      <c r="L102" s="64" t="s">
        <v>386</v>
      </c>
      <c r="M102" s="64" t="s">
        <v>431</v>
      </c>
      <c r="N102" s="64" t="s">
        <v>386</v>
      </c>
      <c r="O102" s="64" t="s">
        <v>386</v>
      </c>
    </row>
    <row r="103" spans="2:15" x14ac:dyDescent="0.3">
      <c r="B103" s="70">
        <v>105940</v>
      </c>
      <c r="C103" s="41">
        <v>35</v>
      </c>
      <c r="D103" s="10" t="s">
        <v>19</v>
      </c>
      <c r="E103" s="10" t="str">
        <f t="shared" si="5"/>
        <v>105940X</v>
      </c>
      <c r="F103" s="23" t="s">
        <v>7</v>
      </c>
      <c r="G103" s="13" t="s">
        <v>8</v>
      </c>
      <c r="H103" s="79" t="s">
        <v>9</v>
      </c>
      <c r="I103" s="83" t="s">
        <v>111</v>
      </c>
      <c r="J103" s="83" t="s">
        <v>112</v>
      </c>
      <c r="K103" s="64" t="s">
        <v>386</v>
      </c>
      <c r="L103" s="64" t="s">
        <v>386</v>
      </c>
      <c r="M103" s="64" t="s">
        <v>431</v>
      </c>
      <c r="N103" s="64" t="s">
        <v>386</v>
      </c>
      <c r="O103" s="64" t="s">
        <v>386</v>
      </c>
    </row>
    <row r="104" spans="2:15" x14ac:dyDescent="0.3">
      <c r="B104" s="8">
        <v>102439</v>
      </c>
      <c r="C104" s="9">
        <v>35</v>
      </c>
      <c r="D104" s="10" t="str">
        <f t="shared" ref="D104:D115" si="8">IF(G104="","","X")</f>
        <v>X</v>
      </c>
      <c r="E104" s="11" t="str">
        <f t="shared" si="5"/>
        <v>102439X</v>
      </c>
      <c r="F104" s="23" t="s">
        <v>7</v>
      </c>
      <c r="G104" s="13" t="s">
        <v>8</v>
      </c>
      <c r="H104" s="14" t="s">
        <v>44</v>
      </c>
      <c r="I104" s="82" t="s">
        <v>145</v>
      </c>
      <c r="J104" s="82" t="s">
        <v>146</v>
      </c>
      <c r="K104" s="64" t="s">
        <v>429</v>
      </c>
      <c r="L104" s="64" t="s">
        <v>429</v>
      </c>
      <c r="M104" s="64" t="s">
        <v>431</v>
      </c>
      <c r="N104" s="64" t="s">
        <v>429</v>
      </c>
      <c r="O104" s="64" t="s">
        <v>429</v>
      </c>
    </row>
    <row r="105" spans="2:15" x14ac:dyDescent="0.3">
      <c r="B105" s="8">
        <v>101366</v>
      </c>
      <c r="C105" s="9">
        <v>35</v>
      </c>
      <c r="D105" s="10" t="str">
        <f t="shared" si="8"/>
        <v>X</v>
      </c>
      <c r="E105" s="11" t="str">
        <f t="shared" si="5"/>
        <v>101366X</v>
      </c>
      <c r="F105" s="23" t="s">
        <v>7</v>
      </c>
      <c r="G105" s="13" t="s">
        <v>8</v>
      </c>
      <c r="H105" s="14" t="s">
        <v>44</v>
      </c>
      <c r="I105" s="39" t="s">
        <v>153</v>
      </c>
      <c r="J105" s="39" t="s">
        <v>154</v>
      </c>
      <c r="K105" s="64" t="s">
        <v>426</v>
      </c>
      <c r="L105" s="64" t="s">
        <v>426</v>
      </c>
      <c r="M105" s="64" t="s">
        <v>431</v>
      </c>
      <c r="N105" s="64" t="s">
        <v>426</v>
      </c>
      <c r="O105" s="64" t="s">
        <v>426</v>
      </c>
    </row>
    <row r="106" spans="2:15" x14ac:dyDescent="0.3">
      <c r="B106" s="72">
        <v>38136</v>
      </c>
      <c r="C106" s="9">
        <v>35</v>
      </c>
      <c r="D106" s="10" t="str">
        <f t="shared" si="8"/>
        <v>X</v>
      </c>
      <c r="E106" s="10" t="str">
        <f t="shared" si="5"/>
        <v>38136X</v>
      </c>
      <c r="F106" s="23" t="s">
        <v>7</v>
      </c>
      <c r="G106" s="34" t="s">
        <v>8</v>
      </c>
      <c r="H106" s="14" t="s">
        <v>44</v>
      </c>
      <c r="I106" s="96" t="s">
        <v>161</v>
      </c>
      <c r="J106" s="96" t="s">
        <v>162</v>
      </c>
      <c r="K106" s="64" t="s">
        <v>410</v>
      </c>
      <c r="L106" s="64" t="s">
        <v>410</v>
      </c>
      <c r="M106" s="64" t="s">
        <v>431</v>
      </c>
      <c r="N106" s="64" t="s">
        <v>410</v>
      </c>
      <c r="O106" s="64" t="s">
        <v>410</v>
      </c>
    </row>
    <row r="107" spans="2:15" x14ac:dyDescent="0.3">
      <c r="B107" s="8">
        <v>77292</v>
      </c>
      <c r="C107" s="9">
        <v>35</v>
      </c>
      <c r="D107" s="10" t="str">
        <f t="shared" si="8"/>
        <v>X</v>
      </c>
      <c r="E107" s="11" t="str">
        <f t="shared" si="5"/>
        <v>77292X</v>
      </c>
      <c r="F107" s="23" t="s">
        <v>7</v>
      </c>
      <c r="G107" s="13" t="s">
        <v>8</v>
      </c>
      <c r="H107" s="14" t="s">
        <v>44</v>
      </c>
      <c r="I107" s="82" t="s">
        <v>161</v>
      </c>
      <c r="J107" s="82" t="s">
        <v>163</v>
      </c>
      <c r="K107" s="64" t="s">
        <v>385</v>
      </c>
      <c r="L107" s="64" t="s">
        <v>385</v>
      </c>
      <c r="M107" s="64" t="s">
        <v>431</v>
      </c>
      <c r="N107" s="64" t="s">
        <v>385</v>
      </c>
      <c r="O107" s="64" t="s">
        <v>385</v>
      </c>
    </row>
    <row r="108" spans="2:15" x14ac:dyDescent="0.3">
      <c r="B108" s="38">
        <v>55906</v>
      </c>
      <c r="C108" s="9">
        <v>35</v>
      </c>
      <c r="D108" s="10" t="str">
        <f t="shared" si="8"/>
        <v>X</v>
      </c>
      <c r="E108" s="11" t="str">
        <f t="shared" si="5"/>
        <v>55906X</v>
      </c>
      <c r="F108" s="23" t="s">
        <v>7</v>
      </c>
      <c r="G108" s="34" t="s">
        <v>8</v>
      </c>
      <c r="H108" s="14" t="s">
        <v>44</v>
      </c>
      <c r="I108" s="84" t="s">
        <v>169</v>
      </c>
      <c r="J108" s="84" t="s">
        <v>170</v>
      </c>
      <c r="K108" s="64" t="s">
        <v>385</v>
      </c>
      <c r="L108" s="64" t="s">
        <v>385</v>
      </c>
      <c r="M108" s="64" t="s">
        <v>431</v>
      </c>
      <c r="N108" s="64" t="s">
        <v>385</v>
      </c>
      <c r="O108" s="64" t="s">
        <v>385</v>
      </c>
    </row>
    <row r="109" spans="2:15" x14ac:dyDescent="0.3">
      <c r="B109" s="38">
        <v>71616</v>
      </c>
      <c r="C109" s="9">
        <v>35</v>
      </c>
      <c r="D109" s="10" t="str">
        <f t="shared" si="8"/>
        <v>X</v>
      </c>
      <c r="E109" s="11" t="str">
        <f t="shared" si="5"/>
        <v>71616X</v>
      </c>
      <c r="F109" s="23" t="s">
        <v>7</v>
      </c>
      <c r="G109" s="34" t="s">
        <v>8</v>
      </c>
      <c r="H109" s="14" t="s">
        <v>44</v>
      </c>
      <c r="I109" s="90" t="s">
        <v>197</v>
      </c>
      <c r="J109" s="90" t="s">
        <v>198</v>
      </c>
      <c r="K109" s="64" t="s">
        <v>410</v>
      </c>
      <c r="L109" s="64" t="s">
        <v>410</v>
      </c>
      <c r="M109" s="64" t="s">
        <v>431</v>
      </c>
      <c r="N109" s="64" t="s">
        <v>410</v>
      </c>
      <c r="O109" s="64" t="s">
        <v>410</v>
      </c>
    </row>
    <row r="110" spans="2:15" x14ac:dyDescent="0.3">
      <c r="B110" s="8">
        <v>43211</v>
      </c>
      <c r="C110" s="9">
        <v>35</v>
      </c>
      <c r="D110" s="10" t="str">
        <f t="shared" si="8"/>
        <v>X</v>
      </c>
      <c r="E110" s="11" t="str">
        <f t="shared" si="5"/>
        <v>43211X</v>
      </c>
      <c r="F110" s="23" t="s">
        <v>7</v>
      </c>
      <c r="G110" s="13" t="s">
        <v>8</v>
      </c>
      <c r="H110" s="14" t="s">
        <v>44</v>
      </c>
      <c r="I110" s="84" t="s">
        <v>237</v>
      </c>
      <c r="J110" s="84" t="s">
        <v>238</v>
      </c>
      <c r="K110" s="64" t="s">
        <v>385</v>
      </c>
      <c r="L110" s="64" t="s">
        <v>385</v>
      </c>
      <c r="M110" s="64" t="s">
        <v>431</v>
      </c>
      <c r="N110" s="64" t="s">
        <v>385</v>
      </c>
      <c r="O110" s="64" t="s">
        <v>385</v>
      </c>
    </row>
    <row r="111" spans="2:15" x14ac:dyDescent="0.3">
      <c r="B111" s="38">
        <v>16882</v>
      </c>
      <c r="C111" s="9">
        <v>35</v>
      </c>
      <c r="D111" s="10" t="str">
        <f t="shared" si="8"/>
        <v>X</v>
      </c>
      <c r="E111" s="11" t="str">
        <f t="shared" si="5"/>
        <v>16882X</v>
      </c>
      <c r="F111" s="23" t="s">
        <v>7</v>
      </c>
      <c r="G111" s="34" t="s">
        <v>8</v>
      </c>
      <c r="H111" s="14" t="s">
        <v>9</v>
      </c>
      <c r="I111" s="80" t="s">
        <v>243</v>
      </c>
      <c r="J111" s="80" t="s">
        <v>245</v>
      </c>
      <c r="K111" s="64" t="s">
        <v>427</v>
      </c>
      <c r="L111" s="64" t="s">
        <v>427</v>
      </c>
      <c r="M111" s="64" t="s">
        <v>431</v>
      </c>
      <c r="N111" s="64" t="s">
        <v>427</v>
      </c>
      <c r="O111" s="64" t="s">
        <v>427</v>
      </c>
    </row>
    <row r="112" spans="2:15" x14ac:dyDescent="0.3">
      <c r="B112" s="8">
        <v>48567</v>
      </c>
      <c r="C112" s="9">
        <v>35</v>
      </c>
      <c r="D112" s="10" t="str">
        <f t="shared" si="8"/>
        <v>X</v>
      </c>
      <c r="E112" s="11" t="str">
        <f t="shared" si="5"/>
        <v>48567X</v>
      </c>
      <c r="F112" s="23" t="s">
        <v>7</v>
      </c>
      <c r="G112" s="13" t="s">
        <v>8</v>
      </c>
      <c r="H112" s="9" t="s">
        <v>35</v>
      </c>
      <c r="I112" s="80" t="s">
        <v>246</v>
      </c>
      <c r="J112" s="80" t="s">
        <v>247</v>
      </c>
      <c r="K112" s="64" t="s">
        <v>385</v>
      </c>
      <c r="L112" s="64" t="s">
        <v>385</v>
      </c>
      <c r="M112" s="64" t="s">
        <v>431</v>
      </c>
      <c r="N112" s="64" t="s">
        <v>385</v>
      </c>
      <c r="O112" s="64" t="s">
        <v>385</v>
      </c>
    </row>
    <row r="113" spans="2:15" x14ac:dyDescent="0.3">
      <c r="B113" s="8">
        <v>54903</v>
      </c>
      <c r="C113" s="9">
        <v>35</v>
      </c>
      <c r="D113" s="10" t="str">
        <f t="shared" si="8"/>
        <v>X</v>
      </c>
      <c r="E113" s="11" t="str">
        <f t="shared" si="5"/>
        <v>54903X</v>
      </c>
      <c r="F113" s="23" t="s">
        <v>7</v>
      </c>
      <c r="G113" s="13" t="s">
        <v>8</v>
      </c>
      <c r="H113" s="14" t="s">
        <v>9</v>
      </c>
      <c r="I113" s="80" t="s">
        <v>258</v>
      </c>
      <c r="J113" s="80" t="s">
        <v>259</v>
      </c>
      <c r="K113" s="64" t="s">
        <v>428</v>
      </c>
      <c r="L113" s="64" t="s">
        <v>428</v>
      </c>
      <c r="M113" s="64" t="s">
        <v>431</v>
      </c>
      <c r="N113" s="64" t="s">
        <v>428</v>
      </c>
      <c r="O113" s="64" t="s">
        <v>428</v>
      </c>
    </row>
    <row r="114" spans="2:15" x14ac:dyDescent="0.3">
      <c r="B114" s="38">
        <v>48569</v>
      </c>
      <c r="C114" s="9">
        <v>35</v>
      </c>
      <c r="D114" s="10" t="str">
        <f t="shared" si="8"/>
        <v>X</v>
      </c>
      <c r="E114" s="11" t="str">
        <f t="shared" si="5"/>
        <v>48569X</v>
      </c>
      <c r="F114" s="23" t="s">
        <v>7</v>
      </c>
      <c r="G114" s="34" t="s">
        <v>8</v>
      </c>
      <c r="H114" s="14" t="s">
        <v>44</v>
      </c>
      <c r="I114" s="80" t="s">
        <v>277</v>
      </c>
      <c r="J114" s="80" t="s">
        <v>278</v>
      </c>
      <c r="K114" s="64" t="s">
        <v>385</v>
      </c>
      <c r="L114" s="64" t="s">
        <v>385</v>
      </c>
      <c r="M114" s="64" t="s">
        <v>431</v>
      </c>
      <c r="N114" s="64" t="s">
        <v>385</v>
      </c>
      <c r="O114" s="64" t="s">
        <v>385</v>
      </c>
    </row>
    <row r="115" spans="2:15" x14ac:dyDescent="0.3">
      <c r="B115" s="8">
        <v>101354</v>
      </c>
      <c r="C115" s="9">
        <v>35</v>
      </c>
      <c r="D115" s="10" t="str">
        <f t="shared" si="8"/>
        <v>X</v>
      </c>
      <c r="E115" s="11" t="str">
        <f t="shared" si="5"/>
        <v>101354X</v>
      </c>
      <c r="F115" s="23" t="s">
        <v>7</v>
      </c>
      <c r="G115" s="13" t="s">
        <v>8</v>
      </c>
      <c r="H115" s="14" t="s">
        <v>47</v>
      </c>
      <c r="I115" s="82" t="s">
        <v>156</v>
      </c>
      <c r="J115" s="82" t="s">
        <v>269</v>
      </c>
      <c r="K115" s="64" t="s">
        <v>410</v>
      </c>
      <c r="L115" s="64" t="s">
        <v>410</v>
      </c>
      <c r="M115" s="64" t="s">
        <v>431</v>
      </c>
      <c r="N115" s="64" t="s">
        <v>410</v>
      </c>
      <c r="O115" s="64" t="s">
        <v>410</v>
      </c>
    </row>
    <row r="116" spans="2:15" x14ac:dyDescent="0.3">
      <c r="B116" s="71">
        <v>107007</v>
      </c>
      <c r="C116" s="9">
        <v>35</v>
      </c>
      <c r="D116" s="46" t="s">
        <v>19</v>
      </c>
      <c r="E116" s="47" t="str">
        <f t="shared" si="5"/>
        <v>107007X</v>
      </c>
      <c r="F116" s="23" t="s">
        <v>7</v>
      </c>
      <c r="G116" s="13" t="s">
        <v>8</v>
      </c>
      <c r="H116" s="14" t="s">
        <v>35</v>
      </c>
      <c r="I116" s="94" t="s">
        <v>305</v>
      </c>
      <c r="J116" s="94" t="s">
        <v>146</v>
      </c>
      <c r="K116" s="64" t="s">
        <v>385</v>
      </c>
      <c r="L116" s="64" t="s">
        <v>385</v>
      </c>
      <c r="M116" s="64" t="s">
        <v>431</v>
      </c>
      <c r="N116" s="64" t="s">
        <v>385</v>
      </c>
      <c r="O116" s="64" t="s">
        <v>385</v>
      </c>
    </row>
    <row r="117" spans="2:15" x14ac:dyDescent="0.3">
      <c r="B117" s="38">
        <v>44176</v>
      </c>
      <c r="C117" s="9">
        <v>35</v>
      </c>
      <c r="D117" s="10" t="str">
        <f>IF(G117="","","X")</f>
        <v>X</v>
      </c>
      <c r="E117" s="11" t="str">
        <f t="shared" si="5"/>
        <v>44176X</v>
      </c>
      <c r="F117" s="23" t="s">
        <v>7</v>
      </c>
      <c r="G117" s="34" t="s">
        <v>8</v>
      </c>
      <c r="H117" s="14" t="s">
        <v>9</v>
      </c>
      <c r="I117" s="80" t="s">
        <v>306</v>
      </c>
      <c r="J117" s="80" t="s">
        <v>232</v>
      </c>
      <c r="K117" s="64" t="s">
        <v>432</v>
      </c>
      <c r="L117" s="64" t="s">
        <v>432</v>
      </c>
      <c r="M117" s="64" t="s">
        <v>431</v>
      </c>
      <c r="N117" s="64" t="s">
        <v>432</v>
      </c>
      <c r="O117" s="64" t="s">
        <v>432</v>
      </c>
    </row>
    <row r="118" spans="2:15" x14ac:dyDescent="0.3">
      <c r="B118" s="49">
        <v>17098</v>
      </c>
      <c r="C118" s="50">
        <v>35</v>
      </c>
      <c r="D118" s="51" t="str">
        <f>IF(G118="","","X")</f>
        <v>X</v>
      </c>
      <c r="E118" s="10" t="str">
        <f t="shared" si="5"/>
        <v>17098X</v>
      </c>
      <c r="F118" s="74" t="s">
        <v>7</v>
      </c>
      <c r="G118" s="52" t="s">
        <v>8</v>
      </c>
      <c r="H118" s="53" t="s">
        <v>44</v>
      </c>
      <c r="I118" s="93" t="s">
        <v>311</v>
      </c>
      <c r="J118" s="93" t="s">
        <v>202</v>
      </c>
      <c r="K118" s="64" t="s">
        <v>410</v>
      </c>
      <c r="L118" s="64" t="s">
        <v>410</v>
      </c>
      <c r="M118" s="64" t="s">
        <v>431</v>
      </c>
      <c r="N118" s="64" t="s">
        <v>410</v>
      </c>
      <c r="O118" s="64" t="s">
        <v>410</v>
      </c>
    </row>
    <row r="119" spans="2:15" x14ac:dyDescent="0.3">
      <c r="B119" s="67">
        <v>105558</v>
      </c>
      <c r="C119" s="9">
        <v>35</v>
      </c>
      <c r="D119" s="41" t="str">
        <f>IF(G119="","","X")</f>
        <v>X</v>
      </c>
      <c r="E119" s="11" t="str">
        <f t="shared" si="5"/>
        <v>105558X</v>
      </c>
      <c r="F119" s="23" t="s">
        <v>7</v>
      </c>
      <c r="G119" s="34" t="s">
        <v>8</v>
      </c>
      <c r="H119" s="9" t="s">
        <v>44</v>
      </c>
      <c r="I119" s="82" t="s">
        <v>321</v>
      </c>
      <c r="J119" s="82" t="s">
        <v>322</v>
      </c>
      <c r="K119" s="64" t="s">
        <v>385</v>
      </c>
      <c r="L119" s="64" t="s">
        <v>385</v>
      </c>
      <c r="M119" s="64" t="s">
        <v>431</v>
      </c>
      <c r="N119" s="64" t="s">
        <v>385</v>
      </c>
      <c r="O119" s="64" t="s">
        <v>385</v>
      </c>
    </row>
    <row r="120" spans="2:15" x14ac:dyDescent="0.3">
      <c r="B120" s="38">
        <v>53018</v>
      </c>
      <c r="C120" s="9">
        <v>35</v>
      </c>
      <c r="D120" s="10" t="str">
        <f>IF(G120="","","X")</f>
        <v>X</v>
      </c>
      <c r="E120" s="11" t="str">
        <f t="shared" si="5"/>
        <v>53018X</v>
      </c>
      <c r="F120" s="74" t="s">
        <v>7</v>
      </c>
      <c r="G120" s="34" t="s">
        <v>8</v>
      </c>
      <c r="H120" s="14" t="s">
        <v>44</v>
      </c>
      <c r="I120" s="80" t="s">
        <v>329</v>
      </c>
      <c r="J120" s="80" t="s">
        <v>330</v>
      </c>
      <c r="K120" s="64" t="s">
        <v>385</v>
      </c>
      <c r="L120" s="64" t="s">
        <v>385</v>
      </c>
      <c r="M120" s="64" t="s">
        <v>431</v>
      </c>
      <c r="N120" s="64" t="s">
        <v>385</v>
      </c>
      <c r="O120" s="64" t="s">
        <v>385</v>
      </c>
    </row>
    <row r="121" spans="2:15" x14ac:dyDescent="0.3">
      <c r="B121" s="54">
        <v>105861</v>
      </c>
      <c r="C121" s="55">
        <v>35</v>
      </c>
      <c r="D121" s="11" t="s">
        <v>19</v>
      </c>
      <c r="E121" s="10" t="str">
        <f t="shared" si="5"/>
        <v>105861X</v>
      </c>
      <c r="F121" s="18" t="s">
        <v>7</v>
      </c>
      <c r="G121" s="34" t="s">
        <v>8</v>
      </c>
      <c r="H121" s="56" t="s">
        <v>44</v>
      </c>
      <c r="I121" s="57" t="s">
        <v>334</v>
      </c>
      <c r="J121" s="58" t="s">
        <v>335</v>
      </c>
      <c r="K121" s="64" t="s">
        <v>385</v>
      </c>
      <c r="L121" s="64" t="s">
        <v>385</v>
      </c>
      <c r="M121" s="64" t="s">
        <v>431</v>
      </c>
      <c r="N121" s="64" t="s">
        <v>385</v>
      </c>
      <c r="O121" s="64" t="s">
        <v>385</v>
      </c>
    </row>
    <row r="122" spans="2:15" x14ac:dyDescent="0.3">
      <c r="B122" s="8">
        <v>103711</v>
      </c>
      <c r="C122" s="9">
        <v>35</v>
      </c>
      <c r="D122" s="10" t="str">
        <f>IF(G122="","","X")</f>
        <v>X</v>
      </c>
      <c r="E122" s="10" t="str">
        <f t="shared" si="5"/>
        <v>103711X</v>
      </c>
      <c r="F122" s="23" t="s">
        <v>7</v>
      </c>
      <c r="G122" s="13" t="s">
        <v>8</v>
      </c>
      <c r="H122" s="14" t="s">
        <v>44</v>
      </c>
      <c r="I122" s="39" t="s">
        <v>376</v>
      </c>
      <c r="J122" s="39" t="s">
        <v>272</v>
      </c>
      <c r="K122" s="64" t="s">
        <v>385</v>
      </c>
      <c r="L122" s="64" t="s">
        <v>385</v>
      </c>
      <c r="M122" s="64" t="s">
        <v>431</v>
      </c>
      <c r="N122" s="64" t="s">
        <v>385</v>
      </c>
      <c r="O122" s="64" t="s">
        <v>385</v>
      </c>
    </row>
    <row r="123" spans="2:15" x14ac:dyDescent="0.3">
      <c r="B123" s="65" t="s">
        <v>18</v>
      </c>
      <c r="C123" s="25">
        <v>35</v>
      </c>
      <c r="D123" s="26" t="s">
        <v>19</v>
      </c>
      <c r="E123" s="26" t="str">
        <f t="shared" si="5"/>
        <v>IX</v>
      </c>
      <c r="F123" s="35" t="s">
        <v>7</v>
      </c>
      <c r="G123" s="75" t="s">
        <v>29</v>
      </c>
      <c r="H123" s="30" t="s">
        <v>35</v>
      </c>
      <c r="I123" s="81" t="s">
        <v>42</v>
      </c>
      <c r="J123" s="81" t="s">
        <v>43</v>
      </c>
      <c r="K123" s="64" t="s">
        <v>410</v>
      </c>
      <c r="L123" s="64" t="s">
        <v>410</v>
      </c>
      <c r="M123" s="64" t="s">
        <v>431</v>
      </c>
      <c r="N123" s="64" t="s">
        <v>410</v>
      </c>
      <c r="O123" s="64" t="s">
        <v>410</v>
      </c>
    </row>
    <row r="124" spans="2:15" x14ac:dyDescent="0.3">
      <c r="B124" s="24" t="s">
        <v>18</v>
      </c>
      <c r="C124" s="25">
        <v>35</v>
      </c>
      <c r="D124" s="26" t="s">
        <v>91</v>
      </c>
      <c r="E124" s="27" t="str">
        <f t="shared" si="5"/>
        <v>Ix</v>
      </c>
      <c r="F124" s="35" t="s">
        <v>7</v>
      </c>
      <c r="G124" s="29" t="s">
        <v>29</v>
      </c>
      <c r="H124" s="30" t="s">
        <v>35</v>
      </c>
      <c r="I124" s="81" t="s">
        <v>92</v>
      </c>
      <c r="J124" s="81" t="s">
        <v>93</v>
      </c>
      <c r="K124" s="64" t="s">
        <v>410</v>
      </c>
      <c r="L124" s="64" t="s">
        <v>410</v>
      </c>
      <c r="M124" s="64" t="s">
        <v>431</v>
      </c>
      <c r="N124" s="64" t="s">
        <v>410</v>
      </c>
      <c r="O124" s="64" t="s">
        <v>410</v>
      </c>
    </row>
    <row r="125" spans="2:15" x14ac:dyDescent="0.3">
      <c r="B125" s="66" t="s">
        <v>18</v>
      </c>
      <c r="C125" s="25">
        <v>35</v>
      </c>
      <c r="D125" s="25" t="s">
        <v>19</v>
      </c>
      <c r="E125" s="26" t="str">
        <f t="shared" si="5"/>
        <v>IX</v>
      </c>
      <c r="F125" s="35" t="s">
        <v>7</v>
      </c>
      <c r="G125" s="29" t="s">
        <v>29</v>
      </c>
      <c r="H125" s="25" t="s">
        <v>9</v>
      </c>
      <c r="I125" s="31" t="s">
        <v>105</v>
      </c>
      <c r="J125" s="31" t="s">
        <v>106</v>
      </c>
      <c r="K125" s="64" t="s">
        <v>410</v>
      </c>
      <c r="L125" s="64" t="s">
        <v>410</v>
      </c>
      <c r="M125" s="64" t="s">
        <v>431</v>
      </c>
      <c r="N125" s="64" t="s">
        <v>410</v>
      </c>
      <c r="O125" s="64" t="s">
        <v>410</v>
      </c>
    </row>
    <row r="126" spans="2:15" x14ac:dyDescent="0.3">
      <c r="B126" s="24" t="s">
        <v>18</v>
      </c>
      <c r="C126" s="25">
        <v>35</v>
      </c>
      <c r="D126" s="26" t="s">
        <v>19</v>
      </c>
      <c r="E126" s="27" t="str">
        <f t="shared" si="5"/>
        <v>IX</v>
      </c>
      <c r="F126" s="35" t="s">
        <v>7</v>
      </c>
      <c r="G126" s="29" t="s">
        <v>29</v>
      </c>
      <c r="H126" s="30" t="s">
        <v>35</v>
      </c>
      <c r="I126" s="81" t="s">
        <v>177</v>
      </c>
      <c r="J126" s="81" t="s">
        <v>178</v>
      </c>
      <c r="K126" s="64" t="s">
        <v>410</v>
      </c>
      <c r="L126" s="64" t="s">
        <v>410</v>
      </c>
      <c r="M126" s="64" t="s">
        <v>431</v>
      </c>
      <c r="N126" s="64" t="s">
        <v>410</v>
      </c>
      <c r="O126" s="64" t="s">
        <v>410</v>
      </c>
    </row>
    <row r="127" spans="2:15" x14ac:dyDescent="0.3">
      <c r="B127" s="24" t="s">
        <v>18</v>
      </c>
      <c r="C127" s="25">
        <v>35</v>
      </c>
      <c r="D127" s="26" t="s">
        <v>19</v>
      </c>
      <c r="E127" s="26" t="str">
        <f t="shared" si="5"/>
        <v>IX</v>
      </c>
      <c r="F127" s="28" t="s">
        <v>7</v>
      </c>
      <c r="G127" s="29" t="s">
        <v>29</v>
      </c>
      <c r="H127" s="30" t="s">
        <v>35</v>
      </c>
      <c r="I127" s="81" t="s">
        <v>214</v>
      </c>
      <c r="J127" s="81" t="s">
        <v>215</v>
      </c>
      <c r="K127" s="64" t="s">
        <v>410</v>
      </c>
      <c r="L127" s="64" t="s">
        <v>410</v>
      </c>
      <c r="M127" s="64" t="s">
        <v>431</v>
      </c>
      <c r="N127" s="64" t="s">
        <v>410</v>
      </c>
      <c r="O127" s="64" t="s">
        <v>410</v>
      </c>
    </row>
    <row r="128" spans="2:15" x14ac:dyDescent="0.3">
      <c r="B128" s="24" t="s">
        <v>18</v>
      </c>
      <c r="C128" s="25">
        <v>35</v>
      </c>
      <c r="D128" s="26" t="s">
        <v>19</v>
      </c>
      <c r="E128" s="27" t="str">
        <f t="shared" si="5"/>
        <v>IX</v>
      </c>
      <c r="F128" s="28" t="s">
        <v>7</v>
      </c>
      <c r="G128" s="29" t="s">
        <v>29</v>
      </c>
      <c r="H128" s="30" t="s">
        <v>9</v>
      </c>
      <c r="I128" s="31" t="s">
        <v>235</v>
      </c>
      <c r="J128" s="31" t="s">
        <v>236</v>
      </c>
      <c r="K128" s="64" t="s">
        <v>385</v>
      </c>
      <c r="L128" s="64" t="s">
        <v>385</v>
      </c>
      <c r="M128" s="64" t="s">
        <v>431</v>
      </c>
      <c r="N128" s="64" t="s">
        <v>385</v>
      </c>
      <c r="O128" s="64" t="s">
        <v>385</v>
      </c>
    </row>
    <row r="129" spans="2:15" x14ac:dyDescent="0.3">
      <c r="B129" s="65" t="s">
        <v>18</v>
      </c>
      <c r="C129" s="25">
        <v>35</v>
      </c>
      <c r="D129" s="26" t="s">
        <v>19</v>
      </c>
      <c r="E129" s="27" t="str">
        <f t="shared" si="5"/>
        <v>IX</v>
      </c>
      <c r="F129" s="28" t="s">
        <v>7</v>
      </c>
      <c r="G129" s="75" t="s">
        <v>29</v>
      </c>
      <c r="H129" s="30" t="s">
        <v>35</v>
      </c>
      <c r="I129" s="81" t="s">
        <v>348</v>
      </c>
      <c r="J129" s="81" t="s">
        <v>349</v>
      </c>
      <c r="K129" s="64" t="s">
        <v>410</v>
      </c>
      <c r="L129" s="64" t="s">
        <v>410</v>
      </c>
      <c r="M129" s="64" t="s">
        <v>431</v>
      </c>
      <c r="N129" s="64" t="s">
        <v>410</v>
      </c>
      <c r="O129" s="64" t="s">
        <v>410</v>
      </c>
    </row>
    <row r="130" spans="2:15" x14ac:dyDescent="0.3">
      <c r="B130" s="24" t="s">
        <v>18</v>
      </c>
      <c r="C130" s="25">
        <v>35</v>
      </c>
      <c r="D130" s="26" t="s">
        <v>19</v>
      </c>
      <c r="E130" s="27" t="str">
        <f t="shared" si="5"/>
        <v>IX</v>
      </c>
      <c r="F130" s="28" t="s">
        <v>7</v>
      </c>
      <c r="G130" s="29" t="s">
        <v>217</v>
      </c>
      <c r="H130" s="30" t="s">
        <v>35</v>
      </c>
      <c r="I130" s="31" t="s">
        <v>218</v>
      </c>
      <c r="J130" s="31" t="s">
        <v>219</v>
      </c>
      <c r="K130" s="64" t="s">
        <v>410</v>
      </c>
      <c r="L130" s="64" t="s">
        <v>410</v>
      </c>
      <c r="M130" s="64" t="s">
        <v>431</v>
      </c>
      <c r="N130" s="64" t="s">
        <v>410</v>
      </c>
      <c r="O130" s="64" t="s">
        <v>410</v>
      </c>
    </row>
    <row r="131" spans="2:15" x14ac:dyDescent="0.3">
      <c r="B131" s="8">
        <v>69492</v>
      </c>
      <c r="C131" s="9">
        <v>35</v>
      </c>
      <c r="D131" s="10"/>
      <c r="E131" s="11" t="str">
        <f t="shared" si="5"/>
        <v>69492</v>
      </c>
      <c r="F131" s="23"/>
      <c r="G131" s="13" t="s">
        <v>26</v>
      </c>
      <c r="H131" s="14" t="s">
        <v>44</v>
      </c>
      <c r="I131" s="83" t="s">
        <v>241</v>
      </c>
      <c r="J131" s="83" t="s">
        <v>242</v>
      </c>
      <c r="K131" s="64" t="s">
        <v>410</v>
      </c>
      <c r="L131" s="64" t="s">
        <v>410</v>
      </c>
      <c r="M131" s="64" t="s">
        <v>431</v>
      </c>
      <c r="N131" s="64" t="s">
        <v>410</v>
      </c>
      <c r="O131" s="64" t="s">
        <v>410</v>
      </c>
    </row>
    <row r="132" spans="2:15" x14ac:dyDescent="0.3">
      <c r="B132" s="8">
        <v>107805</v>
      </c>
      <c r="C132" s="9">
        <v>35</v>
      </c>
      <c r="D132" s="10"/>
      <c r="E132" s="10" t="str">
        <f t="shared" ref="E132:E195" si="9">B132&amp;""&amp;D132</f>
        <v>107805</v>
      </c>
      <c r="F132" s="36"/>
      <c r="G132" s="13" t="s">
        <v>26</v>
      </c>
      <c r="H132" s="14" t="s">
        <v>9</v>
      </c>
      <c r="I132" s="83" t="s">
        <v>274</v>
      </c>
      <c r="J132" s="83" t="s">
        <v>275</v>
      </c>
      <c r="K132" s="64" t="s">
        <v>410</v>
      </c>
      <c r="L132" s="64" t="s">
        <v>410</v>
      </c>
      <c r="M132" s="64" t="s">
        <v>431</v>
      </c>
      <c r="N132" s="64" t="s">
        <v>410</v>
      </c>
      <c r="O132" s="64" t="s">
        <v>410</v>
      </c>
    </row>
    <row r="133" spans="2:15" x14ac:dyDescent="0.3">
      <c r="B133" s="68">
        <v>106382</v>
      </c>
      <c r="C133" s="41">
        <v>35</v>
      </c>
      <c r="D133" s="10"/>
      <c r="E133" s="11" t="str">
        <f t="shared" si="9"/>
        <v>106382</v>
      </c>
      <c r="F133" s="23"/>
      <c r="G133" s="13" t="s">
        <v>26</v>
      </c>
      <c r="H133" s="79" t="s">
        <v>9</v>
      </c>
      <c r="I133" s="15" t="s">
        <v>283</v>
      </c>
      <c r="J133" s="15" t="s">
        <v>284</v>
      </c>
      <c r="K133" s="64" t="s">
        <v>410</v>
      </c>
      <c r="L133" s="64" t="s">
        <v>410</v>
      </c>
      <c r="M133" s="64" t="s">
        <v>431</v>
      </c>
      <c r="N133" s="64" t="s">
        <v>410</v>
      </c>
      <c r="O133" s="64" t="s">
        <v>410</v>
      </c>
    </row>
    <row r="134" spans="2:15" x14ac:dyDescent="0.3">
      <c r="B134" s="8">
        <v>107864</v>
      </c>
      <c r="C134" s="9">
        <v>35</v>
      </c>
      <c r="D134" s="10"/>
      <c r="E134" s="11" t="str">
        <f t="shared" si="9"/>
        <v>107864</v>
      </c>
      <c r="F134" s="36"/>
      <c r="G134" s="13" t="s">
        <v>26</v>
      </c>
      <c r="H134" s="14" t="s">
        <v>9</v>
      </c>
      <c r="I134" s="83" t="s">
        <v>285</v>
      </c>
      <c r="J134" s="83" t="s">
        <v>50</v>
      </c>
      <c r="K134" s="64" t="s">
        <v>410</v>
      </c>
      <c r="L134" s="64" t="s">
        <v>410</v>
      </c>
      <c r="M134" s="64" t="s">
        <v>431</v>
      </c>
      <c r="N134" s="64" t="s">
        <v>410</v>
      </c>
      <c r="O134" s="64" t="s">
        <v>410</v>
      </c>
    </row>
    <row r="135" spans="2:15" x14ac:dyDescent="0.3">
      <c r="B135" s="24" t="s">
        <v>18</v>
      </c>
      <c r="C135" s="25">
        <v>35</v>
      </c>
      <c r="D135" s="26"/>
      <c r="E135" s="27" t="str">
        <f t="shared" si="9"/>
        <v>I</v>
      </c>
      <c r="F135" s="28"/>
      <c r="G135" s="29" t="s">
        <v>21</v>
      </c>
      <c r="H135" s="30" t="s">
        <v>9</v>
      </c>
      <c r="I135" s="31" t="s">
        <v>68</v>
      </c>
      <c r="J135" s="31" t="s">
        <v>69</v>
      </c>
      <c r="K135" s="64" t="s">
        <v>410</v>
      </c>
      <c r="L135" s="64" t="s">
        <v>410</v>
      </c>
      <c r="M135" s="64" t="s">
        <v>431</v>
      </c>
      <c r="N135" s="64" t="s">
        <v>410</v>
      </c>
      <c r="O135" s="64" t="s">
        <v>410</v>
      </c>
    </row>
    <row r="136" spans="2:15" x14ac:dyDescent="0.3">
      <c r="B136" s="24" t="s">
        <v>18</v>
      </c>
      <c r="C136" s="25">
        <v>35</v>
      </c>
      <c r="D136" s="26"/>
      <c r="E136" s="27" t="str">
        <f t="shared" si="9"/>
        <v>I</v>
      </c>
      <c r="F136" s="28"/>
      <c r="G136" s="29" t="s">
        <v>21</v>
      </c>
      <c r="H136" s="30" t="s">
        <v>35</v>
      </c>
      <c r="I136" s="31" t="s">
        <v>82</v>
      </c>
      <c r="J136" s="31" t="s">
        <v>83</v>
      </c>
      <c r="K136" s="64" t="s">
        <v>410</v>
      </c>
      <c r="L136" s="64" t="s">
        <v>410</v>
      </c>
      <c r="M136" s="64" t="s">
        <v>431</v>
      </c>
      <c r="N136" s="64" t="s">
        <v>410</v>
      </c>
      <c r="O136" s="64" t="s">
        <v>410</v>
      </c>
    </row>
    <row r="137" spans="2:15" x14ac:dyDescent="0.3">
      <c r="B137" s="24" t="s">
        <v>18</v>
      </c>
      <c r="C137" s="25">
        <v>35</v>
      </c>
      <c r="D137" s="26"/>
      <c r="E137" s="27" t="str">
        <f t="shared" si="9"/>
        <v>I</v>
      </c>
      <c r="F137" s="28"/>
      <c r="G137" s="29" t="s">
        <v>21</v>
      </c>
      <c r="H137" s="30" t="s">
        <v>35</v>
      </c>
      <c r="I137" s="31" t="s">
        <v>103</v>
      </c>
      <c r="J137" s="31" t="s">
        <v>104</v>
      </c>
      <c r="K137" s="64" t="s">
        <v>410</v>
      </c>
      <c r="L137" s="64" t="s">
        <v>410</v>
      </c>
      <c r="M137" s="64" t="s">
        <v>431</v>
      </c>
      <c r="N137" s="64" t="s">
        <v>410</v>
      </c>
      <c r="O137" s="64" t="s">
        <v>410</v>
      </c>
    </row>
    <row r="138" spans="2:15" x14ac:dyDescent="0.3">
      <c r="B138" s="24" t="s">
        <v>18</v>
      </c>
      <c r="C138" s="25">
        <v>35</v>
      </c>
      <c r="D138" s="26"/>
      <c r="E138" s="27" t="str">
        <f t="shared" si="9"/>
        <v>I</v>
      </c>
      <c r="F138" s="28"/>
      <c r="G138" s="29" t="s">
        <v>21</v>
      </c>
      <c r="H138" s="30" t="s">
        <v>9</v>
      </c>
      <c r="I138" s="31" t="s">
        <v>167</v>
      </c>
      <c r="J138" s="31" t="s">
        <v>168</v>
      </c>
      <c r="K138" s="64" t="s">
        <v>410</v>
      </c>
      <c r="L138" s="64" t="s">
        <v>410</v>
      </c>
      <c r="M138" s="64" t="s">
        <v>431</v>
      </c>
      <c r="N138" s="64" t="s">
        <v>410</v>
      </c>
      <c r="O138" s="64" t="s">
        <v>410</v>
      </c>
    </row>
    <row r="139" spans="2:15" x14ac:dyDescent="0.3">
      <c r="B139" s="24" t="s">
        <v>18</v>
      </c>
      <c r="C139" s="25">
        <v>35</v>
      </c>
      <c r="D139" s="26"/>
      <c r="E139" s="27" t="str">
        <f t="shared" si="9"/>
        <v>I</v>
      </c>
      <c r="F139" s="28"/>
      <c r="G139" s="29" t="s">
        <v>21</v>
      </c>
      <c r="H139" s="30" t="s">
        <v>9</v>
      </c>
      <c r="I139" s="31" t="s">
        <v>343</v>
      </c>
      <c r="J139" s="31" t="s">
        <v>344</v>
      </c>
      <c r="K139" s="64" t="s">
        <v>410</v>
      </c>
      <c r="L139" s="64" t="s">
        <v>410</v>
      </c>
      <c r="M139" s="64" t="s">
        <v>431</v>
      </c>
      <c r="N139" s="64" t="s">
        <v>410</v>
      </c>
      <c r="O139" s="64" t="s">
        <v>410</v>
      </c>
    </row>
    <row r="140" spans="2:15" x14ac:dyDescent="0.3">
      <c r="B140" s="24" t="s">
        <v>18</v>
      </c>
      <c r="C140" s="25">
        <v>35</v>
      </c>
      <c r="D140" s="26"/>
      <c r="E140" s="27" t="str">
        <f t="shared" si="9"/>
        <v>I</v>
      </c>
      <c r="F140" s="35"/>
      <c r="G140" s="29" t="s">
        <v>29</v>
      </c>
      <c r="H140" s="30" t="s">
        <v>9</v>
      </c>
      <c r="I140" s="31" t="s">
        <v>30</v>
      </c>
      <c r="J140" s="31" t="s">
        <v>31</v>
      </c>
      <c r="K140" s="64" t="s">
        <v>410</v>
      </c>
      <c r="L140" s="64" t="s">
        <v>410</v>
      </c>
      <c r="M140" s="64" t="s">
        <v>431</v>
      </c>
      <c r="N140" s="64" t="s">
        <v>410</v>
      </c>
      <c r="O140" s="64" t="s">
        <v>410</v>
      </c>
    </row>
    <row r="141" spans="2:15" x14ac:dyDescent="0.3">
      <c r="B141" s="24" t="s">
        <v>18</v>
      </c>
      <c r="C141" s="25">
        <v>35</v>
      </c>
      <c r="D141" s="26"/>
      <c r="E141" s="27" t="str">
        <f t="shared" si="9"/>
        <v>I</v>
      </c>
      <c r="F141" s="35"/>
      <c r="G141" s="29" t="s">
        <v>29</v>
      </c>
      <c r="H141" s="30" t="s">
        <v>35</v>
      </c>
      <c r="I141" s="31" t="s">
        <v>36</v>
      </c>
      <c r="J141" s="31" t="s">
        <v>37</v>
      </c>
      <c r="K141" s="64" t="s">
        <v>410</v>
      </c>
      <c r="L141" s="64" t="s">
        <v>410</v>
      </c>
      <c r="M141" s="64" t="s">
        <v>431</v>
      </c>
      <c r="N141" s="64" t="s">
        <v>410</v>
      </c>
      <c r="O141" s="64" t="s">
        <v>410</v>
      </c>
    </row>
    <row r="142" spans="2:15" x14ac:dyDescent="0.3">
      <c r="B142" s="24" t="s">
        <v>18</v>
      </c>
      <c r="C142" s="25">
        <v>35</v>
      </c>
      <c r="D142" s="26"/>
      <c r="E142" s="27" t="str">
        <f t="shared" si="9"/>
        <v>I</v>
      </c>
      <c r="F142" s="35"/>
      <c r="G142" s="29" t="s">
        <v>29</v>
      </c>
      <c r="H142" s="30" t="s">
        <v>9</v>
      </c>
      <c r="I142" s="31" t="s">
        <v>38</v>
      </c>
      <c r="J142" s="31" t="s">
        <v>39</v>
      </c>
      <c r="K142" s="64" t="s">
        <v>410</v>
      </c>
      <c r="L142" s="64" t="s">
        <v>410</v>
      </c>
      <c r="M142" s="64" t="s">
        <v>431</v>
      </c>
      <c r="N142" s="64" t="s">
        <v>410</v>
      </c>
      <c r="O142" s="64" t="s">
        <v>410</v>
      </c>
    </row>
    <row r="143" spans="2:15" x14ac:dyDescent="0.3">
      <c r="B143" s="24" t="s">
        <v>18</v>
      </c>
      <c r="C143" s="25">
        <v>35</v>
      </c>
      <c r="D143" s="26"/>
      <c r="E143" s="26" t="str">
        <f t="shared" si="9"/>
        <v>I</v>
      </c>
      <c r="F143" s="35"/>
      <c r="G143" s="29" t="s">
        <v>29</v>
      </c>
      <c r="H143" s="30" t="s">
        <v>35</v>
      </c>
      <c r="I143" s="81" t="s">
        <v>64</v>
      </c>
      <c r="J143" s="81" t="s">
        <v>65</v>
      </c>
      <c r="K143" s="64" t="s">
        <v>410</v>
      </c>
      <c r="L143" s="64" t="s">
        <v>410</v>
      </c>
      <c r="M143" s="64" t="s">
        <v>431</v>
      </c>
      <c r="N143" s="64" t="s">
        <v>410</v>
      </c>
      <c r="O143" s="64" t="s">
        <v>410</v>
      </c>
    </row>
    <row r="144" spans="2:15" x14ac:dyDescent="0.3">
      <c r="B144" s="24" t="s">
        <v>18</v>
      </c>
      <c r="C144" s="25">
        <v>35</v>
      </c>
      <c r="D144" s="26"/>
      <c r="E144" s="27" t="str">
        <f t="shared" si="9"/>
        <v>I</v>
      </c>
      <c r="F144" s="35"/>
      <c r="G144" s="29" t="s">
        <v>29</v>
      </c>
      <c r="H144" s="30" t="s">
        <v>9</v>
      </c>
      <c r="I144" s="31" t="s">
        <v>72</v>
      </c>
      <c r="J144" s="31" t="s">
        <v>73</v>
      </c>
      <c r="K144" s="64" t="s">
        <v>410</v>
      </c>
      <c r="L144" s="64" t="s">
        <v>410</v>
      </c>
      <c r="M144" s="64" t="s">
        <v>431</v>
      </c>
      <c r="N144" s="64" t="s">
        <v>410</v>
      </c>
      <c r="O144" s="64" t="s">
        <v>410</v>
      </c>
    </row>
    <row r="145" spans="2:15" x14ac:dyDescent="0.3">
      <c r="B145" s="24" t="s">
        <v>18</v>
      </c>
      <c r="C145" s="25">
        <v>35</v>
      </c>
      <c r="D145" s="26"/>
      <c r="E145" s="27" t="str">
        <f t="shared" si="9"/>
        <v>I</v>
      </c>
      <c r="F145" s="28"/>
      <c r="G145" s="29" t="s">
        <v>29</v>
      </c>
      <c r="H145" s="30" t="s">
        <v>9</v>
      </c>
      <c r="I145" s="31" t="s">
        <v>74</v>
      </c>
      <c r="J145" s="31" t="s">
        <v>75</v>
      </c>
      <c r="K145" s="64" t="s">
        <v>410</v>
      </c>
      <c r="L145" s="64" t="s">
        <v>410</v>
      </c>
      <c r="M145" s="64" t="s">
        <v>431</v>
      </c>
      <c r="N145" s="64" t="s">
        <v>410</v>
      </c>
      <c r="O145" s="64" t="s">
        <v>410</v>
      </c>
    </row>
    <row r="146" spans="2:15" x14ac:dyDescent="0.3">
      <c r="B146" s="24" t="s">
        <v>18</v>
      </c>
      <c r="C146" s="25">
        <v>35</v>
      </c>
      <c r="D146" s="26"/>
      <c r="E146" s="27" t="str">
        <f t="shared" si="9"/>
        <v>I</v>
      </c>
      <c r="F146" s="28"/>
      <c r="G146" s="29" t="s">
        <v>29</v>
      </c>
      <c r="H146" s="30" t="s">
        <v>9</v>
      </c>
      <c r="I146" s="81" t="s">
        <v>94</v>
      </c>
      <c r="J146" s="81" t="s">
        <v>95</v>
      </c>
      <c r="K146" s="64" t="s">
        <v>410</v>
      </c>
      <c r="L146" s="64" t="s">
        <v>410</v>
      </c>
      <c r="M146" s="64" t="s">
        <v>431</v>
      </c>
      <c r="N146" s="64" t="s">
        <v>410</v>
      </c>
      <c r="O146" s="64" t="s">
        <v>410</v>
      </c>
    </row>
    <row r="147" spans="2:15" x14ac:dyDescent="0.3">
      <c r="B147" s="66" t="s">
        <v>18</v>
      </c>
      <c r="C147" s="25">
        <v>35</v>
      </c>
      <c r="D147" s="25"/>
      <c r="E147" s="26" t="str">
        <f t="shared" si="9"/>
        <v>I</v>
      </c>
      <c r="F147" s="35"/>
      <c r="G147" s="29" t="s">
        <v>29</v>
      </c>
      <c r="H147" s="25" t="s">
        <v>9</v>
      </c>
      <c r="I147" s="31" t="s">
        <v>101</v>
      </c>
      <c r="J147" s="31" t="s">
        <v>102</v>
      </c>
      <c r="K147" s="64" t="s">
        <v>410</v>
      </c>
      <c r="L147" s="64" t="s">
        <v>410</v>
      </c>
      <c r="M147" s="64" t="s">
        <v>431</v>
      </c>
      <c r="N147" s="64" t="s">
        <v>410</v>
      </c>
      <c r="O147" s="64" t="s">
        <v>410</v>
      </c>
    </row>
    <row r="148" spans="2:15" x14ac:dyDescent="0.3">
      <c r="B148" s="24" t="s">
        <v>18</v>
      </c>
      <c r="C148" s="25">
        <v>35</v>
      </c>
      <c r="D148" s="26"/>
      <c r="E148" s="27" t="str">
        <f t="shared" si="9"/>
        <v>I</v>
      </c>
      <c r="F148" s="35"/>
      <c r="G148" s="29" t="s">
        <v>29</v>
      </c>
      <c r="H148" s="30" t="s">
        <v>9</v>
      </c>
      <c r="I148" s="31" t="s">
        <v>109</v>
      </c>
      <c r="J148" s="31" t="s">
        <v>110</v>
      </c>
      <c r="K148" s="64" t="s">
        <v>410</v>
      </c>
      <c r="L148" s="64" t="s">
        <v>410</v>
      </c>
      <c r="M148" s="64" t="s">
        <v>431</v>
      </c>
      <c r="N148" s="64" t="s">
        <v>410</v>
      </c>
      <c r="O148" s="64" t="s">
        <v>410</v>
      </c>
    </row>
    <row r="149" spans="2:15" x14ac:dyDescent="0.3">
      <c r="B149" s="24" t="s">
        <v>18</v>
      </c>
      <c r="C149" s="25">
        <v>35</v>
      </c>
      <c r="D149" s="26"/>
      <c r="E149" s="26" t="str">
        <f t="shared" si="9"/>
        <v>I</v>
      </c>
      <c r="F149" s="44"/>
      <c r="G149" s="29" t="s">
        <v>29</v>
      </c>
      <c r="H149" s="30" t="s">
        <v>9</v>
      </c>
      <c r="I149" s="81" t="s">
        <v>121</v>
      </c>
      <c r="J149" s="81" t="s">
        <v>122</v>
      </c>
      <c r="K149" s="64" t="s">
        <v>410</v>
      </c>
      <c r="L149" s="64" t="s">
        <v>410</v>
      </c>
      <c r="M149" s="64" t="s">
        <v>431</v>
      </c>
      <c r="N149" s="64" t="s">
        <v>410</v>
      </c>
      <c r="O149" s="64" t="s">
        <v>410</v>
      </c>
    </row>
    <row r="150" spans="2:15" x14ac:dyDescent="0.3">
      <c r="B150" s="24" t="s">
        <v>18</v>
      </c>
      <c r="C150" s="25">
        <v>35</v>
      </c>
      <c r="D150" s="26"/>
      <c r="E150" s="26" t="str">
        <f t="shared" si="9"/>
        <v>I</v>
      </c>
      <c r="F150" s="35"/>
      <c r="G150" s="29" t="s">
        <v>29</v>
      </c>
      <c r="H150" s="30" t="s">
        <v>44</v>
      </c>
      <c r="I150" s="81" t="s">
        <v>123</v>
      </c>
      <c r="J150" s="81" t="s">
        <v>124</v>
      </c>
      <c r="K150" s="64" t="s">
        <v>410</v>
      </c>
      <c r="L150" s="64" t="s">
        <v>410</v>
      </c>
      <c r="M150" s="64" t="s">
        <v>431</v>
      </c>
      <c r="N150" s="64" t="s">
        <v>410</v>
      </c>
      <c r="O150" s="64" t="s">
        <v>410</v>
      </c>
    </row>
    <row r="151" spans="2:15" x14ac:dyDescent="0.3">
      <c r="B151" s="24" t="s">
        <v>18</v>
      </c>
      <c r="C151" s="25">
        <v>35</v>
      </c>
      <c r="D151" s="26"/>
      <c r="E151" s="27" t="str">
        <f t="shared" si="9"/>
        <v>I</v>
      </c>
      <c r="F151" s="28"/>
      <c r="G151" s="29" t="s">
        <v>29</v>
      </c>
      <c r="H151" s="30" t="s">
        <v>9</v>
      </c>
      <c r="I151" s="81" t="s">
        <v>136</v>
      </c>
      <c r="J151" s="81" t="s">
        <v>67</v>
      </c>
      <c r="K151" s="64" t="s">
        <v>410</v>
      </c>
      <c r="L151" s="64" t="s">
        <v>410</v>
      </c>
      <c r="M151" s="64" t="s">
        <v>431</v>
      </c>
      <c r="N151" s="64" t="s">
        <v>410</v>
      </c>
      <c r="O151" s="64" t="s">
        <v>410</v>
      </c>
    </row>
    <row r="152" spans="2:15" x14ac:dyDescent="0.3">
      <c r="B152" s="24" t="s">
        <v>18</v>
      </c>
      <c r="C152" s="25">
        <v>35</v>
      </c>
      <c r="D152" s="26"/>
      <c r="E152" s="26" t="str">
        <f t="shared" si="9"/>
        <v>I</v>
      </c>
      <c r="F152" s="35"/>
      <c r="G152" s="29" t="s">
        <v>29</v>
      </c>
      <c r="H152" s="30" t="s">
        <v>9</v>
      </c>
      <c r="I152" s="81" t="s">
        <v>139</v>
      </c>
      <c r="J152" s="81" t="s">
        <v>140</v>
      </c>
      <c r="K152" s="64" t="s">
        <v>410</v>
      </c>
      <c r="L152" s="64" t="s">
        <v>410</v>
      </c>
      <c r="M152" s="64" t="s">
        <v>431</v>
      </c>
      <c r="N152" s="64" t="s">
        <v>410</v>
      </c>
      <c r="O152" s="64" t="s">
        <v>410</v>
      </c>
    </row>
    <row r="153" spans="2:15" x14ac:dyDescent="0.3">
      <c r="B153" s="24" t="s">
        <v>18</v>
      </c>
      <c r="C153" s="25">
        <v>35</v>
      </c>
      <c r="D153" s="26"/>
      <c r="E153" s="27" t="str">
        <f t="shared" si="9"/>
        <v>I</v>
      </c>
      <c r="F153" s="35"/>
      <c r="G153" s="29" t="s">
        <v>29</v>
      </c>
      <c r="H153" s="30" t="s">
        <v>9</v>
      </c>
      <c r="I153" s="31" t="s">
        <v>165</v>
      </c>
      <c r="J153" s="31" t="s">
        <v>166</v>
      </c>
      <c r="K153" s="64" t="s">
        <v>410</v>
      </c>
      <c r="L153" s="64" t="s">
        <v>410</v>
      </c>
      <c r="M153" s="64" t="s">
        <v>431</v>
      </c>
      <c r="N153" s="64" t="s">
        <v>410</v>
      </c>
      <c r="O153" s="64" t="s">
        <v>410</v>
      </c>
    </row>
    <row r="154" spans="2:15" x14ac:dyDescent="0.3">
      <c r="B154" s="66" t="s">
        <v>18</v>
      </c>
      <c r="C154" s="25">
        <v>35</v>
      </c>
      <c r="D154" s="25"/>
      <c r="E154" s="26" t="str">
        <f t="shared" si="9"/>
        <v>I</v>
      </c>
      <c r="F154" s="44"/>
      <c r="G154" s="76" t="s">
        <v>29</v>
      </c>
      <c r="H154" s="25" t="s">
        <v>9</v>
      </c>
      <c r="I154" s="31" t="s">
        <v>181</v>
      </c>
      <c r="J154" s="31" t="s">
        <v>160</v>
      </c>
      <c r="K154" s="64" t="s">
        <v>410</v>
      </c>
      <c r="L154" s="64" t="s">
        <v>410</v>
      </c>
      <c r="M154" s="64" t="s">
        <v>431</v>
      </c>
      <c r="N154" s="64" t="s">
        <v>410</v>
      </c>
      <c r="O154" s="64" t="s">
        <v>410</v>
      </c>
    </row>
    <row r="155" spans="2:15" x14ac:dyDescent="0.3">
      <c r="B155" s="37" t="s">
        <v>18</v>
      </c>
      <c r="C155" s="25">
        <v>35</v>
      </c>
      <c r="D155" s="25"/>
      <c r="E155" s="26" t="str">
        <f t="shared" si="9"/>
        <v>I</v>
      </c>
      <c r="F155" s="28"/>
      <c r="G155" s="25" t="s">
        <v>29</v>
      </c>
      <c r="H155" s="25" t="s">
        <v>9</v>
      </c>
      <c r="I155" s="31" t="s">
        <v>186</v>
      </c>
      <c r="J155" s="31" t="s">
        <v>166</v>
      </c>
      <c r="K155" s="64" t="s">
        <v>410</v>
      </c>
      <c r="L155" s="64" t="s">
        <v>410</v>
      </c>
      <c r="M155" s="64" t="s">
        <v>431</v>
      </c>
      <c r="N155" s="64" t="s">
        <v>410</v>
      </c>
      <c r="O155" s="64" t="s">
        <v>410</v>
      </c>
    </row>
    <row r="156" spans="2:15" x14ac:dyDescent="0.3">
      <c r="B156" s="24" t="s">
        <v>18</v>
      </c>
      <c r="C156" s="25">
        <v>35</v>
      </c>
      <c r="D156" s="26"/>
      <c r="E156" s="27" t="str">
        <f t="shared" si="9"/>
        <v>I</v>
      </c>
      <c r="F156" s="44"/>
      <c r="G156" s="29" t="s">
        <v>29</v>
      </c>
      <c r="H156" s="30" t="s">
        <v>187</v>
      </c>
      <c r="I156" s="31" t="s">
        <v>188</v>
      </c>
      <c r="J156" s="31" t="s">
        <v>189</v>
      </c>
      <c r="K156" s="64" t="s">
        <v>410</v>
      </c>
      <c r="L156" s="64" t="s">
        <v>410</v>
      </c>
      <c r="M156" s="64" t="s">
        <v>431</v>
      </c>
      <c r="N156" s="64" t="s">
        <v>410</v>
      </c>
      <c r="O156" s="64" t="s">
        <v>410</v>
      </c>
    </row>
    <row r="157" spans="2:15" x14ac:dyDescent="0.3">
      <c r="B157" s="24" t="s">
        <v>18</v>
      </c>
      <c r="C157" s="25">
        <v>35</v>
      </c>
      <c r="D157" s="26"/>
      <c r="E157" s="27" t="str">
        <f t="shared" si="9"/>
        <v>I</v>
      </c>
      <c r="F157" s="28"/>
      <c r="G157" s="29" t="s">
        <v>29</v>
      </c>
      <c r="H157" s="30" t="s">
        <v>35</v>
      </c>
      <c r="I157" s="81" t="s">
        <v>205</v>
      </c>
      <c r="J157" s="81" t="s">
        <v>206</v>
      </c>
      <c r="K157" s="64" t="s">
        <v>410</v>
      </c>
      <c r="L157" s="64" t="s">
        <v>410</v>
      </c>
      <c r="M157" s="64" t="s">
        <v>431</v>
      </c>
      <c r="N157" s="64" t="s">
        <v>410</v>
      </c>
      <c r="O157" s="64" t="s">
        <v>410</v>
      </c>
    </row>
    <row r="158" spans="2:15" x14ac:dyDescent="0.3">
      <c r="B158" s="24" t="s">
        <v>18</v>
      </c>
      <c r="C158" s="25">
        <v>35</v>
      </c>
      <c r="D158" s="26"/>
      <c r="E158" s="27" t="str">
        <f t="shared" si="9"/>
        <v>I</v>
      </c>
      <c r="F158" s="35"/>
      <c r="G158" s="29" t="s">
        <v>29</v>
      </c>
      <c r="H158" s="30" t="s">
        <v>9</v>
      </c>
      <c r="I158" s="31" t="s">
        <v>211</v>
      </c>
      <c r="J158" s="31" t="s">
        <v>212</v>
      </c>
      <c r="K158" s="64" t="s">
        <v>410</v>
      </c>
      <c r="L158" s="64" t="s">
        <v>410</v>
      </c>
      <c r="M158" s="64" t="s">
        <v>431</v>
      </c>
      <c r="N158" s="64" t="s">
        <v>410</v>
      </c>
      <c r="O158" s="64" t="s">
        <v>410</v>
      </c>
    </row>
    <row r="159" spans="2:15" x14ac:dyDescent="0.3">
      <c r="B159" s="24" t="s">
        <v>18</v>
      </c>
      <c r="C159" s="25">
        <v>35</v>
      </c>
      <c r="D159" s="26"/>
      <c r="E159" s="27" t="str">
        <f t="shared" si="9"/>
        <v>I</v>
      </c>
      <c r="F159" s="35"/>
      <c r="G159" s="29" t="s">
        <v>29</v>
      </c>
      <c r="H159" s="30" t="s">
        <v>35</v>
      </c>
      <c r="I159" s="31" t="s">
        <v>216</v>
      </c>
      <c r="J159" s="31" t="s">
        <v>112</v>
      </c>
      <c r="K159" s="64" t="s">
        <v>410</v>
      </c>
      <c r="L159" s="64" t="s">
        <v>410</v>
      </c>
      <c r="M159" s="64" t="s">
        <v>431</v>
      </c>
      <c r="N159" s="64" t="s">
        <v>410</v>
      </c>
      <c r="O159" s="64" t="s">
        <v>410</v>
      </c>
    </row>
    <row r="160" spans="2:15" x14ac:dyDescent="0.3">
      <c r="B160" s="24" t="s">
        <v>18</v>
      </c>
      <c r="C160" s="25">
        <v>35</v>
      </c>
      <c r="D160" s="26"/>
      <c r="E160" s="26" t="str">
        <f t="shared" si="9"/>
        <v>I</v>
      </c>
      <c r="F160" s="35"/>
      <c r="G160" s="29" t="s">
        <v>29</v>
      </c>
      <c r="H160" s="30" t="s">
        <v>9</v>
      </c>
      <c r="I160" s="81" t="s">
        <v>220</v>
      </c>
      <c r="J160" s="81" t="s">
        <v>221</v>
      </c>
      <c r="K160" s="64" t="s">
        <v>410</v>
      </c>
      <c r="L160" s="64" t="s">
        <v>410</v>
      </c>
      <c r="M160" s="64" t="s">
        <v>431</v>
      </c>
      <c r="N160" s="64" t="s">
        <v>410</v>
      </c>
      <c r="O160" s="64" t="s">
        <v>410</v>
      </c>
    </row>
    <row r="161" spans="2:15" x14ac:dyDescent="0.3">
      <c r="B161" s="66" t="s">
        <v>18</v>
      </c>
      <c r="C161" s="25">
        <v>35</v>
      </c>
      <c r="D161" s="25"/>
      <c r="E161" s="26" t="str">
        <f t="shared" si="9"/>
        <v>I</v>
      </c>
      <c r="F161" s="28"/>
      <c r="G161" s="76" t="s">
        <v>29</v>
      </c>
      <c r="H161" s="25" t="s">
        <v>35</v>
      </c>
      <c r="I161" s="31" t="s">
        <v>222</v>
      </c>
      <c r="J161" s="31" t="s">
        <v>223</v>
      </c>
      <c r="K161" s="64" t="s">
        <v>410</v>
      </c>
      <c r="L161" s="64" t="s">
        <v>410</v>
      </c>
      <c r="M161" s="64" t="s">
        <v>431</v>
      </c>
      <c r="N161" s="64" t="s">
        <v>410</v>
      </c>
      <c r="O161" s="64" t="s">
        <v>410</v>
      </c>
    </row>
    <row r="162" spans="2:15" x14ac:dyDescent="0.3">
      <c r="B162" s="66" t="s">
        <v>18</v>
      </c>
      <c r="C162" s="25">
        <v>35</v>
      </c>
      <c r="D162" s="25"/>
      <c r="E162" s="26" t="str">
        <f t="shared" si="9"/>
        <v>I</v>
      </c>
      <c r="F162" s="35"/>
      <c r="G162" s="29" t="s">
        <v>29</v>
      </c>
      <c r="H162" s="25" t="s">
        <v>9</v>
      </c>
      <c r="I162" s="31" t="s">
        <v>266</v>
      </c>
      <c r="J162" s="31" t="s">
        <v>267</v>
      </c>
      <c r="K162" s="64" t="s">
        <v>410</v>
      </c>
      <c r="L162" s="64" t="s">
        <v>410</v>
      </c>
      <c r="M162" s="64" t="s">
        <v>431</v>
      </c>
      <c r="N162" s="64" t="s">
        <v>410</v>
      </c>
      <c r="O162" s="64" t="s">
        <v>410</v>
      </c>
    </row>
    <row r="163" spans="2:15" x14ac:dyDescent="0.3">
      <c r="B163" s="24" t="s">
        <v>18</v>
      </c>
      <c r="C163" s="25">
        <v>35</v>
      </c>
      <c r="D163" s="26"/>
      <c r="E163" s="26" t="str">
        <f t="shared" si="9"/>
        <v>I</v>
      </c>
      <c r="F163" s="28"/>
      <c r="G163" s="29" t="s">
        <v>29</v>
      </c>
      <c r="H163" s="30" t="s">
        <v>9</v>
      </c>
      <c r="I163" s="81" t="s">
        <v>268</v>
      </c>
      <c r="J163" s="81" t="s">
        <v>269</v>
      </c>
      <c r="K163" s="64" t="s">
        <v>410</v>
      </c>
      <c r="L163" s="64" t="s">
        <v>410</v>
      </c>
      <c r="M163" s="64" t="s">
        <v>431</v>
      </c>
      <c r="N163" s="64" t="s">
        <v>410</v>
      </c>
      <c r="O163" s="64" t="s">
        <v>410</v>
      </c>
    </row>
    <row r="164" spans="2:15" x14ac:dyDescent="0.3">
      <c r="B164" s="66" t="s">
        <v>18</v>
      </c>
      <c r="C164" s="25">
        <v>35</v>
      </c>
      <c r="D164" s="25"/>
      <c r="E164" s="27" t="str">
        <f t="shared" si="9"/>
        <v>I</v>
      </c>
      <c r="F164" s="35"/>
      <c r="G164" s="29" t="s">
        <v>29</v>
      </c>
      <c r="H164" s="25" t="s">
        <v>9</v>
      </c>
      <c r="I164" s="31" t="s">
        <v>270</v>
      </c>
      <c r="J164" s="31" t="s">
        <v>154</v>
      </c>
      <c r="K164" s="64" t="s">
        <v>410</v>
      </c>
      <c r="L164" s="64" t="s">
        <v>410</v>
      </c>
      <c r="M164" s="64" t="s">
        <v>431</v>
      </c>
      <c r="N164" s="64" t="s">
        <v>410</v>
      </c>
      <c r="O164" s="64" t="s">
        <v>410</v>
      </c>
    </row>
    <row r="165" spans="2:15" x14ac:dyDescent="0.3">
      <c r="B165" s="24" t="s">
        <v>18</v>
      </c>
      <c r="C165" s="25">
        <v>35</v>
      </c>
      <c r="D165" s="26"/>
      <c r="E165" s="26" t="str">
        <f t="shared" si="9"/>
        <v>I</v>
      </c>
      <c r="F165" s="35"/>
      <c r="G165" s="29" t="s">
        <v>29</v>
      </c>
      <c r="H165" s="30" t="s">
        <v>9</v>
      </c>
      <c r="I165" s="81" t="s">
        <v>271</v>
      </c>
      <c r="J165" s="81" t="s">
        <v>272</v>
      </c>
      <c r="K165" s="64" t="s">
        <v>410</v>
      </c>
      <c r="L165" s="64" t="s">
        <v>410</v>
      </c>
      <c r="M165" s="64" t="s">
        <v>431</v>
      </c>
      <c r="N165" s="64" t="s">
        <v>410</v>
      </c>
      <c r="O165" s="64" t="s">
        <v>410</v>
      </c>
    </row>
    <row r="166" spans="2:15" x14ac:dyDescent="0.3">
      <c r="B166" s="24" t="s">
        <v>18</v>
      </c>
      <c r="C166" s="25">
        <v>35</v>
      </c>
      <c r="D166" s="26"/>
      <c r="E166" s="26" t="str">
        <f t="shared" si="9"/>
        <v>I</v>
      </c>
      <c r="F166" s="35"/>
      <c r="G166" s="29" t="s">
        <v>29</v>
      </c>
      <c r="H166" s="30" t="s">
        <v>9</v>
      </c>
      <c r="I166" s="81" t="s">
        <v>281</v>
      </c>
      <c r="J166" s="81" t="s">
        <v>282</v>
      </c>
      <c r="K166" s="64" t="s">
        <v>410</v>
      </c>
      <c r="L166" s="64" t="s">
        <v>410</v>
      </c>
      <c r="M166" s="64" t="s">
        <v>431</v>
      </c>
      <c r="N166" s="64" t="s">
        <v>410</v>
      </c>
      <c r="O166" s="64" t="s">
        <v>410</v>
      </c>
    </row>
    <row r="167" spans="2:15" x14ac:dyDescent="0.3">
      <c r="B167" s="65" t="s">
        <v>18</v>
      </c>
      <c r="C167" s="25">
        <v>35</v>
      </c>
      <c r="D167" s="26"/>
      <c r="E167" s="27" t="str">
        <f t="shared" si="9"/>
        <v>I</v>
      </c>
      <c r="F167" s="28"/>
      <c r="G167" s="75" t="s">
        <v>29</v>
      </c>
      <c r="H167" s="25" t="s">
        <v>35</v>
      </c>
      <c r="I167" s="31" t="s">
        <v>295</v>
      </c>
      <c r="J167" s="31" t="s">
        <v>142</v>
      </c>
      <c r="K167" s="64" t="s">
        <v>410</v>
      </c>
      <c r="L167" s="64" t="s">
        <v>410</v>
      </c>
      <c r="M167" s="64" t="s">
        <v>431</v>
      </c>
      <c r="N167" s="64" t="s">
        <v>410</v>
      </c>
      <c r="O167" s="64" t="s">
        <v>410</v>
      </c>
    </row>
    <row r="168" spans="2:15" x14ac:dyDescent="0.3">
      <c r="B168" s="65" t="s">
        <v>18</v>
      </c>
      <c r="C168" s="25">
        <v>35</v>
      </c>
      <c r="D168" s="26"/>
      <c r="E168" s="27" t="str">
        <f t="shared" si="9"/>
        <v>I</v>
      </c>
      <c r="F168" s="28"/>
      <c r="G168" s="75" t="s">
        <v>29</v>
      </c>
      <c r="H168" s="30" t="s">
        <v>35</v>
      </c>
      <c r="I168" s="81" t="s">
        <v>296</v>
      </c>
      <c r="J168" s="81" t="s">
        <v>297</v>
      </c>
      <c r="K168" s="64" t="s">
        <v>410</v>
      </c>
      <c r="L168" s="64" t="s">
        <v>410</v>
      </c>
      <c r="M168" s="64" t="s">
        <v>431</v>
      </c>
      <c r="N168" s="64" t="s">
        <v>410</v>
      </c>
      <c r="O168" s="64" t="s">
        <v>410</v>
      </c>
    </row>
    <row r="169" spans="2:15" x14ac:dyDescent="0.3">
      <c r="B169" s="65" t="s">
        <v>18</v>
      </c>
      <c r="C169" s="25">
        <v>35</v>
      </c>
      <c r="D169" s="26"/>
      <c r="E169" s="27" t="str">
        <f t="shared" si="9"/>
        <v>I</v>
      </c>
      <c r="F169" s="28"/>
      <c r="G169" s="75" t="s">
        <v>29</v>
      </c>
      <c r="H169" s="30" t="s">
        <v>35</v>
      </c>
      <c r="I169" s="31" t="s">
        <v>305</v>
      </c>
      <c r="J169" s="31" t="s">
        <v>146</v>
      </c>
      <c r="K169" s="64" t="s">
        <v>410</v>
      </c>
      <c r="L169" s="64" t="s">
        <v>410</v>
      </c>
      <c r="M169" s="64" t="s">
        <v>431</v>
      </c>
      <c r="N169" s="64" t="s">
        <v>410</v>
      </c>
      <c r="O169" s="64" t="s">
        <v>410</v>
      </c>
    </row>
    <row r="170" spans="2:15" x14ac:dyDescent="0.3">
      <c r="B170" s="65" t="s">
        <v>18</v>
      </c>
      <c r="C170" s="25">
        <v>35</v>
      </c>
      <c r="D170" s="26"/>
      <c r="E170" s="27" t="str">
        <f t="shared" si="9"/>
        <v>I</v>
      </c>
      <c r="F170" s="28"/>
      <c r="G170" s="75" t="s">
        <v>29</v>
      </c>
      <c r="H170" s="30" t="s">
        <v>35</v>
      </c>
      <c r="I170" s="31" t="s">
        <v>319</v>
      </c>
      <c r="J170" s="31" t="s">
        <v>320</v>
      </c>
      <c r="K170" s="64" t="s">
        <v>410</v>
      </c>
      <c r="L170" s="64" t="s">
        <v>410</v>
      </c>
      <c r="M170" s="64" t="s">
        <v>431</v>
      </c>
      <c r="N170" s="64" t="s">
        <v>410</v>
      </c>
      <c r="O170" s="64" t="s">
        <v>410</v>
      </c>
    </row>
    <row r="171" spans="2:15" x14ac:dyDescent="0.3">
      <c r="B171" s="37" t="s">
        <v>18</v>
      </c>
      <c r="C171" s="25">
        <v>35</v>
      </c>
      <c r="D171" s="25"/>
      <c r="E171" s="26" t="str">
        <f t="shared" si="9"/>
        <v>I</v>
      </c>
      <c r="F171" s="28"/>
      <c r="G171" s="25" t="s">
        <v>29</v>
      </c>
      <c r="H171" s="25" t="s">
        <v>35</v>
      </c>
      <c r="I171" s="31" t="s">
        <v>338</v>
      </c>
      <c r="J171" s="31" t="s">
        <v>69</v>
      </c>
      <c r="K171" s="64" t="s">
        <v>410</v>
      </c>
      <c r="L171" s="64" t="s">
        <v>410</v>
      </c>
      <c r="M171" s="64" t="s">
        <v>431</v>
      </c>
      <c r="N171" s="64" t="s">
        <v>410</v>
      </c>
      <c r="O171" s="64" t="s">
        <v>410</v>
      </c>
    </row>
    <row r="172" spans="2:15" x14ac:dyDescent="0.3">
      <c r="B172" s="65" t="s">
        <v>18</v>
      </c>
      <c r="C172" s="25">
        <v>35</v>
      </c>
      <c r="D172" s="26"/>
      <c r="E172" s="27" t="str">
        <f t="shared" si="9"/>
        <v>I</v>
      </c>
      <c r="F172" s="28"/>
      <c r="G172" s="75" t="s">
        <v>29</v>
      </c>
      <c r="H172" s="30" t="s">
        <v>35</v>
      </c>
      <c r="I172" s="81" t="s">
        <v>346</v>
      </c>
      <c r="J172" s="81" t="s">
        <v>347</v>
      </c>
      <c r="K172" s="64" t="s">
        <v>410</v>
      </c>
      <c r="L172" s="64" t="s">
        <v>410</v>
      </c>
      <c r="M172" s="64" t="s">
        <v>431</v>
      </c>
      <c r="N172" s="64" t="s">
        <v>410</v>
      </c>
      <c r="O172" s="64" t="s">
        <v>410</v>
      </c>
    </row>
    <row r="173" spans="2:15" x14ac:dyDescent="0.3">
      <c r="B173" s="24" t="s">
        <v>18</v>
      </c>
      <c r="C173" s="25">
        <v>35</v>
      </c>
      <c r="D173" s="26"/>
      <c r="E173" s="27" t="str">
        <f t="shared" si="9"/>
        <v>I</v>
      </c>
      <c r="F173" s="28"/>
      <c r="G173" s="29" t="s">
        <v>29</v>
      </c>
      <c r="H173" s="30" t="s">
        <v>9</v>
      </c>
      <c r="I173" s="81" t="s">
        <v>362</v>
      </c>
      <c r="J173" s="81" t="s">
        <v>363</v>
      </c>
      <c r="K173" s="64" t="s">
        <v>410</v>
      </c>
      <c r="L173" s="64" t="s">
        <v>410</v>
      </c>
      <c r="M173" s="64" t="s">
        <v>431</v>
      </c>
      <c r="N173" s="64" t="s">
        <v>410</v>
      </c>
      <c r="O173" s="64" t="s">
        <v>410</v>
      </c>
    </row>
    <row r="174" spans="2:15" x14ac:dyDescent="0.3">
      <c r="B174" s="24" t="s">
        <v>18</v>
      </c>
      <c r="C174" s="25">
        <v>35</v>
      </c>
      <c r="D174" s="26"/>
      <c r="E174" s="27" t="str">
        <f t="shared" si="9"/>
        <v>I</v>
      </c>
      <c r="F174" s="44"/>
      <c r="G174" s="29" t="s">
        <v>29</v>
      </c>
      <c r="H174" s="30" t="s">
        <v>9</v>
      </c>
      <c r="I174" s="31" t="s">
        <v>371</v>
      </c>
      <c r="J174" s="31" t="s">
        <v>372</v>
      </c>
      <c r="K174" s="64" t="s">
        <v>410</v>
      </c>
      <c r="L174" s="64" t="s">
        <v>410</v>
      </c>
      <c r="M174" s="64" t="s">
        <v>431</v>
      </c>
      <c r="N174" s="64" t="s">
        <v>410</v>
      </c>
      <c r="O174" s="64" t="s">
        <v>410</v>
      </c>
    </row>
    <row r="175" spans="2:15" x14ac:dyDescent="0.3">
      <c r="B175" s="8"/>
      <c r="C175" s="9"/>
      <c r="D175" s="10"/>
      <c r="E175" s="11" t="str">
        <f t="shared" si="9"/>
        <v/>
      </c>
      <c r="F175" s="12"/>
      <c r="G175" s="13"/>
      <c r="H175" s="14"/>
      <c r="I175" s="15"/>
      <c r="J175" s="15"/>
      <c r="M175" s="64" t="s">
        <v>431</v>
      </c>
    </row>
    <row r="176" spans="2:15" x14ac:dyDescent="0.3">
      <c r="B176" s="8">
        <v>107598</v>
      </c>
      <c r="C176" s="9">
        <v>35</v>
      </c>
      <c r="D176" s="10"/>
      <c r="E176" s="11" t="str">
        <f t="shared" si="9"/>
        <v>107598</v>
      </c>
      <c r="F176" s="36"/>
      <c r="G176" s="13"/>
      <c r="H176" s="14" t="s">
        <v>9</v>
      </c>
      <c r="I176" s="15" t="s">
        <v>40</v>
      </c>
      <c r="J176" s="15" t="s">
        <v>41</v>
      </c>
      <c r="K176" s="64" t="s">
        <v>410</v>
      </c>
      <c r="L176" s="64" t="s">
        <v>410</v>
      </c>
      <c r="M176" s="64" t="s">
        <v>431</v>
      </c>
      <c r="N176" s="64" t="s">
        <v>410</v>
      </c>
      <c r="O176" s="64" t="s">
        <v>410</v>
      </c>
    </row>
    <row r="177" spans="2:15" x14ac:dyDescent="0.3">
      <c r="B177" s="38">
        <v>101500</v>
      </c>
      <c r="C177" s="9">
        <v>35</v>
      </c>
      <c r="D177" s="10" t="str">
        <f>IF(G177="","","X")</f>
        <v/>
      </c>
      <c r="E177" s="11" t="str">
        <f t="shared" si="9"/>
        <v>101500</v>
      </c>
      <c r="F177" s="23"/>
      <c r="G177" s="34"/>
      <c r="H177" s="14" t="s">
        <v>44</v>
      </c>
      <c r="I177" s="39" t="s">
        <v>45</v>
      </c>
      <c r="J177" s="39" t="s">
        <v>46</v>
      </c>
      <c r="K177" s="64" t="s">
        <v>410</v>
      </c>
      <c r="L177" s="64" t="s">
        <v>410</v>
      </c>
      <c r="M177" s="64" t="s">
        <v>410</v>
      </c>
      <c r="N177" s="64" t="s">
        <v>410</v>
      </c>
      <c r="O177" s="64" t="s">
        <v>410</v>
      </c>
    </row>
    <row r="178" spans="2:15" x14ac:dyDescent="0.3">
      <c r="B178" s="8">
        <v>107617</v>
      </c>
      <c r="C178" s="9">
        <v>35</v>
      </c>
      <c r="D178" s="10"/>
      <c r="E178" s="11" t="str">
        <f t="shared" si="9"/>
        <v>107617</v>
      </c>
      <c r="F178" s="20"/>
      <c r="G178" s="13"/>
      <c r="H178" s="14" t="s">
        <v>9</v>
      </c>
      <c r="I178" s="83" t="s">
        <v>76</v>
      </c>
      <c r="J178" s="83" t="s">
        <v>77</v>
      </c>
      <c r="K178" s="64" t="s">
        <v>410</v>
      </c>
      <c r="L178" s="64" t="s">
        <v>410</v>
      </c>
      <c r="M178" s="64" t="s">
        <v>410</v>
      </c>
      <c r="N178" s="64" t="s">
        <v>410</v>
      </c>
      <c r="O178" s="64" t="s">
        <v>410</v>
      </c>
    </row>
    <row r="179" spans="2:15" x14ac:dyDescent="0.3">
      <c r="B179" s="8">
        <v>105534</v>
      </c>
      <c r="C179" s="9">
        <v>35</v>
      </c>
      <c r="D179" s="10" t="str">
        <f>IF(G179="","","X")</f>
        <v/>
      </c>
      <c r="E179" s="11" t="str">
        <f t="shared" si="9"/>
        <v>105534</v>
      </c>
      <c r="F179" s="33"/>
      <c r="G179" s="13"/>
      <c r="H179" s="14" t="s">
        <v>9</v>
      </c>
      <c r="I179" s="82" t="s">
        <v>80</v>
      </c>
      <c r="J179" s="82" t="s">
        <v>81</v>
      </c>
      <c r="K179" s="64" t="s">
        <v>410</v>
      </c>
      <c r="L179" s="64" t="s">
        <v>410</v>
      </c>
      <c r="M179" s="64" t="s">
        <v>410</v>
      </c>
      <c r="N179" s="64" t="s">
        <v>410</v>
      </c>
      <c r="O179" s="64" t="s">
        <v>410</v>
      </c>
    </row>
    <row r="180" spans="2:15" x14ac:dyDescent="0.3">
      <c r="B180" s="19">
        <v>21510</v>
      </c>
      <c r="C180" s="9">
        <v>35</v>
      </c>
      <c r="D180" s="10" t="str">
        <f>IF(G180="","","X")</f>
        <v/>
      </c>
      <c r="E180" s="10" t="str">
        <f t="shared" si="9"/>
        <v>21510</v>
      </c>
      <c r="F180" s="36"/>
      <c r="G180" s="13"/>
      <c r="H180" s="14" t="s">
        <v>113</v>
      </c>
      <c r="I180" s="43" t="s">
        <v>114</v>
      </c>
      <c r="J180" s="43" t="s">
        <v>115</v>
      </c>
      <c r="K180" s="64" t="s">
        <v>410</v>
      </c>
      <c r="L180" s="64" t="s">
        <v>410</v>
      </c>
      <c r="M180" s="64" t="s">
        <v>410</v>
      </c>
      <c r="N180" s="64" t="s">
        <v>410</v>
      </c>
      <c r="O180" s="64" t="s">
        <v>410</v>
      </c>
    </row>
    <row r="181" spans="2:15" x14ac:dyDescent="0.3">
      <c r="B181" s="40">
        <v>106163</v>
      </c>
      <c r="C181" s="41">
        <v>35</v>
      </c>
      <c r="D181" s="41"/>
      <c r="E181" s="11" t="str">
        <f t="shared" si="9"/>
        <v>106163</v>
      </c>
      <c r="F181" s="23"/>
      <c r="G181" s="13"/>
      <c r="H181" s="41" t="s">
        <v>9</v>
      </c>
      <c r="I181" s="15" t="s">
        <v>137</v>
      </c>
      <c r="J181" s="15" t="s">
        <v>138</v>
      </c>
      <c r="K181" s="64" t="s">
        <v>410</v>
      </c>
      <c r="L181" s="64" t="s">
        <v>410</v>
      </c>
      <c r="M181" s="64" t="s">
        <v>410</v>
      </c>
      <c r="N181" s="64" t="s">
        <v>410</v>
      </c>
      <c r="O181" s="64" t="s">
        <v>410</v>
      </c>
    </row>
    <row r="182" spans="2:15" x14ac:dyDescent="0.3">
      <c r="B182" s="8">
        <v>106629</v>
      </c>
      <c r="C182" s="9">
        <v>35</v>
      </c>
      <c r="D182" s="10"/>
      <c r="E182" s="11" t="str">
        <f t="shared" si="9"/>
        <v>106629</v>
      </c>
      <c r="F182" s="20"/>
      <c r="G182" s="13"/>
      <c r="H182" s="14" t="s">
        <v>9</v>
      </c>
      <c r="I182" s="15" t="s">
        <v>141</v>
      </c>
      <c r="J182" s="15" t="s">
        <v>142</v>
      </c>
      <c r="K182" s="64" t="s">
        <v>410</v>
      </c>
      <c r="L182" s="64" t="s">
        <v>410</v>
      </c>
      <c r="M182" s="64" t="s">
        <v>410</v>
      </c>
      <c r="N182" s="64" t="s">
        <v>410</v>
      </c>
      <c r="O182" s="64" t="s">
        <v>410</v>
      </c>
    </row>
    <row r="183" spans="2:15" x14ac:dyDescent="0.3">
      <c r="B183" s="67">
        <v>24572</v>
      </c>
      <c r="C183" s="9">
        <v>35</v>
      </c>
      <c r="D183" s="41"/>
      <c r="E183" s="10" t="str">
        <f t="shared" si="9"/>
        <v>24572</v>
      </c>
      <c r="F183" s="23"/>
      <c r="G183" s="77"/>
      <c r="H183" s="9" t="s">
        <v>44</v>
      </c>
      <c r="I183" s="84" t="s">
        <v>143</v>
      </c>
      <c r="J183" s="84" t="s">
        <v>144</v>
      </c>
      <c r="K183" s="64" t="s">
        <v>410</v>
      </c>
      <c r="L183" s="64" t="s">
        <v>410</v>
      </c>
      <c r="M183" s="64" t="s">
        <v>410</v>
      </c>
      <c r="N183" s="64" t="s">
        <v>410</v>
      </c>
      <c r="O183" s="64" t="s">
        <v>410</v>
      </c>
    </row>
    <row r="184" spans="2:15" x14ac:dyDescent="0.3">
      <c r="B184" s="38">
        <v>105620</v>
      </c>
      <c r="C184" s="9">
        <v>35</v>
      </c>
      <c r="D184" s="10" t="str">
        <f>IF(G184="","","X")</f>
        <v/>
      </c>
      <c r="E184" s="11" t="str">
        <f t="shared" si="9"/>
        <v>105620</v>
      </c>
      <c r="F184" s="20"/>
      <c r="G184" s="34"/>
      <c r="H184" s="14" t="s">
        <v>9</v>
      </c>
      <c r="I184" s="86" t="s">
        <v>147</v>
      </c>
      <c r="J184" s="82" t="s">
        <v>148</v>
      </c>
      <c r="K184" s="64" t="s">
        <v>410</v>
      </c>
      <c r="L184" s="64" t="s">
        <v>410</v>
      </c>
      <c r="M184" s="64" t="s">
        <v>410</v>
      </c>
      <c r="N184" s="64" t="s">
        <v>410</v>
      </c>
      <c r="O184" s="64" t="s">
        <v>410</v>
      </c>
    </row>
    <row r="185" spans="2:15" x14ac:dyDescent="0.3">
      <c r="B185" s="8">
        <v>106577</v>
      </c>
      <c r="C185" s="9">
        <v>35</v>
      </c>
      <c r="D185" s="10"/>
      <c r="E185" s="11" t="str">
        <f t="shared" si="9"/>
        <v>106577</v>
      </c>
      <c r="F185" s="36"/>
      <c r="G185" s="13"/>
      <c r="H185" s="14" t="s">
        <v>9</v>
      </c>
      <c r="I185" s="15" t="s">
        <v>155</v>
      </c>
      <c r="J185" s="15" t="s">
        <v>156</v>
      </c>
      <c r="K185" s="64" t="s">
        <v>410</v>
      </c>
      <c r="L185" s="64" t="s">
        <v>410</v>
      </c>
      <c r="M185" s="64" t="s">
        <v>410</v>
      </c>
      <c r="N185" s="64" t="s">
        <v>410</v>
      </c>
      <c r="O185" s="64" t="s">
        <v>410</v>
      </c>
    </row>
    <row r="186" spans="2:15" x14ac:dyDescent="0.3">
      <c r="B186" s="38">
        <v>20848</v>
      </c>
      <c r="C186" s="9">
        <v>39</v>
      </c>
      <c r="D186" s="10" t="str">
        <f>IF(G186="","","X")</f>
        <v/>
      </c>
      <c r="E186" s="11" t="str">
        <f t="shared" si="9"/>
        <v>20848</v>
      </c>
      <c r="F186" s="33"/>
      <c r="G186" s="34"/>
      <c r="H186" s="14" t="s">
        <v>88</v>
      </c>
      <c r="I186" s="84" t="s">
        <v>173</v>
      </c>
      <c r="J186" s="84" t="s">
        <v>174</v>
      </c>
      <c r="K186" s="64" t="s">
        <v>410</v>
      </c>
      <c r="L186" s="64" t="s">
        <v>410</v>
      </c>
      <c r="M186" s="64" t="s">
        <v>410</v>
      </c>
      <c r="N186" s="64" t="s">
        <v>410</v>
      </c>
      <c r="O186" s="64" t="s">
        <v>410</v>
      </c>
    </row>
    <row r="187" spans="2:15" x14ac:dyDescent="0.3">
      <c r="B187" s="8">
        <v>28316</v>
      </c>
      <c r="C187" s="9">
        <v>35</v>
      </c>
      <c r="D187" s="10"/>
      <c r="E187" s="11" t="str">
        <f t="shared" si="9"/>
        <v>28316</v>
      </c>
      <c r="F187" s="33"/>
      <c r="G187" s="13"/>
      <c r="H187" s="14" t="s">
        <v>9</v>
      </c>
      <c r="I187" s="84" t="s">
        <v>179</v>
      </c>
      <c r="J187" s="84" t="s">
        <v>180</v>
      </c>
      <c r="K187" s="64" t="s">
        <v>410</v>
      </c>
      <c r="L187" s="64" t="s">
        <v>410</v>
      </c>
      <c r="M187" s="64" t="s">
        <v>410</v>
      </c>
      <c r="N187" s="64" t="s">
        <v>410</v>
      </c>
      <c r="O187" s="64" t="s">
        <v>410</v>
      </c>
    </row>
    <row r="188" spans="2:15" x14ac:dyDescent="0.3">
      <c r="B188" s="69">
        <v>34981</v>
      </c>
      <c r="C188" s="9">
        <v>35</v>
      </c>
      <c r="D188" s="41"/>
      <c r="E188" s="10" t="str">
        <f t="shared" si="9"/>
        <v>34981</v>
      </c>
      <c r="F188" s="20"/>
      <c r="G188" s="78"/>
      <c r="H188" s="9" t="s">
        <v>9</v>
      </c>
      <c r="I188" s="84" t="s">
        <v>196</v>
      </c>
      <c r="J188" s="84" t="s">
        <v>150</v>
      </c>
      <c r="K188" s="64" t="s">
        <v>410</v>
      </c>
      <c r="L188" s="64" t="s">
        <v>410</v>
      </c>
      <c r="M188" s="64" t="s">
        <v>410</v>
      </c>
      <c r="N188" s="64" t="s">
        <v>410</v>
      </c>
      <c r="O188" s="64" t="s">
        <v>410</v>
      </c>
    </row>
    <row r="189" spans="2:15" x14ac:dyDescent="0.3">
      <c r="B189" s="69">
        <v>107315</v>
      </c>
      <c r="C189" s="9">
        <v>35</v>
      </c>
      <c r="D189" s="41"/>
      <c r="E189" s="10" t="str">
        <f t="shared" si="9"/>
        <v>107315</v>
      </c>
      <c r="F189" s="36"/>
      <c r="G189" s="78"/>
      <c r="H189" s="9" t="s">
        <v>9</v>
      </c>
      <c r="I189" s="15" t="s">
        <v>213</v>
      </c>
      <c r="J189" s="15" t="s">
        <v>63</v>
      </c>
      <c r="K189" s="64" t="s">
        <v>410</v>
      </c>
      <c r="L189" s="64" t="s">
        <v>410</v>
      </c>
      <c r="M189" s="64" t="s">
        <v>410</v>
      </c>
      <c r="N189" s="64" t="s">
        <v>410</v>
      </c>
      <c r="O189" s="64" t="s">
        <v>410</v>
      </c>
    </row>
    <row r="190" spans="2:15" x14ac:dyDescent="0.3">
      <c r="B190" s="8">
        <v>106578</v>
      </c>
      <c r="C190" s="9">
        <v>35</v>
      </c>
      <c r="D190" s="10"/>
      <c r="E190" s="11" t="str">
        <f t="shared" si="9"/>
        <v>106578</v>
      </c>
      <c r="F190" s="36"/>
      <c r="G190" s="13"/>
      <c r="H190" s="14" t="s">
        <v>9</v>
      </c>
      <c r="I190" s="15" t="s">
        <v>226</v>
      </c>
      <c r="J190" s="15" t="s">
        <v>227</v>
      </c>
      <c r="K190" s="64" t="s">
        <v>410</v>
      </c>
      <c r="L190" s="64" t="s">
        <v>410</v>
      </c>
      <c r="M190" s="64" t="s">
        <v>410</v>
      </c>
      <c r="N190" s="64" t="s">
        <v>410</v>
      </c>
      <c r="O190" s="64" t="s">
        <v>410</v>
      </c>
    </row>
    <row r="191" spans="2:15" x14ac:dyDescent="0.3">
      <c r="B191" s="40">
        <v>105691</v>
      </c>
      <c r="C191" s="41">
        <v>35</v>
      </c>
      <c r="D191" s="41"/>
      <c r="E191" s="10" t="str">
        <f t="shared" si="9"/>
        <v>105691</v>
      </c>
      <c r="F191" s="33"/>
      <c r="G191" s="13"/>
      <c r="H191" s="41" t="s">
        <v>9</v>
      </c>
      <c r="I191" s="15" t="s">
        <v>230</v>
      </c>
      <c r="J191" s="15" t="s">
        <v>193</v>
      </c>
      <c r="K191" s="64" t="s">
        <v>410</v>
      </c>
      <c r="L191" s="64" t="s">
        <v>410</v>
      </c>
      <c r="M191" s="64" t="s">
        <v>410</v>
      </c>
      <c r="N191" s="64" t="s">
        <v>410</v>
      </c>
      <c r="O191" s="64" t="s">
        <v>410</v>
      </c>
    </row>
    <row r="192" spans="2:15" x14ac:dyDescent="0.3">
      <c r="B192" s="8">
        <v>106883</v>
      </c>
      <c r="C192" s="9">
        <v>35</v>
      </c>
      <c r="D192" s="10"/>
      <c r="E192" s="10" t="str">
        <f t="shared" si="9"/>
        <v>106883</v>
      </c>
      <c r="F192" s="20"/>
      <c r="G192" s="13"/>
      <c r="H192" s="14" t="s">
        <v>9</v>
      </c>
      <c r="I192" s="83" t="s">
        <v>231</v>
      </c>
      <c r="J192" s="83" t="s">
        <v>232</v>
      </c>
      <c r="K192" s="64" t="s">
        <v>410</v>
      </c>
      <c r="L192" s="64" t="s">
        <v>410</v>
      </c>
      <c r="M192" s="64" t="s">
        <v>410</v>
      </c>
      <c r="N192" s="64" t="s">
        <v>410</v>
      </c>
      <c r="O192" s="64" t="s">
        <v>410</v>
      </c>
    </row>
    <row r="193" spans="2:15" x14ac:dyDescent="0.3">
      <c r="B193" s="68">
        <v>105692</v>
      </c>
      <c r="C193" s="41">
        <v>35</v>
      </c>
      <c r="D193" s="10" t="str">
        <f>IF(G193="","","X")</f>
        <v/>
      </c>
      <c r="E193" s="11" t="str">
        <f t="shared" si="9"/>
        <v>105692</v>
      </c>
      <c r="F193" s="33"/>
      <c r="G193" s="13"/>
      <c r="H193" s="79" t="s">
        <v>9</v>
      </c>
      <c r="I193" s="83" t="s">
        <v>233</v>
      </c>
      <c r="J193" s="83" t="s">
        <v>234</v>
      </c>
      <c r="K193" s="64" t="s">
        <v>410</v>
      </c>
      <c r="L193" s="64" t="s">
        <v>410</v>
      </c>
      <c r="M193" s="64" t="s">
        <v>410</v>
      </c>
      <c r="N193" s="64" t="s">
        <v>410</v>
      </c>
      <c r="O193" s="64" t="s">
        <v>410</v>
      </c>
    </row>
    <row r="194" spans="2:15" x14ac:dyDescent="0.3">
      <c r="B194" s="8">
        <v>107509</v>
      </c>
      <c r="C194" s="9">
        <v>35</v>
      </c>
      <c r="D194" s="10"/>
      <c r="E194" s="10" t="str">
        <f t="shared" si="9"/>
        <v>107509</v>
      </c>
      <c r="F194" s="33"/>
      <c r="G194" s="13"/>
      <c r="H194" s="14" t="s">
        <v>9</v>
      </c>
      <c r="I194" s="83" t="s">
        <v>243</v>
      </c>
      <c r="J194" s="83" t="s">
        <v>244</v>
      </c>
      <c r="K194" s="64" t="s">
        <v>410</v>
      </c>
      <c r="L194" s="64" t="s">
        <v>410</v>
      </c>
      <c r="M194" s="64" t="s">
        <v>410</v>
      </c>
      <c r="N194" s="64" t="s">
        <v>410</v>
      </c>
      <c r="O194" s="64" t="s">
        <v>410</v>
      </c>
    </row>
    <row r="195" spans="2:15" x14ac:dyDescent="0.3">
      <c r="B195" s="8">
        <v>105206</v>
      </c>
      <c r="C195" s="9">
        <v>35</v>
      </c>
      <c r="D195" s="10" t="str">
        <f>IF(G195="","","X")</f>
        <v/>
      </c>
      <c r="E195" s="11" t="str">
        <f t="shared" si="9"/>
        <v>105206</v>
      </c>
      <c r="F195" s="33"/>
      <c r="G195" s="34"/>
      <c r="H195" s="14" t="s">
        <v>9</v>
      </c>
      <c r="I195" s="82" t="s">
        <v>252</v>
      </c>
      <c r="J195" s="82" t="s">
        <v>138</v>
      </c>
      <c r="K195" s="64" t="s">
        <v>410</v>
      </c>
      <c r="L195" s="64" t="s">
        <v>410</v>
      </c>
      <c r="M195" s="64" t="s">
        <v>410</v>
      </c>
      <c r="N195" s="64" t="s">
        <v>410</v>
      </c>
      <c r="O195" s="64" t="s">
        <v>410</v>
      </c>
    </row>
    <row r="196" spans="2:15" x14ac:dyDescent="0.3">
      <c r="B196" s="8">
        <v>106630</v>
      </c>
      <c r="C196" s="9">
        <v>35</v>
      </c>
      <c r="D196" s="10"/>
      <c r="E196" s="11" t="str">
        <f t="shared" ref="E196:E214" si="10">B196&amp;""&amp;D196</f>
        <v>106630</v>
      </c>
      <c r="F196" s="33"/>
      <c r="G196" s="13"/>
      <c r="H196" s="14" t="s">
        <v>9</v>
      </c>
      <c r="I196" s="83" t="s">
        <v>257</v>
      </c>
      <c r="J196" s="83" t="s">
        <v>225</v>
      </c>
      <c r="K196" s="64" t="s">
        <v>410</v>
      </c>
      <c r="L196" s="64" t="s">
        <v>410</v>
      </c>
      <c r="M196" s="64" t="s">
        <v>410</v>
      </c>
      <c r="N196" s="64" t="s">
        <v>410</v>
      </c>
      <c r="O196" s="64" t="s">
        <v>410</v>
      </c>
    </row>
    <row r="197" spans="2:15" x14ac:dyDescent="0.3">
      <c r="B197" s="8">
        <v>107616</v>
      </c>
      <c r="C197" s="9">
        <v>35</v>
      </c>
      <c r="D197" s="10"/>
      <c r="E197" s="11" t="str">
        <f t="shared" si="10"/>
        <v>107616</v>
      </c>
      <c r="F197" s="36"/>
      <c r="G197" s="13"/>
      <c r="H197" s="14" t="s">
        <v>9</v>
      </c>
      <c r="I197" s="15" t="s">
        <v>262</v>
      </c>
      <c r="J197" s="15" t="s">
        <v>263</v>
      </c>
      <c r="K197" s="64" t="s">
        <v>410</v>
      </c>
      <c r="L197" s="64" t="s">
        <v>410</v>
      </c>
      <c r="M197" s="64" t="s">
        <v>410</v>
      </c>
      <c r="N197" s="64" t="s">
        <v>410</v>
      </c>
      <c r="O197" s="64" t="s">
        <v>410</v>
      </c>
    </row>
    <row r="198" spans="2:15" x14ac:dyDescent="0.3">
      <c r="B198" s="8">
        <v>107356</v>
      </c>
      <c r="C198" s="9">
        <v>35</v>
      </c>
      <c r="D198" s="10"/>
      <c r="E198" s="11" t="str">
        <f t="shared" si="10"/>
        <v>107356</v>
      </c>
      <c r="F198" s="20"/>
      <c r="G198" s="13"/>
      <c r="H198" s="14" t="s">
        <v>9</v>
      </c>
      <c r="I198" s="15" t="s">
        <v>271</v>
      </c>
      <c r="J198" s="15" t="s">
        <v>273</v>
      </c>
      <c r="K198" s="64" t="s">
        <v>410</v>
      </c>
      <c r="L198" s="64" t="s">
        <v>410</v>
      </c>
      <c r="M198" s="64" t="s">
        <v>410</v>
      </c>
      <c r="N198" s="64" t="s">
        <v>410</v>
      </c>
      <c r="O198" s="64" t="s">
        <v>410</v>
      </c>
    </row>
    <row r="199" spans="2:15" x14ac:dyDescent="0.3">
      <c r="B199" s="8">
        <v>107743</v>
      </c>
      <c r="C199" s="9">
        <v>35</v>
      </c>
      <c r="D199" s="10"/>
      <c r="E199" s="11" t="str">
        <f t="shared" si="10"/>
        <v>107743</v>
      </c>
      <c r="F199" s="36"/>
      <c r="G199" s="13"/>
      <c r="H199" s="14" t="s">
        <v>9</v>
      </c>
      <c r="I199" s="15" t="s">
        <v>279</v>
      </c>
      <c r="J199" s="15" t="s">
        <v>280</v>
      </c>
      <c r="K199" s="64" t="s">
        <v>410</v>
      </c>
      <c r="L199" s="64" t="s">
        <v>410</v>
      </c>
      <c r="M199" s="64" t="s">
        <v>410</v>
      </c>
      <c r="N199" s="64" t="s">
        <v>410</v>
      </c>
      <c r="O199" s="64" t="s">
        <v>410</v>
      </c>
    </row>
    <row r="200" spans="2:15" x14ac:dyDescent="0.3">
      <c r="B200" s="68">
        <v>105693</v>
      </c>
      <c r="C200" s="41">
        <v>35</v>
      </c>
      <c r="D200" s="10" t="str">
        <f>IF(G200="","","X")</f>
        <v/>
      </c>
      <c r="E200" s="10" t="str">
        <f t="shared" si="10"/>
        <v>105693</v>
      </c>
      <c r="F200" s="23"/>
      <c r="G200" s="13"/>
      <c r="H200" s="79" t="s">
        <v>9</v>
      </c>
      <c r="I200" s="83" t="s">
        <v>307</v>
      </c>
      <c r="J200" s="83" t="s">
        <v>308</v>
      </c>
      <c r="K200" s="64" t="s">
        <v>410</v>
      </c>
      <c r="L200" s="64" t="s">
        <v>410</v>
      </c>
      <c r="M200" s="64" t="s">
        <v>410</v>
      </c>
      <c r="N200" s="64" t="s">
        <v>410</v>
      </c>
      <c r="O200" s="64" t="s">
        <v>410</v>
      </c>
    </row>
    <row r="201" spans="2:15" x14ac:dyDescent="0.3">
      <c r="B201" s="8">
        <v>107377</v>
      </c>
      <c r="C201" s="9">
        <v>35</v>
      </c>
      <c r="D201" s="10"/>
      <c r="E201" s="11" t="str">
        <f t="shared" si="10"/>
        <v>107377</v>
      </c>
      <c r="F201" s="20"/>
      <c r="G201" s="13"/>
      <c r="H201" s="14" t="s">
        <v>9</v>
      </c>
      <c r="I201" s="15" t="s">
        <v>324</v>
      </c>
      <c r="J201" s="15" t="s">
        <v>325</v>
      </c>
      <c r="K201" s="64" t="s">
        <v>410</v>
      </c>
      <c r="L201" s="64" t="s">
        <v>410</v>
      </c>
      <c r="M201" s="64" t="s">
        <v>410</v>
      </c>
      <c r="N201" s="64" t="s">
        <v>410</v>
      </c>
      <c r="O201" s="64" t="s">
        <v>410</v>
      </c>
    </row>
    <row r="202" spans="2:15" x14ac:dyDescent="0.3">
      <c r="B202" s="8">
        <v>106582</v>
      </c>
      <c r="C202" s="9">
        <v>35</v>
      </c>
      <c r="D202" s="10"/>
      <c r="E202" s="11" t="str">
        <f t="shared" si="10"/>
        <v>106582</v>
      </c>
      <c r="F202" s="36"/>
      <c r="G202" s="13"/>
      <c r="H202" s="14" t="s">
        <v>9</v>
      </c>
      <c r="I202" s="15" t="s">
        <v>327</v>
      </c>
      <c r="J202" s="15" t="s">
        <v>328</v>
      </c>
      <c r="K202" s="64" t="s">
        <v>410</v>
      </c>
      <c r="L202" s="64" t="s">
        <v>410</v>
      </c>
      <c r="M202" s="64" t="s">
        <v>410</v>
      </c>
      <c r="N202" s="64" t="s">
        <v>410</v>
      </c>
      <c r="O202" s="64" t="s">
        <v>410</v>
      </c>
    </row>
    <row r="203" spans="2:15" x14ac:dyDescent="0.3">
      <c r="B203" s="8">
        <v>104517</v>
      </c>
      <c r="C203" s="9">
        <v>35</v>
      </c>
      <c r="D203" s="10" t="str">
        <f>IF(G203="","","X")</f>
        <v/>
      </c>
      <c r="E203" s="11" t="str">
        <f t="shared" si="10"/>
        <v>104517</v>
      </c>
      <c r="F203" s="23"/>
      <c r="G203" s="13"/>
      <c r="H203" s="14" t="s">
        <v>9</v>
      </c>
      <c r="I203" s="39" t="s">
        <v>331</v>
      </c>
      <c r="J203" s="39" t="s">
        <v>138</v>
      </c>
      <c r="K203" s="64" t="s">
        <v>410</v>
      </c>
      <c r="L203" s="64" t="s">
        <v>410</v>
      </c>
      <c r="M203" s="64" t="s">
        <v>410</v>
      </c>
      <c r="N203" s="64" t="s">
        <v>410</v>
      </c>
      <c r="O203" s="64" t="s">
        <v>410</v>
      </c>
    </row>
    <row r="204" spans="2:15" x14ac:dyDescent="0.3">
      <c r="B204" s="8">
        <v>107056</v>
      </c>
      <c r="C204" s="9">
        <v>35</v>
      </c>
      <c r="D204" s="10"/>
      <c r="E204" s="10" t="str">
        <f t="shared" si="10"/>
        <v>107056</v>
      </c>
      <c r="F204" s="23"/>
      <c r="G204" s="13"/>
      <c r="H204" s="14" t="s">
        <v>9</v>
      </c>
      <c r="I204" s="83" t="s">
        <v>339</v>
      </c>
      <c r="J204" s="83" t="s">
        <v>340</v>
      </c>
      <c r="K204" s="64" t="s">
        <v>410</v>
      </c>
      <c r="L204" s="64" t="s">
        <v>410</v>
      </c>
      <c r="M204" s="64" t="s">
        <v>410</v>
      </c>
      <c r="N204" s="64" t="s">
        <v>410</v>
      </c>
      <c r="O204" s="64" t="s">
        <v>410</v>
      </c>
    </row>
    <row r="205" spans="2:15" x14ac:dyDescent="0.3">
      <c r="B205" s="69">
        <v>107052</v>
      </c>
      <c r="C205" s="9">
        <v>35</v>
      </c>
      <c r="D205" s="41"/>
      <c r="E205" s="11" t="str">
        <f t="shared" si="10"/>
        <v>107052</v>
      </c>
      <c r="F205" s="23"/>
      <c r="G205" s="13"/>
      <c r="H205" s="9" t="s">
        <v>9</v>
      </c>
      <c r="I205" s="15" t="s">
        <v>341</v>
      </c>
      <c r="J205" s="15" t="s">
        <v>342</v>
      </c>
      <c r="K205" s="64" t="s">
        <v>410</v>
      </c>
      <c r="L205" s="64" t="s">
        <v>410</v>
      </c>
      <c r="M205" s="64" t="s">
        <v>410</v>
      </c>
      <c r="N205" s="64" t="s">
        <v>410</v>
      </c>
      <c r="O205" s="64" t="s">
        <v>410</v>
      </c>
    </row>
    <row r="206" spans="2:15" x14ac:dyDescent="0.3">
      <c r="B206" s="8">
        <v>107353</v>
      </c>
      <c r="C206" s="9">
        <v>35</v>
      </c>
      <c r="D206" s="10"/>
      <c r="E206" s="11" t="str">
        <f t="shared" si="10"/>
        <v>107353</v>
      </c>
      <c r="F206" s="20"/>
      <c r="G206" s="13"/>
      <c r="H206" s="14" t="s">
        <v>9</v>
      </c>
      <c r="I206" s="15" t="s">
        <v>345</v>
      </c>
      <c r="J206" s="15" t="s">
        <v>120</v>
      </c>
      <c r="K206" s="64" t="s">
        <v>410</v>
      </c>
      <c r="L206" s="64" t="s">
        <v>410</v>
      </c>
      <c r="M206" s="64" t="s">
        <v>410</v>
      </c>
      <c r="N206" s="64" t="s">
        <v>410</v>
      </c>
      <c r="O206" s="64" t="s">
        <v>410</v>
      </c>
    </row>
    <row r="207" spans="2:15" x14ac:dyDescent="0.3">
      <c r="B207" s="8">
        <v>106631</v>
      </c>
      <c r="C207" s="9">
        <v>35</v>
      </c>
      <c r="D207" s="10"/>
      <c r="E207" s="11" t="str">
        <f t="shared" si="10"/>
        <v>106631</v>
      </c>
      <c r="F207" s="36"/>
      <c r="G207" s="13"/>
      <c r="H207" s="14" t="s">
        <v>9</v>
      </c>
      <c r="I207" s="15" t="s">
        <v>350</v>
      </c>
      <c r="J207" s="15" t="s">
        <v>351</v>
      </c>
      <c r="K207" s="64" t="s">
        <v>410</v>
      </c>
      <c r="L207" s="64" t="s">
        <v>410</v>
      </c>
      <c r="M207" s="64" t="s">
        <v>410</v>
      </c>
      <c r="N207" s="64" t="s">
        <v>410</v>
      </c>
      <c r="O207" s="64" t="s">
        <v>410</v>
      </c>
    </row>
    <row r="208" spans="2:15" x14ac:dyDescent="0.3">
      <c r="B208" s="40">
        <v>105694</v>
      </c>
      <c r="C208" s="41">
        <v>35</v>
      </c>
      <c r="D208" s="41"/>
      <c r="E208" s="11" t="str">
        <f t="shared" si="10"/>
        <v>105694</v>
      </c>
      <c r="F208" s="33"/>
      <c r="G208" s="13"/>
      <c r="H208" s="41" t="s">
        <v>9</v>
      </c>
      <c r="I208" s="48" t="s">
        <v>352</v>
      </c>
      <c r="J208" s="15" t="s">
        <v>353</v>
      </c>
      <c r="K208" s="64" t="s">
        <v>410</v>
      </c>
      <c r="L208" s="64" t="s">
        <v>410</v>
      </c>
      <c r="M208" s="64" t="s">
        <v>410</v>
      </c>
      <c r="N208" s="64" t="s">
        <v>410</v>
      </c>
      <c r="O208" s="64" t="s">
        <v>410</v>
      </c>
    </row>
    <row r="209" spans="2:15" x14ac:dyDescent="0.3">
      <c r="B209" s="8">
        <v>105537</v>
      </c>
      <c r="C209" s="9">
        <v>35</v>
      </c>
      <c r="D209" s="10" t="str">
        <f>IF(G209="","","X")</f>
        <v/>
      </c>
      <c r="E209" s="10" t="str">
        <f t="shared" si="10"/>
        <v>105537</v>
      </c>
      <c r="F209" s="20"/>
      <c r="G209" s="13"/>
      <c r="H209" s="14" t="s">
        <v>9</v>
      </c>
      <c r="I209" s="42" t="s">
        <v>357</v>
      </c>
      <c r="J209" s="39" t="s">
        <v>288</v>
      </c>
      <c r="K209" s="64" t="s">
        <v>410</v>
      </c>
      <c r="L209" s="64" t="s">
        <v>410</v>
      </c>
      <c r="M209" s="64" t="s">
        <v>410</v>
      </c>
      <c r="N209" s="64" t="s">
        <v>410</v>
      </c>
      <c r="O209" s="64" t="s">
        <v>410</v>
      </c>
    </row>
    <row r="210" spans="2:15" x14ac:dyDescent="0.3">
      <c r="B210" s="8">
        <v>107931</v>
      </c>
      <c r="C210" s="9">
        <v>35</v>
      </c>
      <c r="D210" s="10"/>
      <c r="E210" s="11" t="str">
        <f t="shared" si="10"/>
        <v>107931</v>
      </c>
      <c r="F210" s="61"/>
      <c r="G210" s="13"/>
      <c r="H210" s="14" t="s">
        <v>9</v>
      </c>
      <c r="I210" s="83" t="s">
        <v>359</v>
      </c>
      <c r="J210" s="83" t="s">
        <v>361</v>
      </c>
      <c r="K210" s="64" t="s">
        <v>410</v>
      </c>
      <c r="L210" s="64" t="s">
        <v>410</v>
      </c>
      <c r="M210" s="64" t="s">
        <v>410</v>
      </c>
      <c r="N210" s="64" t="s">
        <v>410</v>
      </c>
      <c r="O210" s="64" t="s">
        <v>410</v>
      </c>
    </row>
    <row r="211" spans="2:15" x14ac:dyDescent="0.3">
      <c r="B211" s="8">
        <v>107352</v>
      </c>
      <c r="C211" s="9">
        <v>35</v>
      </c>
      <c r="D211" s="10"/>
      <c r="E211" s="10" t="str">
        <f t="shared" si="10"/>
        <v>107352</v>
      </c>
      <c r="F211" s="33"/>
      <c r="G211" s="13"/>
      <c r="H211" s="14" t="s">
        <v>9</v>
      </c>
      <c r="I211" s="83" t="s">
        <v>364</v>
      </c>
      <c r="J211" s="83" t="s">
        <v>23</v>
      </c>
      <c r="K211" s="64" t="s">
        <v>410</v>
      </c>
      <c r="L211" s="64" t="s">
        <v>410</v>
      </c>
      <c r="M211" s="64" t="s">
        <v>410</v>
      </c>
      <c r="N211" s="64" t="s">
        <v>410</v>
      </c>
      <c r="O211" s="64" t="s">
        <v>410</v>
      </c>
    </row>
    <row r="212" spans="2:15" x14ac:dyDescent="0.3">
      <c r="B212" s="68">
        <v>105926</v>
      </c>
      <c r="C212" s="41">
        <v>35</v>
      </c>
      <c r="D212" s="10"/>
      <c r="E212" s="11" t="str">
        <f t="shared" si="10"/>
        <v>105926</v>
      </c>
      <c r="F212" s="20"/>
      <c r="G212" s="13"/>
      <c r="H212" s="79" t="s">
        <v>9</v>
      </c>
      <c r="I212" s="83" t="s">
        <v>373</v>
      </c>
      <c r="J212" s="83" t="s">
        <v>118</v>
      </c>
      <c r="K212" s="64" t="s">
        <v>410</v>
      </c>
      <c r="L212" s="64" t="s">
        <v>410</v>
      </c>
      <c r="M212" s="64" t="s">
        <v>410</v>
      </c>
      <c r="N212" s="64" t="s">
        <v>410</v>
      </c>
      <c r="O212" s="64" t="s">
        <v>410</v>
      </c>
    </row>
    <row r="213" spans="2:15" x14ac:dyDescent="0.3">
      <c r="B213" s="8">
        <v>63744</v>
      </c>
      <c r="C213" s="9">
        <v>35</v>
      </c>
      <c r="D213" s="10" t="str">
        <f>IF(G213="","","X")</f>
        <v/>
      </c>
      <c r="E213" s="11" t="str">
        <f t="shared" si="10"/>
        <v>63744</v>
      </c>
      <c r="F213" s="23"/>
      <c r="G213" s="34"/>
      <c r="H213" s="14" t="s">
        <v>9</v>
      </c>
      <c r="I213" s="82" t="s">
        <v>375</v>
      </c>
      <c r="J213" s="82" t="s">
        <v>160</v>
      </c>
      <c r="K213" s="64" t="s">
        <v>410</v>
      </c>
      <c r="L213" s="64" t="s">
        <v>410</v>
      </c>
      <c r="M213" s="64" t="s">
        <v>410</v>
      </c>
      <c r="N213" s="64" t="s">
        <v>410</v>
      </c>
      <c r="O213" s="64" t="s">
        <v>410</v>
      </c>
    </row>
    <row r="214" spans="2:15" x14ac:dyDescent="0.3">
      <c r="B214" s="8">
        <v>107351</v>
      </c>
      <c r="C214" s="9">
        <v>35</v>
      </c>
      <c r="D214" s="10"/>
      <c r="E214" s="11" t="str">
        <f t="shared" si="10"/>
        <v>107351</v>
      </c>
      <c r="F214" s="36"/>
      <c r="G214" s="13"/>
      <c r="H214" s="14" t="s">
        <v>9</v>
      </c>
      <c r="I214" s="15" t="s">
        <v>378</v>
      </c>
      <c r="J214" s="15" t="s">
        <v>379</v>
      </c>
      <c r="K214" s="64" t="s">
        <v>410</v>
      </c>
      <c r="L214" s="64" t="s">
        <v>410</v>
      </c>
      <c r="M214" s="64" t="s">
        <v>410</v>
      </c>
      <c r="N214" s="64" t="s">
        <v>410</v>
      </c>
      <c r="O214" s="64" t="s">
        <v>410</v>
      </c>
    </row>
    <row r="215" spans="2:15" x14ac:dyDescent="0.3">
      <c r="K215" s="64" t="s">
        <v>410</v>
      </c>
      <c r="L215" s="64" t="s">
        <v>410</v>
      </c>
      <c r="M215" s="64" t="s">
        <v>410</v>
      </c>
      <c r="N215" s="64" t="s">
        <v>410</v>
      </c>
      <c r="O215" s="64" t="s">
        <v>410</v>
      </c>
    </row>
    <row r="216" spans="2:15" x14ac:dyDescent="0.3">
      <c r="K216" s="64" t="s">
        <v>410</v>
      </c>
      <c r="L216" s="64" t="s">
        <v>410</v>
      </c>
      <c r="M216" s="64" t="s">
        <v>410</v>
      </c>
      <c r="N216" s="64" t="s">
        <v>410</v>
      </c>
      <c r="O216" s="64" t="s">
        <v>410</v>
      </c>
    </row>
    <row r="217" spans="2:15" x14ac:dyDescent="0.3">
      <c r="K217" s="64" t="s">
        <v>410</v>
      </c>
      <c r="L217" s="64" t="s">
        <v>410</v>
      </c>
      <c r="M217" s="64" t="s">
        <v>410</v>
      </c>
      <c r="N217" s="64" t="s">
        <v>410</v>
      </c>
      <c r="O217" s="64" t="s">
        <v>410</v>
      </c>
    </row>
    <row r="218" spans="2:15" x14ac:dyDescent="0.3">
      <c r="K218" s="64" t="s">
        <v>410</v>
      </c>
      <c r="L218" s="64" t="s">
        <v>410</v>
      </c>
      <c r="M218" s="64" t="s">
        <v>410</v>
      </c>
      <c r="N218" s="64" t="s">
        <v>410</v>
      </c>
      <c r="O218" s="64" t="s">
        <v>410</v>
      </c>
    </row>
    <row r="219" spans="2:15" x14ac:dyDescent="0.3">
      <c r="K219" s="64" t="s">
        <v>410</v>
      </c>
      <c r="L219" s="64" t="s">
        <v>410</v>
      </c>
      <c r="M219" s="64" t="s">
        <v>410</v>
      </c>
      <c r="N219" s="64" t="s">
        <v>410</v>
      </c>
      <c r="O219" s="64" t="s">
        <v>410</v>
      </c>
    </row>
    <row r="220" spans="2:15" x14ac:dyDescent="0.3">
      <c r="K220" s="64" t="s">
        <v>410</v>
      </c>
      <c r="L220" s="64" t="s">
        <v>410</v>
      </c>
      <c r="M220" s="64" t="s">
        <v>410</v>
      </c>
      <c r="N220" s="64" t="s">
        <v>410</v>
      </c>
      <c r="O220" s="64" t="s">
        <v>410</v>
      </c>
    </row>
    <row r="221" spans="2:15" x14ac:dyDescent="0.3">
      <c r="K221" s="64" t="s">
        <v>410</v>
      </c>
      <c r="L221" s="64" t="s">
        <v>410</v>
      </c>
      <c r="M221" s="64" t="s">
        <v>410</v>
      </c>
      <c r="N221" s="64" t="s">
        <v>410</v>
      </c>
      <c r="O221" s="64" t="s">
        <v>410</v>
      </c>
    </row>
    <row r="222" spans="2:15" x14ac:dyDescent="0.3">
      <c r="K222" s="64" t="s">
        <v>410</v>
      </c>
      <c r="L222" s="64" t="s">
        <v>410</v>
      </c>
      <c r="M222" s="64" t="s">
        <v>410</v>
      </c>
      <c r="N222" s="64" t="s">
        <v>410</v>
      </c>
      <c r="O222" s="64" t="s">
        <v>410</v>
      </c>
    </row>
    <row r="223" spans="2:15" x14ac:dyDescent="0.3">
      <c r="K223" s="64" t="s">
        <v>410</v>
      </c>
      <c r="L223" s="64" t="s">
        <v>410</v>
      </c>
      <c r="M223" s="64" t="s">
        <v>410</v>
      </c>
      <c r="N223" s="64" t="s">
        <v>410</v>
      </c>
      <c r="O223" s="64" t="s">
        <v>410</v>
      </c>
    </row>
    <row r="224" spans="2:15" x14ac:dyDescent="0.3">
      <c r="K224" s="64" t="s">
        <v>410</v>
      </c>
      <c r="L224" s="64" t="s">
        <v>410</v>
      </c>
      <c r="M224" s="64" t="s">
        <v>410</v>
      </c>
      <c r="N224" s="64" t="s">
        <v>410</v>
      </c>
      <c r="O224" s="64" t="s">
        <v>410</v>
      </c>
    </row>
    <row r="225" spans="11:15" x14ac:dyDescent="0.3">
      <c r="K225" s="64" t="s">
        <v>410</v>
      </c>
      <c r="L225" s="64" t="s">
        <v>410</v>
      </c>
      <c r="M225" s="64" t="s">
        <v>410</v>
      </c>
      <c r="N225" s="64" t="s">
        <v>410</v>
      </c>
      <c r="O225" s="64" t="s">
        <v>410</v>
      </c>
    </row>
    <row r="226" spans="11:15" x14ac:dyDescent="0.3">
      <c r="K226" s="64" t="s">
        <v>410</v>
      </c>
      <c r="L226" s="64" t="s">
        <v>410</v>
      </c>
      <c r="M226" s="64" t="s">
        <v>410</v>
      </c>
      <c r="N226" s="64" t="s">
        <v>410</v>
      </c>
      <c r="O226" s="64" t="s">
        <v>410</v>
      </c>
    </row>
    <row r="227" spans="11:15" x14ac:dyDescent="0.3">
      <c r="K227" s="64" t="s">
        <v>410</v>
      </c>
      <c r="L227" s="64" t="s">
        <v>410</v>
      </c>
      <c r="M227" s="64" t="s">
        <v>410</v>
      </c>
      <c r="N227" s="64" t="s">
        <v>410</v>
      </c>
      <c r="O227" s="64" t="s">
        <v>410</v>
      </c>
    </row>
    <row r="228" spans="11:15" x14ac:dyDescent="0.3">
      <c r="K228" s="64" t="s">
        <v>410</v>
      </c>
      <c r="L228" s="64" t="s">
        <v>410</v>
      </c>
      <c r="M228" s="64" t="s">
        <v>410</v>
      </c>
      <c r="N228" s="64" t="s">
        <v>410</v>
      </c>
      <c r="O228" s="64" t="s">
        <v>410</v>
      </c>
    </row>
    <row r="229" spans="11:15" x14ac:dyDescent="0.3">
      <c r="K229" s="64" t="s">
        <v>410</v>
      </c>
      <c r="L229" s="64" t="s">
        <v>410</v>
      </c>
      <c r="M229" s="64" t="s">
        <v>410</v>
      </c>
      <c r="N229" s="64" t="s">
        <v>410</v>
      </c>
      <c r="O229" s="64" t="s">
        <v>410</v>
      </c>
    </row>
    <row r="230" spans="11:15" x14ac:dyDescent="0.3">
      <c r="K230" s="64" t="s">
        <v>410</v>
      </c>
      <c r="L230" s="64" t="s">
        <v>410</v>
      </c>
      <c r="M230" s="64" t="s">
        <v>410</v>
      </c>
      <c r="N230" s="64" t="s">
        <v>410</v>
      </c>
      <c r="O230" s="64" t="s">
        <v>410</v>
      </c>
    </row>
    <row r="231" spans="11:15" x14ac:dyDescent="0.3">
      <c r="K231" s="64" t="s">
        <v>410</v>
      </c>
      <c r="L231" s="64" t="s">
        <v>410</v>
      </c>
      <c r="M231" s="64" t="s">
        <v>410</v>
      </c>
      <c r="N231" s="64" t="s">
        <v>410</v>
      </c>
      <c r="O231" s="64" t="s">
        <v>410</v>
      </c>
    </row>
    <row r="232" spans="11:15" x14ac:dyDescent="0.3">
      <c r="K232" s="64" t="s">
        <v>410</v>
      </c>
      <c r="L232" s="64" t="s">
        <v>410</v>
      </c>
      <c r="M232" s="64" t="s">
        <v>410</v>
      </c>
      <c r="N232" s="64" t="s">
        <v>410</v>
      </c>
      <c r="O232" s="64" t="s">
        <v>410</v>
      </c>
    </row>
    <row r="233" spans="11:15" x14ac:dyDescent="0.3">
      <c r="K233" s="64" t="s">
        <v>410</v>
      </c>
      <c r="L233" s="64" t="s">
        <v>410</v>
      </c>
      <c r="M233" s="64" t="s">
        <v>410</v>
      </c>
      <c r="N233" s="64" t="s">
        <v>410</v>
      </c>
      <c r="O233" s="64" t="s">
        <v>410</v>
      </c>
    </row>
    <row r="234" spans="11:15" x14ac:dyDescent="0.3">
      <c r="K234" s="64" t="s">
        <v>410</v>
      </c>
      <c r="L234" s="64" t="s">
        <v>410</v>
      </c>
      <c r="M234" s="64" t="s">
        <v>410</v>
      </c>
      <c r="N234" s="64" t="s">
        <v>410</v>
      </c>
      <c r="O234" s="64" t="s">
        <v>410</v>
      </c>
    </row>
    <row r="235" spans="11:15" x14ac:dyDescent="0.3">
      <c r="K235" s="64" t="s">
        <v>410</v>
      </c>
      <c r="L235" s="64" t="s">
        <v>410</v>
      </c>
      <c r="M235" s="64" t="s">
        <v>410</v>
      </c>
      <c r="N235" s="64" t="s">
        <v>410</v>
      </c>
      <c r="O235" s="64" t="s">
        <v>410</v>
      </c>
    </row>
    <row r="236" spans="11:15" x14ac:dyDescent="0.3">
      <c r="K236" s="64" t="s">
        <v>410</v>
      </c>
      <c r="L236" s="64" t="s">
        <v>410</v>
      </c>
      <c r="M236" s="64" t="s">
        <v>410</v>
      </c>
      <c r="N236" s="64" t="s">
        <v>410</v>
      </c>
      <c r="O236" s="64" t="s">
        <v>410</v>
      </c>
    </row>
    <row r="237" spans="11:15" x14ac:dyDescent="0.3">
      <c r="K237" s="64" t="s">
        <v>410</v>
      </c>
      <c r="L237" s="64" t="s">
        <v>410</v>
      </c>
      <c r="M237" s="64" t="s">
        <v>410</v>
      </c>
      <c r="N237" s="64" t="s">
        <v>410</v>
      </c>
      <c r="O237" s="64" t="s">
        <v>410</v>
      </c>
    </row>
    <row r="238" spans="11:15" x14ac:dyDescent="0.3">
      <c r="K238" s="64" t="s">
        <v>410</v>
      </c>
      <c r="L238" s="64" t="s">
        <v>410</v>
      </c>
      <c r="M238" s="64" t="s">
        <v>410</v>
      </c>
      <c r="N238" s="64" t="s">
        <v>410</v>
      </c>
      <c r="O238" s="64" t="s">
        <v>410</v>
      </c>
    </row>
    <row r="239" spans="11:15" x14ac:dyDescent="0.3">
      <c r="K239" s="64" t="s">
        <v>410</v>
      </c>
      <c r="L239" s="64" t="s">
        <v>410</v>
      </c>
      <c r="M239" s="64" t="s">
        <v>410</v>
      </c>
      <c r="N239" s="64" t="s">
        <v>410</v>
      </c>
      <c r="O239" s="64" t="s">
        <v>410</v>
      </c>
    </row>
    <row r="240" spans="11:15" x14ac:dyDescent="0.3">
      <c r="K240" s="64" t="s">
        <v>410</v>
      </c>
      <c r="L240" s="64" t="s">
        <v>410</v>
      </c>
      <c r="M240" s="64" t="s">
        <v>410</v>
      </c>
      <c r="N240" s="64" t="s">
        <v>410</v>
      </c>
      <c r="O240" s="64" t="s">
        <v>410</v>
      </c>
    </row>
    <row r="241" spans="11:15" x14ac:dyDescent="0.3">
      <c r="K241" s="64" t="s">
        <v>410</v>
      </c>
      <c r="L241" s="64" t="s">
        <v>410</v>
      </c>
      <c r="M241" s="64" t="s">
        <v>410</v>
      </c>
      <c r="N241" s="64" t="s">
        <v>410</v>
      </c>
      <c r="O241" s="64" t="s">
        <v>410</v>
      </c>
    </row>
    <row r="242" spans="11:15" x14ac:dyDescent="0.3">
      <c r="K242" s="64" t="s">
        <v>410</v>
      </c>
      <c r="L242" s="64" t="s">
        <v>410</v>
      </c>
      <c r="M242" s="64" t="s">
        <v>410</v>
      </c>
      <c r="N242" s="64" t="s">
        <v>410</v>
      </c>
      <c r="O242" s="64" t="s">
        <v>410</v>
      </c>
    </row>
    <row r="243" spans="11:15" x14ac:dyDescent="0.3">
      <c r="K243" s="64" t="s">
        <v>410</v>
      </c>
      <c r="L243" s="64" t="s">
        <v>410</v>
      </c>
      <c r="M243" s="64" t="s">
        <v>410</v>
      </c>
      <c r="N243" s="64" t="s">
        <v>410</v>
      </c>
      <c r="O243" s="64" t="s">
        <v>410</v>
      </c>
    </row>
    <row r="244" spans="11:15" x14ac:dyDescent="0.3">
      <c r="K244" s="64" t="s">
        <v>410</v>
      </c>
      <c r="L244" s="64" t="s">
        <v>410</v>
      </c>
      <c r="M244" s="64" t="s">
        <v>410</v>
      </c>
      <c r="N244" s="64" t="s">
        <v>410</v>
      </c>
      <c r="O244" s="64" t="s">
        <v>410</v>
      </c>
    </row>
    <row r="245" spans="11:15" x14ac:dyDescent="0.3">
      <c r="K245" s="64" t="s">
        <v>410</v>
      </c>
      <c r="L245" s="64" t="s">
        <v>410</v>
      </c>
      <c r="M245" s="64" t="s">
        <v>410</v>
      </c>
      <c r="N245" s="64" t="s">
        <v>410</v>
      </c>
      <c r="O245" s="64" t="s">
        <v>410</v>
      </c>
    </row>
    <row r="246" spans="11:15" x14ac:dyDescent="0.3">
      <c r="K246" s="64" t="s">
        <v>410</v>
      </c>
      <c r="L246" s="64" t="s">
        <v>410</v>
      </c>
      <c r="M246" s="64" t="s">
        <v>410</v>
      </c>
      <c r="N246" s="64" t="s">
        <v>410</v>
      </c>
      <c r="O246" s="64" t="s">
        <v>410</v>
      </c>
    </row>
    <row r="247" spans="11:15" x14ac:dyDescent="0.3">
      <c r="K247" s="64" t="s">
        <v>410</v>
      </c>
      <c r="L247" s="64" t="s">
        <v>410</v>
      </c>
      <c r="M247" s="64" t="s">
        <v>410</v>
      </c>
      <c r="N247" s="64" t="s">
        <v>410</v>
      </c>
      <c r="O247" s="64" t="s">
        <v>410</v>
      </c>
    </row>
    <row r="248" spans="11:15" x14ac:dyDescent="0.3">
      <c r="K248" s="64" t="s">
        <v>410</v>
      </c>
      <c r="L248" s="64" t="s">
        <v>410</v>
      </c>
      <c r="M248" s="64" t="s">
        <v>410</v>
      </c>
      <c r="N248" s="64" t="s">
        <v>410</v>
      </c>
      <c r="O248" s="64" t="s">
        <v>410</v>
      </c>
    </row>
    <row r="249" spans="11:15" x14ac:dyDescent="0.3">
      <c r="K249" s="64" t="s">
        <v>410</v>
      </c>
      <c r="L249" s="64" t="s">
        <v>410</v>
      </c>
      <c r="M249" s="64" t="s">
        <v>410</v>
      </c>
      <c r="N249" s="64" t="s">
        <v>410</v>
      </c>
      <c r="O249" s="64" t="s">
        <v>410</v>
      </c>
    </row>
    <row r="250" spans="11:15" x14ac:dyDescent="0.3">
      <c r="K250" s="64" t="s">
        <v>410</v>
      </c>
      <c r="L250" s="64" t="s">
        <v>410</v>
      </c>
      <c r="M250" s="64" t="s">
        <v>410</v>
      </c>
      <c r="N250" s="64" t="s">
        <v>410</v>
      </c>
      <c r="O250" s="64" t="s">
        <v>410</v>
      </c>
    </row>
    <row r="251" spans="11:15" x14ac:dyDescent="0.3">
      <c r="K251" s="64" t="s">
        <v>410</v>
      </c>
      <c r="L251" s="64" t="s">
        <v>410</v>
      </c>
      <c r="M251" s="64" t="s">
        <v>410</v>
      </c>
      <c r="N251" s="64" t="s">
        <v>410</v>
      </c>
      <c r="O251" s="64" t="s">
        <v>410</v>
      </c>
    </row>
    <row r="252" spans="11:15" x14ac:dyDescent="0.3">
      <c r="K252" s="64" t="s">
        <v>410</v>
      </c>
      <c r="L252" s="64" t="s">
        <v>410</v>
      </c>
      <c r="M252" s="64" t="s">
        <v>410</v>
      </c>
      <c r="N252" s="64" t="s">
        <v>410</v>
      </c>
      <c r="O252" s="64" t="s">
        <v>410</v>
      </c>
    </row>
    <row r="253" spans="11:15" x14ac:dyDescent="0.3">
      <c r="K253" s="64" t="s">
        <v>410</v>
      </c>
      <c r="L253" s="64" t="s">
        <v>410</v>
      </c>
      <c r="M253" s="64" t="s">
        <v>410</v>
      </c>
      <c r="N253" s="64" t="s">
        <v>410</v>
      </c>
      <c r="O253" s="64" t="s">
        <v>410</v>
      </c>
    </row>
    <row r="254" spans="11:15" x14ac:dyDescent="0.3">
      <c r="K254" s="64" t="s">
        <v>410</v>
      </c>
      <c r="L254" s="64" t="s">
        <v>410</v>
      </c>
      <c r="M254" s="64" t="s">
        <v>410</v>
      </c>
      <c r="N254" s="64" t="s">
        <v>410</v>
      </c>
      <c r="O254" s="64" t="s">
        <v>410</v>
      </c>
    </row>
    <row r="255" spans="11:15" x14ac:dyDescent="0.3">
      <c r="K255" s="64" t="s">
        <v>410</v>
      </c>
      <c r="L255" s="64" t="s">
        <v>410</v>
      </c>
      <c r="M255" s="64" t="s">
        <v>410</v>
      </c>
      <c r="N255" s="64" t="s">
        <v>410</v>
      </c>
      <c r="O255" s="64" t="s">
        <v>410</v>
      </c>
    </row>
    <row r="256" spans="11:15" x14ac:dyDescent="0.3">
      <c r="K256" s="64" t="s">
        <v>410</v>
      </c>
      <c r="L256" s="64" t="s">
        <v>410</v>
      </c>
      <c r="M256" s="64" t="s">
        <v>410</v>
      </c>
      <c r="N256" s="64" t="s">
        <v>410</v>
      </c>
      <c r="O256" s="64" t="s">
        <v>410</v>
      </c>
    </row>
    <row r="257" spans="11:15" x14ac:dyDescent="0.3">
      <c r="K257" s="64" t="s">
        <v>410</v>
      </c>
      <c r="L257" s="64" t="s">
        <v>410</v>
      </c>
      <c r="M257" s="64" t="s">
        <v>410</v>
      </c>
      <c r="N257" s="64" t="s">
        <v>410</v>
      </c>
      <c r="O257" s="64" t="s">
        <v>410</v>
      </c>
    </row>
    <row r="258" spans="11:15" x14ac:dyDescent="0.3">
      <c r="K258" s="64" t="s">
        <v>410</v>
      </c>
      <c r="L258" s="64" t="s">
        <v>410</v>
      </c>
      <c r="M258" s="64" t="s">
        <v>410</v>
      </c>
      <c r="N258" s="64" t="s">
        <v>410</v>
      </c>
      <c r="O258" s="64" t="s">
        <v>410</v>
      </c>
    </row>
  </sheetData>
  <autoFilter ref="B3:O258" xr:uid="{B6AE03AC-4A18-45D4-9A39-5F5C716D4FEF}">
    <sortState xmlns:xlrd2="http://schemas.microsoft.com/office/spreadsheetml/2017/richdata2" ref="B4:O264">
      <sortCondition descending="1" ref="F3"/>
    </sortState>
  </autoFilter>
  <conditionalFormatting sqref="G53:G57 G70:G73 G116 G50 G12 G93:G95 G118 G131:G132 G143 G209:G212 G60:G64 G180 G75 G38:G39 G200 G192:G194 G177:G178 G165:G166 G149:G152 G35:G36 G146 G5:G7 G172:G173 G157 G168:G169 G196 G77:G81 G99:G103 G17:G23 G25 G27 G43 G85:G88 G134 G90 G105:G106 G129 G203:G204 G29 G9 G122:G127">
    <cfRule type="containsText" dxfId="6010" priority="225" operator="containsText" text="CDI">
      <formula>NOT(ISERROR(SEARCH(("CDI"),(G5))))</formula>
    </cfRule>
  </conditionalFormatting>
  <conditionalFormatting sqref="G53:G57 G70:G73 G116 G50 G12 G93:G95 G118 G131:G132 G143 G209:G212 G60:G64 G180 G75 G38:G39 G200 G192:G194 G177:G178 G165:G166 G149:G152 G35:G36 G146 G5:G7 G172:G173 G157 G168:G169 G196 G77:G81 G99:G103 G17:G23 G25 G27 G43 G85:G88 G134 G90 G105:G106 G129 G203:G204 G29 G9 G122:G127">
    <cfRule type="containsText" dxfId="6009" priority="224" operator="containsText" text="COG">
      <formula>NOT(ISERROR(SEARCH(("COG"),(G5))))</formula>
    </cfRule>
  </conditionalFormatting>
  <conditionalFormatting sqref="G164">
    <cfRule type="containsText" dxfId="6008" priority="223" operator="containsText" text="CDI">
      <formula>NOT(ISERROR(SEARCH(("CDI"),(G164))))</formula>
    </cfRule>
  </conditionalFormatting>
  <conditionalFormatting sqref="G164">
    <cfRule type="containsText" dxfId="6007" priority="222" operator="containsText" text="COG">
      <formula>NOT(ISERROR(SEARCH(("COG"),(G164))))</formula>
    </cfRule>
  </conditionalFormatting>
  <conditionalFormatting sqref="G208">
    <cfRule type="containsText" dxfId="6006" priority="221" operator="containsText" text="CDI">
      <formula>NOT(ISERROR(SEARCH(("CDI"),(G208))))</formula>
    </cfRule>
  </conditionalFormatting>
  <conditionalFormatting sqref="G208">
    <cfRule type="containsText" dxfId="6005" priority="220" operator="containsText" text="COG">
      <formula>NOT(ISERROR(SEARCH(("COG"),(G208))))</formula>
    </cfRule>
  </conditionalFormatting>
  <conditionalFormatting sqref="G119">
    <cfRule type="containsText" dxfId="6004" priority="219" operator="containsText" text="CDI">
      <formula>NOT(ISERROR(SEARCH(("CDI"),(G119))))</formula>
    </cfRule>
  </conditionalFormatting>
  <conditionalFormatting sqref="G119">
    <cfRule type="containsText" dxfId="6003" priority="218" operator="containsText" text="COG">
      <formula>NOT(ISERROR(SEARCH(("COG"),(G119))))</formula>
    </cfRule>
  </conditionalFormatting>
  <conditionalFormatting sqref="G121">
    <cfRule type="containsText" dxfId="6002" priority="217" operator="containsText" text="CDI">
      <formula>NOT(ISERROR(SEARCH(("CDI"),(G121))))</formula>
    </cfRule>
  </conditionalFormatting>
  <conditionalFormatting sqref="G121">
    <cfRule type="containsText" dxfId="6001" priority="216" operator="containsText" text="COG">
      <formula>NOT(ISERROR(SEARCH(("COG"),(G121))))</formula>
    </cfRule>
  </conditionalFormatting>
  <conditionalFormatting sqref="G181">
    <cfRule type="containsText" dxfId="6000" priority="215" operator="containsText" text="CDI">
      <formula>NOT(ISERROR(SEARCH(("CDI"),(G181))))</formula>
    </cfRule>
  </conditionalFormatting>
  <conditionalFormatting sqref="G181">
    <cfRule type="containsText" dxfId="5999" priority="214" operator="containsText" text="COG">
      <formula>NOT(ISERROR(SEARCH(("COG"),(G181))))</formula>
    </cfRule>
  </conditionalFormatting>
  <conditionalFormatting sqref="G52">
    <cfRule type="containsText" dxfId="5998" priority="213" operator="containsText" text="CDI">
      <formula>NOT(ISERROR(SEARCH(("CDI"),(G52))))</formula>
    </cfRule>
  </conditionalFormatting>
  <conditionalFormatting sqref="G52">
    <cfRule type="containsText" dxfId="5997" priority="212" operator="containsText" text="COG">
      <formula>NOT(ISERROR(SEARCH(("COG"),(G52))))</formula>
    </cfRule>
  </conditionalFormatting>
  <conditionalFormatting sqref="G67">
    <cfRule type="containsText" dxfId="5996" priority="211" operator="containsText" text="CDI">
      <formula>NOT(ISERROR(SEARCH(("CDI"),(G67))))</formula>
    </cfRule>
  </conditionalFormatting>
  <conditionalFormatting sqref="G67">
    <cfRule type="containsText" dxfId="5995" priority="210" operator="containsText" text="COG">
      <formula>NOT(ISERROR(SEARCH(("COG"),(G67))))</formula>
    </cfRule>
  </conditionalFormatting>
  <conditionalFormatting sqref="G65">
    <cfRule type="containsText" dxfId="5994" priority="209" operator="containsText" text="CDI">
      <formula>NOT(ISERROR(SEARCH(("CDI"),(G65))))</formula>
    </cfRule>
  </conditionalFormatting>
  <conditionalFormatting sqref="G65">
    <cfRule type="containsText" dxfId="5993" priority="208" operator="containsText" text="COG">
      <formula>NOT(ISERROR(SEARCH(("COG"),(G65))))</formula>
    </cfRule>
  </conditionalFormatting>
  <conditionalFormatting sqref="G163">
    <cfRule type="containsText" dxfId="5992" priority="207" operator="containsText" text="CDI">
      <formula>NOT(ISERROR(SEARCH(("CDI"),(G163))))</formula>
    </cfRule>
  </conditionalFormatting>
  <conditionalFormatting sqref="G163">
    <cfRule type="containsText" dxfId="5991" priority="206" operator="containsText" text="COG">
      <formula>NOT(ISERROR(SEARCH(("COG"),(G163))))</formula>
    </cfRule>
  </conditionalFormatting>
  <conditionalFormatting sqref="G147">
    <cfRule type="containsText" dxfId="5990" priority="205" operator="containsText" text="CDI">
      <formula>NOT(ISERROR(SEARCH(("CDI"),(G147))))</formula>
    </cfRule>
  </conditionalFormatting>
  <conditionalFormatting sqref="G147">
    <cfRule type="containsText" dxfId="5989" priority="204" operator="containsText" text="COG">
      <formula>NOT(ISERROR(SEARCH(("COG"),(G147))))</formula>
    </cfRule>
  </conditionalFormatting>
  <conditionalFormatting sqref="G4">
    <cfRule type="containsText" dxfId="5988" priority="203" operator="containsText" text="CDI">
      <formula>NOT(ISERROR(SEARCH(("CDI"),(G4))))</formula>
    </cfRule>
  </conditionalFormatting>
  <conditionalFormatting sqref="G4">
    <cfRule type="containsText" dxfId="5987" priority="202" operator="containsText" text="COG">
      <formula>NOT(ISERROR(SEARCH(("COG"),(G4))))</formula>
    </cfRule>
  </conditionalFormatting>
  <conditionalFormatting sqref="G58">
    <cfRule type="containsText" dxfId="5986" priority="201" operator="containsText" text="CDI">
      <formula>NOT(ISERROR(SEARCH(("CDI"),(G58))))</formula>
    </cfRule>
  </conditionalFormatting>
  <conditionalFormatting sqref="G58">
    <cfRule type="containsText" dxfId="5985" priority="200" operator="containsText" text="COG">
      <formula>NOT(ISERROR(SEARCH(("COG"),(G58))))</formula>
    </cfRule>
  </conditionalFormatting>
  <conditionalFormatting sqref="G91">
    <cfRule type="containsText" dxfId="5984" priority="199" operator="containsText" text="CDI">
      <formula>NOT(ISERROR(SEARCH(("CDI"),(G91))))</formula>
    </cfRule>
  </conditionalFormatting>
  <conditionalFormatting sqref="G91">
    <cfRule type="containsText" dxfId="5983" priority="198" operator="containsText" text="COG">
      <formula>NOT(ISERROR(SEARCH(("COG"),(G91))))</formula>
    </cfRule>
  </conditionalFormatting>
  <conditionalFormatting sqref="G206">
    <cfRule type="containsText" dxfId="5982" priority="197" operator="containsText" text="CDI">
      <formula>NOT(ISERROR(SEARCH(("CDI"),(G206))))</formula>
    </cfRule>
  </conditionalFormatting>
  <conditionalFormatting sqref="G206">
    <cfRule type="containsText" dxfId="5981" priority="196" operator="containsText" text="COG">
      <formula>NOT(ISERROR(SEARCH(("COG"),(G206))))</formula>
    </cfRule>
  </conditionalFormatting>
  <conditionalFormatting sqref="G114">
    <cfRule type="containsText" dxfId="5980" priority="195" operator="containsText" text="CDI">
      <formula>NOT(ISERROR(SEARCH(("CDI"),(G114))))</formula>
    </cfRule>
  </conditionalFormatting>
  <conditionalFormatting sqref="G114">
    <cfRule type="containsText" dxfId="5979" priority="194" operator="containsText" text="COG">
      <formula>NOT(ISERROR(SEARCH(("COG"),(G114))))</formula>
    </cfRule>
  </conditionalFormatting>
  <conditionalFormatting sqref="G111">
    <cfRule type="containsText" dxfId="5978" priority="193" operator="containsText" text="CDI">
      <formula>NOT(ISERROR(SEARCH(("CDI"),(G111))))</formula>
    </cfRule>
  </conditionalFormatting>
  <conditionalFormatting sqref="G111">
    <cfRule type="containsText" dxfId="5977" priority="192" operator="containsText" text="COG">
      <formula>NOT(ISERROR(SEARCH(("COG"),(G111))))</formula>
    </cfRule>
  </conditionalFormatting>
  <conditionalFormatting sqref="G47">
    <cfRule type="containsText" dxfId="5976" priority="191" operator="containsText" text="CDI">
      <formula>NOT(ISERROR(SEARCH(("CDI"),(G47))))</formula>
    </cfRule>
  </conditionalFormatting>
  <conditionalFormatting sqref="G47">
    <cfRule type="containsText" dxfId="5975" priority="190" operator="containsText" text="COG">
      <formula>NOT(ISERROR(SEARCH(("COG"),(G47))))</formula>
    </cfRule>
  </conditionalFormatting>
  <conditionalFormatting sqref="G11">
    <cfRule type="containsText" dxfId="5974" priority="189" operator="containsText" text="CDI">
      <formula>NOT(ISERROR(SEARCH(("CDI"),(G11))))</formula>
    </cfRule>
  </conditionalFormatting>
  <conditionalFormatting sqref="G11">
    <cfRule type="containsText" dxfId="5973" priority="188" operator="containsText" text="COG">
      <formula>NOT(ISERROR(SEARCH(("COG"),(G11))))</formula>
    </cfRule>
  </conditionalFormatting>
  <conditionalFormatting sqref="G37">
    <cfRule type="containsText" dxfId="5972" priority="187" operator="containsText" text="CDI">
      <formula>NOT(ISERROR(SEARCH(("CDI"),(G37))))</formula>
    </cfRule>
  </conditionalFormatting>
  <conditionalFormatting sqref="G37">
    <cfRule type="containsText" dxfId="5971" priority="186" operator="containsText" text="COG">
      <formula>NOT(ISERROR(SEARCH(("COG"),(G37))))</formula>
    </cfRule>
  </conditionalFormatting>
  <conditionalFormatting sqref="G45">
    <cfRule type="containsText" dxfId="5970" priority="185" operator="containsText" text="CDI">
      <formula>NOT(ISERROR(SEARCH(("CDI"),(G45))))</formula>
    </cfRule>
  </conditionalFormatting>
  <conditionalFormatting sqref="G45">
    <cfRule type="containsText" dxfId="5969" priority="184" operator="containsText" text="COG">
      <formula>NOT(ISERROR(SEARCH(("COG"),(G45))))</formula>
    </cfRule>
  </conditionalFormatting>
  <conditionalFormatting sqref="G117">
    <cfRule type="containsText" dxfId="5968" priority="183" operator="containsText" text="CDI">
      <formula>NOT(ISERROR(SEARCH(("CDI"),(G117))))</formula>
    </cfRule>
  </conditionalFormatting>
  <conditionalFormatting sqref="G117">
    <cfRule type="containsText" dxfId="5967" priority="182" operator="containsText" text="COG">
      <formula>NOT(ISERROR(SEARCH(("COG"),(G117))))</formula>
    </cfRule>
  </conditionalFormatting>
  <conditionalFormatting sqref="G76">
    <cfRule type="containsText" dxfId="5966" priority="181" operator="containsText" text="CDI">
      <formula>NOT(ISERROR(SEARCH(("CDI"),(G76))))</formula>
    </cfRule>
  </conditionalFormatting>
  <conditionalFormatting sqref="G76">
    <cfRule type="containsText" dxfId="5965" priority="180" operator="containsText" text="COG">
      <formula>NOT(ISERROR(SEARCH(("COG"),(G76))))</formula>
    </cfRule>
  </conditionalFormatting>
  <conditionalFormatting sqref="G176">
    <cfRule type="containsText" dxfId="5964" priority="179" operator="containsText" text="CDI">
      <formula>NOT(ISERROR(SEARCH(("CDI"),(G176))))</formula>
    </cfRule>
  </conditionalFormatting>
  <conditionalFormatting sqref="G176">
    <cfRule type="containsText" dxfId="5963" priority="178" operator="containsText" text="COG">
      <formula>NOT(ISERROR(SEARCH(("COG"),(G176))))</formula>
    </cfRule>
  </conditionalFormatting>
  <conditionalFormatting sqref="G190">
    <cfRule type="containsText" dxfId="5962" priority="177" operator="containsText" text="CDI">
      <formula>NOT(ISERROR(SEARCH(("CDI"),(G190))))</formula>
    </cfRule>
  </conditionalFormatting>
  <conditionalFormatting sqref="G190">
    <cfRule type="containsText" dxfId="5961" priority="176" operator="containsText" text="COG">
      <formula>NOT(ISERROR(SEARCH(("COG"),(G190))))</formula>
    </cfRule>
  </conditionalFormatting>
  <conditionalFormatting sqref="G130">
    <cfRule type="containsText" dxfId="5960" priority="175" operator="containsText" text="CDI">
      <formula>NOT(ISERROR(SEARCH(("CDI"),(G130))))</formula>
    </cfRule>
  </conditionalFormatting>
  <conditionalFormatting sqref="G130">
    <cfRule type="containsText" dxfId="5959" priority="174" operator="containsText" text="COG">
      <formula>NOT(ISERROR(SEARCH(("COG"),(G130))))</formula>
    </cfRule>
  </conditionalFormatting>
  <conditionalFormatting sqref="G69">
    <cfRule type="containsText" dxfId="5958" priority="173" operator="containsText" text="CDI">
      <formula>NOT(ISERROR(SEARCH(("CDI"),(G69))))</formula>
    </cfRule>
  </conditionalFormatting>
  <conditionalFormatting sqref="G69">
    <cfRule type="containsText" dxfId="5957" priority="172" operator="containsText" text="COG">
      <formula>NOT(ISERROR(SEARCH(("COG"),(G69))))</formula>
    </cfRule>
  </conditionalFormatting>
  <conditionalFormatting sqref="G97">
    <cfRule type="containsText" dxfId="5956" priority="171" operator="containsText" text="CDI">
      <formula>NOT(ISERROR(SEARCH(("CDI"),(G97))))</formula>
    </cfRule>
  </conditionalFormatting>
  <conditionalFormatting sqref="G97">
    <cfRule type="containsText" dxfId="5955" priority="170" operator="containsText" text="COG">
      <formula>NOT(ISERROR(SEARCH(("COG"),(G97))))</formula>
    </cfRule>
  </conditionalFormatting>
  <conditionalFormatting sqref="G135">
    <cfRule type="containsText" dxfId="5954" priority="169" operator="containsText" text="CDI">
      <formula>NOT(ISERROR(SEARCH(("CDI"),(G135))))</formula>
    </cfRule>
  </conditionalFormatting>
  <conditionalFormatting sqref="G135">
    <cfRule type="containsText" dxfId="5953" priority="168" operator="containsText" text="COG">
      <formula>NOT(ISERROR(SEARCH(("COG"),(G135))))</formula>
    </cfRule>
  </conditionalFormatting>
  <conditionalFormatting sqref="G179">
    <cfRule type="containsText" dxfId="5952" priority="167" operator="containsText" text="CDI">
      <formula>NOT(ISERROR(SEARCH(("CDI"),(G179))))</formula>
    </cfRule>
  </conditionalFormatting>
  <conditionalFormatting sqref="G179">
    <cfRule type="containsText" dxfId="5951" priority="166" operator="containsText" text="COG">
      <formula>NOT(ISERROR(SEARCH(("COG"),(G179))))</formula>
    </cfRule>
  </conditionalFormatting>
  <conditionalFormatting sqref="G198">
    <cfRule type="containsText" dxfId="5950" priority="165" operator="containsText" text="CDI">
      <formula>NOT(ISERROR(SEARCH(("CDI"),(G198))))</formula>
    </cfRule>
  </conditionalFormatting>
  <conditionalFormatting sqref="G198">
    <cfRule type="containsText" dxfId="5949" priority="164" operator="containsText" text="COG">
      <formula>NOT(ISERROR(SEARCH(("COG"),(G198))))</formula>
    </cfRule>
  </conditionalFormatting>
  <conditionalFormatting sqref="G145">
    <cfRule type="containsText" dxfId="5948" priority="163" operator="containsText" text="CDI">
      <formula>NOT(ISERROR(SEARCH(("CDI"),(G145))))</formula>
    </cfRule>
  </conditionalFormatting>
  <conditionalFormatting sqref="G145">
    <cfRule type="containsText" dxfId="5947" priority="162" operator="containsText" text="COG">
      <formula>NOT(ISERROR(SEARCH(("COG"),(G145))))</formula>
    </cfRule>
  </conditionalFormatting>
  <conditionalFormatting sqref="G51">
    <cfRule type="containsText" dxfId="5946" priority="161" operator="containsText" text="CDI">
      <formula>NOT(ISERROR(SEARCH(("CDI"),(G51))))</formula>
    </cfRule>
  </conditionalFormatting>
  <conditionalFormatting sqref="G51">
    <cfRule type="containsText" dxfId="5945" priority="160" operator="containsText" text="COG">
      <formula>NOT(ISERROR(SEARCH(("COG"),(G51))))</formula>
    </cfRule>
  </conditionalFormatting>
  <conditionalFormatting sqref="G46">
    <cfRule type="containsText" dxfId="5944" priority="159" operator="containsText" text="CDI">
      <formula>NOT(ISERROR(SEARCH(("CDI"),(G46))))</formula>
    </cfRule>
  </conditionalFormatting>
  <conditionalFormatting sqref="G46">
    <cfRule type="containsText" dxfId="5943" priority="158" operator="containsText" text="COG">
      <formula>NOT(ISERROR(SEARCH(("COG"),(G46))))</formula>
    </cfRule>
  </conditionalFormatting>
  <conditionalFormatting sqref="G30">
    <cfRule type="containsText" dxfId="5942" priority="157" operator="containsText" text="CDI">
      <formula>NOT(ISERROR(SEARCH(("CDI"),(G30))))</formula>
    </cfRule>
  </conditionalFormatting>
  <conditionalFormatting sqref="G30">
    <cfRule type="containsText" dxfId="5941" priority="156" operator="containsText" text="COG">
      <formula>NOT(ISERROR(SEARCH(("COG"),(G30))))</formula>
    </cfRule>
  </conditionalFormatting>
  <conditionalFormatting sqref="G14">
    <cfRule type="containsText" dxfId="5940" priority="155" operator="containsText" text="CDI">
      <formula>NOT(ISERROR(SEARCH(("CDI"),(G14))))</formula>
    </cfRule>
  </conditionalFormatting>
  <conditionalFormatting sqref="G14">
    <cfRule type="containsText" dxfId="5939" priority="154" operator="containsText" text="COG">
      <formula>NOT(ISERROR(SEARCH(("COG"),(G14))))</formula>
    </cfRule>
  </conditionalFormatting>
  <conditionalFormatting sqref="G162">
    <cfRule type="containsText" dxfId="5938" priority="153" operator="containsText" text="CDI">
      <formula>NOT(ISERROR(SEARCH(("CDI"),(G162))))</formula>
    </cfRule>
  </conditionalFormatting>
  <conditionalFormatting sqref="G162">
    <cfRule type="containsText" dxfId="5937" priority="152" operator="containsText" text="COG">
      <formula>NOT(ISERROR(SEARCH(("COG"),(G162))))</formula>
    </cfRule>
  </conditionalFormatting>
  <conditionalFormatting sqref="G49">
    <cfRule type="containsText" dxfId="5936" priority="151" operator="containsText" text="CDI">
      <formula>NOT(ISERROR(SEARCH(("CDI"),(G49))))</formula>
    </cfRule>
  </conditionalFormatting>
  <conditionalFormatting sqref="G49">
    <cfRule type="containsText" dxfId="5935" priority="150" operator="containsText" text="COG">
      <formula>NOT(ISERROR(SEARCH(("COG"),(G49))))</formula>
    </cfRule>
  </conditionalFormatting>
  <conditionalFormatting sqref="G185">
    <cfRule type="containsText" dxfId="5934" priority="149" operator="containsText" text="CDI">
      <formula>NOT(ISERROR(SEARCH(("CDI"),(G185))))</formula>
    </cfRule>
  </conditionalFormatting>
  <conditionalFormatting sqref="G185">
    <cfRule type="containsText" dxfId="5933" priority="148" operator="containsText" text="COG">
      <formula>NOT(ISERROR(SEARCH(("COG"),(G185))))</formula>
    </cfRule>
  </conditionalFormatting>
  <conditionalFormatting sqref="G167">
    <cfRule type="containsText" dxfId="5932" priority="147" operator="containsText" text="CDI">
      <formula>NOT(ISERROR(SEARCH(("CDI"),(G167))))</formula>
    </cfRule>
  </conditionalFormatting>
  <conditionalFormatting sqref="G167">
    <cfRule type="containsText" dxfId="5931" priority="146" operator="containsText" text="COG">
      <formula>NOT(ISERROR(SEARCH(("COG"),(G167))))</formula>
    </cfRule>
  </conditionalFormatting>
  <conditionalFormatting sqref="G184">
    <cfRule type="containsText" dxfId="5930" priority="145" operator="containsText" text="CDI">
      <formula>NOT(ISERROR(SEARCH(("CDI"),(G184))))</formula>
    </cfRule>
  </conditionalFormatting>
  <conditionalFormatting sqref="G184">
    <cfRule type="containsText" dxfId="5929" priority="144" operator="containsText" text="COG">
      <formula>NOT(ISERROR(SEARCH(("COG"),(G184))))</formula>
    </cfRule>
  </conditionalFormatting>
  <conditionalFormatting sqref="G74">
    <cfRule type="containsText" dxfId="5928" priority="143" operator="containsText" text="CDI">
      <formula>NOT(ISERROR(SEARCH(("CDI"),(G74))))</formula>
    </cfRule>
  </conditionalFormatting>
  <conditionalFormatting sqref="G74">
    <cfRule type="containsText" dxfId="5927" priority="142" operator="containsText" text="COG">
      <formula>NOT(ISERROR(SEARCH(("COG"),(G74))))</formula>
    </cfRule>
  </conditionalFormatting>
  <conditionalFormatting sqref="G207">
    <cfRule type="containsText" dxfId="5926" priority="141" operator="containsText" text="CDI">
      <formula>NOT(ISERROR(SEARCH(("CDI"),(G207))))</formula>
    </cfRule>
  </conditionalFormatting>
  <conditionalFormatting sqref="G207">
    <cfRule type="containsText" dxfId="5925" priority="140" operator="containsText" text="COG">
      <formula>NOT(ISERROR(SEARCH(("COG"),(G207))))</formula>
    </cfRule>
  </conditionalFormatting>
  <conditionalFormatting sqref="G92">
    <cfRule type="containsText" dxfId="5924" priority="139" operator="containsText" text="CDI">
      <formula>NOT(ISERROR(SEARCH(("CDI"),(G92))))</formula>
    </cfRule>
  </conditionalFormatting>
  <conditionalFormatting sqref="G92">
    <cfRule type="containsText" dxfId="5923" priority="138" operator="containsText" text="COG">
      <formula>NOT(ISERROR(SEARCH(("COG"),(G92))))</formula>
    </cfRule>
  </conditionalFormatting>
  <conditionalFormatting sqref="G68">
    <cfRule type="containsText" dxfId="5922" priority="137" operator="containsText" text="CDI">
      <formula>NOT(ISERROR(SEARCH(("CDI"),(G68))))</formula>
    </cfRule>
  </conditionalFormatting>
  <conditionalFormatting sqref="G68">
    <cfRule type="containsText" dxfId="5921" priority="136" operator="containsText" text="COG">
      <formula>NOT(ISERROR(SEARCH(("COG"),(G68))))</formula>
    </cfRule>
  </conditionalFormatting>
  <conditionalFormatting sqref="G139">
    <cfRule type="containsText" dxfId="5920" priority="135" operator="containsText" text="CDI">
      <formula>NOT(ISERROR(SEARCH(("CDI"),(G139))))</formula>
    </cfRule>
  </conditionalFormatting>
  <conditionalFormatting sqref="G139">
    <cfRule type="containsText" dxfId="5919" priority="134" operator="containsText" text="COG">
      <formula>NOT(ISERROR(SEARCH(("COG"),(G139))))</formula>
    </cfRule>
  </conditionalFormatting>
  <conditionalFormatting sqref="G205">
    <cfRule type="containsText" dxfId="5918" priority="133" operator="containsText" text="CDI">
      <formula>NOT(ISERROR(SEARCH(("CDI"),(G205))))</formula>
    </cfRule>
  </conditionalFormatting>
  <conditionalFormatting sqref="G205">
    <cfRule type="containsText" dxfId="5917" priority="132" operator="containsText" text="COG">
      <formula>NOT(ISERROR(SEARCH(("COG"),(G205))))</formula>
    </cfRule>
  </conditionalFormatting>
  <conditionalFormatting sqref="G110">
    <cfRule type="containsText" dxfId="5916" priority="131" operator="containsText" text="CDI">
      <formula>NOT(ISERROR(SEARCH(("CDI"),(G110))))</formula>
    </cfRule>
  </conditionalFormatting>
  <conditionalFormatting sqref="G110">
    <cfRule type="containsText" dxfId="5915" priority="130" operator="containsText" text="COG">
      <formula>NOT(ISERROR(SEARCH(("COG"),(G110))))</formula>
    </cfRule>
  </conditionalFormatting>
  <conditionalFormatting sqref="G195">
    <cfRule type="containsText" dxfId="5914" priority="129" operator="containsText" text="CDI">
      <formula>NOT(ISERROR(SEARCH(("CDI"),(G195))))</formula>
    </cfRule>
  </conditionalFormatting>
  <conditionalFormatting sqref="G195">
    <cfRule type="containsText" dxfId="5913" priority="128" operator="containsText" text="COG">
      <formula>NOT(ISERROR(SEARCH(("COG"),(G195))))</formula>
    </cfRule>
  </conditionalFormatting>
  <conditionalFormatting sqref="G191">
    <cfRule type="containsText" dxfId="5912" priority="127" operator="containsText" text="CDI">
      <formula>NOT(ISERROR(SEARCH(("CDI"),(G191))))</formula>
    </cfRule>
  </conditionalFormatting>
  <conditionalFormatting sqref="G191">
    <cfRule type="containsText" dxfId="5911" priority="126" operator="containsText" text="COG">
      <formula>NOT(ISERROR(SEARCH(("COG"),(G191))))</formula>
    </cfRule>
  </conditionalFormatting>
  <conditionalFormatting sqref="G213">
    <cfRule type="containsText" dxfId="5910" priority="125" operator="containsText" text="CDI">
      <formula>NOT(ISERROR(SEARCH(("CDI"),(G213))))</formula>
    </cfRule>
  </conditionalFormatting>
  <conditionalFormatting sqref="G213">
    <cfRule type="containsText" dxfId="5909" priority="124" operator="containsText" text="COG">
      <formula>NOT(ISERROR(SEARCH(("COG"),(G213))))</formula>
    </cfRule>
  </conditionalFormatting>
  <conditionalFormatting sqref="G120">
    <cfRule type="containsText" dxfId="5908" priority="123" operator="containsText" text="CDI">
      <formula>NOT(ISERROR(SEARCH(("CDI"),(G120))))</formula>
    </cfRule>
  </conditionalFormatting>
  <conditionalFormatting sqref="G120">
    <cfRule type="containsText" dxfId="5907" priority="122" operator="containsText" text="COG">
      <formula>NOT(ISERROR(SEARCH(("COG"),(G120))))</formula>
    </cfRule>
  </conditionalFormatting>
  <conditionalFormatting sqref="G187">
    <cfRule type="containsText" dxfId="5906" priority="121" operator="containsText" text="CDI">
      <formula>NOT(ISERROR(SEARCH(("CDI"),(G187))))</formula>
    </cfRule>
  </conditionalFormatting>
  <conditionalFormatting sqref="G187">
    <cfRule type="containsText" dxfId="5905" priority="120" operator="containsText" text="COG">
      <formula>NOT(ISERROR(SEARCH(("COG"),(G187))))</formula>
    </cfRule>
  </conditionalFormatting>
  <conditionalFormatting sqref="G214">
    <cfRule type="containsText" dxfId="5904" priority="119" operator="containsText" text="CDI">
      <formula>NOT(ISERROR(SEARCH(("CDI"),(G214))))</formula>
    </cfRule>
  </conditionalFormatting>
  <conditionalFormatting sqref="G214">
    <cfRule type="containsText" dxfId="5903" priority="118" operator="containsText" text="COG">
      <formula>NOT(ISERROR(SEARCH(("COG"),(G214))))</formula>
    </cfRule>
  </conditionalFormatting>
  <conditionalFormatting sqref="G160">
    <cfRule type="containsText" dxfId="5902" priority="117" operator="containsText" text="CDI">
      <formula>NOT(ISERROR(SEARCH(("CDI"),(G160))))</formula>
    </cfRule>
  </conditionalFormatting>
  <conditionalFormatting sqref="G160">
    <cfRule type="containsText" dxfId="5901" priority="116" operator="containsText" text="COG">
      <formula>NOT(ISERROR(SEARCH(("COG"),(G160))))</formula>
    </cfRule>
  </conditionalFormatting>
  <conditionalFormatting sqref="G202">
    <cfRule type="containsText" dxfId="5900" priority="115" operator="containsText" text="CDI">
      <formula>NOT(ISERROR(SEARCH(("CDI"),(G202))))</formula>
    </cfRule>
  </conditionalFormatting>
  <conditionalFormatting sqref="G202">
    <cfRule type="containsText" dxfId="5899" priority="114" operator="containsText" text="COG">
      <formula>NOT(ISERROR(SEARCH(("COG"),(G202))))</formula>
    </cfRule>
  </conditionalFormatting>
  <conditionalFormatting sqref="G201">
    <cfRule type="containsText" dxfId="5898" priority="113" operator="containsText" text="CDI">
      <formula>NOT(ISERROR(SEARCH(("CDI"),(G201))))</formula>
    </cfRule>
  </conditionalFormatting>
  <conditionalFormatting sqref="G201">
    <cfRule type="containsText" dxfId="5897" priority="112" operator="containsText" text="COG">
      <formula>NOT(ISERROR(SEARCH(("COG"),(G201))))</formula>
    </cfRule>
  </conditionalFormatting>
  <conditionalFormatting sqref="G140">
    <cfRule type="containsText" dxfId="5896" priority="111" operator="containsText" text="CDI">
      <formula>NOT(ISERROR(SEARCH(("CDI"),(G140))))</formula>
    </cfRule>
  </conditionalFormatting>
  <conditionalFormatting sqref="G140">
    <cfRule type="containsText" dxfId="5895" priority="110" operator="containsText" text="COG">
      <formula>NOT(ISERROR(SEARCH(("COG"),(G140))))</formula>
    </cfRule>
  </conditionalFormatting>
  <conditionalFormatting sqref="G174">
    <cfRule type="containsText" dxfId="5894" priority="109" operator="containsText" text="CDI">
      <formula>NOT(ISERROR(SEARCH(("CDI"),(G174))))</formula>
    </cfRule>
  </conditionalFormatting>
  <conditionalFormatting sqref="G174">
    <cfRule type="containsText" dxfId="5893" priority="108" operator="containsText" text="COG">
      <formula>NOT(ISERROR(SEARCH(("COG"),(G174))))</formula>
    </cfRule>
  </conditionalFormatting>
  <conditionalFormatting sqref="G13">
    <cfRule type="containsText" dxfId="5892" priority="107" operator="containsText" text="CDI">
      <formula>NOT(ISERROR(SEARCH(("CDI"),(G13))))</formula>
    </cfRule>
  </conditionalFormatting>
  <conditionalFormatting sqref="G13">
    <cfRule type="containsText" dxfId="5891" priority="106" operator="containsText" text="COG">
      <formula>NOT(ISERROR(SEARCH(("COG"),(G13))))</formula>
    </cfRule>
  </conditionalFormatting>
  <conditionalFormatting sqref="G115">
    <cfRule type="containsText" dxfId="5890" priority="105" operator="containsText" text="CDI">
      <formula>NOT(ISERROR(SEARCH(("CDI"),(G115))))</formula>
    </cfRule>
  </conditionalFormatting>
  <conditionalFormatting sqref="G115">
    <cfRule type="containsText" dxfId="5889" priority="104" operator="containsText" text="COG">
      <formula>NOT(ISERROR(SEARCH(("COG"),(G115))))</formula>
    </cfRule>
  </conditionalFormatting>
  <conditionalFormatting sqref="G112">
    <cfRule type="containsText" dxfId="5888" priority="103" operator="containsText" text="CDI">
      <formula>NOT(ISERROR(SEARCH(("CDI"),(G112))))</formula>
    </cfRule>
  </conditionalFormatting>
  <conditionalFormatting sqref="G112">
    <cfRule type="containsText" dxfId="5887" priority="102" operator="containsText" text="COG">
      <formula>NOT(ISERROR(SEARCH(("COG"),(G112))))</formula>
    </cfRule>
  </conditionalFormatting>
  <conditionalFormatting sqref="G109">
    <cfRule type="containsText" dxfId="5886" priority="101" operator="containsText" text="CDI">
      <formula>NOT(ISERROR(SEARCH(("CDI"),(G109))))</formula>
    </cfRule>
  </conditionalFormatting>
  <conditionalFormatting sqref="G109">
    <cfRule type="containsText" dxfId="5885" priority="100" operator="containsText" text="COG">
      <formula>NOT(ISERROR(SEARCH(("COG"),(G109))))</formula>
    </cfRule>
  </conditionalFormatting>
  <conditionalFormatting sqref="G24">
    <cfRule type="containsText" dxfId="5884" priority="99" operator="containsText" text="CDI">
      <formula>NOT(ISERROR(SEARCH(("CDI"),(G24))))</formula>
    </cfRule>
  </conditionalFormatting>
  <conditionalFormatting sqref="G24">
    <cfRule type="containsText" dxfId="5883" priority="98" operator="containsText" text="COG">
      <formula>NOT(ISERROR(SEARCH(("COG"),(G24))))</formula>
    </cfRule>
  </conditionalFormatting>
  <conditionalFormatting sqref="G41">
    <cfRule type="containsText" dxfId="5882" priority="97" operator="containsText" text="CDI">
      <formula>NOT(ISERROR(SEARCH(("CDI"),(G41))))</formula>
    </cfRule>
  </conditionalFormatting>
  <conditionalFormatting sqref="G41">
    <cfRule type="containsText" dxfId="5881" priority="96" operator="containsText" text="COG">
      <formula>NOT(ISERROR(SEARCH(("COG"),(G41))))</formula>
    </cfRule>
  </conditionalFormatting>
  <conditionalFormatting sqref="G26">
    <cfRule type="containsText" dxfId="5880" priority="95" operator="containsText" text="CDI">
      <formula>NOT(ISERROR(SEARCH(("CDI"),(G26))))</formula>
    </cfRule>
  </conditionalFormatting>
  <conditionalFormatting sqref="G26">
    <cfRule type="containsText" dxfId="5879" priority="94" operator="containsText" text="COG">
      <formula>NOT(ISERROR(SEARCH(("COG"),(G26))))</formula>
    </cfRule>
  </conditionalFormatting>
  <conditionalFormatting sqref="G82">
    <cfRule type="containsText" dxfId="5878" priority="93" operator="containsText" text="CDI">
      <formula>NOT(ISERROR(SEARCH(("CDI"),(G82))))</formula>
    </cfRule>
  </conditionalFormatting>
  <conditionalFormatting sqref="G82">
    <cfRule type="containsText" dxfId="5877" priority="92" operator="containsText" text="COG">
      <formula>NOT(ISERROR(SEARCH(("COG"),(G82))))</formula>
    </cfRule>
  </conditionalFormatting>
  <conditionalFormatting sqref="G98">
    <cfRule type="containsText" dxfId="5876" priority="91" operator="containsText" text="CDI">
      <formula>NOT(ISERROR(SEARCH(("CDI"),(G98))))</formula>
    </cfRule>
  </conditionalFormatting>
  <conditionalFormatting sqref="G98">
    <cfRule type="containsText" dxfId="5875" priority="90" operator="containsText" text="COG">
      <formula>NOT(ISERROR(SEARCH(("COG"),(G98))))</formula>
    </cfRule>
  </conditionalFormatting>
  <conditionalFormatting sqref="G175">
    <cfRule type="containsText" dxfId="5874" priority="89" operator="containsText" text="CDI">
      <formula>NOT(ISERROR(SEARCH(("CDI"),(G175))))</formula>
    </cfRule>
  </conditionalFormatting>
  <conditionalFormatting sqref="G175">
    <cfRule type="containsText" dxfId="5873" priority="88" operator="containsText" text="COG">
      <formula>NOT(ISERROR(SEARCH(("COG"),(G175))))</formula>
    </cfRule>
  </conditionalFormatting>
  <conditionalFormatting sqref="G15">
    <cfRule type="containsText" dxfId="5872" priority="87" operator="containsText" text="CDI">
      <formula>NOT(ISERROR(SEARCH(("CDI"),(G15))))</formula>
    </cfRule>
  </conditionalFormatting>
  <conditionalFormatting sqref="G15">
    <cfRule type="containsText" dxfId="5871" priority="86" operator="containsText" text="COG">
      <formula>NOT(ISERROR(SEARCH(("COG"),(G15))))</formula>
    </cfRule>
  </conditionalFormatting>
  <conditionalFormatting sqref="G133">
    <cfRule type="containsText" dxfId="5870" priority="85" operator="containsText" text="CDI">
      <formula>NOT(ISERROR(SEARCH(("CDI"),(G133))))</formula>
    </cfRule>
  </conditionalFormatting>
  <conditionalFormatting sqref="G133">
    <cfRule type="containsText" dxfId="5869" priority="84" operator="containsText" text="COG">
      <formula>NOT(ISERROR(SEARCH(("COG"),(G133))))</formula>
    </cfRule>
  </conditionalFormatting>
  <conditionalFormatting sqref="G33">
    <cfRule type="containsText" dxfId="5868" priority="83" operator="containsText" text="CDI">
      <formula>NOT(ISERROR(SEARCH(("CDI"),(G33))))</formula>
    </cfRule>
  </conditionalFormatting>
  <conditionalFormatting sqref="G33">
    <cfRule type="containsText" dxfId="5867" priority="82" operator="containsText" text="COG">
      <formula>NOT(ISERROR(SEARCH(("COG"),(G33))))</formula>
    </cfRule>
  </conditionalFormatting>
  <conditionalFormatting sqref="G34">
    <cfRule type="containsText" dxfId="5866" priority="81" operator="containsText" text="CDI">
      <formula>NOT(ISERROR(SEARCH(("CDI"),(G34))))</formula>
    </cfRule>
  </conditionalFormatting>
  <conditionalFormatting sqref="G34">
    <cfRule type="containsText" dxfId="5865" priority="80" operator="containsText" text="COG">
      <formula>NOT(ISERROR(SEARCH(("COG"),(G34))))</formula>
    </cfRule>
  </conditionalFormatting>
  <conditionalFormatting sqref="G44">
    <cfRule type="containsText" dxfId="5864" priority="79" operator="containsText" text="CDI">
      <formula>NOT(ISERROR(SEARCH(("CDI"),(G44))))</formula>
    </cfRule>
  </conditionalFormatting>
  <conditionalFormatting sqref="G44">
    <cfRule type="containsText" dxfId="5863" priority="78" operator="containsText" text="COG">
      <formula>NOT(ISERROR(SEARCH(("COG"),(G44))))</formula>
    </cfRule>
  </conditionalFormatting>
  <conditionalFormatting sqref="G144">
    <cfRule type="containsText" dxfId="5862" priority="77" operator="containsText" text="CDI">
      <formula>NOT(ISERROR(SEARCH(("CDI"),(G144))))</formula>
    </cfRule>
  </conditionalFormatting>
  <conditionalFormatting sqref="G144">
    <cfRule type="containsText" dxfId="5861" priority="76" operator="containsText" text="COG">
      <formula>NOT(ISERROR(SEARCH(("COG"),(G144))))</formula>
    </cfRule>
  </conditionalFormatting>
  <conditionalFormatting sqref="G182">
    <cfRule type="containsText" dxfId="5860" priority="75" operator="containsText" text="CDI">
      <formula>NOT(ISERROR(SEARCH(("CDI"),(G182))))</formula>
    </cfRule>
  </conditionalFormatting>
  <conditionalFormatting sqref="G182">
    <cfRule type="containsText" dxfId="5859" priority="74" operator="containsText" text="COG">
      <formula>NOT(ISERROR(SEARCH(("COG"),(G182))))</formula>
    </cfRule>
  </conditionalFormatting>
  <conditionalFormatting sqref="G142">
    <cfRule type="containsText" dxfId="5858" priority="73" operator="containsText" text="CDI">
      <formula>NOT(ISERROR(SEARCH(("CDI"),(G142))))</formula>
    </cfRule>
  </conditionalFormatting>
  <conditionalFormatting sqref="G142">
    <cfRule type="containsText" dxfId="5857" priority="72" operator="containsText" text="COG">
      <formula>NOT(ISERROR(SEARCH(("COG"),(G142))))</formula>
    </cfRule>
  </conditionalFormatting>
  <conditionalFormatting sqref="G40">
    <cfRule type="containsText" dxfId="5856" priority="71" operator="containsText" text="CDI">
      <formula>NOT(ISERROR(SEARCH(("CDI"),(G40))))</formula>
    </cfRule>
  </conditionalFormatting>
  <conditionalFormatting sqref="G40">
    <cfRule type="containsText" dxfId="5855" priority="70" operator="containsText" text="COG">
      <formula>NOT(ISERROR(SEARCH(("COG"),(G40))))</formula>
    </cfRule>
  </conditionalFormatting>
  <conditionalFormatting sqref="G10">
    <cfRule type="containsText" dxfId="5854" priority="69" operator="containsText" text="CDI">
      <formula>NOT(ISERROR(SEARCH(("CDI"),(G10))))</formula>
    </cfRule>
  </conditionalFormatting>
  <conditionalFormatting sqref="G10">
    <cfRule type="containsText" dxfId="5853" priority="68" operator="containsText" text="COG">
      <formula>NOT(ISERROR(SEARCH(("COG"),(G10))))</formula>
    </cfRule>
  </conditionalFormatting>
  <conditionalFormatting sqref="G48">
    <cfRule type="containsText" dxfId="5852" priority="67" operator="containsText" text="CDI">
      <formula>NOT(ISERROR(SEARCH(("CDI"),(G48))))</formula>
    </cfRule>
  </conditionalFormatting>
  <conditionalFormatting sqref="G48">
    <cfRule type="containsText" dxfId="5851" priority="66" operator="containsText" text="COG">
      <formula>NOT(ISERROR(SEARCH(("COG"),(G48))))</formula>
    </cfRule>
  </conditionalFormatting>
  <conditionalFormatting sqref="G89">
    <cfRule type="containsText" dxfId="5850" priority="65" operator="containsText" text="CDI">
      <formula>NOT(ISERROR(SEARCH(("CDI"),(G89))))</formula>
    </cfRule>
  </conditionalFormatting>
  <conditionalFormatting sqref="G89">
    <cfRule type="containsText" dxfId="5849" priority="64" operator="containsText" text="COG">
      <formula>NOT(ISERROR(SEARCH(("COG"),(G89))))</formula>
    </cfRule>
  </conditionalFormatting>
  <conditionalFormatting sqref="G104">
    <cfRule type="containsText" dxfId="5848" priority="63" operator="containsText" text="CDI">
      <formula>NOT(ISERROR(SEARCH(("CDI"),(G104))))</formula>
    </cfRule>
  </conditionalFormatting>
  <conditionalFormatting sqref="G104">
    <cfRule type="containsText" dxfId="5847" priority="62" operator="containsText" text="COG">
      <formula>NOT(ISERROR(SEARCH(("COG"),(G104))))</formula>
    </cfRule>
  </conditionalFormatting>
  <conditionalFormatting sqref="G141">
    <cfRule type="containsText" dxfId="5846" priority="61" operator="containsText" text="CDI">
      <formula>NOT(ISERROR(SEARCH(("CDI"),(G141))))</formula>
    </cfRule>
  </conditionalFormatting>
  <conditionalFormatting sqref="G141">
    <cfRule type="containsText" dxfId="5845" priority="60" operator="containsText" text="COG">
      <formula>NOT(ISERROR(SEARCH(("COG"),(G141))))</formula>
    </cfRule>
  </conditionalFormatting>
  <conditionalFormatting sqref="G138">
    <cfRule type="containsText" dxfId="5844" priority="59" operator="containsText" text="CDI">
      <formula>NOT(ISERROR(SEARCH(("CDI"),(G138))))</formula>
    </cfRule>
  </conditionalFormatting>
  <conditionalFormatting sqref="G138">
    <cfRule type="containsText" dxfId="5843" priority="58" operator="containsText" text="COG">
      <formula>NOT(ISERROR(SEARCH(("COG"),(G138))))</formula>
    </cfRule>
  </conditionalFormatting>
  <conditionalFormatting sqref="G148">
    <cfRule type="containsText" dxfId="5842" priority="57" operator="containsText" text="CDI">
      <formula>NOT(ISERROR(SEARCH(("CDI"),(G148))))</formula>
    </cfRule>
  </conditionalFormatting>
  <conditionalFormatting sqref="G148">
    <cfRule type="containsText" dxfId="5841" priority="56" operator="containsText" text="COG">
      <formula>NOT(ISERROR(SEARCH(("COG"),(G148))))</formula>
    </cfRule>
  </conditionalFormatting>
  <conditionalFormatting sqref="G169">
    <cfRule type="containsText" dxfId="5840" priority="55" operator="containsText" text="CDI">
      <formula>NOT(ISERROR(SEARCH(("CDI"),(G169))))</formula>
    </cfRule>
  </conditionalFormatting>
  <conditionalFormatting sqref="G169">
    <cfRule type="containsText" dxfId="5839" priority="54" operator="containsText" text="COG">
      <formula>NOT(ISERROR(SEARCH(("COG"),(G169))))</formula>
    </cfRule>
  </conditionalFormatting>
  <conditionalFormatting sqref="G158">
    <cfRule type="containsText" dxfId="5838" priority="53" operator="containsText" text="CDI">
      <formula>NOT(ISERROR(SEARCH(("CDI"),(G158))))</formula>
    </cfRule>
  </conditionalFormatting>
  <conditionalFormatting sqref="G158">
    <cfRule type="containsText" dxfId="5837" priority="52" operator="containsText" text="COG">
      <formula>NOT(ISERROR(SEARCH(("COG"),(G158))))</formula>
    </cfRule>
  </conditionalFormatting>
  <conditionalFormatting sqref="G59">
    <cfRule type="containsText" dxfId="5836" priority="51" operator="containsText" text="CDI">
      <formula>NOT(ISERROR(SEARCH(("CDI"),(G59))))</formula>
    </cfRule>
  </conditionalFormatting>
  <conditionalFormatting sqref="G59">
    <cfRule type="containsText" dxfId="5835" priority="50" operator="containsText" text="COG">
      <formula>NOT(ISERROR(SEARCH(("COG"),(G59))))</formula>
    </cfRule>
  </conditionalFormatting>
  <conditionalFormatting sqref="G107">
    <cfRule type="containsText" dxfId="5834" priority="49" operator="containsText" text="CDI">
      <formula>NOT(ISERROR(SEARCH(("CDI"),(G107))))</formula>
    </cfRule>
  </conditionalFormatting>
  <conditionalFormatting sqref="G107">
    <cfRule type="containsText" dxfId="5833" priority="48" operator="containsText" text="COG">
      <formula>NOT(ISERROR(SEARCH(("COG"),(G107))))</formula>
    </cfRule>
  </conditionalFormatting>
  <conditionalFormatting sqref="G197">
    <cfRule type="containsText" dxfId="5832" priority="47" operator="containsText" text="CDI">
      <formula>NOT(ISERROR(SEARCH(("CDI"),(G197))))</formula>
    </cfRule>
  </conditionalFormatting>
  <conditionalFormatting sqref="G197">
    <cfRule type="containsText" dxfId="5831" priority="46" operator="containsText" text="COG">
      <formula>NOT(ISERROR(SEARCH(("COG"),(G197))))</formula>
    </cfRule>
  </conditionalFormatting>
  <conditionalFormatting sqref="G153">
    <cfRule type="containsText" dxfId="5830" priority="45" operator="containsText" text="CDI">
      <formula>NOT(ISERROR(SEARCH(("CDI"),(G153))))</formula>
    </cfRule>
  </conditionalFormatting>
  <conditionalFormatting sqref="G153">
    <cfRule type="containsText" dxfId="5829" priority="44" operator="containsText" text="COG">
      <formula>NOT(ISERROR(SEARCH(("COG"),(G153))))</formula>
    </cfRule>
  </conditionalFormatting>
  <conditionalFormatting sqref="G113">
    <cfRule type="containsText" dxfId="5828" priority="43" operator="containsText" text="CDI">
      <formula>NOT(ISERROR(SEARCH(("CDI"),(G113))))</formula>
    </cfRule>
  </conditionalFormatting>
  <conditionalFormatting sqref="G113">
    <cfRule type="containsText" dxfId="5827" priority="42" operator="containsText" text="COG">
      <formula>NOT(ISERROR(SEARCH(("COG"),(G113))))</formula>
    </cfRule>
  </conditionalFormatting>
  <conditionalFormatting sqref="G136">
    <cfRule type="containsText" dxfId="5826" priority="41" operator="containsText" text="CDI">
      <formula>NOT(ISERROR(SEARCH(("CDI"),(G136))))</formula>
    </cfRule>
  </conditionalFormatting>
  <conditionalFormatting sqref="G136">
    <cfRule type="containsText" dxfId="5825" priority="40" operator="containsText" text="COG">
      <formula>NOT(ISERROR(SEARCH(("COG"),(G136))))</formula>
    </cfRule>
  </conditionalFormatting>
  <conditionalFormatting sqref="G128">
    <cfRule type="containsText" dxfId="5824" priority="39" operator="containsText" text="CDI">
      <formula>NOT(ISERROR(SEARCH(("CDI"),(G128))))</formula>
    </cfRule>
  </conditionalFormatting>
  <conditionalFormatting sqref="G128">
    <cfRule type="containsText" dxfId="5823" priority="38" operator="containsText" text="COG">
      <formula>NOT(ISERROR(SEARCH(("COG"),(G128))))</formula>
    </cfRule>
  </conditionalFormatting>
  <conditionalFormatting sqref="G156">
    <cfRule type="containsText" dxfId="5822" priority="37" operator="containsText" text="CDI">
      <formula>NOT(ISERROR(SEARCH(("CDI"),(G156))))</formula>
    </cfRule>
  </conditionalFormatting>
  <conditionalFormatting sqref="G156">
    <cfRule type="containsText" dxfId="5821" priority="36" operator="containsText" text="COG">
      <formula>NOT(ISERROR(SEARCH(("COG"),(G156))))</formula>
    </cfRule>
  </conditionalFormatting>
  <conditionalFormatting sqref="G31">
    <cfRule type="containsText" dxfId="5820" priority="35" operator="containsText" text="CDI">
      <formula>NOT(ISERROR(SEARCH(("CDI"),(G31))))</formula>
    </cfRule>
  </conditionalFormatting>
  <conditionalFormatting sqref="G31">
    <cfRule type="containsText" dxfId="5819" priority="34" operator="containsText" text="COG">
      <formula>NOT(ISERROR(SEARCH(("COG"),(G31))))</formula>
    </cfRule>
  </conditionalFormatting>
  <conditionalFormatting sqref="G28">
    <cfRule type="containsText" dxfId="5818" priority="33" operator="containsText" text="CDI">
      <formula>NOT(ISERROR(SEARCH(("CDI"),(G28))))</formula>
    </cfRule>
  </conditionalFormatting>
  <conditionalFormatting sqref="G28">
    <cfRule type="containsText" dxfId="5817" priority="32" operator="containsText" text="COG">
      <formula>NOT(ISERROR(SEARCH(("COG"),(G28))))</formula>
    </cfRule>
  </conditionalFormatting>
  <conditionalFormatting sqref="G186">
    <cfRule type="containsText" dxfId="5816" priority="31" operator="containsText" text="CDI">
      <formula>NOT(ISERROR(SEARCH(("CDI"),(G186))))</formula>
    </cfRule>
  </conditionalFormatting>
  <conditionalFormatting sqref="G186">
    <cfRule type="containsText" dxfId="5815" priority="30" operator="containsText" text="COG">
      <formula>NOT(ISERROR(SEARCH(("COG"),(G186))))</formula>
    </cfRule>
  </conditionalFormatting>
  <conditionalFormatting sqref="G83">
    <cfRule type="containsText" dxfId="5814" priority="29" operator="containsText" text="CDI">
      <formula>NOT(ISERROR(SEARCH(("CDI"),(G83))))</formula>
    </cfRule>
  </conditionalFormatting>
  <conditionalFormatting sqref="G83">
    <cfRule type="containsText" dxfId="5813" priority="28" operator="containsText" text="COG">
      <formula>NOT(ISERROR(SEARCH(("COG"),(G83))))</formula>
    </cfRule>
  </conditionalFormatting>
  <conditionalFormatting sqref="G42">
    <cfRule type="containsText" dxfId="5812" priority="27" operator="containsText" text="CDI">
      <formula>NOT(ISERROR(SEARCH(("CDI"),(G42))))</formula>
    </cfRule>
  </conditionalFormatting>
  <conditionalFormatting sqref="G42">
    <cfRule type="containsText" dxfId="5811" priority="26" operator="containsText" text="COG">
      <formula>NOT(ISERROR(SEARCH(("COG"),(G42))))</formula>
    </cfRule>
  </conditionalFormatting>
  <conditionalFormatting sqref="G66">
    <cfRule type="containsText" dxfId="5810" priority="25" operator="containsText" text="CDI">
      <formula>NOT(ISERROR(SEARCH(("CDI"),(G66))))</formula>
    </cfRule>
  </conditionalFormatting>
  <conditionalFormatting sqref="G66">
    <cfRule type="containsText" dxfId="5809" priority="24" operator="containsText" text="COG">
      <formula>NOT(ISERROR(SEARCH(("COG"),(G66))))</formula>
    </cfRule>
  </conditionalFormatting>
  <conditionalFormatting sqref="G159">
    <cfRule type="containsText" dxfId="5808" priority="23" operator="containsText" text="CDI">
      <formula>NOT(ISERROR(SEARCH(("CDI"),(G159))))</formula>
    </cfRule>
  </conditionalFormatting>
  <conditionalFormatting sqref="G159">
    <cfRule type="containsText" dxfId="5807" priority="22" operator="containsText" text="COG">
      <formula>NOT(ISERROR(SEARCH(("COG"),(G159))))</formula>
    </cfRule>
  </conditionalFormatting>
  <conditionalFormatting sqref="G170">
    <cfRule type="containsText" dxfId="5806" priority="21" operator="containsText" text="CDI">
      <formula>NOT(ISERROR(SEARCH(("CDI"),(G170))))</formula>
    </cfRule>
  </conditionalFormatting>
  <conditionalFormatting sqref="G170">
    <cfRule type="containsText" dxfId="5805" priority="20" operator="containsText" text="COG">
      <formula>NOT(ISERROR(SEARCH(("COG"),(G170))))</formula>
    </cfRule>
  </conditionalFormatting>
  <conditionalFormatting sqref="G199">
    <cfRule type="containsText" dxfId="5804" priority="19" operator="containsText" text="CDI">
      <formula>NOT(ISERROR(SEARCH(("CDI"),(G199))))</formula>
    </cfRule>
  </conditionalFormatting>
  <conditionalFormatting sqref="G199">
    <cfRule type="containsText" dxfId="5803" priority="18" operator="containsText" text="COG">
      <formula>NOT(ISERROR(SEARCH(("COG"),(G199))))</formula>
    </cfRule>
  </conditionalFormatting>
  <conditionalFormatting sqref="G32">
    <cfRule type="containsText" dxfId="5802" priority="17" operator="containsText" text="CDI">
      <formula>NOT(ISERROR(SEARCH(("CDI"),(G32))))</formula>
    </cfRule>
  </conditionalFormatting>
  <conditionalFormatting sqref="G32">
    <cfRule type="containsText" dxfId="5801" priority="16" operator="containsText" text="COG">
      <formula>NOT(ISERROR(SEARCH(("COG"),(G32))))</formula>
    </cfRule>
  </conditionalFormatting>
  <conditionalFormatting sqref="G137">
    <cfRule type="containsText" dxfId="5800" priority="15" operator="containsText" text="CDI">
      <formula>NOT(ISERROR(SEARCH(("CDI"),(G137))))</formula>
    </cfRule>
  </conditionalFormatting>
  <conditionalFormatting sqref="G137">
    <cfRule type="containsText" dxfId="5799" priority="14" operator="containsText" text="COG">
      <formula>NOT(ISERROR(SEARCH(("COG"),(G137))))</formula>
    </cfRule>
  </conditionalFormatting>
  <conditionalFormatting sqref="G8">
    <cfRule type="containsText" dxfId="5798" priority="13" operator="containsText" text="CDI">
      <formula>NOT(ISERROR(SEARCH(("CDI"),(G8))))</formula>
    </cfRule>
  </conditionalFormatting>
  <conditionalFormatting sqref="G8">
    <cfRule type="containsText" dxfId="5797" priority="12" operator="containsText" text="COG">
      <formula>NOT(ISERROR(SEARCH(("COG"),(G8))))</formula>
    </cfRule>
  </conditionalFormatting>
  <conditionalFormatting sqref="G84">
    <cfRule type="containsText" dxfId="5796" priority="11" operator="containsText" text="CDI">
      <formula>NOT(ISERROR(SEARCH(("CDI"),(G84))))</formula>
    </cfRule>
  </conditionalFormatting>
  <conditionalFormatting sqref="G84">
    <cfRule type="containsText" dxfId="5795" priority="10" operator="containsText" text="COG">
      <formula>NOT(ISERROR(SEARCH(("COG"),(G84))))</formula>
    </cfRule>
  </conditionalFormatting>
  <conditionalFormatting sqref="G108">
    <cfRule type="containsText" dxfId="5794" priority="9" operator="containsText" text="CDI">
      <formula>NOT(ISERROR(SEARCH(("CDI"),(G108))))</formula>
    </cfRule>
  </conditionalFormatting>
  <conditionalFormatting sqref="G108">
    <cfRule type="containsText" dxfId="5793" priority="8" operator="containsText" text="COG">
      <formula>NOT(ISERROR(SEARCH(("COG"),(G108))))</formula>
    </cfRule>
  </conditionalFormatting>
  <conditionalFormatting sqref="K4:O258">
    <cfRule type="containsText" dxfId="5792" priority="1" operator="containsText" text="FILM">
      <formula>NOT(ISERROR(SEARCH("FILM",K4)))</formula>
    </cfRule>
    <cfRule type="containsText" dxfId="5791" priority="2" operator="containsText" text="VRAC">
      <formula>NOT(ISERROR(SEARCH("VRAC",K4)))</formula>
    </cfRule>
    <cfRule type="containsText" dxfId="5790" priority="3" operator="containsText" text="ECHANT">
      <formula>NOT(ISERROR(SEARCH("ECHANT",K4)))</formula>
    </cfRule>
    <cfRule type="containsText" dxfId="5789" priority="4" operator="containsText" text="CAR">
      <formula>NOT(ISERROR(SEARCH("CAR",K4)))</formula>
    </cfRule>
    <cfRule type="containsText" dxfId="5788" priority="5" operator="containsText" text="ETIQ">
      <formula>NOT(ISERROR(SEARCH("ETIQ",K4)))</formula>
    </cfRule>
    <cfRule type="containsText" dxfId="5787" priority="6" operator="containsText" text="ENCA">
      <formula>NOT(ISERROR(SEARCH("ENCA",K4)))</formula>
    </cfRule>
    <cfRule type="containsText" dxfId="5786" priority="7" operator="containsText" text="FERIE">
      <formula>NOT(ISERROR(SEARCH("FERIE",K4)))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2C6AABD-CFF3-4B54-A2E1-615F89D7DE5D}">
          <x14:formula1>
            <xm:f>Listes!$A$1:$A$155</xm:f>
          </x14:formula1>
          <xm:sqref>K4:O258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F6D9-1C1A-4315-9B41-D143EB842052}">
  <sheetPr codeName="Feuil9">
    <tabColor rgb="FFFFFF00"/>
  </sheetPr>
  <dimension ref="A1:NS55"/>
  <sheetViews>
    <sheetView showGridLines="0" zoomScale="70" zoomScaleNormal="70" workbookViewId="0">
      <pane xSplit="4" topLeftCell="HC1" activePane="topRight" state="frozen"/>
      <selection pane="topRight" activeCell="HH6" sqref="HH6"/>
    </sheetView>
  </sheetViews>
  <sheetFormatPr baseColWidth="10" defaultColWidth="9.33203125" defaultRowHeight="14.4" x14ac:dyDescent="0.3"/>
  <cols>
    <col min="1" max="1" width="3.33203125" style="294" customWidth="1"/>
    <col min="2" max="2" width="18.44140625" style="305" customWidth="1"/>
    <col min="3" max="3" width="18.33203125" style="305" customWidth="1"/>
    <col min="4" max="4" width="1.6640625" style="305" customWidth="1"/>
    <col min="6" max="18" width="9.33203125" style="204"/>
  </cols>
  <sheetData>
    <row r="1" spans="1:383" s="196" customFormat="1" ht="15" thickBot="1" x14ac:dyDescent="0.35">
      <c r="A1" s="294"/>
      <c r="B1" s="305"/>
      <c r="C1" s="305"/>
      <c r="D1" s="305"/>
      <c r="E1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/>
      <c r="T1"/>
      <c r="U1"/>
      <c r="V1"/>
      <c r="W1"/>
      <c r="X1"/>
      <c r="Y1"/>
      <c r="Z1"/>
      <c r="AA1" s="329"/>
      <c r="AB1" s="329"/>
      <c r="AC1" s="329"/>
      <c r="AD1" s="329"/>
      <c r="AE1" s="329"/>
      <c r="AF1" s="329"/>
      <c r="AG1"/>
      <c r="AH1" s="329"/>
      <c r="AI1" s="329"/>
      <c r="AJ1" s="329"/>
      <c r="AK1" s="329"/>
      <c r="AL1" s="329"/>
      <c r="AM1" s="329"/>
      <c r="AN1"/>
      <c r="AO1" s="329"/>
      <c r="AP1" s="329"/>
      <c r="AQ1" s="329"/>
      <c r="AR1" s="329"/>
      <c r="AS1" s="329"/>
      <c r="AT1" s="329"/>
      <c r="AU1"/>
      <c r="AV1" s="329"/>
      <c r="AW1" s="329"/>
      <c r="AX1" s="329"/>
      <c r="AY1" s="329"/>
      <c r="AZ1" s="329"/>
      <c r="BA1" s="329"/>
      <c r="BB1"/>
      <c r="BC1" s="329"/>
      <c r="BD1" s="329"/>
      <c r="BE1" s="329"/>
      <c r="BF1" s="329"/>
      <c r="BG1" s="329"/>
      <c r="BH1" s="329"/>
      <c r="BI1"/>
      <c r="BJ1" s="329"/>
      <c r="BK1" s="329"/>
      <c r="BL1" s="329"/>
      <c r="BM1" s="329"/>
      <c r="BN1" s="329"/>
      <c r="BO1" s="329"/>
      <c r="BP1"/>
      <c r="BQ1" s="329"/>
      <c r="BR1" s="329"/>
      <c r="BS1" s="329"/>
      <c r="BT1" s="329"/>
      <c r="BU1" s="329"/>
      <c r="BV1" s="329"/>
      <c r="BW1"/>
      <c r="BX1" s="329"/>
      <c r="BY1" s="329"/>
      <c r="BZ1" s="329"/>
      <c r="CA1" s="329"/>
      <c r="CB1" s="329"/>
      <c r="CC1" s="329"/>
      <c r="CD1"/>
      <c r="CE1" s="329"/>
      <c r="CF1" s="329"/>
      <c r="CG1" s="329"/>
      <c r="CH1" s="329"/>
      <c r="CI1" s="329"/>
      <c r="CJ1" s="329"/>
      <c r="CK1"/>
      <c r="CL1" s="329"/>
      <c r="CM1" s="329"/>
      <c r="CN1" s="329"/>
      <c r="CO1" s="329"/>
      <c r="CP1" s="329"/>
      <c r="CQ1" s="329"/>
      <c r="CR1"/>
      <c r="CS1" s="329"/>
      <c r="CT1" s="329"/>
      <c r="CU1" s="329"/>
      <c r="CV1" s="329"/>
      <c r="CW1" s="329"/>
      <c r="CX1" s="329"/>
      <c r="CY1"/>
      <c r="CZ1" s="329"/>
      <c r="DA1" s="329"/>
      <c r="DB1" s="329"/>
      <c r="DC1" s="329"/>
      <c r="DD1" s="329"/>
      <c r="DE1" s="329"/>
      <c r="DF1"/>
      <c r="DG1" s="329"/>
      <c r="DH1" s="329"/>
      <c r="DI1" s="329"/>
      <c r="DJ1" s="329"/>
      <c r="DK1" s="329"/>
      <c r="DL1" s="329"/>
      <c r="DM1"/>
      <c r="DN1" s="329"/>
      <c r="DO1" s="329"/>
      <c r="DP1" s="329"/>
      <c r="DQ1" s="329"/>
      <c r="DR1" s="329"/>
      <c r="DS1" s="329"/>
      <c r="DT1"/>
      <c r="DU1" s="329"/>
      <c r="DV1" s="329"/>
      <c r="DW1" s="329"/>
      <c r="DX1" s="329"/>
      <c r="DY1" s="329"/>
      <c r="DZ1" s="329"/>
      <c r="EA1"/>
      <c r="EB1" s="329"/>
      <c r="EC1" s="329"/>
      <c r="ED1" s="329"/>
      <c r="EE1" s="329"/>
      <c r="EF1" s="329"/>
      <c r="EG1" s="329"/>
      <c r="EH1"/>
      <c r="EI1" s="329"/>
      <c r="EJ1" s="329"/>
      <c r="EK1" s="329"/>
      <c r="EL1" s="329"/>
      <c r="EM1" s="329"/>
      <c r="EN1" s="329"/>
      <c r="EO1"/>
      <c r="EP1" s="329"/>
      <c r="EQ1" s="329"/>
      <c r="ER1" s="329"/>
      <c r="ES1" s="329"/>
      <c r="ET1" s="329"/>
      <c r="EU1" s="329"/>
      <c r="EV1"/>
      <c r="EW1" s="329"/>
      <c r="EX1" s="329"/>
      <c r="EY1" s="329"/>
      <c r="EZ1" s="329"/>
      <c r="FA1" s="329"/>
      <c r="FB1" s="329"/>
      <c r="FC1"/>
      <c r="FD1" s="329"/>
      <c r="FE1" s="329"/>
      <c r="FF1" s="329"/>
      <c r="FG1" s="329"/>
      <c r="FH1" s="329"/>
      <c r="FI1" s="329"/>
      <c r="FJ1"/>
      <c r="FK1" s="329"/>
      <c r="FL1" s="329"/>
      <c r="FM1" s="329"/>
      <c r="FN1" s="329"/>
      <c r="FO1" s="329"/>
      <c r="FP1" s="329"/>
      <c r="FQ1"/>
      <c r="FR1" s="329"/>
      <c r="FS1" s="329"/>
      <c r="FT1" s="329"/>
      <c r="FU1" s="329"/>
      <c r="FV1" s="329"/>
      <c r="FW1" s="329"/>
      <c r="FX1"/>
      <c r="FY1" s="329"/>
      <c r="FZ1" s="329"/>
      <c r="GA1" s="329"/>
      <c r="GB1" s="329"/>
      <c r="GC1" s="329"/>
      <c r="GD1" s="329"/>
      <c r="GE1"/>
      <c r="GF1" s="329"/>
      <c r="GG1" s="329"/>
      <c r="GH1" s="329"/>
      <c r="GI1" s="329"/>
      <c r="GJ1" s="329"/>
      <c r="GK1" s="329"/>
      <c r="GL1"/>
      <c r="GM1" s="329"/>
      <c r="GN1" s="329"/>
      <c r="GO1" s="329"/>
      <c r="GP1" s="329"/>
      <c r="GQ1" s="329"/>
      <c r="GR1" s="329"/>
      <c r="GS1"/>
      <c r="GT1" s="329"/>
      <c r="GU1" s="329"/>
      <c r="GV1" s="329"/>
      <c r="GW1" s="329"/>
      <c r="GX1" s="329"/>
      <c r="GY1" s="329"/>
      <c r="GZ1"/>
      <c r="HA1" s="329"/>
      <c r="HB1" s="329"/>
      <c r="HC1" s="329"/>
      <c r="HD1" s="329"/>
      <c r="HE1" s="329"/>
      <c r="HF1" s="329"/>
      <c r="HG1"/>
      <c r="HH1" s="329"/>
      <c r="HI1" s="329"/>
      <c r="HJ1" s="329"/>
      <c r="HK1" s="329"/>
      <c r="HL1" s="329"/>
      <c r="HM1" s="329"/>
      <c r="HN1"/>
      <c r="HO1" s="329"/>
      <c r="HP1" s="329"/>
      <c r="HQ1" s="329"/>
      <c r="HR1" s="329"/>
      <c r="HS1" s="329"/>
      <c r="HT1" s="329"/>
      <c r="HU1"/>
      <c r="HV1" s="329"/>
      <c r="HW1" s="329"/>
      <c r="HX1" s="329"/>
      <c r="HY1" s="329"/>
      <c r="HZ1" s="329"/>
      <c r="IA1" s="329"/>
      <c r="IB1"/>
      <c r="IC1" s="329"/>
      <c r="ID1" s="329"/>
      <c r="IE1" s="329"/>
      <c r="IF1" s="329"/>
      <c r="IG1" s="329"/>
      <c r="IH1" s="329"/>
      <c r="II1"/>
      <c r="IJ1" s="329"/>
      <c r="IK1" s="329"/>
      <c r="IL1" s="329"/>
      <c r="IM1" s="329"/>
      <c r="IN1" s="329"/>
      <c r="IO1" s="329"/>
      <c r="IP1"/>
      <c r="IQ1" s="329"/>
      <c r="IR1" s="329"/>
      <c r="IS1" s="329"/>
      <c r="IT1" s="329"/>
      <c r="IU1" s="329"/>
      <c r="IV1" s="329"/>
      <c r="IW1"/>
      <c r="IX1" s="329"/>
      <c r="IY1" s="329"/>
      <c r="IZ1" s="329"/>
      <c r="JA1" s="329"/>
      <c r="JB1" s="329"/>
      <c r="JC1" s="329"/>
      <c r="JD1"/>
      <c r="JE1" s="329"/>
      <c r="JF1" s="329"/>
      <c r="JG1" s="329"/>
      <c r="JH1" s="329"/>
      <c r="JI1" s="329"/>
      <c r="JJ1" s="329"/>
      <c r="JK1"/>
      <c r="JL1" s="329"/>
      <c r="JM1" s="329"/>
      <c r="JN1" s="329"/>
      <c r="JO1" s="329"/>
      <c r="JP1" s="329"/>
      <c r="JQ1" s="329"/>
      <c r="JR1"/>
      <c r="JS1" s="329"/>
      <c r="JT1" s="329"/>
      <c r="JU1" s="329"/>
      <c r="JV1" s="329"/>
      <c r="JW1" s="329"/>
      <c r="JX1" s="329"/>
      <c r="JY1"/>
      <c r="JZ1" s="329"/>
      <c r="KA1" s="329"/>
      <c r="KB1" s="329"/>
      <c r="KC1" s="329"/>
      <c r="KD1" s="329"/>
      <c r="KE1" s="329"/>
      <c r="KF1"/>
      <c r="KG1" s="329"/>
      <c r="KH1" s="329"/>
      <c r="KI1" s="329"/>
      <c r="KJ1" s="329"/>
      <c r="KK1" s="329"/>
      <c r="KL1" s="329"/>
      <c r="KM1"/>
      <c r="KN1" s="329"/>
      <c r="KO1" s="329"/>
      <c r="KP1" s="329"/>
      <c r="KQ1" s="329"/>
      <c r="KR1" s="329"/>
      <c r="KS1" s="329"/>
      <c r="KT1"/>
      <c r="KU1" s="329"/>
      <c r="KV1" s="329"/>
      <c r="KW1" s="329"/>
      <c r="KX1" s="329"/>
      <c r="KY1" s="329"/>
      <c r="KZ1" s="329"/>
      <c r="LA1"/>
      <c r="LB1" s="329"/>
      <c r="LC1" s="329"/>
      <c r="LD1" s="329"/>
      <c r="LE1" s="329"/>
      <c r="LF1" s="329"/>
      <c r="LG1" s="329"/>
      <c r="LH1"/>
      <c r="LI1" s="329"/>
      <c r="LJ1" s="329"/>
      <c r="LK1" s="329"/>
      <c r="LL1" s="329"/>
      <c r="LM1" s="329"/>
      <c r="LN1" s="329"/>
      <c r="LO1"/>
      <c r="LP1" s="329"/>
      <c r="LQ1" s="329"/>
      <c r="LR1" s="329"/>
      <c r="LS1" s="329"/>
      <c r="LT1" s="329"/>
      <c r="LU1" s="329"/>
      <c r="LV1"/>
      <c r="LW1" s="329"/>
      <c r="LX1" s="329"/>
      <c r="LY1" s="329"/>
      <c r="LZ1" s="329"/>
      <c r="MA1" s="329"/>
      <c r="MB1" s="329"/>
      <c r="MC1"/>
      <c r="MD1" s="329"/>
      <c r="ME1" s="329"/>
      <c r="MF1" s="329"/>
      <c r="MG1" s="329"/>
      <c r="MH1" s="329"/>
      <c r="MI1" s="329"/>
      <c r="MJ1"/>
      <c r="MK1" s="329"/>
      <c r="ML1" s="329"/>
      <c r="MM1" s="329"/>
      <c r="MN1" s="329"/>
      <c r="MO1" s="329"/>
      <c r="MP1" s="329"/>
      <c r="MQ1"/>
      <c r="MR1" s="329"/>
      <c r="MS1" s="329"/>
      <c r="MT1" s="329"/>
      <c r="MU1" s="329"/>
      <c r="MV1" s="329"/>
      <c r="MW1" s="329"/>
      <c r="MX1"/>
      <c r="MY1" s="329"/>
      <c r="MZ1" s="329"/>
      <c r="NA1" s="329"/>
      <c r="NB1" s="329"/>
      <c r="NC1" s="329"/>
      <c r="ND1" s="329"/>
      <c r="NE1"/>
      <c r="NF1" s="329"/>
      <c r="NG1" s="329"/>
      <c r="NH1" s="329"/>
      <c r="NI1" s="329"/>
      <c r="NJ1" s="329"/>
      <c r="NK1" s="329"/>
      <c r="NL1"/>
      <c r="NM1" s="329"/>
      <c r="NN1" s="329"/>
      <c r="NO1" s="329"/>
      <c r="NP1" s="329"/>
      <c r="NQ1" s="329"/>
      <c r="NR1" s="329"/>
      <c r="NS1"/>
    </row>
    <row r="2" spans="1:383" s="196" customFormat="1" x14ac:dyDescent="0.3">
      <c r="A2" s="294"/>
      <c r="B2" s="305"/>
      <c r="C2" s="305"/>
      <c r="D2" s="305"/>
      <c r="E2"/>
      <c r="F2" s="431" t="s">
        <v>889</v>
      </c>
      <c r="G2" s="432"/>
      <c r="H2" s="432"/>
      <c r="I2" s="432"/>
      <c r="J2" s="432"/>
      <c r="K2" s="433"/>
      <c r="L2" s="265"/>
      <c r="M2" s="431" t="str">
        <f>"S"&amp;WEEKNUM(M33)</f>
        <v>S2</v>
      </c>
      <c r="N2" s="432"/>
      <c r="O2" s="432"/>
      <c r="P2" s="432"/>
      <c r="Q2" s="432"/>
      <c r="R2" s="433"/>
      <c r="S2" s="265"/>
      <c r="T2" s="431" t="str">
        <f>"S"&amp;WEEKNUM(T33)</f>
        <v>S3</v>
      </c>
      <c r="U2" s="432"/>
      <c r="V2" s="432"/>
      <c r="W2" s="432"/>
      <c r="X2" s="432"/>
      <c r="Y2" s="433"/>
      <c r="Z2" s="265"/>
      <c r="AA2" s="431" t="str">
        <f>"S"&amp;WEEKNUM(AA33)</f>
        <v>S4</v>
      </c>
      <c r="AB2" s="432"/>
      <c r="AC2" s="432"/>
      <c r="AD2" s="432"/>
      <c r="AE2" s="432"/>
      <c r="AF2" s="433"/>
      <c r="AG2" s="265"/>
      <c r="AH2" s="431" t="str">
        <f>"S"&amp;WEEKNUM(AH33)</f>
        <v>S5</v>
      </c>
      <c r="AI2" s="432"/>
      <c r="AJ2" s="432"/>
      <c r="AK2" s="432"/>
      <c r="AL2" s="432"/>
      <c r="AM2" s="433"/>
      <c r="AN2" s="265"/>
      <c r="AO2" s="431" t="str">
        <f>"S"&amp;WEEKNUM(AO33)</f>
        <v>S6</v>
      </c>
      <c r="AP2" s="432"/>
      <c r="AQ2" s="432"/>
      <c r="AR2" s="432"/>
      <c r="AS2" s="432"/>
      <c r="AT2" s="433"/>
      <c r="AU2" s="265"/>
      <c r="AV2" s="431" t="str">
        <f>"S"&amp;WEEKNUM(AV33)</f>
        <v>S7</v>
      </c>
      <c r="AW2" s="432"/>
      <c r="AX2" s="432"/>
      <c r="AY2" s="432"/>
      <c r="AZ2" s="432"/>
      <c r="BA2" s="433"/>
      <c r="BB2" s="265"/>
      <c r="BC2" s="431" t="str">
        <f>"S"&amp;WEEKNUM(BC33)</f>
        <v>S8</v>
      </c>
      <c r="BD2" s="432"/>
      <c r="BE2" s="432"/>
      <c r="BF2" s="432"/>
      <c r="BG2" s="432"/>
      <c r="BH2" s="433"/>
      <c r="BI2" s="265"/>
      <c r="BJ2" s="431" t="str">
        <f>"S"&amp;WEEKNUM(BJ33)</f>
        <v>S9</v>
      </c>
      <c r="BK2" s="432"/>
      <c r="BL2" s="432"/>
      <c r="BM2" s="432"/>
      <c r="BN2" s="432"/>
      <c r="BO2" s="433"/>
      <c r="BP2" s="265"/>
      <c r="BQ2" s="431" t="str">
        <f>"S"&amp;WEEKNUM(BQ33)</f>
        <v>S10</v>
      </c>
      <c r="BR2" s="432"/>
      <c r="BS2" s="432"/>
      <c r="BT2" s="432"/>
      <c r="BU2" s="432"/>
      <c r="BV2" s="433"/>
      <c r="BW2" s="265"/>
      <c r="BX2" s="431" t="str">
        <f>"S"&amp;WEEKNUM(BX33)</f>
        <v>S11</v>
      </c>
      <c r="BY2" s="432"/>
      <c r="BZ2" s="432"/>
      <c r="CA2" s="432"/>
      <c r="CB2" s="432"/>
      <c r="CC2" s="433"/>
      <c r="CD2" s="265"/>
      <c r="CE2" s="431" t="str">
        <f>"S"&amp;WEEKNUM(CE33)</f>
        <v>S12</v>
      </c>
      <c r="CF2" s="432"/>
      <c r="CG2" s="432"/>
      <c r="CH2" s="432"/>
      <c r="CI2" s="432"/>
      <c r="CJ2" s="433"/>
      <c r="CK2" s="265"/>
      <c r="CL2" s="431" t="str">
        <f>"S"&amp;WEEKNUM(CL33)</f>
        <v>S13</v>
      </c>
      <c r="CM2" s="432"/>
      <c r="CN2" s="432"/>
      <c r="CO2" s="432"/>
      <c r="CP2" s="432"/>
      <c r="CQ2" s="433"/>
      <c r="CR2" s="265"/>
      <c r="CS2" s="431" t="str">
        <f>"S"&amp;WEEKNUM(CS33)</f>
        <v>S14</v>
      </c>
      <c r="CT2" s="432"/>
      <c r="CU2" s="432"/>
      <c r="CV2" s="432"/>
      <c r="CW2" s="432"/>
      <c r="CX2" s="433"/>
      <c r="CY2" s="265"/>
      <c r="CZ2" s="431" t="str">
        <f>"S"&amp;WEEKNUM(CZ33)</f>
        <v>S15</v>
      </c>
      <c r="DA2" s="432"/>
      <c r="DB2" s="432"/>
      <c r="DC2" s="432"/>
      <c r="DD2" s="432"/>
      <c r="DE2" s="433"/>
      <c r="DF2" s="265"/>
      <c r="DG2" s="431" t="str">
        <f>"S"&amp;WEEKNUM(DG33)</f>
        <v>S16</v>
      </c>
      <c r="DH2" s="432"/>
      <c r="DI2" s="432"/>
      <c r="DJ2" s="432"/>
      <c r="DK2" s="432"/>
      <c r="DL2" s="433"/>
      <c r="DM2" s="265"/>
      <c r="DN2" s="431" t="str">
        <f>"S"&amp;WEEKNUM(DN33)</f>
        <v>S17</v>
      </c>
      <c r="DO2" s="432"/>
      <c r="DP2" s="432"/>
      <c r="DQ2" s="432"/>
      <c r="DR2" s="432"/>
      <c r="DS2" s="433"/>
      <c r="DT2" s="265"/>
      <c r="DU2" s="431" t="str">
        <f>"S"&amp;WEEKNUM(DU33)</f>
        <v>S18</v>
      </c>
      <c r="DV2" s="432"/>
      <c r="DW2" s="432"/>
      <c r="DX2" s="432"/>
      <c r="DY2" s="432"/>
      <c r="DZ2" s="433"/>
      <c r="EA2" s="265"/>
      <c r="EB2" s="431" t="str">
        <f>"S"&amp;WEEKNUM(EB33)</f>
        <v>S19</v>
      </c>
      <c r="EC2" s="432"/>
      <c r="ED2" s="432"/>
      <c r="EE2" s="432"/>
      <c r="EF2" s="432"/>
      <c r="EG2" s="433"/>
      <c r="EH2" s="265"/>
      <c r="EI2" s="431" t="str">
        <f>"S"&amp;WEEKNUM(EI33)</f>
        <v>S20</v>
      </c>
      <c r="EJ2" s="432"/>
      <c r="EK2" s="432"/>
      <c r="EL2" s="432"/>
      <c r="EM2" s="432"/>
      <c r="EN2" s="433"/>
      <c r="EO2" s="265"/>
      <c r="EP2" s="431" t="str">
        <f>"S"&amp;WEEKNUM(EP33)</f>
        <v>S21</v>
      </c>
      <c r="EQ2" s="432"/>
      <c r="ER2" s="432"/>
      <c r="ES2" s="432"/>
      <c r="ET2" s="432"/>
      <c r="EU2" s="433"/>
      <c r="EV2" s="265"/>
      <c r="EW2" s="431" t="str">
        <f>"S"&amp;WEEKNUM(EW33)</f>
        <v>S22</v>
      </c>
      <c r="EX2" s="432"/>
      <c r="EY2" s="432"/>
      <c r="EZ2" s="432"/>
      <c r="FA2" s="432"/>
      <c r="FB2" s="433"/>
      <c r="FC2" s="265"/>
      <c r="FD2" s="431" t="str">
        <f>"S"&amp;WEEKNUM(FD33)</f>
        <v>S23</v>
      </c>
      <c r="FE2" s="432"/>
      <c r="FF2" s="432"/>
      <c r="FG2" s="432"/>
      <c r="FH2" s="432"/>
      <c r="FI2" s="433"/>
      <c r="FJ2" s="265"/>
      <c r="FK2" s="431" t="str">
        <f>"S"&amp;WEEKNUM(FK33)</f>
        <v>S24</v>
      </c>
      <c r="FL2" s="432"/>
      <c r="FM2" s="432"/>
      <c r="FN2" s="432"/>
      <c r="FO2" s="432"/>
      <c r="FP2" s="433"/>
      <c r="FQ2" s="265"/>
      <c r="FR2" s="431" t="str">
        <f>"S"&amp;WEEKNUM(FR33)</f>
        <v>S25</v>
      </c>
      <c r="FS2" s="432"/>
      <c r="FT2" s="432"/>
      <c r="FU2" s="432"/>
      <c r="FV2" s="432"/>
      <c r="FW2" s="433"/>
      <c r="FX2" s="265"/>
      <c r="FY2" s="431" t="str">
        <f>"S"&amp;WEEKNUM(FY33)</f>
        <v>S26</v>
      </c>
      <c r="FZ2" s="432"/>
      <c r="GA2" s="432"/>
      <c r="GB2" s="432"/>
      <c r="GC2" s="432"/>
      <c r="GD2" s="433"/>
      <c r="GE2" s="265"/>
      <c r="GF2" s="431" t="str">
        <f>"S"&amp;WEEKNUM(GF33)</f>
        <v>S27</v>
      </c>
      <c r="GG2" s="432"/>
      <c r="GH2" s="432"/>
      <c r="GI2" s="432"/>
      <c r="GJ2" s="432"/>
      <c r="GK2" s="433"/>
      <c r="GL2" s="265"/>
      <c r="GM2" s="431" t="str">
        <f>"S"&amp;WEEKNUM(GM33)</f>
        <v>S28</v>
      </c>
      <c r="GN2" s="432"/>
      <c r="GO2" s="432"/>
      <c r="GP2" s="432"/>
      <c r="GQ2" s="432"/>
      <c r="GR2" s="433"/>
      <c r="GS2" s="265"/>
      <c r="GT2" s="431" t="str">
        <f>"S"&amp;WEEKNUM(GT33)</f>
        <v>S29</v>
      </c>
      <c r="GU2" s="432"/>
      <c r="GV2" s="432"/>
      <c r="GW2" s="432"/>
      <c r="GX2" s="432"/>
      <c r="GY2" s="433"/>
      <c r="GZ2" s="283"/>
      <c r="HA2" s="431" t="str">
        <f>"S"&amp;WEEKNUM(HA33)</f>
        <v>S30</v>
      </c>
      <c r="HB2" s="432"/>
      <c r="HC2" s="432"/>
      <c r="HD2" s="432"/>
      <c r="HE2" s="432"/>
      <c r="HF2" s="433"/>
      <c r="HG2" s="265"/>
      <c r="HH2" s="431" t="str">
        <f>"S"&amp;WEEKNUM(HH33)</f>
        <v>S31</v>
      </c>
      <c r="HI2" s="432"/>
      <c r="HJ2" s="432"/>
      <c r="HK2" s="432"/>
      <c r="HL2" s="432"/>
      <c r="HM2" s="433"/>
      <c r="HN2" s="265"/>
      <c r="HO2" s="431" t="str">
        <f>"S"&amp;WEEKNUM(HO33)</f>
        <v>S32</v>
      </c>
      <c r="HP2" s="432"/>
      <c r="HQ2" s="432"/>
      <c r="HR2" s="432"/>
      <c r="HS2" s="432"/>
      <c r="HT2" s="433"/>
      <c r="HU2" s="265"/>
      <c r="HV2" s="431" t="str">
        <f>"S"&amp;WEEKNUM(HV33)</f>
        <v>S33</v>
      </c>
      <c r="HW2" s="432"/>
      <c r="HX2" s="432"/>
      <c r="HY2" s="432"/>
      <c r="HZ2" s="432"/>
      <c r="IA2" s="433"/>
      <c r="IB2" s="265"/>
      <c r="IC2" s="431" t="str">
        <f>"S"&amp;WEEKNUM(IC33)</f>
        <v>S34</v>
      </c>
      <c r="ID2" s="432"/>
      <c r="IE2" s="432"/>
      <c r="IF2" s="432"/>
      <c r="IG2" s="432"/>
      <c r="IH2" s="433"/>
      <c r="II2" s="265"/>
      <c r="IJ2" s="431" t="str">
        <f>"S"&amp;WEEKNUM(IJ33)</f>
        <v>S35</v>
      </c>
      <c r="IK2" s="432"/>
      <c r="IL2" s="432"/>
      <c r="IM2" s="432"/>
      <c r="IN2" s="432"/>
      <c r="IO2" s="433"/>
      <c r="IP2" s="265"/>
      <c r="IQ2" s="431" t="str">
        <f>"S"&amp;WEEKNUM(IQ33)</f>
        <v>S36</v>
      </c>
      <c r="IR2" s="432"/>
      <c r="IS2" s="432"/>
      <c r="IT2" s="432"/>
      <c r="IU2" s="432"/>
      <c r="IV2" s="433"/>
      <c r="IW2" s="265"/>
      <c r="IX2" s="431" t="str">
        <f>"S"&amp;WEEKNUM(IX33)</f>
        <v>S37</v>
      </c>
      <c r="IY2" s="432"/>
      <c r="IZ2" s="432"/>
      <c r="JA2" s="432"/>
      <c r="JB2" s="432"/>
      <c r="JC2" s="433"/>
      <c r="JD2" s="265"/>
      <c r="JE2" s="431" t="str">
        <f>"S"&amp;WEEKNUM(JE33)</f>
        <v>S38</v>
      </c>
      <c r="JF2" s="432"/>
      <c r="JG2" s="432"/>
      <c r="JH2" s="432"/>
      <c r="JI2" s="432"/>
      <c r="JJ2" s="433"/>
      <c r="JK2" s="265"/>
      <c r="JL2" s="431" t="str">
        <f>"S"&amp;WEEKNUM(JL33)</f>
        <v>S39</v>
      </c>
      <c r="JM2" s="432"/>
      <c r="JN2" s="432"/>
      <c r="JO2" s="432"/>
      <c r="JP2" s="432"/>
      <c r="JQ2" s="433"/>
      <c r="JR2" s="265"/>
      <c r="JS2" s="431" t="str">
        <f>"S"&amp;WEEKNUM(JS33)</f>
        <v>S40</v>
      </c>
      <c r="JT2" s="432"/>
      <c r="JU2" s="432"/>
      <c r="JV2" s="432"/>
      <c r="JW2" s="432"/>
      <c r="JX2" s="433"/>
      <c r="JY2" s="265"/>
      <c r="JZ2" s="431" t="str">
        <f>"S"&amp;WEEKNUM(JZ33)</f>
        <v>S41</v>
      </c>
      <c r="KA2" s="432"/>
      <c r="KB2" s="432"/>
      <c r="KC2" s="432"/>
      <c r="KD2" s="432"/>
      <c r="KE2" s="433"/>
      <c r="KF2" s="265"/>
      <c r="KG2" s="431" t="str">
        <f>"S"&amp;WEEKNUM(KG33)</f>
        <v>S42</v>
      </c>
      <c r="KH2" s="432"/>
      <c r="KI2" s="432"/>
      <c r="KJ2" s="432"/>
      <c r="KK2" s="432"/>
      <c r="KL2" s="433"/>
      <c r="KM2" s="265"/>
      <c r="KN2" s="431" t="str">
        <f>"S"&amp;WEEKNUM(KN33)</f>
        <v>S43</v>
      </c>
      <c r="KO2" s="432"/>
      <c r="KP2" s="432"/>
      <c r="KQ2" s="432"/>
      <c r="KR2" s="432"/>
      <c r="KS2" s="433"/>
      <c r="KT2" s="265"/>
      <c r="KU2" s="431" t="str">
        <f>"S"&amp;WEEKNUM(KU33)</f>
        <v>S44</v>
      </c>
      <c r="KV2" s="432"/>
      <c r="KW2" s="432"/>
      <c r="KX2" s="432"/>
      <c r="KY2" s="432"/>
      <c r="KZ2" s="433"/>
      <c r="LA2" s="265"/>
      <c r="LB2" s="431" t="str">
        <f>"S"&amp;WEEKNUM(LB33)</f>
        <v>S45</v>
      </c>
      <c r="LC2" s="432"/>
      <c r="LD2" s="432"/>
      <c r="LE2" s="432"/>
      <c r="LF2" s="432"/>
      <c r="LG2" s="433"/>
      <c r="LH2" s="265"/>
      <c r="LI2" s="431" t="str">
        <f>"S"&amp;WEEKNUM(LI33)</f>
        <v>S46</v>
      </c>
      <c r="LJ2" s="432"/>
      <c r="LK2" s="432"/>
      <c r="LL2" s="432"/>
      <c r="LM2" s="432"/>
      <c r="LN2" s="433"/>
      <c r="LO2" s="265"/>
      <c r="LP2" s="431" t="str">
        <f>"S"&amp;WEEKNUM(LP33)</f>
        <v>S47</v>
      </c>
      <c r="LQ2" s="432"/>
      <c r="LR2" s="432"/>
      <c r="LS2" s="432"/>
      <c r="LT2" s="432"/>
      <c r="LU2" s="433"/>
      <c r="LV2" s="265"/>
      <c r="LW2" s="431" t="str">
        <f>"S"&amp;WEEKNUM(LW33)</f>
        <v>S48</v>
      </c>
      <c r="LX2" s="432"/>
      <c r="LY2" s="432"/>
      <c r="LZ2" s="432"/>
      <c r="MA2" s="432"/>
      <c r="MB2" s="433"/>
      <c r="MC2" s="265"/>
      <c r="MD2" s="431" t="str">
        <f>"S"&amp;WEEKNUM(MD33)</f>
        <v>S49</v>
      </c>
      <c r="ME2" s="432"/>
      <c r="MF2" s="432"/>
      <c r="MG2" s="432"/>
      <c r="MH2" s="432"/>
      <c r="MI2" s="433"/>
      <c r="MJ2" s="265"/>
      <c r="MK2" s="431" t="str">
        <f>"S"&amp;WEEKNUM(MK33)</f>
        <v>S50</v>
      </c>
      <c r="ML2" s="432"/>
      <c r="MM2" s="432"/>
      <c r="MN2" s="432"/>
      <c r="MO2" s="432"/>
      <c r="MP2" s="433"/>
      <c r="MQ2" s="265"/>
      <c r="MR2" s="431" t="str">
        <f>"S"&amp;WEEKNUM(MR33)</f>
        <v>S51</v>
      </c>
      <c r="MS2" s="432"/>
      <c r="MT2" s="432"/>
      <c r="MU2" s="432"/>
      <c r="MV2" s="432"/>
      <c r="MW2" s="433"/>
      <c r="MX2" s="265"/>
      <c r="MY2" s="431" t="str">
        <f>"S"&amp;WEEKNUM(MY33)</f>
        <v>S52</v>
      </c>
      <c r="MZ2" s="432"/>
      <c r="NA2" s="432"/>
      <c r="NB2" s="432"/>
      <c r="NC2" s="432"/>
      <c r="ND2" s="433"/>
      <c r="NE2" s="265"/>
      <c r="NF2" s="431" t="str">
        <f>"S"&amp;WEEKNUM(NF33)</f>
        <v>S53</v>
      </c>
      <c r="NG2" s="432"/>
      <c r="NH2" s="432"/>
      <c r="NI2" s="432"/>
      <c r="NJ2" s="432"/>
      <c r="NK2" s="433"/>
      <c r="NL2" s="265"/>
      <c r="NM2" s="431" t="str">
        <f>"S"&amp;WEEKNUM(NM33)</f>
        <v>S2</v>
      </c>
      <c r="NN2" s="432"/>
      <c r="NO2" s="432"/>
      <c r="NP2" s="432"/>
      <c r="NQ2" s="432"/>
      <c r="NR2" s="433"/>
      <c r="NS2" s="283"/>
    </row>
    <row r="3" spans="1:383" ht="15" thickBot="1" x14ac:dyDescent="0.35">
      <c r="F3"/>
      <c r="G3"/>
      <c r="H3"/>
      <c r="I3"/>
      <c r="J3"/>
      <c r="K3"/>
      <c r="L3"/>
      <c r="M3"/>
      <c r="N3"/>
      <c r="O3"/>
      <c r="P3"/>
      <c r="Q3"/>
      <c r="R3"/>
    </row>
    <row r="4" spans="1:383" x14ac:dyDescent="0.3">
      <c r="F4" s="248" t="s">
        <v>701</v>
      </c>
      <c r="G4" s="409" t="s">
        <v>702</v>
      </c>
      <c r="H4" s="410"/>
      <c r="I4" s="209" t="s">
        <v>704</v>
      </c>
      <c r="J4" s="139" t="s">
        <v>705</v>
      </c>
      <c r="K4" s="137" t="s">
        <v>706</v>
      </c>
      <c r="L4"/>
      <c r="M4" s="248" t="s">
        <v>701</v>
      </c>
      <c r="N4" s="409" t="s">
        <v>702</v>
      </c>
      <c r="O4" s="410"/>
      <c r="P4" s="209" t="s">
        <v>704</v>
      </c>
      <c r="Q4" s="139" t="s">
        <v>705</v>
      </c>
      <c r="R4" s="137" t="s">
        <v>706</v>
      </c>
      <c r="T4" s="248" t="s">
        <v>701</v>
      </c>
      <c r="U4" s="409" t="s">
        <v>702</v>
      </c>
      <c r="V4" s="410"/>
      <c r="W4" s="209" t="s">
        <v>704</v>
      </c>
      <c r="X4" s="139" t="s">
        <v>705</v>
      </c>
      <c r="Y4" s="137" t="s">
        <v>706</v>
      </c>
      <c r="AA4" s="325" t="s">
        <v>701</v>
      </c>
      <c r="AB4" s="390" t="s">
        <v>702</v>
      </c>
      <c r="AC4" s="391"/>
      <c r="AD4" s="209" t="s">
        <v>704</v>
      </c>
      <c r="AE4" s="139" t="s">
        <v>705</v>
      </c>
      <c r="AF4" s="137" t="s">
        <v>706</v>
      </c>
      <c r="AH4" s="325" t="s">
        <v>701</v>
      </c>
      <c r="AI4" s="390" t="s">
        <v>702</v>
      </c>
      <c r="AJ4" s="391"/>
      <c r="AK4" s="209" t="s">
        <v>704</v>
      </c>
      <c r="AL4" s="139" t="s">
        <v>705</v>
      </c>
      <c r="AM4" s="137" t="s">
        <v>706</v>
      </c>
      <c r="AO4" s="325" t="s">
        <v>701</v>
      </c>
      <c r="AP4" s="390" t="s">
        <v>702</v>
      </c>
      <c r="AQ4" s="391"/>
      <c r="AR4" s="209" t="s">
        <v>704</v>
      </c>
      <c r="AS4" s="139" t="s">
        <v>705</v>
      </c>
      <c r="AT4" s="137" t="s">
        <v>706</v>
      </c>
      <c r="AV4" s="325" t="s">
        <v>701</v>
      </c>
      <c r="AW4" s="390" t="s">
        <v>702</v>
      </c>
      <c r="AX4" s="391"/>
      <c r="AY4" s="327" t="s">
        <v>704</v>
      </c>
      <c r="AZ4" s="139" t="s">
        <v>705</v>
      </c>
      <c r="BA4" s="137" t="s">
        <v>706</v>
      </c>
      <c r="BC4" s="325" t="s">
        <v>701</v>
      </c>
      <c r="BD4" s="390" t="s">
        <v>702</v>
      </c>
      <c r="BE4" s="391"/>
      <c r="BF4" s="327" t="s">
        <v>704</v>
      </c>
      <c r="BG4" s="139" t="s">
        <v>705</v>
      </c>
      <c r="BH4" s="137" t="s">
        <v>706</v>
      </c>
      <c r="BJ4" s="325" t="s">
        <v>701</v>
      </c>
      <c r="BK4" s="390" t="s">
        <v>702</v>
      </c>
      <c r="BL4" s="391"/>
      <c r="BM4" s="327" t="s">
        <v>704</v>
      </c>
      <c r="BN4" s="139" t="s">
        <v>705</v>
      </c>
      <c r="BO4" s="137" t="s">
        <v>706</v>
      </c>
      <c r="BQ4" s="325" t="s">
        <v>701</v>
      </c>
      <c r="BR4" s="390" t="s">
        <v>702</v>
      </c>
      <c r="BS4" s="391"/>
      <c r="BT4" s="327" t="s">
        <v>704</v>
      </c>
      <c r="BU4" s="139" t="s">
        <v>705</v>
      </c>
      <c r="BV4" s="137" t="s">
        <v>706</v>
      </c>
      <c r="BX4" s="325" t="s">
        <v>701</v>
      </c>
      <c r="BY4" s="390" t="s">
        <v>702</v>
      </c>
      <c r="BZ4" s="391"/>
      <c r="CA4" s="327" t="s">
        <v>704</v>
      </c>
      <c r="CB4" s="139" t="s">
        <v>705</v>
      </c>
      <c r="CC4" s="137" t="s">
        <v>706</v>
      </c>
      <c r="CE4" s="325" t="s">
        <v>701</v>
      </c>
      <c r="CF4" s="390" t="s">
        <v>702</v>
      </c>
      <c r="CG4" s="391"/>
      <c r="CH4" s="327" t="s">
        <v>704</v>
      </c>
      <c r="CI4" s="139" t="s">
        <v>705</v>
      </c>
      <c r="CJ4" s="137" t="s">
        <v>706</v>
      </c>
      <c r="CL4" s="325" t="s">
        <v>701</v>
      </c>
      <c r="CM4" s="390" t="s">
        <v>702</v>
      </c>
      <c r="CN4" s="391"/>
      <c r="CO4" s="327" t="s">
        <v>704</v>
      </c>
      <c r="CP4" s="139" t="s">
        <v>705</v>
      </c>
      <c r="CQ4" s="137" t="s">
        <v>706</v>
      </c>
      <c r="CS4" s="325" t="s">
        <v>701</v>
      </c>
      <c r="CT4" s="390" t="s">
        <v>702</v>
      </c>
      <c r="CU4" s="391"/>
      <c r="CV4" s="327" t="s">
        <v>704</v>
      </c>
      <c r="CW4" s="139" t="s">
        <v>705</v>
      </c>
      <c r="CX4" s="137" t="s">
        <v>706</v>
      </c>
      <c r="CZ4" s="325" t="s">
        <v>701</v>
      </c>
      <c r="DA4" s="390" t="s">
        <v>702</v>
      </c>
      <c r="DB4" s="391"/>
      <c r="DC4" s="327" t="s">
        <v>704</v>
      </c>
      <c r="DD4" s="139" t="s">
        <v>705</v>
      </c>
      <c r="DE4" s="137" t="s">
        <v>706</v>
      </c>
      <c r="DG4" s="325" t="s">
        <v>701</v>
      </c>
      <c r="DH4" s="390" t="s">
        <v>702</v>
      </c>
      <c r="DI4" s="391"/>
      <c r="DJ4" s="327" t="s">
        <v>704</v>
      </c>
      <c r="DK4" s="139" t="s">
        <v>705</v>
      </c>
      <c r="DL4" s="137" t="s">
        <v>706</v>
      </c>
      <c r="DN4" s="325" t="s">
        <v>701</v>
      </c>
      <c r="DO4" s="390" t="s">
        <v>702</v>
      </c>
      <c r="DP4" s="391"/>
      <c r="DQ4" s="327" t="s">
        <v>704</v>
      </c>
      <c r="DR4" s="139" t="s">
        <v>705</v>
      </c>
      <c r="DS4" s="137" t="s">
        <v>706</v>
      </c>
      <c r="DU4" s="325" t="s">
        <v>701</v>
      </c>
      <c r="DV4" s="390" t="s">
        <v>702</v>
      </c>
      <c r="DW4" s="391"/>
      <c r="DX4" s="327" t="s">
        <v>704</v>
      </c>
      <c r="DY4" s="139" t="s">
        <v>705</v>
      </c>
      <c r="DZ4" s="137" t="s">
        <v>706</v>
      </c>
      <c r="EB4" s="325" t="s">
        <v>701</v>
      </c>
      <c r="EC4" s="390" t="s">
        <v>702</v>
      </c>
      <c r="ED4" s="391"/>
      <c r="EE4" s="327" t="s">
        <v>704</v>
      </c>
      <c r="EF4" s="139" t="s">
        <v>705</v>
      </c>
      <c r="EG4" s="137" t="s">
        <v>706</v>
      </c>
      <c r="EI4" s="325" t="s">
        <v>701</v>
      </c>
      <c r="EJ4" s="390" t="s">
        <v>702</v>
      </c>
      <c r="EK4" s="391"/>
      <c r="EL4" s="327" t="s">
        <v>704</v>
      </c>
      <c r="EM4" s="139" t="s">
        <v>705</v>
      </c>
      <c r="EN4" s="137" t="s">
        <v>706</v>
      </c>
      <c r="EP4" s="325" t="s">
        <v>701</v>
      </c>
      <c r="EQ4" s="390" t="s">
        <v>702</v>
      </c>
      <c r="ER4" s="391"/>
      <c r="ES4" s="327" t="s">
        <v>704</v>
      </c>
      <c r="ET4" s="139" t="s">
        <v>705</v>
      </c>
      <c r="EU4" s="137" t="s">
        <v>706</v>
      </c>
      <c r="EW4" s="325" t="s">
        <v>701</v>
      </c>
      <c r="EX4" s="390" t="s">
        <v>702</v>
      </c>
      <c r="EY4" s="391"/>
      <c r="EZ4" s="327" t="s">
        <v>704</v>
      </c>
      <c r="FA4" s="139" t="s">
        <v>705</v>
      </c>
      <c r="FB4" s="137" t="s">
        <v>706</v>
      </c>
      <c r="FD4" s="325" t="s">
        <v>701</v>
      </c>
      <c r="FE4" s="390" t="s">
        <v>702</v>
      </c>
      <c r="FF4" s="391"/>
      <c r="FG4" s="327" t="s">
        <v>704</v>
      </c>
      <c r="FH4" s="139" t="s">
        <v>705</v>
      </c>
      <c r="FI4" s="137" t="s">
        <v>706</v>
      </c>
      <c r="FK4" s="325" t="s">
        <v>701</v>
      </c>
      <c r="FL4" s="390" t="s">
        <v>702</v>
      </c>
      <c r="FM4" s="391"/>
      <c r="FN4" s="327" t="s">
        <v>704</v>
      </c>
      <c r="FO4" s="139" t="s">
        <v>705</v>
      </c>
      <c r="FP4" s="137" t="s">
        <v>706</v>
      </c>
      <c r="FR4" s="325" t="s">
        <v>701</v>
      </c>
      <c r="FS4" s="390" t="s">
        <v>702</v>
      </c>
      <c r="FT4" s="391"/>
      <c r="FU4" s="327" t="s">
        <v>704</v>
      </c>
      <c r="FV4" s="139" t="s">
        <v>705</v>
      </c>
      <c r="FW4" s="137" t="s">
        <v>706</v>
      </c>
      <c r="FY4" s="325" t="s">
        <v>701</v>
      </c>
      <c r="FZ4" s="390" t="s">
        <v>702</v>
      </c>
      <c r="GA4" s="391"/>
      <c r="GB4" s="327" t="s">
        <v>704</v>
      </c>
      <c r="GC4" s="139" t="s">
        <v>705</v>
      </c>
      <c r="GD4" s="137" t="s">
        <v>706</v>
      </c>
      <c r="GF4" s="325" t="s">
        <v>701</v>
      </c>
      <c r="GG4" s="390" t="s">
        <v>702</v>
      </c>
      <c r="GH4" s="391"/>
      <c r="GI4" s="327" t="s">
        <v>704</v>
      </c>
      <c r="GJ4" s="139" t="s">
        <v>705</v>
      </c>
      <c r="GK4" s="137" t="s">
        <v>706</v>
      </c>
      <c r="GM4" s="325" t="s">
        <v>701</v>
      </c>
      <c r="GN4" s="390" t="s">
        <v>702</v>
      </c>
      <c r="GO4" s="391"/>
      <c r="GP4" s="327" t="s">
        <v>704</v>
      </c>
      <c r="GQ4" s="139" t="s">
        <v>705</v>
      </c>
      <c r="GR4" s="137" t="s">
        <v>706</v>
      </c>
      <c r="GT4" s="325" t="s">
        <v>701</v>
      </c>
      <c r="GU4" s="390" t="s">
        <v>702</v>
      </c>
      <c r="GV4" s="391"/>
      <c r="GW4" s="327" t="s">
        <v>704</v>
      </c>
      <c r="GX4" s="139" t="s">
        <v>705</v>
      </c>
      <c r="GY4" s="137" t="s">
        <v>706</v>
      </c>
      <c r="HA4" s="325" t="s">
        <v>701</v>
      </c>
      <c r="HB4" s="390" t="s">
        <v>702</v>
      </c>
      <c r="HC4" s="391"/>
      <c r="HD4" s="209" t="s">
        <v>704</v>
      </c>
      <c r="HE4" s="139" t="s">
        <v>705</v>
      </c>
      <c r="HF4" s="137" t="s">
        <v>706</v>
      </c>
      <c r="HH4" s="325" t="s">
        <v>701</v>
      </c>
      <c r="HI4" s="390" t="s">
        <v>702</v>
      </c>
      <c r="HJ4" s="391"/>
      <c r="HK4" s="209" t="s">
        <v>704</v>
      </c>
      <c r="HL4" s="139" t="s">
        <v>705</v>
      </c>
      <c r="HM4" s="137" t="s">
        <v>706</v>
      </c>
      <c r="HO4" s="325" t="s">
        <v>701</v>
      </c>
      <c r="HP4" s="390" t="s">
        <v>702</v>
      </c>
      <c r="HQ4" s="391"/>
      <c r="HR4" s="327" t="s">
        <v>704</v>
      </c>
      <c r="HS4" s="139" t="s">
        <v>705</v>
      </c>
      <c r="HT4" s="137" t="s">
        <v>706</v>
      </c>
      <c r="HV4" s="325" t="s">
        <v>701</v>
      </c>
      <c r="HW4" s="390" t="s">
        <v>702</v>
      </c>
      <c r="HX4" s="391"/>
      <c r="HY4" s="327" t="s">
        <v>704</v>
      </c>
      <c r="HZ4" s="139" t="s">
        <v>705</v>
      </c>
      <c r="IA4" s="137" t="s">
        <v>706</v>
      </c>
      <c r="IC4" s="325" t="s">
        <v>701</v>
      </c>
      <c r="ID4" s="390" t="s">
        <v>702</v>
      </c>
      <c r="IE4" s="391"/>
      <c r="IF4" s="327" t="s">
        <v>704</v>
      </c>
      <c r="IG4" s="139" t="s">
        <v>705</v>
      </c>
      <c r="IH4" s="137" t="s">
        <v>706</v>
      </c>
      <c r="IJ4" s="325" t="s">
        <v>701</v>
      </c>
      <c r="IK4" s="390" t="s">
        <v>702</v>
      </c>
      <c r="IL4" s="391"/>
      <c r="IM4" s="327" t="s">
        <v>704</v>
      </c>
      <c r="IN4" s="139" t="s">
        <v>705</v>
      </c>
      <c r="IO4" s="137" t="s">
        <v>706</v>
      </c>
      <c r="IQ4" s="325" t="s">
        <v>701</v>
      </c>
      <c r="IR4" s="390" t="s">
        <v>702</v>
      </c>
      <c r="IS4" s="391"/>
      <c r="IT4" s="327" t="s">
        <v>704</v>
      </c>
      <c r="IU4" s="139" t="s">
        <v>705</v>
      </c>
      <c r="IV4" s="137" t="s">
        <v>706</v>
      </c>
      <c r="IX4" s="325" t="s">
        <v>701</v>
      </c>
      <c r="IY4" s="390" t="s">
        <v>702</v>
      </c>
      <c r="IZ4" s="391"/>
      <c r="JA4" s="327" t="s">
        <v>704</v>
      </c>
      <c r="JB4" s="139" t="s">
        <v>705</v>
      </c>
      <c r="JC4" s="137" t="s">
        <v>706</v>
      </c>
      <c r="JE4" s="325" t="s">
        <v>701</v>
      </c>
      <c r="JF4" s="390" t="s">
        <v>702</v>
      </c>
      <c r="JG4" s="391"/>
      <c r="JH4" s="327" t="s">
        <v>704</v>
      </c>
      <c r="JI4" s="139" t="s">
        <v>705</v>
      </c>
      <c r="JJ4" s="137" t="s">
        <v>706</v>
      </c>
      <c r="JL4" s="325" t="s">
        <v>701</v>
      </c>
      <c r="JM4" s="390" t="s">
        <v>702</v>
      </c>
      <c r="JN4" s="391"/>
      <c r="JO4" s="327" t="s">
        <v>704</v>
      </c>
      <c r="JP4" s="139" t="s">
        <v>705</v>
      </c>
      <c r="JQ4" s="137" t="s">
        <v>706</v>
      </c>
      <c r="JS4" s="325" t="s">
        <v>701</v>
      </c>
      <c r="JT4" s="390" t="s">
        <v>702</v>
      </c>
      <c r="JU4" s="391"/>
      <c r="JV4" s="327" t="s">
        <v>704</v>
      </c>
      <c r="JW4" s="139" t="s">
        <v>705</v>
      </c>
      <c r="JX4" s="137" t="s">
        <v>706</v>
      </c>
      <c r="JZ4" s="325" t="s">
        <v>701</v>
      </c>
      <c r="KA4" s="390" t="s">
        <v>702</v>
      </c>
      <c r="KB4" s="391"/>
      <c r="KC4" s="327" t="s">
        <v>704</v>
      </c>
      <c r="KD4" s="139" t="s">
        <v>705</v>
      </c>
      <c r="KE4" s="137" t="s">
        <v>706</v>
      </c>
      <c r="KG4" s="325" t="s">
        <v>701</v>
      </c>
      <c r="KH4" s="390" t="s">
        <v>702</v>
      </c>
      <c r="KI4" s="391"/>
      <c r="KJ4" s="327" t="s">
        <v>704</v>
      </c>
      <c r="KK4" s="139" t="s">
        <v>705</v>
      </c>
      <c r="KL4" s="137" t="s">
        <v>706</v>
      </c>
      <c r="KN4" s="325" t="s">
        <v>701</v>
      </c>
      <c r="KO4" s="390" t="s">
        <v>702</v>
      </c>
      <c r="KP4" s="391"/>
      <c r="KQ4" s="327" t="s">
        <v>704</v>
      </c>
      <c r="KR4" s="139" t="s">
        <v>705</v>
      </c>
      <c r="KS4" s="137" t="s">
        <v>706</v>
      </c>
      <c r="KU4" s="325" t="s">
        <v>701</v>
      </c>
      <c r="KV4" s="390" t="s">
        <v>702</v>
      </c>
      <c r="KW4" s="391"/>
      <c r="KX4" s="327" t="s">
        <v>704</v>
      </c>
      <c r="KY4" s="139" t="s">
        <v>705</v>
      </c>
      <c r="KZ4" s="137" t="s">
        <v>706</v>
      </c>
      <c r="LB4" s="325" t="s">
        <v>701</v>
      </c>
      <c r="LC4" s="390" t="s">
        <v>702</v>
      </c>
      <c r="LD4" s="391"/>
      <c r="LE4" s="327" t="s">
        <v>704</v>
      </c>
      <c r="LF4" s="139" t="s">
        <v>705</v>
      </c>
      <c r="LG4" s="137" t="s">
        <v>706</v>
      </c>
      <c r="LI4" s="325" t="s">
        <v>701</v>
      </c>
      <c r="LJ4" s="390" t="s">
        <v>702</v>
      </c>
      <c r="LK4" s="391"/>
      <c r="LL4" s="327" t="s">
        <v>704</v>
      </c>
      <c r="LM4" s="139" t="s">
        <v>705</v>
      </c>
      <c r="LN4" s="137" t="s">
        <v>706</v>
      </c>
      <c r="LP4" s="325" t="s">
        <v>701</v>
      </c>
      <c r="LQ4" s="390" t="s">
        <v>702</v>
      </c>
      <c r="LR4" s="391"/>
      <c r="LS4" s="327" t="s">
        <v>704</v>
      </c>
      <c r="LT4" s="139" t="s">
        <v>705</v>
      </c>
      <c r="LU4" s="137" t="s">
        <v>706</v>
      </c>
      <c r="LW4" s="325" t="s">
        <v>701</v>
      </c>
      <c r="LX4" s="390" t="s">
        <v>702</v>
      </c>
      <c r="LY4" s="391"/>
      <c r="LZ4" s="327" t="s">
        <v>704</v>
      </c>
      <c r="MA4" s="139" t="s">
        <v>705</v>
      </c>
      <c r="MB4" s="137" t="s">
        <v>706</v>
      </c>
      <c r="MD4" s="325" t="s">
        <v>701</v>
      </c>
      <c r="ME4" s="390" t="s">
        <v>702</v>
      </c>
      <c r="MF4" s="391"/>
      <c r="MG4" s="327" t="s">
        <v>704</v>
      </c>
      <c r="MH4" s="139" t="s">
        <v>705</v>
      </c>
      <c r="MI4" s="137" t="s">
        <v>706</v>
      </c>
      <c r="MK4" s="325" t="s">
        <v>701</v>
      </c>
      <c r="ML4" s="390" t="s">
        <v>702</v>
      </c>
      <c r="MM4" s="391"/>
      <c r="MN4" s="327" t="s">
        <v>704</v>
      </c>
      <c r="MO4" s="139" t="s">
        <v>705</v>
      </c>
      <c r="MP4" s="137" t="s">
        <v>706</v>
      </c>
      <c r="MR4" s="325" t="s">
        <v>701</v>
      </c>
      <c r="MS4" s="390" t="s">
        <v>702</v>
      </c>
      <c r="MT4" s="391"/>
      <c r="MU4" s="327" t="s">
        <v>704</v>
      </c>
      <c r="MV4" s="139" t="s">
        <v>705</v>
      </c>
      <c r="MW4" s="137" t="s">
        <v>706</v>
      </c>
      <c r="MY4" s="325" t="s">
        <v>701</v>
      </c>
      <c r="MZ4" s="390" t="s">
        <v>702</v>
      </c>
      <c r="NA4" s="391"/>
      <c r="NB4" s="327" t="s">
        <v>704</v>
      </c>
      <c r="NC4" s="139" t="s">
        <v>705</v>
      </c>
      <c r="ND4" s="137" t="s">
        <v>706</v>
      </c>
      <c r="NF4" s="325" t="s">
        <v>701</v>
      </c>
      <c r="NG4" s="390" t="s">
        <v>702</v>
      </c>
      <c r="NH4" s="391"/>
      <c r="NI4" s="327" t="s">
        <v>704</v>
      </c>
      <c r="NJ4" s="139" t="s">
        <v>705</v>
      </c>
      <c r="NK4" s="137" t="s">
        <v>706</v>
      </c>
      <c r="NM4" s="325" t="s">
        <v>701</v>
      </c>
      <c r="NN4" s="390" t="s">
        <v>702</v>
      </c>
      <c r="NO4" s="391"/>
      <c r="NP4" s="327" t="s">
        <v>704</v>
      </c>
      <c r="NQ4" s="139" t="s">
        <v>705</v>
      </c>
      <c r="NR4" s="137" t="s">
        <v>706</v>
      </c>
    </row>
    <row r="5" spans="1:383" ht="15" thickBot="1" x14ac:dyDescent="0.35">
      <c r="D5" s="306"/>
      <c r="E5" s="196"/>
      <c r="F5" s="349">
        <v>600</v>
      </c>
      <c r="G5" s="396">
        <v>2600000</v>
      </c>
      <c r="H5" s="413"/>
      <c r="I5" s="334">
        <f>(G5/F5)</f>
        <v>4333.333333333333</v>
      </c>
      <c r="J5" s="335">
        <v>3</v>
      </c>
      <c r="K5" s="336">
        <f>I7*J5*F9</f>
        <v>3707550</v>
      </c>
      <c r="L5"/>
      <c r="M5" s="313">
        <v>600</v>
      </c>
      <c r="N5" s="396">
        <v>2600000</v>
      </c>
      <c r="O5" s="413"/>
      <c r="P5" s="334">
        <f>(N5/M5)</f>
        <v>4333.333333333333</v>
      </c>
      <c r="Q5" s="335">
        <v>3</v>
      </c>
      <c r="R5" s="336">
        <f>P7*Q5*M9</f>
        <v>3514896</v>
      </c>
      <c r="T5" s="313">
        <v>600</v>
      </c>
      <c r="U5" s="411">
        <v>3000000</v>
      </c>
      <c r="V5" s="412"/>
      <c r="W5" s="334">
        <f>(U5/T5)</f>
        <v>5000</v>
      </c>
      <c r="X5" s="335">
        <v>2.9</v>
      </c>
      <c r="Y5" s="336">
        <f>W7*X5*T9</f>
        <v>4194183</v>
      </c>
      <c r="AA5" s="326">
        <v>600</v>
      </c>
      <c r="AB5" s="392">
        <v>2600000</v>
      </c>
      <c r="AC5" s="393"/>
      <c r="AD5" s="334">
        <f>(AB5/AA5)</f>
        <v>4333.333333333333</v>
      </c>
      <c r="AE5" s="335">
        <v>2.9</v>
      </c>
      <c r="AF5" s="336">
        <f>AD7*AE5*AA9</f>
        <v>3423087.5</v>
      </c>
      <c r="AH5" s="330">
        <v>600</v>
      </c>
      <c r="AI5" s="392">
        <v>2600000</v>
      </c>
      <c r="AJ5" s="393"/>
      <c r="AK5" s="334">
        <f>(AI5/AH5)</f>
        <v>4333.333333333333</v>
      </c>
      <c r="AL5" s="335">
        <v>2.9</v>
      </c>
      <c r="AM5" s="350">
        <f>AK7*AL5*AH9</f>
        <v>3351022.5</v>
      </c>
      <c r="AO5" s="330">
        <v>600</v>
      </c>
      <c r="AP5" s="392">
        <v>2600000</v>
      </c>
      <c r="AQ5" s="393"/>
      <c r="AR5" s="334">
        <f>(AP5/AO5)</f>
        <v>4333.333333333333</v>
      </c>
      <c r="AS5" s="335">
        <v>2.5</v>
      </c>
      <c r="AT5" s="336">
        <f>AR7*AS5*AO9</f>
        <v>3288187.5</v>
      </c>
      <c r="AV5" s="330">
        <v>600</v>
      </c>
      <c r="AW5" s="392">
        <v>2600000</v>
      </c>
      <c r="AX5" s="393"/>
      <c r="AY5" s="328">
        <f>(AW5/AV5)</f>
        <v>4333.333333333333</v>
      </c>
      <c r="AZ5" s="335">
        <v>2.7</v>
      </c>
      <c r="BA5" s="336">
        <f>AY7*AZ5*AV9</f>
        <v>3146755.5</v>
      </c>
      <c r="BC5" s="330">
        <v>600</v>
      </c>
      <c r="BD5" s="392">
        <v>2600000</v>
      </c>
      <c r="BE5" s="393"/>
      <c r="BF5" s="328">
        <f>(BD5/BC5)</f>
        <v>4333.333333333333</v>
      </c>
      <c r="BG5" s="335">
        <v>2.8</v>
      </c>
      <c r="BH5" s="336">
        <f>BF7*BG5*BC9</f>
        <v>3235470</v>
      </c>
      <c r="BJ5" s="330">
        <v>600</v>
      </c>
      <c r="BK5" s="392">
        <v>2600000</v>
      </c>
      <c r="BL5" s="393"/>
      <c r="BM5" s="328">
        <f>(BK5/BJ5)</f>
        <v>4333.333333333333</v>
      </c>
      <c r="BN5" s="335">
        <v>3.2</v>
      </c>
      <c r="BO5" s="336">
        <f>BM7*BN5*BJ9</f>
        <v>3360000</v>
      </c>
      <c r="BQ5" s="330">
        <v>600</v>
      </c>
      <c r="BR5" s="392">
        <v>2200000</v>
      </c>
      <c r="BS5" s="393"/>
      <c r="BT5" s="328">
        <f>(BR5/BQ5)</f>
        <v>3666.6666666666665</v>
      </c>
      <c r="BU5" s="335">
        <v>2.7</v>
      </c>
      <c r="BV5" s="336">
        <f>BT7*BU5*BQ9</f>
        <v>2835000</v>
      </c>
      <c r="BX5" s="330">
        <v>600</v>
      </c>
      <c r="BY5" s="392">
        <v>2600000</v>
      </c>
      <c r="BZ5" s="393"/>
      <c r="CA5" s="328">
        <f>(BY5/BX5)</f>
        <v>4333.333333333333</v>
      </c>
      <c r="CB5" s="335">
        <v>2.8</v>
      </c>
      <c r="CC5" s="336">
        <f>CA7*CB5*BX9</f>
        <v>3073280</v>
      </c>
      <c r="CE5" s="330">
        <v>600</v>
      </c>
      <c r="CF5" s="392">
        <v>2600000</v>
      </c>
      <c r="CG5" s="393"/>
      <c r="CH5" s="328">
        <f>(CF5/CE5)</f>
        <v>4333.333333333333</v>
      </c>
      <c r="CI5" s="335">
        <v>3.1</v>
      </c>
      <c r="CJ5" s="336">
        <f>CH7*CI5*CE9</f>
        <v>3194240</v>
      </c>
      <c r="CK5" s="345"/>
      <c r="CL5" s="330">
        <v>600</v>
      </c>
      <c r="CM5" s="392">
        <v>2600000</v>
      </c>
      <c r="CN5" s="393"/>
      <c r="CO5" s="328">
        <f>(CM5/CL5)</f>
        <v>4333.333333333333</v>
      </c>
      <c r="CP5" s="335">
        <v>3.1</v>
      </c>
      <c r="CQ5" s="336">
        <f>CO7*CP5*CL9</f>
        <v>3314675</v>
      </c>
      <c r="CS5" s="330">
        <v>600</v>
      </c>
      <c r="CT5" s="392">
        <v>2600000</v>
      </c>
      <c r="CU5" s="393"/>
      <c r="CV5" s="328">
        <f>(CT5/CS5)</f>
        <v>4333.333333333333</v>
      </c>
      <c r="CW5" s="335">
        <v>3</v>
      </c>
      <c r="CX5" s="336">
        <f>CV7*CW5*CS9</f>
        <v>3192000</v>
      </c>
      <c r="CZ5" s="330">
        <v>600</v>
      </c>
      <c r="DA5" s="392">
        <v>2600000</v>
      </c>
      <c r="DB5" s="393"/>
      <c r="DC5" s="328">
        <f>(DA5/CZ5)</f>
        <v>4333.333333333333</v>
      </c>
      <c r="DD5" s="335">
        <v>2.9</v>
      </c>
      <c r="DE5" s="336">
        <f>DC7*DD5*CZ9</f>
        <v>2968672</v>
      </c>
      <c r="DG5" s="330">
        <v>600</v>
      </c>
      <c r="DH5" s="392">
        <v>2600000</v>
      </c>
      <c r="DI5" s="393"/>
      <c r="DJ5" s="328">
        <f>(DH5/DG5)</f>
        <v>4333.333333333333</v>
      </c>
      <c r="DK5" s="335">
        <v>3.1</v>
      </c>
      <c r="DL5" s="336">
        <f>DJ7*DK5*DG9</f>
        <v>2821000</v>
      </c>
      <c r="DN5" s="330">
        <v>600</v>
      </c>
      <c r="DO5" s="392">
        <v>2100000</v>
      </c>
      <c r="DP5" s="393"/>
      <c r="DQ5" s="328">
        <f>(DO5/DN5)</f>
        <v>3500</v>
      </c>
      <c r="DR5" s="335">
        <v>2.9</v>
      </c>
      <c r="DS5" s="336">
        <f>DQ7*DR5*DN9</f>
        <v>2599212</v>
      </c>
      <c r="DU5" s="330">
        <v>645</v>
      </c>
      <c r="DV5" s="392">
        <v>2160000</v>
      </c>
      <c r="DW5" s="393"/>
      <c r="DX5" s="328">
        <f>(DV5/DU5)</f>
        <v>3348.8372093023254</v>
      </c>
      <c r="DY5" s="335">
        <v>3.1</v>
      </c>
      <c r="DZ5" s="336">
        <f>DX7*DY5*DU9</f>
        <v>2722482</v>
      </c>
      <c r="EB5" s="330">
        <v>600</v>
      </c>
      <c r="EC5" s="392">
        <v>2800000</v>
      </c>
      <c r="ED5" s="393"/>
      <c r="EE5" s="328">
        <f>(EC5/EB5)</f>
        <v>4666.666666666667</v>
      </c>
      <c r="EF5" s="335">
        <v>3</v>
      </c>
      <c r="EG5" s="336">
        <f>EE7*EF5*EB9</f>
        <v>2870280</v>
      </c>
      <c r="EI5" s="330">
        <v>600</v>
      </c>
      <c r="EJ5" s="392">
        <v>2600000</v>
      </c>
      <c r="EK5" s="393"/>
      <c r="EL5" s="328">
        <f>(EJ5/EI5)</f>
        <v>4333.333333333333</v>
      </c>
      <c r="EM5" s="335">
        <v>3</v>
      </c>
      <c r="EN5" s="336">
        <f>EL7*EM5*EI9</f>
        <v>2989350</v>
      </c>
      <c r="EP5" s="330">
        <v>600</v>
      </c>
      <c r="EQ5" s="392">
        <v>2200000</v>
      </c>
      <c r="ER5" s="393"/>
      <c r="ES5" s="328">
        <f>(EQ5/EP5)</f>
        <v>3666.6666666666665</v>
      </c>
      <c r="ET5" s="335">
        <v>2.2000000000000002</v>
      </c>
      <c r="EU5" s="336">
        <f>ES7*ET5*EP9</f>
        <v>2312310.0000000005</v>
      </c>
      <c r="EW5" s="330">
        <v>600</v>
      </c>
      <c r="EX5" s="392">
        <v>2600000</v>
      </c>
      <c r="EY5" s="393"/>
      <c r="EZ5" s="328">
        <f>(EX5/EW5)</f>
        <v>4333.333333333333</v>
      </c>
      <c r="FA5" s="335">
        <v>3</v>
      </c>
      <c r="FB5" s="336">
        <f>EZ7*FA5*EW9</f>
        <v>2945250</v>
      </c>
      <c r="FD5" s="330">
        <v>600</v>
      </c>
      <c r="FE5" s="392">
        <v>2600000</v>
      </c>
      <c r="FF5" s="393"/>
      <c r="FG5" s="328">
        <f>(FE5/FD5)</f>
        <v>4333.333333333333</v>
      </c>
      <c r="FH5" s="335">
        <v>3.5</v>
      </c>
      <c r="FI5" s="336">
        <f>FG7*FH5*FD9</f>
        <v>3638250</v>
      </c>
      <c r="FK5" s="330">
        <v>600</v>
      </c>
      <c r="FL5" s="392">
        <v>2600000</v>
      </c>
      <c r="FM5" s="393"/>
      <c r="FN5" s="328">
        <f>(FL5/FK5)</f>
        <v>4333.333333333333</v>
      </c>
      <c r="FO5" s="335">
        <v>3</v>
      </c>
      <c r="FP5" s="336">
        <f>FN7*FO5*FK9</f>
        <v>2808000</v>
      </c>
      <c r="FR5" s="330">
        <v>630</v>
      </c>
      <c r="FS5" s="392">
        <v>3000000</v>
      </c>
      <c r="FT5" s="393"/>
      <c r="FU5" s="328">
        <f>(FS5/FR5)</f>
        <v>4761.9047619047615</v>
      </c>
      <c r="FV5" s="335">
        <v>3</v>
      </c>
      <c r="FW5" s="336">
        <f>FU7*FV5*FR9</f>
        <v>3014550</v>
      </c>
      <c r="FY5" s="330">
        <v>630</v>
      </c>
      <c r="FZ5" s="392">
        <v>3000000</v>
      </c>
      <c r="GA5" s="393"/>
      <c r="GB5" s="328">
        <f>(FZ5/FY5)</f>
        <v>4761.9047619047615</v>
      </c>
      <c r="GC5" s="335">
        <v>3</v>
      </c>
      <c r="GD5" s="336">
        <f>GB7*GC5*FY9</f>
        <v>2936640</v>
      </c>
      <c r="GF5" s="330">
        <v>630</v>
      </c>
      <c r="GG5" s="392">
        <v>3000000</v>
      </c>
      <c r="GH5" s="393"/>
      <c r="GI5" s="328">
        <f>(GG5/GF5)</f>
        <v>4761.9047619047615</v>
      </c>
      <c r="GJ5" s="335">
        <v>3</v>
      </c>
      <c r="GK5" s="336">
        <f>GI7*GJ5*GF9</f>
        <v>2822400</v>
      </c>
      <c r="GM5" s="330">
        <v>630</v>
      </c>
      <c r="GN5" s="392">
        <v>3000000</v>
      </c>
      <c r="GO5" s="393"/>
      <c r="GP5" s="328">
        <f>(GN5/GM5)</f>
        <v>4761.9047619047615</v>
      </c>
      <c r="GQ5" s="335">
        <v>3</v>
      </c>
      <c r="GR5" s="336">
        <f>GP7*GQ5*GM9</f>
        <v>2755200</v>
      </c>
      <c r="GT5" s="330">
        <v>630</v>
      </c>
      <c r="GU5" s="392">
        <v>2600000</v>
      </c>
      <c r="GV5" s="393"/>
      <c r="GW5" s="328">
        <f>(GU5/GT5)</f>
        <v>4126.9841269841272</v>
      </c>
      <c r="GX5" s="335">
        <v>3</v>
      </c>
      <c r="GY5" s="336">
        <f>GW7*GX5*GT9</f>
        <v>2190720</v>
      </c>
      <c r="HA5" s="330">
        <v>630</v>
      </c>
      <c r="HB5" s="392">
        <v>3000000</v>
      </c>
      <c r="HC5" s="393"/>
      <c r="HD5" s="334">
        <f>(HB5/HA5)</f>
        <v>4761.9047619047615</v>
      </c>
      <c r="HE5" s="335">
        <v>3</v>
      </c>
      <c r="HF5" s="350">
        <f>HD7*HE5*HA9</f>
        <v>2520000</v>
      </c>
      <c r="HH5" s="330">
        <v>600</v>
      </c>
      <c r="HI5" s="392">
        <v>3000000</v>
      </c>
      <c r="HJ5" s="393"/>
      <c r="HK5" s="334">
        <f>(HI5/HH5)</f>
        <v>5000</v>
      </c>
      <c r="HL5" s="335">
        <v>3</v>
      </c>
      <c r="HM5" s="336">
        <f>HK7*HL5*HH9</f>
        <v>2545920</v>
      </c>
      <c r="HO5" s="330">
        <v>630</v>
      </c>
      <c r="HP5" s="392">
        <v>3000000</v>
      </c>
      <c r="HQ5" s="393"/>
      <c r="HR5" s="328">
        <f>(HP5/HO5)</f>
        <v>4761.9047619047615</v>
      </c>
      <c r="HS5" s="335">
        <v>3</v>
      </c>
      <c r="HT5" s="336">
        <f>HR7*HS5*HO9</f>
        <v>2352000</v>
      </c>
      <c r="HV5" s="330">
        <v>630</v>
      </c>
      <c r="HW5" s="392">
        <v>3000000</v>
      </c>
      <c r="HX5" s="393"/>
      <c r="HY5" s="328">
        <f>(HW5/HV5)</f>
        <v>4761.9047619047615</v>
      </c>
      <c r="HZ5" s="335">
        <v>3</v>
      </c>
      <c r="IA5" s="336">
        <f>HY7*HZ5*HV9</f>
        <v>2452800</v>
      </c>
      <c r="IC5" s="330">
        <v>630</v>
      </c>
      <c r="ID5" s="392">
        <v>3000000</v>
      </c>
      <c r="IE5" s="393"/>
      <c r="IF5" s="328">
        <f>(ID5/IC5)</f>
        <v>4761.9047619047615</v>
      </c>
      <c r="IG5" s="335">
        <v>3</v>
      </c>
      <c r="IH5" s="336">
        <f>IF7*IG5*IC9</f>
        <v>2721600</v>
      </c>
      <c r="IJ5" s="330">
        <v>630</v>
      </c>
      <c r="IK5" s="392">
        <v>2200000</v>
      </c>
      <c r="IL5" s="393"/>
      <c r="IM5" s="328">
        <f>(IK5/IJ5)</f>
        <v>3492.063492063492</v>
      </c>
      <c r="IN5" s="335">
        <v>3</v>
      </c>
      <c r="IO5" s="336">
        <f>IM7*IN5*IJ9</f>
        <v>2709000</v>
      </c>
      <c r="IQ5" s="330">
        <v>600</v>
      </c>
      <c r="IR5" s="392">
        <v>2600000</v>
      </c>
      <c r="IS5" s="393"/>
      <c r="IT5" s="328">
        <f>(IR5/IQ5)</f>
        <v>4333.333333333333</v>
      </c>
      <c r="IU5" s="335">
        <v>3</v>
      </c>
      <c r="IV5" s="336">
        <f>IT7*IU5*IQ9</f>
        <v>2943360</v>
      </c>
      <c r="IX5" s="330">
        <v>600</v>
      </c>
      <c r="IY5" s="392">
        <v>2600000</v>
      </c>
      <c r="IZ5" s="393"/>
      <c r="JA5" s="328">
        <f>(IY5/IX5)</f>
        <v>4333.333333333333</v>
      </c>
      <c r="JB5" s="335">
        <v>3.1</v>
      </c>
      <c r="JC5" s="336">
        <f>JA7*JB5*IX9</f>
        <v>3124800</v>
      </c>
      <c r="JD5" s="345"/>
      <c r="JE5" s="330">
        <v>600</v>
      </c>
      <c r="JF5" s="392">
        <v>2600000</v>
      </c>
      <c r="JG5" s="393"/>
      <c r="JH5" s="328">
        <f>(JF5/JE5)</f>
        <v>4333.333333333333</v>
      </c>
      <c r="JI5" s="335">
        <v>3.1</v>
      </c>
      <c r="JJ5" s="336">
        <f>JH7*JI5*JE9</f>
        <v>3632037.5</v>
      </c>
      <c r="JL5" s="330">
        <v>600</v>
      </c>
      <c r="JM5" s="392">
        <v>2600000</v>
      </c>
      <c r="JN5" s="393"/>
      <c r="JO5" s="328">
        <f>(JM5/JL5)</f>
        <v>4333.333333333333</v>
      </c>
      <c r="JP5" s="335">
        <v>3</v>
      </c>
      <c r="JQ5" s="336">
        <f>JO7*JP5*JL9</f>
        <v>3595200</v>
      </c>
      <c r="JS5" s="330">
        <v>600</v>
      </c>
      <c r="JT5" s="392">
        <v>2600000</v>
      </c>
      <c r="JU5" s="393"/>
      <c r="JV5" s="328">
        <f>(JT5/JS5)</f>
        <v>4333.333333333333</v>
      </c>
      <c r="JW5" s="335">
        <v>2.9</v>
      </c>
      <c r="JX5" s="336">
        <f>JV7*JW5*JS9</f>
        <v>3540320</v>
      </c>
      <c r="JZ5" s="330">
        <v>600</v>
      </c>
      <c r="KA5" s="392">
        <v>2600000</v>
      </c>
      <c r="KB5" s="393"/>
      <c r="KC5" s="328">
        <f>(KA5/JZ5)</f>
        <v>4333.333333333333</v>
      </c>
      <c r="KD5" s="335">
        <v>3.1</v>
      </c>
      <c r="KE5" s="336">
        <f>KC7*KD5*JZ9</f>
        <v>3843612.5</v>
      </c>
      <c r="KG5" s="330">
        <v>600</v>
      </c>
      <c r="KH5" s="392">
        <v>2100000</v>
      </c>
      <c r="KI5" s="393"/>
      <c r="KJ5" s="328">
        <f>(KH5/KG5)</f>
        <v>3500</v>
      </c>
      <c r="KK5" s="335">
        <v>2.9</v>
      </c>
      <c r="KL5" s="336">
        <f>KJ7*KK5*KG9</f>
        <v>3650955</v>
      </c>
      <c r="KN5" s="330">
        <v>645</v>
      </c>
      <c r="KO5" s="392">
        <v>2160000</v>
      </c>
      <c r="KP5" s="393"/>
      <c r="KQ5" s="328">
        <f>(KO5/KN5)</f>
        <v>3348.8372093023254</v>
      </c>
      <c r="KR5" s="335">
        <v>3.1</v>
      </c>
      <c r="KS5" s="336">
        <f>KQ7*KR5*KN9</f>
        <v>4021010</v>
      </c>
      <c r="KU5" s="330">
        <v>600</v>
      </c>
      <c r="KV5" s="392">
        <v>2800000</v>
      </c>
      <c r="KW5" s="393"/>
      <c r="KX5" s="328">
        <f>(KV5/KU5)</f>
        <v>4666.666666666667</v>
      </c>
      <c r="KY5" s="335">
        <v>3</v>
      </c>
      <c r="KZ5" s="336">
        <f>KX7*KY5*KU9</f>
        <v>3834075</v>
      </c>
      <c r="LB5" s="330">
        <v>600</v>
      </c>
      <c r="LC5" s="392">
        <v>2600000</v>
      </c>
      <c r="LD5" s="393"/>
      <c r="LE5" s="328">
        <f>(LC5/LB5)</f>
        <v>4333.333333333333</v>
      </c>
      <c r="LF5" s="335">
        <v>3</v>
      </c>
      <c r="LG5" s="336">
        <f>LE7*LF5*LB9</f>
        <v>3719625</v>
      </c>
      <c r="LI5" s="330">
        <v>600</v>
      </c>
      <c r="LJ5" s="392">
        <v>2200000</v>
      </c>
      <c r="LK5" s="393"/>
      <c r="LL5" s="328">
        <f>(LJ5/LI5)</f>
        <v>3666.6666666666665</v>
      </c>
      <c r="LM5" s="335">
        <v>2.2000000000000002</v>
      </c>
      <c r="LN5" s="336">
        <f>LL7*LM5*LI9</f>
        <v>2769690</v>
      </c>
      <c r="LP5" s="330">
        <v>600</v>
      </c>
      <c r="LQ5" s="392">
        <v>2600000</v>
      </c>
      <c r="LR5" s="393"/>
      <c r="LS5" s="328">
        <f>(LQ5/LP5)</f>
        <v>4333.333333333333</v>
      </c>
      <c r="LT5" s="335">
        <v>3</v>
      </c>
      <c r="LU5" s="336">
        <f>LS7*LT5*LP9</f>
        <v>3776850</v>
      </c>
      <c r="LW5" s="330">
        <v>600</v>
      </c>
      <c r="LX5" s="392">
        <v>2600000</v>
      </c>
      <c r="LY5" s="393"/>
      <c r="LZ5" s="328">
        <f>(LX5/LW5)</f>
        <v>4333.333333333333</v>
      </c>
      <c r="MA5" s="335">
        <v>3.5</v>
      </c>
      <c r="MB5" s="336">
        <f>LZ7*MA5*LW9</f>
        <v>4005750</v>
      </c>
      <c r="MD5" s="330">
        <v>600</v>
      </c>
      <c r="ME5" s="392">
        <v>2600000</v>
      </c>
      <c r="MF5" s="393"/>
      <c r="MG5" s="328">
        <f>(ME5/MD5)</f>
        <v>4333.333333333333</v>
      </c>
      <c r="MH5" s="335">
        <v>3.5</v>
      </c>
      <c r="MI5" s="336">
        <f>MG7*MH5*MD9</f>
        <v>4005750</v>
      </c>
      <c r="MK5" s="330">
        <v>600</v>
      </c>
      <c r="ML5" s="392">
        <v>2600000</v>
      </c>
      <c r="MM5" s="393"/>
      <c r="MN5" s="328">
        <f>(ML5/MK5)</f>
        <v>4333.333333333333</v>
      </c>
      <c r="MO5" s="335">
        <v>3.5</v>
      </c>
      <c r="MP5" s="336">
        <f>MN7*MO5*MK9</f>
        <v>4005750</v>
      </c>
      <c r="MR5" s="330">
        <v>600</v>
      </c>
      <c r="MS5" s="392">
        <v>2600000</v>
      </c>
      <c r="MT5" s="393"/>
      <c r="MU5" s="328">
        <f>(MS5/MR5)</f>
        <v>4333.333333333333</v>
      </c>
      <c r="MV5" s="335">
        <v>3.5</v>
      </c>
      <c r="MW5" s="336">
        <f>MU7*MV5*MR9</f>
        <v>4005750</v>
      </c>
      <c r="MY5" s="330">
        <v>600</v>
      </c>
      <c r="MZ5" s="392">
        <v>2600000</v>
      </c>
      <c r="NA5" s="393"/>
      <c r="NB5" s="328">
        <f>(MZ5/MY5)</f>
        <v>4333.333333333333</v>
      </c>
      <c r="NC5" s="335">
        <v>3.5</v>
      </c>
      <c r="ND5" s="336">
        <f>NB7*NC5*MY9</f>
        <v>4005750</v>
      </c>
      <c r="NF5" s="330">
        <v>600</v>
      </c>
      <c r="NG5" s="392">
        <v>2600000</v>
      </c>
      <c r="NH5" s="393"/>
      <c r="NI5" s="328">
        <f>(NG5/NF5)</f>
        <v>4333.333333333333</v>
      </c>
      <c r="NJ5" s="335">
        <v>3.5</v>
      </c>
      <c r="NK5" s="336">
        <f>NI7*NJ5*NF9</f>
        <v>4005750</v>
      </c>
      <c r="NM5" s="330">
        <v>600</v>
      </c>
      <c r="NN5" s="392">
        <v>2600000</v>
      </c>
      <c r="NO5" s="393"/>
      <c r="NP5" s="328">
        <f>(NN5/NM5)</f>
        <v>4333.333333333333</v>
      </c>
      <c r="NQ5" s="335">
        <v>3.5</v>
      </c>
      <c r="NR5" s="336">
        <f>NP7*NQ5*NM9</f>
        <v>2572500</v>
      </c>
    </row>
    <row r="6" spans="1:383" s="196" customFormat="1" ht="16.05" customHeight="1" x14ac:dyDescent="0.3">
      <c r="A6" s="294"/>
      <c r="B6" s="306"/>
      <c r="C6" s="434" t="s">
        <v>693</v>
      </c>
      <c r="D6" s="338"/>
      <c r="F6" s="319" t="s">
        <v>692</v>
      </c>
      <c r="G6" s="394" t="s">
        <v>689</v>
      </c>
      <c r="H6" s="402"/>
      <c r="I6" s="394" t="s">
        <v>687</v>
      </c>
      <c r="J6" s="402"/>
      <c r="K6" s="249" t="s">
        <v>690</v>
      </c>
      <c r="M6" s="319" t="s">
        <v>692</v>
      </c>
      <c r="N6" s="394" t="s">
        <v>689</v>
      </c>
      <c r="O6" s="402"/>
      <c r="P6" s="394" t="s">
        <v>687</v>
      </c>
      <c r="Q6" s="402"/>
      <c r="R6" s="249" t="s">
        <v>690</v>
      </c>
      <c r="S6" s="276"/>
      <c r="T6" s="319" t="s">
        <v>692</v>
      </c>
      <c r="U6" s="394" t="s">
        <v>689</v>
      </c>
      <c r="V6" s="402"/>
      <c r="W6" s="394" t="s">
        <v>687</v>
      </c>
      <c r="X6" s="402"/>
      <c r="Y6" s="249" t="s">
        <v>690</v>
      </c>
      <c r="Z6" s="276"/>
      <c r="AA6" s="319" t="s">
        <v>692</v>
      </c>
      <c r="AB6" s="394" t="s">
        <v>689</v>
      </c>
      <c r="AC6" s="402"/>
      <c r="AD6" s="394" t="s">
        <v>687</v>
      </c>
      <c r="AE6" s="402"/>
      <c r="AF6" s="249" t="s">
        <v>690</v>
      </c>
      <c r="AG6" s="276"/>
      <c r="AH6" s="319" t="s">
        <v>692</v>
      </c>
      <c r="AI6" s="394" t="s">
        <v>689</v>
      </c>
      <c r="AJ6" s="402"/>
      <c r="AK6" s="394" t="s">
        <v>687</v>
      </c>
      <c r="AL6" s="402"/>
      <c r="AM6" s="249" t="s">
        <v>690</v>
      </c>
      <c r="AN6" s="276"/>
      <c r="AO6" s="319" t="s">
        <v>692</v>
      </c>
      <c r="AP6" s="429" t="s">
        <v>689</v>
      </c>
      <c r="AQ6" s="430"/>
      <c r="AR6" s="429" t="s">
        <v>687</v>
      </c>
      <c r="AS6" s="430"/>
      <c r="AT6" s="333" t="s">
        <v>690</v>
      </c>
      <c r="AU6" s="276"/>
      <c r="AV6" s="319" t="s">
        <v>692</v>
      </c>
      <c r="AW6" s="394" t="s">
        <v>689</v>
      </c>
      <c r="AX6" s="402"/>
      <c r="AY6" s="394" t="s">
        <v>687</v>
      </c>
      <c r="AZ6" s="402"/>
      <c r="BA6" s="249" t="s">
        <v>690</v>
      </c>
      <c r="BB6" s="276"/>
      <c r="BC6" s="319" t="s">
        <v>692</v>
      </c>
      <c r="BD6" s="394" t="s">
        <v>689</v>
      </c>
      <c r="BE6" s="402"/>
      <c r="BF6" s="394" t="s">
        <v>687</v>
      </c>
      <c r="BG6" s="402"/>
      <c r="BH6" s="249" t="s">
        <v>690</v>
      </c>
      <c r="BI6" s="276"/>
      <c r="BJ6" s="319" t="s">
        <v>692</v>
      </c>
      <c r="BK6" s="394" t="s">
        <v>689</v>
      </c>
      <c r="BL6" s="402"/>
      <c r="BM6" s="394" t="s">
        <v>687</v>
      </c>
      <c r="BN6" s="402"/>
      <c r="BO6" s="249" t="s">
        <v>690</v>
      </c>
      <c r="BP6" s="276"/>
      <c r="BQ6" s="319" t="s">
        <v>692</v>
      </c>
      <c r="BR6" s="394" t="s">
        <v>689</v>
      </c>
      <c r="BS6" s="402"/>
      <c r="BT6" s="394" t="s">
        <v>687</v>
      </c>
      <c r="BU6" s="402"/>
      <c r="BV6" s="249" t="s">
        <v>690</v>
      </c>
      <c r="BW6" s="276"/>
      <c r="BX6" s="319" t="s">
        <v>692</v>
      </c>
      <c r="BY6" s="394" t="s">
        <v>689</v>
      </c>
      <c r="BZ6" s="402"/>
      <c r="CA6" s="394" t="s">
        <v>687</v>
      </c>
      <c r="CB6" s="402"/>
      <c r="CC6" s="249" t="s">
        <v>690</v>
      </c>
      <c r="CD6" s="276"/>
      <c r="CE6" s="319" t="s">
        <v>692</v>
      </c>
      <c r="CF6" s="394" t="s">
        <v>689</v>
      </c>
      <c r="CG6" s="402"/>
      <c r="CH6" s="394" t="s">
        <v>687</v>
      </c>
      <c r="CI6" s="402"/>
      <c r="CJ6" s="249" t="s">
        <v>690</v>
      </c>
      <c r="CK6" s="276"/>
      <c r="CL6" s="319" t="s">
        <v>692</v>
      </c>
      <c r="CM6" s="394" t="s">
        <v>689</v>
      </c>
      <c r="CN6" s="402"/>
      <c r="CO6" s="394" t="s">
        <v>687</v>
      </c>
      <c r="CP6" s="402"/>
      <c r="CQ6" s="249" t="s">
        <v>690</v>
      </c>
      <c r="CR6" s="276"/>
      <c r="CS6" s="319" t="s">
        <v>692</v>
      </c>
      <c r="CT6" s="394" t="s">
        <v>689</v>
      </c>
      <c r="CU6" s="402"/>
      <c r="CV6" s="394" t="s">
        <v>687</v>
      </c>
      <c r="CW6" s="402"/>
      <c r="CX6" s="249" t="s">
        <v>690</v>
      </c>
      <c r="CY6" s="276"/>
      <c r="CZ6" s="319" t="s">
        <v>692</v>
      </c>
      <c r="DA6" s="394" t="s">
        <v>689</v>
      </c>
      <c r="DB6" s="402"/>
      <c r="DC6" s="394" t="s">
        <v>687</v>
      </c>
      <c r="DD6" s="402"/>
      <c r="DE6" s="249" t="s">
        <v>690</v>
      </c>
      <c r="DF6" s="276"/>
      <c r="DG6" s="319" t="s">
        <v>692</v>
      </c>
      <c r="DH6" s="394" t="s">
        <v>689</v>
      </c>
      <c r="DI6" s="402"/>
      <c r="DJ6" s="394" t="s">
        <v>687</v>
      </c>
      <c r="DK6" s="402"/>
      <c r="DL6" s="249" t="s">
        <v>690</v>
      </c>
      <c r="DM6" s="276"/>
      <c r="DN6" s="319" t="s">
        <v>692</v>
      </c>
      <c r="DO6" s="394" t="s">
        <v>689</v>
      </c>
      <c r="DP6" s="402"/>
      <c r="DQ6" s="394" t="s">
        <v>687</v>
      </c>
      <c r="DR6" s="402"/>
      <c r="DS6" s="249" t="s">
        <v>690</v>
      </c>
      <c r="DT6" s="276"/>
      <c r="DU6" s="319" t="s">
        <v>692</v>
      </c>
      <c r="DV6" s="394" t="s">
        <v>689</v>
      </c>
      <c r="DW6" s="402"/>
      <c r="DX6" s="394" t="s">
        <v>687</v>
      </c>
      <c r="DY6" s="402"/>
      <c r="DZ6" s="249" t="s">
        <v>690</v>
      </c>
      <c r="EA6" s="276"/>
      <c r="EB6" s="319" t="s">
        <v>692</v>
      </c>
      <c r="EC6" s="394" t="s">
        <v>689</v>
      </c>
      <c r="ED6" s="402"/>
      <c r="EE6" s="394" t="s">
        <v>687</v>
      </c>
      <c r="EF6" s="402"/>
      <c r="EG6" s="249" t="s">
        <v>690</v>
      </c>
      <c r="EH6" s="276"/>
      <c r="EI6" s="319" t="s">
        <v>692</v>
      </c>
      <c r="EJ6" s="394" t="s">
        <v>689</v>
      </c>
      <c r="EK6" s="402"/>
      <c r="EL6" s="394" t="s">
        <v>687</v>
      </c>
      <c r="EM6" s="402"/>
      <c r="EN6" s="249" t="s">
        <v>690</v>
      </c>
      <c r="EO6" s="276"/>
      <c r="EP6" s="319" t="s">
        <v>692</v>
      </c>
      <c r="EQ6" s="394" t="s">
        <v>689</v>
      </c>
      <c r="ER6" s="402"/>
      <c r="ES6" s="394" t="s">
        <v>687</v>
      </c>
      <c r="ET6" s="402"/>
      <c r="EU6" s="249" t="s">
        <v>690</v>
      </c>
      <c r="EV6" s="276"/>
      <c r="EW6" s="319" t="s">
        <v>692</v>
      </c>
      <c r="EX6" s="394" t="s">
        <v>689</v>
      </c>
      <c r="EY6" s="402"/>
      <c r="EZ6" s="394" t="s">
        <v>687</v>
      </c>
      <c r="FA6" s="402"/>
      <c r="FB6" s="249" t="s">
        <v>690</v>
      </c>
      <c r="FC6" s="276"/>
      <c r="FD6" s="319" t="s">
        <v>692</v>
      </c>
      <c r="FE6" s="394" t="s">
        <v>689</v>
      </c>
      <c r="FF6" s="402"/>
      <c r="FG6" s="394" t="s">
        <v>687</v>
      </c>
      <c r="FH6" s="402"/>
      <c r="FI6" s="249" t="s">
        <v>690</v>
      </c>
      <c r="FJ6" s="276"/>
      <c r="FK6" s="319" t="s">
        <v>692</v>
      </c>
      <c r="FL6" s="394" t="s">
        <v>689</v>
      </c>
      <c r="FM6" s="402"/>
      <c r="FN6" s="394" t="s">
        <v>687</v>
      </c>
      <c r="FO6" s="402"/>
      <c r="FP6" s="249" t="s">
        <v>690</v>
      </c>
      <c r="FQ6" s="276"/>
      <c r="FR6" s="319" t="s">
        <v>692</v>
      </c>
      <c r="FS6" s="394" t="s">
        <v>689</v>
      </c>
      <c r="FT6" s="402"/>
      <c r="FU6" s="394" t="s">
        <v>687</v>
      </c>
      <c r="FV6" s="402"/>
      <c r="FW6" s="249" t="s">
        <v>690</v>
      </c>
      <c r="FX6" s="276"/>
      <c r="FY6" s="319" t="s">
        <v>692</v>
      </c>
      <c r="FZ6" s="394" t="s">
        <v>689</v>
      </c>
      <c r="GA6" s="402"/>
      <c r="GB6" s="394" t="s">
        <v>687</v>
      </c>
      <c r="GC6" s="402"/>
      <c r="GD6" s="249" t="s">
        <v>690</v>
      </c>
      <c r="GE6" s="276"/>
      <c r="GF6" s="319" t="s">
        <v>692</v>
      </c>
      <c r="GG6" s="394" t="s">
        <v>689</v>
      </c>
      <c r="GH6" s="402"/>
      <c r="GI6" s="394" t="s">
        <v>687</v>
      </c>
      <c r="GJ6" s="402"/>
      <c r="GK6" s="249" t="s">
        <v>690</v>
      </c>
      <c r="GL6" s="276"/>
      <c r="GM6" s="319" t="s">
        <v>692</v>
      </c>
      <c r="GN6" s="394" t="s">
        <v>689</v>
      </c>
      <c r="GO6" s="402"/>
      <c r="GP6" s="394" t="s">
        <v>687</v>
      </c>
      <c r="GQ6" s="402"/>
      <c r="GR6" s="249" t="s">
        <v>690</v>
      </c>
      <c r="GS6" s="276"/>
      <c r="GT6" s="319" t="s">
        <v>692</v>
      </c>
      <c r="GU6" s="394" t="s">
        <v>689</v>
      </c>
      <c r="GV6" s="402"/>
      <c r="GW6" s="394" t="s">
        <v>687</v>
      </c>
      <c r="GX6" s="402"/>
      <c r="GY6" s="249" t="s">
        <v>690</v>
      </c>
      <c r="GZ6" s="263"/>
      <c r="HA6" s="319" t="s">
        <v>692</v>
      </c>
      <c r="HB6" s="394" t="s">
        <v>689</v>
      </c>
      <c r="HC6" s="402"/>
      <c r="HD6" s="394" t="s">
        <v>687</v>
      </c>
      <c r="HE6" s="402"/>
      <c r="HF6" s="249" t="s">
        <v>690</v>
      </c>
      <c r="HG6" s="276"/>
      <c r="HH6" s="319" t="s">
        <v>692</v>
      </c>
      <c r="HI6" s="429" t="s">
        <v>689</v>
      </c>
      <c r="HJ6" s="430"/>
      <c r="HK6" s="429" t="s">
        <v>687</v>
      </c>
      <c r="HL6" s="430"/>
      <c r="HM6" s="333" t="s">
        <v>690</v>
      </c>
      <c r="HN6" s="276"/>
      <c r="HO6" s="319" t="s">
        <v>692</v>
      </c>
      <c r="HP6" s="394" t="s">
        <v>689</v>
      </c>
      <c r="HQ6" s="402"/>
      <c r="HR6" s="394" t="s">
        <v>687</v>
      </c>
      <c r="HS6" s="402"/>
      <c r="HT6" s="249" t="s">
        <v>690</v>
      </c>
      <c r="HU6" s="276"/>
      <c r="HV6" s="319" t="s">
        <v>692</v>
      </c>
      <c r="HW6" s="394" t="s">
        <v>689</v>
      </c>
      <c r="HX6" s="402"/>
      <c r="HY6" s="394" t="s">
        <v>687</v>
      </c>
      <c r="HZ6" s="402"/>
      <c r="IA6" s="249" t="s">
        <v>690</v>
      </c>
      <c r="IB6" s="276"/>
      <c r="IC6" s="319" t="s">
        <v>692</v>
      </c>
      <c r="ID6" s="394" t="s">
        <v>689</v>
      </c>
      <c r="IE6" s="402"/>
      <c r="IF6" s="394" t="s">
        <v>687</v>
      </c>
      <c r="IG6" s="402"/>
      <c r="IH6" s="249" t="s">
        <v>690</v>
      </c>
      <c r="II6" s="276"/>
      <c r="IJ6" s="319" t="s">
        <v>692</v>
      </c>
      <c r="IK6" s="394" t="s">
        <v>689</v>
      </c>
      <c r="IL6" s="402"/>
      <c r="IM6" s="394" t="s">
        <v>687</v>
      </c>
      <c r="IN6" s="402"/>
      <c r="IO6" s="249" t="s">
        <v>690</v>
      </c>
      <c r="IP6" s="276"/>
      <c r="IQ6" s="319" t="s">
        <v>692</v>
      </c>
      <c r="IR6" s="394" t="s">
        <v>689</v>
      </c>
      <c r="IS6" s="402"/>
      <c r="IT6" s="394" t="s">
        <v>687</v>
      </c>
      <c r="IU6" s="402"/>
      <c r="IV6" s="249" t="s">
        <v>690</v>
      </c>
      <c r="IW6" s="276"/>
      <c r="IX6" s="319" t="s">
        <v>692</v>
      </c>
      <c r="IY6" s="394" t="s">
        <v>689</v>
      </c>
      <c r="IZ6" s="402"/>
      <c r="JA6" s="394" t="s">
        <v>687</v>
      </c>
      <c r="JB6" s="402"/>
      <c r="JC6" s="249" t="s">
        <v>690</v>
      </c>
      <c r="JD6" s="276"/>
      <c r="JE6" s="319" t="s">
        <v>692</v>
      </c>
      <c r="JF6" s="394" t="s">
        <v>689</v>
      </c>
      <c r="JG6" s="402"/>
      <c r="JH6" s="394" t="s">
        <v>687</v>
      </c>
      <c r="JI6" s="402"/>
      <c r="JJ6" s="249" t="s">
        <v>690</v>
      </c>
      <c r="JK6" s="276"/>
      <c r="JL6" s="319" t="s">
        <v>692</v>
      </c>
      <c r="JM6" s="394" t="s">
        <v>689</v>
      </c>
      <c r="JN6" s="402"/>
      <c r="JO6" s="394" t="s">
        <v>687</v>
      </c>
      <c r="JP6" s="402"/>
      <c r="JQ6" s="249" t="s">
        <v>690</v>
      </c>
      <c r="JR6" s="276"/>
      <c r="JS6" s="319" t="s">
        <v>692</v>
      </c>
      <c r="JT6" s="394" t="s">
        <v>689</v>
      </c>
      <c r="JU6" s="402"/>
      <c r="JV6" s="394" t="s">
        <v>687</v>
      </c>
      <c r="JW6" s="402"/>
      <c r="JX6" s="249" t="s">
        <v>690</v>
      </c>
      <c r="JY6" s="276"/>
      <c r="JZ6" s="319" t="s">
        <v>692</v>
      </c>
      <c r="KA6" s="394" t="s">
        <v>689</v>
      </c>
      <c r="KB6" s="402"/>
      <c r="KC6" s="394" t="s">
        <v>687</v>
      </c>
      <c r="KD6" s="402"/>
      <c r="KE6" s="249" t="s">
        <v>690</v>
      </c>
      <c r="KF6" s="276"/>
      <c r="KG6" s="319" t="s">
        <v>692</v>
      </c>
      <c r="KH6" s="394" t="s">
        <v>689</v>
      </c>
      <c r="KI6" s="402"/>
      <c r="KJ6" s="394" t="s">
        <v>687</v>
      </c>
      <c r="KK6" s="402"/>
      <c r="KL6" s="249" t="s">
        <v>690</v>
      </c>
      <c r="KM6" s="276"/>
      <c r="KN6" s="319" t="s">
        <v>692</v>
      </c>
      <c r="KO6" s="394" t="s">
        <v>689</v>
      </c>
      <c r="KP6" s="402"/>
      <c r="KQ6" s="394" t="s">
        <v>687</v>
      </c>
      <c r="KR6" s="402"/>
      <c r="KS6" s="249" t="s">
        <v>690</v>
      </c>
      <c r="KT6" s="276"/>
      <c r="KU6" s="319" t="s">
        <v>692</v>
      </c>
      <c r="KV6" s="394" t="s">
        <v>689</v>
      </c>
      <c r="KW6" s="402"/>
      <c r="KX6" s="394" t="s">
        <v>687</v>
      </c>
      <c r="KY6" s="402"/>
      <c r="KZ6" s="249" t="s">
        <v>690</v>
      </c>
      <c r="LA6" s="276"/>
      <c r="LB6" s="319" t="s">
        <v>692</v>
      </c>
      <c r="LC6" s="394" t="s">
        <v>689</v>
      </c>
      <c r="LD6" s="402"/>
      <c r="LE6" s="394" t="s">
        <v>687</v>
      </c>
      <c r="LF6" s="402"/>
      <c r="LG6" s="249" t="s">
        <v>690</v>
      </c>
      <c r="LH6" s="276"/>
      <c r="LI6" s="319" t="s">
        <v>692</v>
      </c>
      <c r="LJ6" s="394" t="s">
        <v>689</v>
      </c>
      <c r="LK6" s="402"/>
      <c r="LL6" s="394" t="s">
        <v>687</v>
      </c>
      <c r="LM6" s="402"/>
      <c r="LN6" s="249" t="s">
        <v>690</v>
      </c>
      <c r="LO6" s="276"/>
      <c r="LP6" s="319" t="s">
        <v>692</v>
      </c>
      <c r="LQ6" s="394" t="s">
        <v>689</v>
      </c>
      <c r="LR6" s="402"/>
      <c r="LS6" s="394" t="s">
        <v>687</v>
      </c>
      <c r="LT6" s="402"/>
      <c r="LU6" s="249" t="s">
        <v>690</v>
      </c>
      <c r="LV6" s="276"/>
      <c r="LW6" s="319" t="s">
        <v>692</v>
      </c>
      <c r="LX6" s="394" t="s">
        <v>689</v>
      </c>
      <c r="LY6" s="402"/>
      <c r="LZ6" s="394" t="s">
        <v>687</v>
      </c>
      <c r="MA6" s="402"/>
      <c r="MB6" s="249" t="s">
        <v>690</v>
      </c>
      <c r="MC6" s="276"/>
      <c r="MD6" s="319" t="s">
        <v>692</v>
      </c>
      <c r="ME6" s="394" t="s">
        <v>689</v>
      </c>
      <c r="MF6" s="402"/>
      <c r="MG6" s="394" t="s">
        <v>687</v>
      </c>
      <c r="MH6" s="402"/>
      <c r="MI6" s="249" t="s">
        <v>690</v>
      </c>
      <c r="MJ6" s="276"/>
      <c r="MK6" s="319" t="s">
        <v>692</v>
      </c>
      <c r="ML6" s="394" t="s">
        <v>689</v>
      </c>
      <c r="MM6" s="402"/>
      <c r="MN6" s="394" t="s">
        <v>687</v>
      </c>
      <c r="MO6" s="402"/>
      <c r="MP6" s="249" t="s">
        <v>690</v>
      </c>
      <c r="MQ6" s="276"/>
      <c r="MR6" s="319" t="s">
        <v>692</v>
      </c>
      <c r="MS6" s="394" t="s">
        <v>689</v>
      </c>
      <c r="MT6" s="402"/>
      <c r="MU6" s="394" t="s">
        <v>687</v>
      </c>
      <c r="MV6" s="402"/>
      <c r="MW6" s="249" t="s">
        <v>690</v>
      </c>
      <c r="MX6" s="276"/>
      <c r="MY6" s="319" t="s">
        <v>692</v>
      </c>
      <c r="MZ6" s="394" t="s">
        <v>689</v>
      </c>
      <c r="NA6" s="402"/>
      <c r="NB6" s="394" t="s">
        <v>687</v>
      </c>
      <c r="NC6" s="402"/>
      <c r="ND6" s="249" t="s">
        <v>690</v>
      </c>
      <c r="NE6" s="276"/>
      <c r="NF6" s="319" t="s">
        <v>692</v>
      </c>
      <c r="NG6" s="394" t="s">
        <v>689</v>
      </c>
      <c r="NH6" s="402"/>
      <c r="NI6" s="394" t="s">
        <v>687</v>
      </c>
      <c r="NJ6" s="402"/>
      <c r="NK6" s="249" t="s">
        <v>690</v>
      </c>
      <c r="NL6" s="276"/>
      <c r="NM6" s="319" t="s">
        <v>692</v>
      </c>
      <c r="NN6" s="394" t="s">
        <v>689</v>
      </c>
      <c r="NO6" s="402"/>
      <c r="NP6" s="394" t="s">
        <v>687</v>
      </c>
      <c r="NQ6" s="402"/>
      <c r="NR6" s="249" t="s">
        <v>690</v>
      </c>
      <c r="NS6" s="263"/>
    </row>
    <row r="7" spans="1:383" s="196" customFormat="1" ht="16.05" customHeight="1" x14ac:dyDescent="0.3">
      <c r="A7" s="294"/>
      <c r="B7" s="306"/>
      <c r="C7" s="435"/>
      <c r="D7" s="338"/>
      <c r="F7" s="320">
        <f>F14+F21+F28</f>
        <v>107</v>
      </c>
      <c r="G7" s="403">
        <f>(G5/F5)*(1-0.4)</f>
        <v>2599.9999999999995</v>
      </c>
      <c r="H7" s="404"/>
      <c r="I7" s="405">
        <f>I14+I21+I28</f>
        <v>3745</v>
      </c>
      <c r="J7" s="406"/>
      <c r="K7" s="318">
        <f>IF(G7&lt;&gt;0,I7-G7,0)</f>
        <v>1145.0000000000005</v>
      </c>
      <c r="L7" s="331">
        <f>L14+L21+L28</f>
        <v>12.228571428571428</v>
      </c>
      <c r="M7" s="320">
        <f>M14+M21+M28</f>
        <v>105.6</v>
      </c>
      <c r="N7" s="403">
        <f>(N5/M5)*(1-0.4)</f>
        <v>2599.9999999999995</v>
      </c>
      <c r="O7" s="404"/>
      <c r="P7" s="405">
        <f>P14+P21+P28</f>
        <v>3696</v>
      </c>
      <c r="Q7" s="406"/>
      <c r="R7" s="318">
        <f>IF(N7&lt;&gt;0,P7-N7,0)</f>
        <v>1096.0000000000005</v>
      </c>
      <c r="S7" s="331">
        <f>S14+S21+S28</f>
        <v>12.228571428571428</v>
      </c>
      <c r="T7" s="320">
        <f>T14+T21+T28</f>
        <v>97</v>
      </c>
      <c r="U7" s="403">
        <f>(U5/T5)*(1-0.4)</f>
        <v>3000</v>
      </c>
      <c r="V7" s="404"/>
      <c r="W7" s="405">
        <f>W14+W21+W28</f>
        <v>4074</v>
      </c>
      <c r="X7" s="406"/>
      <c r="Y7" s="318">
        <f>IF(U7&lt;&gt;0,W7-U7,0)</f>
        <v>1074</v>
      </c>
      <c r="Z7" s="331">
        <f>Z14+Z21+Z28</f>
        <v>13.428571428571429</v>
      </c>
      <c r="AA7" s="320">
        <f>AA14+AA21+AA28</f>
        <v>95</v>
      </c>
      <c r="AB7" s="403">
        <f>SUM(AB14,AB21,AB28)</f>
        <v>2084.5070422535209</v>
      </c>
      <c r="AC7" s="404"/>
      <c r="AD7" s="405">
        <f>AD14+AD21+AD28</f>
        <v>3325</v>
      </c>
      <c r="AE7" s="406"/>
      <c r="AF7" s="318">
        <f>IF(AB7&lt;&gt;0,AD7-AB7,0)</f>
        <v>1240.4929577464791</v>
      </c>
      <c r="AG7" s="331">
        <f>AG14+AG21+AG28</f>
        <v>35.442655935613686</v>
      </c>
      <c r="AH7" s="320">
        <f>AH14+AH21+AH28</f>
        <v>93</v>
      </c>
      <c r="AI7" s="403">
        <f>SUM(AI14,AI21,AI28)</f>
        <v>2450.7042253521126</v>
      </c>
      <c r="AJ7" s="404"/>
      <c r="AK7" s="405">
        <f>AK14+AK21+AK28</f>
        <v>3255</v>
      </c>
      <c r="AL7" s="406"/>
      <c r="AM7" s="318">
        <f>IF(AI7&lt;&gt;0,AK7-AI7,0)</f>
        <v>804.29577464788736</v>
      </c>
      <c r="AN7" s="276"/>
      <c r="AO7" s="320">
        <f>AO14+AO21+AO28</f>
        <v>95</v>
      </c>
      <c r="AP7" s="403">
        <f>SUM(AP14,AP21,AP28)</f>
        <v>2707.0422535211269</v>
      </c>
      <c r="AQ7" s="404"/>
      <c r="AR7" s="405">
        <f>AR14+AR21+AR28</f>
        <v>3705</v>
      </c>
      <c r="AS7" s="406"/>
      <c r="AT7" s="318">
        <f>IF(AP7&lt;&gt;0,AR7-AP7,0)</f>
        <v>997.9577464788731</v>
      </c>
      <c r="AU7" s="331">
        <f>AU14+AU21+AU28</f>
        <v>28.513078470824951</v>
      </c>
      <c r="AV7" s="337">
        <f>AV14+AV21+AV28</f>
        <v>93.8</v>
      </c>
      <c r="AW7" s="403">
        <f>SUM(AW14,AW21,AW28)</f>
        <v>2713.6150234741781</v>
      </c>
      <c r="AX7" s="404"/>
      <c r="AY7" s="405">
        <f>AY14+AY21+AY28</f>
        <v>3283</v>
      </c>
      <c r="AZ7" s="406"/>
      <c r="BA7" s="318">
        <f>IF(AW7&lt;&gt;0,AY7-AW7,0)</f>
        <v>569.38497652582191</v>
      </c>
      <c r="BB7" s="331">
        <f>BB14+BB21+BB28</f>
        <v>16.268142186452057</v>
      </c>
      <c r="BC7" s="337">
        <f>BC14+BC21+BC28</f>
        <v>93</v>
      </c>
      <c r="BD7" s="403">
        <f>SUM(BD14,BD21,BD28)</f>
        <v>2616.7002012072435</v>
      </c>
      <c r="BE7" s="404"/>
      <c r="BF7" s="405">
        <f>BF14+BF21+BF28</f>
        <v>3255</v>
      </c>
      <c r="BG7" s="406"/>
      <c r="BH7" s="318">
        <f>IF(BD7&lt;&gt;0,BF7-BD7,0)</f>
        <v>638.29979879275652</v>
      </c>
      <c r="BI7" s="331">
        <f>BI14+BI21+BI28</f>
        <v>18.237137108364468</v>
      </c>
      <c r="BJ7" s="337">
        <f>BJ14+BJ21+BJ28</f>
        <v>100</v>
      </c>
      <c r="BK7" s="403">
        <f>SUM(BK14,BK21,BK28)</f>
        <v>2709.375</v>
      </c>
      <c r="BL7" s="404"/>
      <c r="BM7" s="405">
        <f>BM14+BM21+BM28</f>
        <v>3500</v>
      </c>
      <c r="BN7" s="406"/>
      <c r="BO7" s="318">
        <f>IF(BK7&lt;&gt;0,BM7-BK7,0)</f>
        <v>790.625</v>
      </c>
      <c r="BP7" s="331">
        <f>BP14+BP21+BP28</f>
        <v>22.589285714285715</v>
      </c>
      <c r="BQ7" s="337">
        <f>BQ14+BQ21+BQ28</f>
        <v>100</v>
      </c>
      <c r="BR7" s="403">
        <f>SUM(BR14,BR21,BR28)</f>
        <v>2714.8148148148148</v>
      </c>
      <c r="BS7" s="404"/>
      <c r="BT7" s="405">
        <f>BT14+BT21+BT28</f>
        <v>3500</v>
      </c>
      <c r="BU7" s="406"/>
      <c r="BV7" s="318">
        <f>IF(BR7&lt;&gt;0,BT7-BR7,0)</f>
        <v>785.18518518518522</v>
      </c>
      <c r="BW7" s="331">
        <f>BW14+BW21+BW28</f>
        <v>22.433862433862437</v>
      </c>
      <c r="BX7" s="320">
        <f>BX14+BX21+BX28</f>
        <v>93</v>
      </c>
      <c r="BY7" s="403">
        <f>SUM(BY14,BY21,BY28)</f>
        <v>2902.9017857142862</v>
      </c>
      <c r="BZ7" s="404"/>
      <c r="CA7" s="405">
        <f>CA14+CA21+CA28</f>
        <v>3430</v>
      </c>
      <c r="CB7" s="406"/>
      <c r="CC7" s="318">
        <f>IF(BY7&lt;&gt;0,CA7-BY7,0)</f>
        <v>527.09821428571377</v>
      </c>
      <c r="CD7" s="331">
        <f>CD14+CD21+CD28</f>
        <v>15.059948979591828</v>
      </c>
      <c r="CE7" s="320">
        <f>CE14+CE21+CE28</f>
        <v>92</v>
      </c>
      <c r="CF7" s="403">
        <f>SUM(CF14,CF21,CF28)</f>
        <v>2017.1906249999997</v>
      </c>
      <c r="CG7" s="404"/>
      <c r="CH7" s="405">
        <f>CH14+CH21+CH28</f>
        <v>3220</v>
      </c>
      <c r="CI7" s="406"/>
      <c r="CJ7" s="318">
        <f>IF(CF7&lt;&gt;0,CH7-CF7,0)</f>
        <v>1202.8093750000003</v>
      </c>
      <c r="CK7" s="331">
        <f>CK14+CK21+CK28</f>
        <v>34.365982142857149</v>
      </c>
      <c r="CL7" s="337">
        <f>CL14+CL21+CL28</f>
        <v>94</v>
      </c>
      <c r="CM7" s="403">
        <f>SUM(CM14,CM21,CM28)</f>
        <v>2581.6377171215881</v>
      </c>
      <c r="CN7" s="404"/>
      <c r="CO7" s="405">
        <f>CO14+CO21+CO28</f>
        <v>3290</v>
      </c>
      <c r="CP7" s="406"/>
      <c r="CQ7" s="318">
        <f>IF(CM7&lt;&gt;0,CO7-CM7,0)</f>
        <v>708.36228287841186</v>
      </c>
      <c r="CR7" s="331">
        <f>CR14+CR21+CR28</f>
        <v>20.238922367954622</v>
      </c>
      <c r="CS7" s="337">
        <f>CS14+CS21+CS28</f>
        <v>95</v>
      </c>
      <c r="CT7" s="403">
        <f>SUM(CT14,CT21,CT28)</f>
        <v>2709.375</v>
      </c>
      <c r="CU7" s="404"/>
      <c r="CV7" s="405">
        <f>CV14+CV21+CV28</f>
        <v>3325</v>
      </c>
      <c r="CW7" s="406"/>
      <c r="CX7" s="318">
        <f>IF(CT7&lt;&gt;0,CV7-CT7,0)</f>
        <v>615.625</v>
      </c>
      <c r="CY7" s="331">
        <f>CY14+CY21+CY28</f>
        <v>17.589285714285715</v>
      </c>
      <c r="CZ7" s="337">
        <f>CZ14+CZ21+CZ28</f>
        <v>91.4</v>
      </c>
      <c r="DA7" s="403">
        <f>SUM(DA14,DA21,DA28)</f>
        <v>2802.8017241379312</v>
      </c>
      <c r="DB7" s="404"/>
      <c r="DC7" s="405">
        <f>DC14+DC21+DC28</f>
        <v>3199</v>
      </c>
      <c r="DD7" s="406"/>
      <c r="DE7" s="318">
        <f>IF(DA7&lt;&gt;0,DC7-DA7,0)</f>
        <v>396.19827586206884</v>
      </c>
      <c r="DF7" s="331">
        <f>DF14+DF21+DF28</f>
        <v>11.319950738916257</v>
      </c>
      <c r="DG7" s="337">
        <f>DG14+DG21+DG28</f>
        <v>80</v>
      </c>
      <c r="DH7" s="403">
        <f>SUM(DH14,DH21,DH28)</f>
        <v>2581.6377171215881</v>
      </c>
      <c r="DI7" s="404"/>
      <c r="DJ7" s="405">
        <f>DJ14+DJ21+DJ28</f>
        <v>2800</v>
      </c>
      <c r="DK7" s="406"/>
      <c r="DL7" s="318">
        <f>IF(DH7&lt;&gt;0,DJ7-DH7,0)</f>
        <v>218.36228287841186</v>
      </c>
      <c r="DM7" s="331">
        <f>DM14+DM21+DM28</f>
        <v>6.238922367954622</v>
      </c>
      <c r="DN7" s="337">
        <f>DN14+DN21+DN28</f>
        <v>77.599999999999994</v>
      </c>
      <c r="DO7" s="403">
        <f>SUM(DO14,DO21,DO28)</f>
        <v>2194.3573667711598</v>
      </c>
      <c r="DP7" s="404"/>
      <c r="DQ7" s="405">
        <f>DQ14+DQ21+DQ28</f>
        <v>2716</v>
      </c>
      <c r="DR7" s="406"/>
      <c r="DS7" s="318">
        <f>IF(DO7&lt;&gt;0,DQ7-DO7,0)</f>
        <v>521.64263322884017</v>
      </c>
      <c r="DT7" s="331">
        <f>DT14+DT21+DT28</f>
        <v>14.904075235109715</v>
      </c>
      <c r="DU7" s="337">
        <f>DU14+DU21+DU28</f>
        <v>73.8</v>
      </c>
      <c r="DV7" s="403">
        <f>SUM(DV14,DV21,DV28)</f>
        <v>2049.3358633776093</v>
      </c>
      <c r="DW7" s="404"/>
      <c r="DX7" s="405">
        <f>DX14+DX21+DX28</f>
        <v>2583</v>
      </c>
      <c r="DY7" s="406"/>
      <c r="DZ7" s="318">
        <f>IF(DV7&lt;&gt;0,DX7-DV7,0)</f>
        <v>533.66413662239074</v>
      </c>
      <c r="EA7" s="331">
        <f>EA14+EA21+EA28</f>
        <v>15.247546760639739</v>
      </c>
      <c r="EB7" s="337">
        <f>EB14+EB21+EB28</f>
        <v>81.599999999999994</v>
      </c>
      <c r="EC7" s="403">
        <f>SUM(EC14,EC21,EC28)</f>
        <v>2785.0746268656717</v>
      </c>
      <c r="ED7" s="404"/>
      <c r="EE7" s="405">
        <f>EE14+EE21+EE28</f>
        <v>2856</v>
      </c>
      <c r="EF7" s="406"/>
      <c r="EG7" s="318">
        <f>IF(EC7&lt;&gt;0,EE7-EC7,0)</f>
        <v>70.925373134328311</v>
      </c>
      <c r="EH7" s="331">
        <f>SUM(EH14+EH21+EH28)</f>
        <v>2.0264392324093836</v>
      </c>
      <c r="EI7" s="337">
        <f>EI14+EI21+EI28</f>
        <v>87.6</v>
      </c>
      <c r="EJ7" s="403">
        <f>SUM(EJ14,EJ21,EJ28)</f>
        <v>2667.6923076923076</v>
      </c>
      <c r="EK7" s="404"/>
      <c r="EL7" s="405">
        <f>EL14+EL21+EL28</f>
        <v>3066</v>
      </c>
      <c r="EM7" s="406"/>
      <c r="EN7" s="318">
        <f>IF(EJ7&lt;&gt;0,EL7-EJ7,0)</f>
        <v>398.30769230769238</v>
      </c>
      <c r="EO7" s="331">
        <f>EO14+EO21+EO28</f>
        <v>11.380219780219775</v>
      </c>
      <c r="EP7" s="337">
        <f>EP14+EP21+EP28</f>
        <v>91</v>
      </c>
      <c r="EQ7" s="403">
        <f>SUM(EQ14,EQ21,EQ28)</f>
        <v>3028.9256198347107</v>
      </c>
      <c r="ER7" s="404"/>
      <c r="ES7" s="405">
        <f>ES14+ES21+ES28</f>
        <v>3185</v>
      </c>
      <c r="ET7" s="406"/>
      <c r="EU7" s="318">
        <f>IF(EQ7&lt;&gt;0,ES7-EQ7,0)</f>
        <v>156.07438016528931</v>
      </c>
      <c r="EV7" s="331">
        <f>EV14+EV21+EV28</f>
        <v>4.4592680047225546</v>
      </c>
      <c r="EW7" s="337">
        <f>EW14+EW21+EW28</f>
        <v>85</v>
      </c>
      <c r="EX7" s="403">
        <f>SUM(EX14,EX21,EX28)</f>
        <v>2627.272727272727</v>
      </c>
      <c r="EY7" s="404"/>
      <c r="EZ7" s="405">
        <f>EZ14+EZ21+EZ28</f>
        <v>2975</v>
      </c>
      <c r="FA7" s="406"/>
      <c r="FB7" s="318">
        <f>IF(EX7&lt;&gt;0,EZ7-EX7,0)</f>
        <v>347.72727272727298</v>
      </c>
      <c r="FC7" s="331">
        <f>FC14+FC21+FC28</f>
        <v>9.9350649350649363</v>
      </c>
      <c r="FD7" s="337">
        <f>FD14+FD21+FD28</f>
        <v>90</v>
      </c>
      <c r="FE7" s="403">
        <f>SUM(FE14,FE21,FE28)</f>
        <v>2727.2727272727275</v>
      </c>
      <c r="FF7" s="404"/>
      <c r="FG7" s="405">
        <f>FG14+FG21+FG28</f>
        <v>3150</v>
      </c>
      <c r="FH7" s="406"/>
      <c r="FI7" s="318">
        <f>IF(FE7&lt;&gt;0,FG7-FE7,0)</f>
        <v>422.72727272727252</v>
      </c>
      <c r="FJ7" s="331">
        <f>FJ14+FJ21+FJ28</f>
        <v>12.077922077922075</v>
      </c>
      <c r="FK7" s="337">
        <f>FK14+FK21+FK28</f>
        <v>75</v>
      </c>
      <c r="FL7" s="403">
        <f>SUM(FL14,FL21,FL28)</f>
        <v>2812.5</v>
      </c>
      <c r="FM7" s="404"/>
      <c r="FN7" s="405">
        <f>FN14+FN21+FN28</f>
        <v>2925</v>
      </c>
      <c r="FO7" s="406"/>
      <c r="FP7" s="318">
        <f>IF(FL7&lt;&gt;0,FN7-FL7,0)</f>
        <v>112.5</v>
      </c>
      <c r="FQ7" s="331">
        <f>FQ14+FQ21+FQ28</f>
        <v>3.2142857142857144</v>
      </c>
      <c r="FR7" s="320">
        <f>FR14+FR21+FR28</f>
        <v>87</v>
      </c>
      <c r="FS7" s="403">
        <f>SUM(FS14,FS21,FS28)</f>
        <v>3030.30303030303</v>
      </c>
      <c r="FT7" s="404"/>
      <c r="FU7" s="405">
        <f>FU14+FU21+FU28</f>
        <v>3045</v>
      </c>
      <c r="FV7" s="406"/>
      <c r="FW7" s="318">
        <f>IF(FS7&lt;&gt;0,FU7-FS7,0)</f>
        <v>14.696969696969973</v>
      </c>
      <c r="FX7" s="331">
        <f>FX14+FX21+FX28</f>
        <v>0.41991341991342457</v>
      </c>
      <c r="FY7" s="320">
        <f>FY14+FY21+FY28</f>
        <v>87.4</v>
      </c>
      <c r="FZ7" s="403">
        <f>SUM(FZ14,FZ21,FZ28)</f>
        <v>3124.9999999999995</v>
      </c>
      <c r="GA7" s="404"/>
      <c r="GB7" s="405">
        <f>GB14+GB21+GB28</f>
        <v>3059</v>
      </c>
      <c r="GC7" s="406"/>
      <c r="GD7" s="318">
        <f>IF(FZ7&lt;&gt;0,GB7-FZ7,0)</f>
        <v>-65.999999999999545</v>
      </c>
      <c r="GE7" s="331">
        <f>GE14+GE21+GE28</f>
        <v>-1.8857142857142728</v>
      </c>
      <c r="GF7" s="320">
        <f>GF14+GF21+GF28</f>
        <v>84</v>
      </c>
      <c r="GG7" s="403">
        <f>SUM(GG14,GG21,GG28)</f>
        <v>3124.9999999999995</v>
      </c>
      <c r="GH7" s="404"/>
      <c r="GI7" s="405">
        <f>GI14+GI21+GI28</f>
        <v>2940</v>
      </c>
      <c r="GJ7" s="406"/>
      <c r="GK7" s="318">
        <f>IF(GG7&lt;&gt;0,GI7-GG7,0)</f>
        <v>-184.99999999999955</v>
      </c>
      <c r="GL7" s="331">
        <f>GL14+GL21+GL28</f>
        <v>-5.2857142857142723</v>
      </c>
      <c r="GM7" s="320">
        <f>GM14+GM21+GM28</f>
        <v>82</v>
      </c>
      <c r="GN7" s="403">
        <f>SUM(GN14,GN21,GN28)</f>
        <v>3124.9999999999995</v>
      </c>
      <c r="GO7" s="404"/>
      <c r="GP7" s="405">
        <f>GP14+GP21+GP28</f>
        <v>2870</v>
      </c>
      <c r="GQ7" s="406"/>
      <c r="GR7" s="318">
        <f>IF(GN7&lt;&gt;0,GP7-GN7,0)</f>
        <v>-254.99999999999955</v>
      </c>
      <c r="GS7" s="331">
        <f>GS14+GS21+GS28</f>
        <v>-7.2857142857142723</v>
      </c>
      <c r="GT7" s="337">
        <f>GT14+GT21+GT28</f>
        <v>65.2</v>
      </c>
      <c r="GU7" s="403">
        <f>SUM(GU14,GU21,GU28)</f>
        <v>2709.375</v>
      </c>
      <c r="GV7" s="404"/>
      <c r="GW7" s="405">
        <f>GW14+GW21+GW28</f>
        <v>2282</v>
      </c>
      <c r="GX7" s="406"/>
      <c r="GY7" s="318">
        <f>IF(GU7&lt;&gt;0,GW7-GU7,0)</f>
        <v>-427.375</v>
      </c>
      <c r="GZ7" s="331">
        <f>GZ14+GZ21+GZ28</f>
        <v>-12.210714285714285</v>
      </c>
      <c r="HA7" s="320">
        <f>HA14+HA21+HA28</f>
        <v>75</v>
      </c>
      <c r="HB7" s="403">
        <f>SUM(HB14,HB21,HB28)</f>
        <v>2718.75</v>
      </c>
      <c r="HC7" s="404"/>
      <c r="HD7" s="405">
        <f>HD14+HD21+HD28</f>
        <v>2625</v>
      </c>
      <c r="HE7" s="406"/>
      <c r="HF7" s="318">
        <f>IF(HB7&lt;&gt;0,HD7-HB7,0)</f>
        <v>-93.75</v>
      </c>
      <c r="HG7" s="276"/>
      <c r="HH7" s="320">
        <f>HH14+HH21+HH28</f>
        <v>68</v>
      </c>
      <c r="HI7" s="403">
        <f>SUM(HI14,HI21,HI28)</f>
        <v>3003.125</v>
      </c>
      <c r="HJ7" s="404"/>
      <c r="HK7" s="405">
        <f>HK14+HK21+HK28</f>
        <v>2652</v>
      </c>
      <c r="HL7" s="406"/>
      <c r="HM7" s="318">
        <f>IF(HI7&lt;&gt;0,HK7-HI7,0)</f>
        <v>-351.125</v>
      </c>
      <c r="HN7" s="331">
        <f>HN14+HN21+HN28</f>
        <v>-10.032142857142857</v>
      </c>
      <c r="HO7" s="337">
        <f>HO14+HO21+HO28</f>
        <v>70</v>
      </c>
      <c r="HP7" s="403">
        <f>SUM(HP14,HP21,HP28)</f>
        <v>3124.9999999999995</v>
      </c>
      <c r="HQ7" s="404"/>
      <c r="HR7" s="405">
        <f>HR14+HR21+HR28</f>
        <v>2450</v>
      </c>
      <c r="HS7" s="406"/>
      <c r="HT7" s="318">
        <f>IF(HP7&lt;&gt;0,HR7-HP7,0)</f>
        <v>-674.99999999999955</v>
      </c>
      <c r="HU7" s="331">
        <f>HU14+HU21+HU28</f>
        <v>-19.28571428571427</v>
      </c>
      <c r="HV7" s="337">
        <f>HV14+HV21+HV28</f>
        <v>73</v>
      </c>
      <c r="HW7" s="403">
        <f>SUM(HW14,HW21,HW28)</f>
        <v>3124.9999999999995</v>
      </c>
      <c r="HX7" s="404"/>
      <c r="HY7" s="405">
        <f>HY14+HY21+HY28</f>
        <v>2555</v>
      </c>
      <c r="HZ7" s="406"/>
      <c r="IA7" s="318">
        <f>IF(HW7&lt;&gt;0,HY7-HW7,0)</f>
        <v>-569.99999999999955</v>
      </c>
      <c r="IB7" s="331">
        <f>IB14+IB21+IB28</f>
        <v>-16.28571428571427</v>
      </c>
      <c r="IC7" s="337">
        <f>IC14+IC21+IC28</f>
        <v>81</v>
      </c>
      <c r="ID7" s="403">
        <f>SUM(ID14,ID21,ID28)</f>
        <v>3124.9999999999995</v>
      </c>
      <c r="IE7" s="404"/>
      <c r="IF7" s="405">
        <f>IF14+IF21+IF28</f>
        <v>2835</v>
      </c>
      <c r="IG7" s="406"/>
      <c r="IH7" s="318">
        <f>IF(ID7&lt;&gt;0,IF7-ID7,0)</f>
        <v>-289.99999999999955</v>
      </c>
      <c r="II7" s="331">
        <f>II14+II21+II28</f>
        <v>-8.2857142857142723</v>
      </c>
      <c r="IJ7" s="337">
        <f>IJ14+IJ21+IJ28</f>
        <v>86</v>
      </c>
      <c r="IK7" s="403">
        <f>SUM(IK14,IK21,IK28)</f>
        <v>2443.3333333333335</v>
      </c>
      <c r="IL7" s="404"/>
      <c r="IM7" s="405">
        <f>IM14+IM21+IM28</f>
        <v>3010</v>
      </c>
      <c r="IN7" s="406"/>
      <c r="IO7" s="318">
        <f>IF(IK7&lt;&gt;0,IM7-IK7,0)</f>
        <v>566.66666666666652</v>
      </c>
      <c r="IP7" s="331">
        <f>IP14+IP21+IP28</f>
        <v>16.19047619047619</v>
      </c>
      <c r="IQ7" s="320">
        <f>IQ14+IQ21+IQ28</f>
        <v>91.6</v>
      </c>
      <c r="IR7" s="403">
        <f>SUM(IR14,IR21,IR28)</f>
        <v>2709.375</v>
      </c>
      <c r="IS7" s="404"/>
      <c r="IT7" s="405">
        <f>IT14+IT21+IT28</f>
        <v>3066</v>
      </c>
      <c r="IU7" s="406"/>
      <c r="IV7" s="318">
        <f>IF(IR7&lt;&gt;0,IT7-IR7,0)</f>
        <v>356.625</v>
      </c>
      <c r="IW7" s="331">
        <f>IW14+IW21+IW28</f>
        <v>10.189285714285713</v>
      </c>
      <c r="IX7" s="320">
        <f>IX14+IX21+IX28</f>
        <v>90</v>
      </c>
      <c r="IY7" s="403">
        <f>SUM(IY14,IY21,IY28)</f>
        <v>2017.1906249999997</v>
      </c>
      <c r="IZ7" s="404"/>
      <c r="JA7" s="405">
        <f>JA14+JA21+JA28</f>
        <v>3150</v>
      </c>
      <c r="JB7" s="406"/>
      <c r="JC7" s="318">
        <f>IF(IY7&lt;&gt;0,JA7-IY7,0)</f>
        <v>1132.8093750000003</v>
      </c>
      <c r="JD7" s="331">
        <f>JD14+JD21+JD28</f>
        <v>32.365982142857149</v>
      </c>
      <c r="JE7" s="337">
        <f>JE14+JE21+JE28</f>
        <v>103</v>
      </c>
      <c r="JF7" s="403">
        <f>SUM(JF14,JF21,JF28)</f>
        <v>2581.6377171215881</v>
      </c>
      <c r="JG7" s="404"/>
      <c r="JH7" s="405">
        <f>JH14+JH21+JH28</f>
        <v>3605</v>
      </c>
      <c r="JI7" s="406"/>
      <c r="JJ7" s="318">
        <f>IF(JF7&lt;&gt;0,JH7-JF7,0)</f>
        <v>1023.3622828784119</v>
      </c>
      <c r="JK7" s="331">
        <f>JK14+JK21+JK28</f>
        <v>29.238922367954622</v>
      </c>
      <c r="JL7" s="337">
        <f>JL14+JL21+JL28</f>
        <v>107</v>
      </c>
      <c r="JM7" s="403">
        <f>SUM(JM14,JM21,JM28)</f>
        <v>2709.375</v>
      </c>
      <c r="JN7" s="404"/>
      <c r="JO7" s="405">
        <f>JO14+JO21+JO28</f>
        <v>3745</v>
      </c>
      <c r="JP7" s="406"/>
      <c r="JQ7" s="318">
        <f>IF(JM7&lt;&gt;0,JO7-JM7,0)</f>
        <v>1035.625</v>
      </c>
      <c r="JR7" s="331">
        <f>JR14+JR21+JR28</f>
        <v>29.589285714285715</v>
      </c>
      <c r="JS7" s="337">
        <f>JS14+JS21+JS28</f>
        <v>109</v>
      </c>
      <c r="JT7" s="403">
        <f>SUM(JT14,JT21,JT28)</f>
        <v>2802.8017241379312</v>
      </c>
      <c r="JU7" s="404"/>
      <c r="JV7" s="405">
        <f>JV14+JV21+JV28</f>
        <v>3815</v>
      </c>
      <c r="JW7" s="406"/>
      <c r="JX7" s="318">
        <f>IF(JT7&lt;&gt;0,JV7-JT7,0)</f>
        <v>1012.1982758620688</v>
      </c>
      <c r="JY7" s="331">
        <f>JY14+JY21+JY28</f>
        <v>28.919950738916256</v>
      </c>
      <c r="JZ7" s="337">
        <f>JZ14+JZ21+JZ28</f>
        <v>109</v>
      </c>
      <c r="KA7" s="403">
        <f>SUM(KA14,KA21,KA28)</f>
        <v>2581.6377171215881</v>
      </c>
      <c r="KB7" s="404"/>
      <c r="KC7" s="405">
        <f>KC14+KC21+KC28</f>
        <v>3815</v>
      </c>
      <c r="KD7" s="406"/>
      <c r="KE7" s="318">
        <f>IF(KA7&lt;&gt;0,KC7-KA7,0)</f>
        <v>1233.3622828784119</v>
      </c>
      <c r="KF7" s="331">
        <f>KF14+KF21+KF28</f>
        <v>35.238922367954622</v>
      </c>
      <c r="KG7" s="337">
        <f>KG14+KG21+KG28</f>
        <v>109</v>
      </c>
      <c r="KH7" s="403">
        <f>SUM(KH14,KH21,KH28)</f>
        <v>2194.3573667711598</v>
      </c>
      <c r="KI7" s="404"/>
      <c r="KJ7" s="405">
        <f>KJ14+KJ21+KJ28</f>
        <v>3815</v>
      </c>
      <c r="KK7" s="406"/>
      <c r="KL7" s="318">
        <f>IF(KH7&lt;&gt;0,KJ7-KH7,0)</f>
        <v>1620.6426332288402</v>
      </c>
      <c r="KM7" s="331">
        <f>KM14+KM21+KM28</f>
        <v>46.304075235109714</v>
      </c>
      <c r="KN7" s="337">
        <f>KN14+KN21+KN28</f>
        <v>109</v>
      </c>
      <c r="KO7" s="403">
        <f>SUM(KO14,KO21,KO28)</f>
        <v>2049.3358633776093</v>
      </c>
      <c r="KP7" s="404"/>
      <c r="KQ7" s="405">
        <f>KQ14+KQ21+KQ28</f>
        <v>3815</v>
      </c>
      <c r="KR7" s="406"/>
      <c r="KS7" s="318">
        <f>IF(KO7&lt;&gt;0,KQ7-KO7,0)</f>
        <v>1765.6641366223907</v>
      </c>
      <c r="KT7" s="331">
        <f>KT14+KT21+KT28</f>
        <v>50.447546760639739</v>
      </c>
      <c r="KU7" s="337">
        <f>KU14+KU21+KU28</f>
        <v>109</v>
      </c>
      <c r="KV7" s="403">
        <f>SUM(KV14,KV21,KV28)</f>
        <v>2785.0746268656717</v>
      </c>
      <c r="KW7" s="404"/>
      <c r="KX7" s="405">
        <f>KX14+KX21+KX28</f>
        <v>3815</v>
      </c>
      <c r="KY7" s="406"/>
      <c r="KZ7" s="318">
        <f>IF(KV7&lt;&gt;0,KX7-KV7,0)</f>
        <v>1029.9253731343283</v>
      </c>
      <c r="LA7" s="331">
        <f>SUM(LA14+LA21+LA28)</f>
        <v>29.426439232409383</v>
      </c>
      <c r="LB7" s="337">
        <f>LB14+LB21+LB28</f>
        <v>109</v>
      </c>
      <c r="LC7" s="403">
        <f>SUM(LC14,LC21,LC28)</f>
        <v>2667.6923076923076</v>
      </c>
      <c r="LD7" s="404"/>
      <c r="LE7" s="405">
        <f>LE14+LE21+LE28</f>
        <v>3815</v>
      </c>
      <c r="LF7" s="406"/>
      <c r="LG7" s="318">
        <f>IF(LC7&lt;&gt;0,LE7-LC7,0)</f>
        <v>1147.3076923076924</v>
      </c>
      <c r="LH7" s="331">
        <f>LH14+LH21+LH28</f>
        <v>32.780219780219774</v>
      </c>
      <c r="LI7" s="337">
        <f>LI14+LI21+LI28</f>
        <v>109</v>
      </c>
      <c r="LJ7" s="403">
        <f>SUM(LJ14,LJ21,LJ28)</f>
        <v>3028.9256198347107</v>
      </c>
      <c r="LK7" s="404"/>
      <c r="LL7" s="405">
        <f>LL14+LL21+LL28</f>
        <v>3815</v>
      </c>
      <c r="LM7" s="406"/>
      <c r="LN7" s="318">
        <f>IF(LJ7&lt;&gt;0,LL7-LJ7,0)</f>
        <v>786.07438016528931</v>
      </c>
      <c r="LO7" s="331">
        <f>LO14+LO21+LO28</f>
        <v>22.459268004722553</v>
      </c>
      <c r="LP7" s="337">
        <f>LP14+LP21+LP28</f>
        <v>109</v>
      </c>
      <c r="LQ7" s="403">
        <f>SUM(LQ14,LQ21,LQ28)</f>
        <v>2627.272727272727</v>
      </c>
      <c r="LR7" s="404"/>
      <c r="LS7" s="405">
        <f>LS14+LS21+LS28</f>
        <v>3815</v>
      </c>
      <c r="LT7" s="406"/>
      <c r="LU7" s="318">
        <f>IF(LQ7&lt;&gt;0,LS7-LQ7,0)</f>
        <v>1187.727272727273</v>
      </c>
      <c r="LV7" s="331">
        <f>LV14+LV21+LV28</f>
        <v>33.935064935064936</v>
      </c>
      <c r="LW7" s="337">
        <f>LW14+LW21+LW28</f>
        <v>109</v>
      </c>
      <c r="LX7" s="403">
        <f>SUM(LX14,LX21,LX28)</f>
        <v>2477.1428571428569</v>
      </c>
      <c r="LY7" s="404"/>
      <c r="LZ7" s="405">
        <f>LZ14+LZ21+LZ28</f>
        <v>3815</v>
      </c>
      <c r="MA7" s="406"/>
      <c r="MB7" s="318">
        <f>IF(LX7&lt;&gt;0,LZ7-LX7,0)</f>
        <v>1337.8571428571431</v>
      </c>
      <c r="MC7" s="331">
        <f>MC14+MC21+MC28</f>
        <v>38.224489795918373</v>
      </c>
      <c r="MD7" s="337">
        <f>MD14+MD21+MD28</f>
        <v>109</v>
      </c>
      <c r="ME7" s="403">
        <f>SUM(ME14,ME21,ME28)</f>
        <v>2477.1428571428569</v>
      </c>
      <c r="MF7" s="404"/>
      <c r="MG7" s="405">
        <f>MG14+MG21+MG28</f>
        <v>3815</v>
      </c>
      <c r="MH7" s="406"/>
      <c r="MI7" s="318">
        <f>IF(ME7&lt;&gt;0,MG7-ME7,0)</f>
        <v>1337.8571428571431</v>
      </c>
      <c r="MJ7" s="331">
        <f>MJ14+MJ21+MJ28</f>
        <v>38.224489795918373</v>
      </c>
      <c r="MK7" s="320">
        <f>MK14+MK21+MK28</f>
        <v>109</v>
      </c>
      <c r="ML7" s="403">
        <f>SUM(ML14,ML21,ML28)</f>
        <v>2477.1428571428569</v>
      </c>
      <c r="MM7" s="404"/>
      <c r="MN7" s="405">
        <f>MN14+MN21+MN28</f>
        <v>3815</v>
      </c>
      <c r="MO7" s="406"/>
      <c r="MP7" s="318">
        <f>IF(ML7&lt;&gt;0,MN7-ML7,0)</f>
        <v>1337.8571428571431</v>
      </c>
      <c r="MQ7" s="331">
        <f>MQ14+MQ21+MQ28</f>
        <v>38.224489795918373</v>
      </c>
      <c r="MR7" s="320">
        <f>MR14+MR21+MR28</f>
        <v>109</v>
      </c>
      <c r="MS7" s="403">
        <f>SUM(MS14,MS21,MS28)</f>
        <v>2477.1428571428569</v>
      </c>
      <c r="MT7" s="404"/>
      <c r="MU7" s="405">
        <f>MU14+MU21+MU28</f>
        <v>3815</v>
      </c>
      <c r="MV7" s="406"/>
      <c r="MW7" s="318">
        <f>IF(MS7&lt;&gt;0,MU7-MS7,0)</f>
        <v>1337.8571428571431</v>
      </c>
      <c r="MX7" s="331">
        <f>MX14+MX21+MX28</f>
        <v>38.224489795918373</v>
      </c>
      <c r="MY7" s="320">
        <f>MY14+MY21+MY28</f>
        <v>109</v>
      </c>
      <c r="MZ7" s="403">
        <f>SUM(MZ14,MZ21,MZ28)</f>
        <v>2477.1428571428569</v>
      </c>
      <c r="NA7" s="404"/>
      <c r="NB7" s="405">
        <f>NB14+NB21+NB28</f>
        <v>3815</v>
      </c>
      <c r="NC7" s="406"/>
      <c r="ND7" s="318">
        <f>IF(MZ7&lt;&gt;0,NB7-MZ7,0)</f>
        <v>1337.8571428571431</v>
      </c>
      <c r="NE7" s="331">
        <f>NE14+NE21+NE28</f>
        <v>38.224489795918373</v>
      </c>
      <c r="NF7" s="320">
        <f>NF14+NF21+NF28</f>
        <v>109</v>
      </c>
      <c r="NG7" s="403">
        <f>SUM(NG14,NG21,NG28)</f>
        <v>2477.1428571428569</v>
      </c>
      <c r="NH7" s="404"/>
      <c r="NI7" s="405">
        <f>NI14+NI21+NI28</f>
        <v>3815</v>
      </c>
      <c r="NJ7" s="406"/>
      <c r="NK7" s="318">
        <f>IF(NG7&lt;&gt;0,NI7-NG7,0)</f>
        <v>1337.8571428571431</v>
      </c>
      <c r="NL7" s="331">
        <f>NL14+NL21+NL28</f>
        <v>38.224489795918373</v>
      </c>
      <c r="NM7" s="320">
        <f>NM14+NM21+NM28</f>
        <v>70</v>
      </c>
      <c r="NN7" s="403">
        <f>SUM(NN14,NN21,NN28)</f>
        <v>2477.1428571428569</v>
      </c>
      <c r="NO7" s="404"/>
      <c r="NP7" s="405">
        <f>NP14+NP21+NP28</f>
        <v>2450</v>
      </c>
      <c r="NQ7" s="406"/>
      <c r="NR7" s="318">
        <f>IF(NN7&lt;&gt;0,NP7-NN7,0)</f>
        <v>-27.142857142856883</v>
      </c>
      <c r="NS7" s="331">
        <f>NS14+NS21+NS28</f>
        <v>-0.77551020408162685</v>
      </c>
    </row>
    <row r="8" spans="1:383" s="196" customFormat="1" ht="16.05" customHeight="1" x14ac:dyDescent="0.3">
      <c r="A8" s="294"/>
      <c r="B8" s="306"/>
      <c r="C8" s="435"/>
      <c r="D8" s="338"/>
      <c r="F8" s="323" t="s">
        <v>703</v>
      </c>
      <c r="G8" s="400" t="s">
        <v>691</v>
      </c>
      <c r="H8" s="401"/>
      <c r="I8" s="400" t="s">
        <v>412</v>
      </c>
      <c r="J8" s="401"/>
      <c r="K8" s="252" t="s">
        <v>690</v>
      </c>
      <c r="L8" s="276"/>
      <c r="M8" s="323" t="s">
        <v>703</v>
      </c>
      <c r="N8" s="400" t="s">
        <v>691</v>
      </c>
      <c r="O8" s="401"/>
      <c r="P8" s="400" t="s">
        <v>412</v>
      </c>
      <c r="Q8" s="401"/>
      <c r="R8" s="252" t="s">
        <v>690</v>
      </c>
      <c r="S8" s="276"/>
      <c r="T8" s="323" t="s">
        <v>703</v>
      </c>
      <c r="U8" s="400" t="s">
        <v>691</v>
      </c>
      <c r="V8" s="401"/>
      <c r="W8" s="400" t="s">
        <v>412</v>
      </c>
      <c r="X8" s="401"/>
      <c r="Y8" s="252" t="s">
        <v>690</v>
      </c>
      <c r="Z8" s="276"/>
      <c r="AA8" s="323" t="s">
        <v>703</v>
      </c>
      <c r="AB8" s="400" t="s">
        <v>691</v>
      </c>
      <c r="AC8" s="401"/>
      <c r="AD8" s="400" t="s">
        <v>412</v>
      </c>
      <c r="AE8" s="401"/>
      <c r="AF8" s="252" t="s">
        <v>690</v>
      </c>
      <c r="AG8" s="276"/>
      <c r="AH8" s="323" t="s">
        <v>703</v>
      </c>
      <c r="AI8" s="400" t="s">
        <v>691</v>
      </c>
      <c r="AJ8" s="401"/>
      <c r="AK8" s="400" t="s">
        <v>412</v>
      </c>
      <c r="AL8" s="401"/>
      <c r="AM8" s="252" t="s">
        <v>690</v>
      </c>
      <c r="AN8" s="276"/>
      <c r="AO8" s="323" t="s">
        <v>703</v>
      </c>
      <c r="AP8" s="400" t="s">
        <v>691</v>
      </c>
      <c r="AQ8" s="401"/>
      <c r="AR8" s="400" t="s">
        <v>412</v>
      </c>
      <c r="AS8" s="401"/>
      <c r="AT8" s="252" t="s">
        <v>690</v>
      </c>
      <c r="AU8" s="276"/>
      <c r="AV8" s="323" t="s">
        <v>703</v>
      </c>
      <c r="AW8" s="400" t="s">
        <v>691</v>
      </c>
      <c r="AX8" s="401"/>
      <c r="AY8" s="400" t="s">
        <v>412</v>
      </c>
      <c r="AZ8" s="401"/>
      <c r="BA8" s="252" t="s">
        <v>690</v>
      </c>
      <c r="BB8" s="276"/>
      <c r="BC8" s="323" t="s">
        <v>703</v>
      </c>
      <c r="BD8" s="400" t="s">
        <v>691</v>
      </c>
      <c r="BE8" s="401"/>
      <c r="BF8" s="400" t="s">
        <v>412</v>
      </c>
      <c r="BG8" s="401"/>
      <c r="BH8" s="252" t="s">
        <v>690</v>
      </c>
      <c r="BI8" s="276"/>
      <c r="BJ8" s="323" t="s">
        <v>703</v>
      </c>
      <c r="BK8" s="400" t="s">
        <v>691</v>
      </c>
      <c r="BL8" s="401"/>
      <c r="BM8" s="400" t="s">
        <v>412</v>
      </c>
      <c r="BN8" s="401"/>
      <c r="BO8" s="252" t="s">
        <v>690</v>
      </c>
      <c r="BP8" s="276"/>
      <c r="BQ8" s="323" t="s">
        <v>703</v>
      </c>
      <c r="BR8" s="400" t="s">
        <v>691</v>
      </c>
      <c r="BS8" s="401"/>
      <c r="BT8" s="400" t="s">
        <v>412</v>
      </c>
      <c r="BU8" s="401"/>
      <c r="BV8" s="252" t="s">
        <v>690</v>
      </c>
      <c r="BW8" s="276"/>
      <c r="BX8" s="323" t="s">
        <v>703</v>
      </c>
      <c r="BY8" s="400" t="s">
        <v>691</v>
      </c>
      <c r="BZ8" s="401"/>
      <c r="CA8" s="400" t="s">
        <v>412</v>
      </c>
      <c r="CB8" s="401"/>
      <c r="CC8" s="252" t="s">
        <v>690</v>
      </c>
      <c r="CD8" s="276"/>
      <c r="CE8" s="323" t="s">
        <v>703</v>
      </c>
      <c r="CF8" s="400" t="s">
        <v>691</v>
      </c>
      <c r="CG8" s="401"/>
      <c r="CH8" s="400" t="s">
        <v>412</v>
      </c>
      <c r="CI8" s="401"/>
      <c r="CJ8" s="252" t="s">
        <v>690</v>
      </c>
      <c r="CK8" s="276"/>
      <c r="CL8" s="323" t="s">
        <v>703</v>
      </c>
      <c r="CM8" s="400" t="s">
        <v>691</v>
      </c>
      <c r="CN8" s="401"/>
      <c r="CO8" s="400" t="s">
        <v>412</v>
      </c>
      <c r="CP8" s="401"/>
      <c r="CQ8" s="252" t="s">
        <v>690</v>
      </c>
      <c r="CR8" s="276"/>
      <c r="CS8" s="323" t="s">
        <v>703</v>
      </c>
      <c r="CT8" s="400" t="s">
        <v>691</v>
      </c>
      <c r="CU8" s="401"/>
      <c r="CV8" s="400" t="s">
        <v>412</v>
      </c>
      <c r="CW8" s="401"/>
      <c r="CX8" s="252" t="s">
        <v>690</v>
      </c>
      <c r="CY8" s="276"/>
      <c r="CZ8" s="323" t="s">
        <v>703</v>
      </c>
      <c r="DA8" s="400" t="s">
        <v>691</v>
      </c>
      <c r="DB8" s="401"/>
      <c r="DC8" s="400" t="s">
        <v>412</v>
      </c>
      <c r="DD8" s="401"/>
      <c r="DE8" s="252" t="s">
        <v>690</v>
      </c>
      <c r="DF8" s="276"/>
      <c r="DG8" s="323" t="s">
        <v>703</v>
      </c>
      <c r="DH8" s="400" t="s">
        <v>691</v>
      </c>
      <c r="DI8" s="401"/>
      <c r="DJ8" s="400" t="s">
        <v>412</v>
      </c>
      <c r="DK8" s="401"/>
      <c r="DL8" s="252" t="s">
        <v>690</v>
      </c>
      <c r="DM8" s="276"/>
      <c r="DN8" s="323" t="s">
        <v>703</v>
      </c>
      <c r="DO8" s="400" t="s">
        <v>691</v>
      </c>
      <c r="DP8" s="401"/>
      <c r="DQ8" s="400" t="s">
        <v>412</v>
      </c>
      <c r="DR8" s="401"/>
      <c r="DS8" s="252" t="s">
        <v>690</v>
      </c>
      <c r="DT8" s="276"/>
      <c r="DU8" s="323" t="s">
        <v>703</v>
      </c>
      <c r="DV8" s="400" t="s">
        <v>691</v>
      </c>
      <c r="DW8" s="401"/>
      <c r="DX8" s="400" t="s">
        <v>412</v>
      </c>
      <c r="DY8" s="401"/>
      <c r="DZ8" s="252" t="s">
        <v>690</v>
      </c>
      <c r="EA8" s="276"/>
      <c r="EB8" s="323" t="s">
        <v>703</v>
      </c>
      <c r="EC8" s="400" t="s">
        <v>691</v>
      </c>
      <c r="ED8" s="401"/>
      <c r="EE8" s="400" t="s">
        <v>412</v>
      </c>
      <c r="EF8" s="401"/>
      <c r="EG8" s="252" t="s">
        <v>690</v>
      </c>
      <c r="EH8" s="276"/>
      <c r="EI8" s="323" t="s">
        <v>703</v>
      </c>
      <c r="EJ8" s="400" t="s">
        <v>691</v>
      </c>
      <c r="EK8" s="401"/>
      <c r="EL8" s="400" t="s">
        <v>412</v>
      </c>
      <c r="EM8" s="401"/>
      <c r="EN8" s="252" t="s">
        <v>690</v>
      </c>
      <c r="EO8" s="276"/>
      <c r="EP8" s="323" t="s">
        <v>703</v>
      </c>
      <c r="EQ8" s="400" t="s">
        <v>691</v>
      </c>
      <c r="ER8" s="401"/>
      <c r="ES8" s="400" t="s">
        <v>412</v>
      </c>
      <c r="ET8" s="401"/>
      <c r="EU8" s="252" t="s">
        <v>690</v>
      </c>
      <c r="EV8" s="276"/>
      <c r="EW8" s="323" t="s">
        <v>703</v>
      </c>
      <c r="EX8" s="400" t="s">
        <v>691</v>
      </c>
      <c r="EY8" s="401"/>
      <c r="EZ8" s="400" t="s">
        <v>412</v>
      </c>
      <c r="FA8" s="401"/>
      <c r="FB8" s="252" t="s">
        <v>690</v>
      </c>
      <c r="FC8" s="276"/>
      <c r="FD8" s="323" t="s">
        <v>703</v>
      </c>
      <c r="FE8" s="400" t="s">
        <v>691</v>
      </c>
      <c r="FF8" s="401"/>
      <c r="FG8" s="400" t="s">
        <v>412</v>
      </c>
      <c r="FH8" s="401"/>
      <c r="FI8" s="252" t="s">
        <v>690</v>
      </c>
      <c r="FJ8" s="276"/>
      <c r="FK8" s="323" t="s">
        <v>703</v>
      </c>
      <c r="FL8" s="400" t="s">
        <v>691</v>
      </c>
      <c r="FM8" s="401"/>
      <c r="FN8" s="400" t="s">
        <v>412</v>
      </c>
      <c r="FO8" s="401"/>
      <c r="FP8" s="252" t="s">
        <v>690</v>
      </c>
      <c r="FQ8" s="276"/>
      <c r="FR8" s="323" t="s">
        <v>703</v>
      </c>
      <c r="FS8" s="400" t="s">
        <v>691</v>
      </c>
      <c r="FT8" s="401"/>
      <c r="FU8" s="400" t="s">
        <v>412</v>
      </c>
      <c r="FV8" s="401"/>
      <c r="FW8" s="252" t="s">
        <v>690</v>
      </c>
      <c r="FX8" s="276"/>
      <c r="FY8" s="323" t="s">
        <v>703</v>
      </c>
      <c r="FZ8" s="400" t="s">
        <v>691</v>
      </c>
      <c r="GA8" s="401"/>
      <c r="GB8" s="400" t="s">
        <v>412</v>
      </c>
      <c r="GC8" s="401"/>
      <c r="GD8" s="252" t="s">
        <v>690</v>
      </c>
      <c r="GE8" s="276"/>
      <c r="GF8" s="323" t="s">
        <v>703</v>
      </c>
      <c r="GG8" s="400" t="s">
        <v>691</v>
      </c>
      <c r="GH8" s="401"/>
      <c r="GI8" s="400" t="s">
        <v>412</v>
      </c>
      <c r="GJ8" s="401"/>
      <c r="GK8" s="252" t="s">
        <v>690</v>
      </c>
      <c r="GL8" s="276"/>
      <c r="GM8" s="323" t="s">
        <v>703</v>
      </c>
      <c r="GN8" s="400" t="s">
        <v>691</v>
      </c>
      <c r="GO8" s="401"/>
      <c r="GP8" s="400" t="s">
        <v>412</v>
      </c>
      <c r="GQ8" s="401"/>
      <c r="GR8" s="252" t="s">
        <v>690</v>
      </c>
      <c r="GS8" s="276"/>
      <c r="GT8" s="323" t="s">
        <v>703</v>
      </c>
      <c r="GU8" s="400" t="s">
        <v>691</v>
      </c>
      <c r="GV8" s="401"/>
      <c r="GW8" s="400" t="s">
        <v>412</v>
      </c>
      <c r="GX8" s="401"/>
      <c r="GY8" s="252" t="s">
        <v>690</v>
      </c>
      <c r="GZ8" s="263"/>
      <c r="HA8" s="323" t="s">
        <v>703</v>
      </c>
      <c r="HB8" s="400" t="s">
        <v>691</v>
      </c>
      <c r="HC8" s="401"/>
      <c r="HD8" s="400" t="s">
        <v>412</v>
      </c>
      <c r="HE8" s="401"/>
      <c r="HF8" s="252" t="s">
        <v>690</v>
      </c>
      <c r="HG8" s="276"/>
      <c r="HH8" s="323" t="s">
        <v>703</v>
      </c>
      <c r="HI8" s="400" t="s">
        <v>691</v>
      </c>
      <c r="HJ8" s="401"/>
      <c r="HK8" s="400" t="s">
        <v>412</v>
      </c>
      <c r="HL8" s="401"/>
      <c r="HM8" s="252" t="s">
        <v>690</v>
      </c>
      <c r="HN8" s="276"/>
      <c r="HO8" s="323" t="s">
        <v>703</v>
      </c>
      <c r="HP8" s="400" t="s">
        <v>691</v>
      </c>
      <c r="HQ8" s="401"/>
      <c r="HR8" s="400" t="s">
        <v>412</v>
      </c>
      <c r="HS8" s="401"/>
      <c r="HT8" s="252" t="s">
        <v>690</v>
      </c>
      <c r="HU8" s="276"/>
      <c r="HV8" s="323" t="s">
        <v>703</v>
      </c>
      <c r="HW8" s="400" t="s">
        <v>691</v>
      </c>
      <c r="HX8" s="401"/>
      <c r="HY8" s="400" t="s">
        <v>412</v>
      </c>
      <c r="HZ8" s="401"/>
      <c r="IA8" s="252" t="s">
        <v>690</v>
      </c>
      <c r="IB8" s="276"/>
      <c r="IC8" s="323" t="s">
        <v>703</v>
      </c>
      <c r="ID8" s="400" t="s">
        <v>691</v>
      </c>
      <c r="IE8" s="401"/>
      <c r="IF8" s="400" t="s">
        <v>412</v>
      </c>
      <c r="IG8" s="401"/>
      <c r="IH8" s="252" t="s">
        <v>690</v>
      </c>
      <c r="II8" s="276"/>
      <c r="IJ8" s="323" t="s">
        <v>703</v>
      </c>
      <c r="IK8" s="400" t="s">
        <v>691</v>
      </c>
      <c r="IL8" s="401"/>
      <c r="IM8" s="400" t="s">
        <v>412</v>
      </c>
      <c r="IN8" s="401"/>
      <c r="IO8" s="252" t="s">
        <v>690</v>
      </c>
      <c r="IP8" s="276"/>
      <c r="IQ8" s="323" t="s">
        <v>703</v>
      </c>
      <c r="IR8" s="400" t="s">
        <v>691</v>
      </c>
      <c r="IS8" s="401"/>
      <c r="IT8" s="400" t="s">
        <v>412</v>
      </c>
      <c r="IU8" s="401"/>
      <c r="IV8" s="252" t="s">
        <v>690</v>
      </c>
      <c r="IW8" s="276"/>
      <c r="IX8" s="323" t="s">
        <v>703</v>
      </c>
      <c r="IY8" s="400" t="s">
        <v>691</v>
      </c>
      <c r="IZ8" s="401"/>
      <c r="JA8" s="400" t="s">
        <v>412</v>
      </c>
      <c r="JB8" s="401"/>
      <c r="JC8" s="252" t="s">
        <v>690</v>
      </c>
      <c r="JD8" s="276"/>
      <c r="JE8" s="323" t="s">
        <v>703</v>
      </c>
      <c r="JF8" s="400" t="s">
        <v>691</v>
      </c>
      <c r="JG8" s="401"/>
      <c r="JH8" s="400" t="s">
        <v>412</v>
      </c>
      <c r="JI8" s="401"/>
      <c r="JJ8" s="252" t="s">
        <v>690</v>
      </c>
      <c r="JK8" s="276"/>
      <c r="JL8" s="323" t="s">
        <v>703</v>
      </c>
      <c r="JM8" s="400" t="s">
        <v>691</v>
      </c>
      <c r="JN8" s="401"/>
      <c r="JO8" s="400" t="s">
        <v>412</v>
      </c>
      <c r="JP8" s="401"/>
      <c r="JQ8" s="252" t="s">
        <v>690</v>
      </c>
      <c r="JR8" s="276"/>
      <c r="JS8" s="323" t="s">
        <v>703</v>
      </c>
      <c r="JT8" s="400" t="s">
        <v>691</v>
      </c>
      <c r="JU8" s="401"/>
      <c r="JV8" s="400" t="s">
        <v>412</v>
      </c>
      <c r="JW8" s="401"/>
      <c r="JX8" s="252" t="s">
        <v>690</v>
      </c>
      <c r="JY8" s="276"/>
      <c r="JZ8" s="323" t="s">
        <v>703</v>
      </c>
      <c r="KA8" s="400" t="s">
        <v>691</v>
      </c>
      <c r="KB8" s="401"/>
      <c r="KC8" s="400" t="s">
        <v>412</v>
      </c>
      <c r="KD8" s="401"/>
      <c r="KE8" s="252" t="s">
        <v>690</v>
      </c>
      <c r="KF8" s="276"/>
      <c r="KG8" s="323" t="s">
        <v>703</v>
      </c>
      <c r="KH8" s="400" t="s">
        <v>691</v>
      </c>
      <c r="KI8" s="401"/>
      <c r="KJ8" s="400" t="s">
        <v>412</v>
      </c>
      <c r="KK8" s="401"/>
      <c r="KL8" s="252" t="s">
        <v>690</v>
      </c>
      <c r="KM8" s="276"/>
      <c r="KN8" s="323" t="s">
        <v>703</v>
      </c>
      <c r="KO8" s="400" t="s">
        <v>691</v>
      </c>
      <c r="KP8" s="401"/>
      <c r="KQ8" s="400" t="s">
        <v>412</v>
      </c>
      <c r="KR8" s="401"/>
      <c r="KS8" s="252" t="s">
        <v>690</v>
      </c>
      <c r="KT8" s="276"/>
      <c r="KU8" s="323" t="s">
        <v>703</v>
      </c>
      <c r="KV8" s="400" t="s">
        <v>691</v>
      </c>
      <c r="KW8" s="401"/>
      <c r="KX8" s="400" t="s">
        <v>412</v>
      </c>
      <c r="KY8" s="401"/>
      <c r="KZ8" s="252" t="s">
        <v>690</v>
      </c>
      <c r="LA8" s="276"/>
      <c r="LB8" s="323" t="s">
        <v>703</v>
      </c>
      <c r="LC8" s="400" t="s">
        <v>691</v>
      </c>
      <c r="LD8" s="401"/>
      <c r="LE8" s="400" t="s">
        <v>412</v>
      </c>
      <c r="LF8" s="401"/>
      <c r="LG8" s="252" t="s">
        <v>690</v>
      </c>
      <c r="LH8" s="276"/>
      <c r="LI8" s="323" t="s">
        <v>703</v>
      </c>
      <c r="LJ8" s="400" t="s">
        <v>691</v>
      </c>
      <c r="LK8" s="401"/>
      <c r="LL8" s="400" t="s">
        <v>412</v>
      </c>
      <c r="LM8" s="401"/>
      <c r="LN8" s="252" t="s">
        <v>690</v>
      </c>
      <c r="LO8" s="276"/>
      <c r="LP8" s="323" t="s">
        <v>703</v>
      </c>
      <c r="LQ8" s="400" t="s">
        <v>691</v>
      </c>
      <c r="LR8" s="401"/>
      <c r="LS8" s="400" t="s">
        <v>412</v>
      </c>
      <c r="LT8" s="401"/>
      <c r="LU8" s="252" t="s">
        <v>690</v>
      </c>
      <c r="LV8" s="276"/>
      <c r="LW8" s="323" t="s">
        <v>703</v>
      </c>
      <c r="LX8" s="400" t="s">
        <v>691</v>
      </c>
      <c r="LY8" s="401"/>
      <c r="LZ8" s="400" t="s">
        <v>412</v>
      </c>
      <c r="MA8" s="401"/>
      <c r="MB8" s="252" t="s">
        <v>690</v>
      </c>
      <c r="MC8" s="276"/>
      <c r="MD8" s="323" t="s">
        <v>703</v>
      </c>
      <c r="ME8" s="400" t="s">
        <v>691</v>
      </c>
      <c r="MF8" s="401"/>
      <c r="MG8" s="400" t="s">
        <v>412</v>
      </c>
      <c r="MH8" s="401"/>
      <c r="MI8" s="252" t="s">
        <v>690</v>
      </c>
      <c r="MJ8" s="276"/>
      <c r="MK8" s="323" t="s">
        <v>703</v>
      </c>
      <c r="ML8" s="400" t="s">
        <v>691</v>
      </c>
      <c r="MM8" s="401"/>
      <c r="MN8" s="400" t="s">
        <v>412</v>
      </c>
      <c r="MO8" s="401"/>
      <c r="MP8" s="252" t="s">
        <v>690</v>
      </c>
      <c r="MQ8" s="276"/>
      <c r="MR8" s="323" t="s">
        <v>703</v>
      </c>
      <c r="MS8" s="400" t="s">
        <v>691</v>
      </c>
      <c r="MT8" s="401"/>
      <c r="MU8" s="400" t="s">
        <v>412</v>
      </c>
      <c r="MV8" s="401"/>
      <c r="MW8" s="252" t="s">
        <v>690</v>
      </c>
      <c r="MX8" s="276"/>
      <c r="MY8" s="323" t="s">
        <v>703</v>
      </c>
      <c r="MZ8" s="400" t="s">
        <v>691</v>
      </c>
      <c r="NA8" s="401"/>
      <c r="NB8" s="400" t="s">
        <v>412</v>
      </c>
      <c r="NC8" s="401"/>
      <c r="ND8" s="252" t="s">
        <v>690</v>
      </c>
      <c r="NE8" s="276"/>
      <c r="NF8" s="323" t="s">
        <v>703</v>
      </c>
      <c r="NG8" s="400" t="s">
        <v>691</v>
      </c>
      <c r="NH8" s="401"/>
      <c r="NI8" s="400" t="s">
        <v>412</v>
      </c>
      <c r="NJ8" s="401"/>
      <c r="NK8" s="252" t="s">
        <v>690</v>
      </c>
      <c r="NL8" s="276"/>
      <c r="NM8" s="323" t="s">
        <v>703</v>
      </c>
      <c r="NN8" s="400" t="s">
        <v>691</v>
      </c>
      <c r="NO8" s="401"/>
      <c r="NP8" s="400" t="s">
        <v>412</v>
      </c>
      <c r="NQ8" s="401"/>
      <c r="NR8" s="252" t="s">
        <v>690</v>
      </c>
      <c r="NS8" s="263"/>
    </row>
    <row r="9" spans="1:383" s="196" customFormat="1" ht="16.05" customHeight="1" thickBot="1" x14ac:dyDescent="0.35">
      <c r="A9" s="294"/>
      <c r="B9" s="306"/>
      <c r="C9" s="436"/>
      <c r="D9" s="306"/>
      <c r="F9" s="313">
        <f>ROUND(AVERAGE(F16,F23,F30),0)</f>
        <v>330</v>
      </c>
      <c r="G9" s="424">
        <f>G16+G23+G30</f>
        <v>0</v>
      </c>
      <c r="H9" s="425"/>
      <c r="I9" s="407">
        <f>I16+I23+I30</f>
        <v>1235850</v>
      </c>
      <c r="J9" s="408"/>
      <c r="K9" s="253">
        <f>IF(G9&lt;&gt;0,I9-G9,0)</f>
        <v>0</v>
      </c>
      <c r="L9" s="276"/>
      <c r="M9" s="313">
        <f>ROUND(AVERAGE(M16,M23,M30),0)</f>
        <v>317</v>
      </c>
      <c r="N9" s="424">
        <f>N16+N23+N30</f>
        <v>0</v>
      </c>
      <c r="O9" s="425"/>
      <c r="P9" s="407">
        <f>P16+P23+P30</f>
        <v>1164100</v>
      </c>
      <c r="Q9" s="408"/>
      <c r="R9" s="253">
        <f>IF(N9&lt;&gt;0,P9-N9,0)</f>
        <v>0</v>
      </c>
      <c r="S9" s="276"/>
      <c r="T9" s="313">
        <f>ROUND(AVERAGE(T16,T23,T30),0)</f>
        <v>355</v>
      </c>
      <c r="U9" s="424">
        <f>U16+U23+U30</f>
        <v>0</v>
      </c>
      <c r="V9" s="425"/>
      <c r="W9" s="407">
        <f>W16+W23+W30</f>
        <v>1446270</v>
      </c>
      <c r="X9" s="408"/>
      <c r="Y9" s="253">
        <f>IF(U9&lt;&gt;0,W9-U9,0)</f>
        <v>0</v>
      </c>
      <c r="Z9" s="276"/>
      <c r="AA9" s="313">
        <f>ROUND(((AB16*AA16+AB23*AA23+AB30*AA30)/AB9),0)</f>
        <v>355</v>
      </c>
      <c r="AB9" s="424">
        <f>AB16+AB23+AB30</f>
        <v>740000</v>
      </c>
      <c r="AC9" s="425"/>
      <c r="AD9" s="407">
        <f>AD16+AD23+AD30</f>
        <v>1180375</v>
      </c>
      <c r="AE9" s="408"/>
      <c r="AF9" s="253">
        <f>IF(AB9&lt;&gt;0,AD9-AB9,0)</f>
        <v>440375</v>
      </c>
      <c r="AG9" s="276"/>
      <c r="AH9" s="313">
        <f>ROUND(((AK16*AH16+AK23*AH23+AK30*AH30)/AK9),0)</f>
        <v>355</v>
      </c>
      <c r="AI9" s="424">
        <f>AI16+AI23+AI30</f>
        <v>870000</v>
      </c>
      <c r="AJ9" s="425"/>
      <c r="AK9" s="407">
        <f>AK16+AK23+AK30</f>
        <v>1155525</v>
      </c>
      <c r="AL9" s="408"/>
      <c r="AM9" s="253">
        <f>IF(AI9&lt;&gt;0,AK9-AI9,0)</f>
        <v>285525</v>
      </c>
      <c r="AN9" s="276"/>
      <c r="AO9" s="313">
        <f>IFERROR(ROUND(((AP16*AO16+AP23*AO23+AP30*AO30)/AP9),0),0)</f>
        <v>355</v>
      </c>
      <c r="AP9" s="424">
        <f>AP16+AP23+AP30</f>
        <v>961000</v>
      </c>
      <c r="AQ9" s="425"/>
      <c r="AR9" s="407">
        <f>AR16+AR23+AR30</f>
        <v>1315275</v>
      </c>
      <c r="AS9" s="408"/>
      <c r="AT9" s="253">
        <f>IF(AP9&lt;&gt;0,AR9-AP9,0)</f>
        <v>354275</v>
      </c>
      <c r="AU9" s="276"/>
      <c r="AV9" s="313">
        <f>IFERROR(ROUND(((AW16*AV16+AW23*AV23+AW30*AV30)/AW9),0),0)</f>
        <v>355</v>
      </c>
      <c r="AW9" s="424">
        <f>AW16+AW23+AW30</f>
        <v>963333.33333333326</v>
      </c>
      <c r="AX9" s="425"/>
      <c r="AY9" s="407">
        <f>AY16+AY23+AY30</f>
        <v>1165465</v>
      </c>
      <c r="AZ9" s="408"/>
      <c r="BA9" s="253">
        <f>IF(AW9&lt;&gt;0,AY9-AW9,0)</f>
        <v>202131.66666666674</v>
      </c>
      <c r="BB9" s="276"/>
      <c r="BC9" s="313">
        <f>IFERROR(ROUND(((BD16*BC16+BD23*BC23+BD30*BC30)/BD9),0),0)</f>
        <v>355</v>
      </c>
      <c r="BD9" s="424">
        <f>BD16+BD23+BD30</f>
        <v>928928.57142857148</v>
      </c>
      <c r="BE9" s="425"/>
      <c r="BF9" s="407">
        <f>BF16+BF23+BF30</f>
        <v>1155525</v>
      </c>
      <c r="BG9" s="408"/>
      <c r="BH9" s="253">
        <f>IF(BD9&lt;&gt;0,BF9-BD9,0)</f>
        <v>226596.42857142852</v>
      </c>
      <c r="BI9" s="276"/>
      <c r="BJ9" s="313">
        <f>IFERROR(ROUND(((BK16*BJ16+BK23*BJ23+BK30*BJ30)/BK9),0),0)</f>
        <v>300</v>
      </c>
      <c r="BK9" s="424">
        <f>BK16+BK23+BK30</f>
        <v>812812.5</v>
      </c>
      <c r="BL9" s="425"/>
      <c r="BM9" s="407">
        <f>BM16+BM23+BM30</f>
        <v>1050000</v>
      </c>
      <c r="BN9" s="408"/>
      <c r="BO9" s="253">
        <f>IF(BK9&lt;&gt;0,BM9-BK9,0)</f>
        <v>237187.5</v>
      </c>
      <c r="BP9" s="276"/>
      <c r="BQ9" s="313">
        <f>IFERROR(ROUND(((BR16*BQ16+BR23*BQ23+BR30*BQ30)/BR9),0),0)</f>
        <v>300</v>
      </c>
      <c r="BR9" s="424">
        <f>BR16+BR23+BR30</f>
        <v>814444.44444444438</v>
      </c>
      <c r="BS9" s="425"/>
      <c r="BT9" s="407">
        <f>BT16+BT23+BT30</f>
        <v>1050000</v>
      </c>
      <c r="BU9" s="408"/>
      <c r="BV9" s="253">
        <f>IF(BR9&lt;&gt;0,BT9-BR9,0)</f>
        <v>235555.55555555562</v>
      </c>
      <c r="BW9" s="276"/>
      <c r="BX9" s="313">
        <f>IFERROR(ROUND(((BY16*BX16+BY23*BX23+BY30*BX30)/BY9),0),0)</f>
        <v>320</v>
      </c>
      <c r="BY9" s="424">
        <f>BY16+BY23+BY30</f>
        <v>928928.57142857148</v>
      </c>
      <c r="BZ9" s="425"/>
      <c r="CA9" s="407">
        <f>CA16+CA23+CA30</f>
        <v>1097600</v>
      </c>
      <c r="CB9" s="408"/>
      <c r="CC9" s="253">
        <f>IF(BY9&lt;&gt;0,CA9-BY9,0)</f>
        <v>168671.42857142852</v>
      </c>
      <c r="CD9" s="276"/>
      <c r="CE9" s="313">
        <f>IFERROR(ROUND(((CF16*CE16+CF23*CE23+CF30*CE30)/CF9),0),0)</f>
        <v>320</v>
      </c>
      <c r="CF9" s="424">
        <f>CF16+CF23+CF30</f>
        <v>645501</v>
      </c>
      <c r="CG9" s="425"/>
      <c r="CH9" s="407">
        <f>CH16+CH23+CH30</f>
        <v>1030400</v>
      </c>
      <c r="CI9" s="408"/>
      <c r="CJ9" s="253">
        <f>IF(CF9&lt;&gt;0,CH9-CF9,0)</f>
        <v>384899</v>
      </c>
      <c r="CK9" s="276"/>
      <c r="CL9" s="313">
        <f>IFERROR(ROUND(((CM16*CL16+CM23*CL23+CM30*CL30)/CM9),0),0)</f>
        <v>325</v>
      </c>
      <c r="CM9" s="424">
        <f>CM16+CM23+CM30</f>
        <v>839032.25806451612</v>
      </c>
      <c r="CN9" s="425"/>
      <c r="CO9" s="407">
        <f>CO16+CO23+CO30</f>
        <v>1069250</v>
      </c>
      <c r="CP9" s="408"/>
      <c r="CQ9" s="253">
        <f>IF(CM9&lt;&gt;0,CO9-CM9,0)</f>
        <v>230217.74193548388</v>
      </c>
      <c r="CR9" s="276"/>
      <c r="CS9" s="313">
        <f>IFERROR(ROUND(((CT16*CS16+CT23*CS23+CT30*CS30)/CT9),0),0)</f>
        <v>320</v>
      </c>
      <c r="CT9" s="424">
        <f>CT16+CT23+CT30</f>
        <v>867000</v>
      </c>
      <c r="CU9" s="425"/>
      <c r="CV9" s="407">
        <f>CV16+CV23+CV30</f>
        <v>1064000</v>
      </c>
      <c r="CW9" s="408"/>
      <c r="CX9" s="253">
        <f>IF(CT9&lt;&gt;0,CV9-CT9,0)</f>
        <v>197000</v>
      </c>
      <c r="CY9" s="276"/>
      <c r="CZ9" s="313">
        <f>IFERROR(ROUND(((DA16*CZ16+DA23*CZ23+DA30*CZ30)/DA9),0),0)</f>
        <v>320</v>
      </c>
      <c r="DA9" s="424">
        <f>DA16+DA23+DA30</f>
        <v>896896.55172413797</v>
      </c>
      <c r="DB9" s="425"/>
      <c r="DC9" s="407">
        <f>DC16+DC23+DC30</f>
        <v>1023680</v>
      </c>
      <c r="DD9" s="408"/>
      <c r="DE9" s="253">
        <f>IF(DA9&lt;&gt;0,DC9-DA9,0)</f>
        <v>126783.44827586203</v>
      </c>
      <c r="DF9" s="276"/>
      <c r="DG9" s="313">
        <f>IFERROR(ROUND(((DH16*DG16+DH23*DG23+DH30*DG30)/DH9),0),0)</f>
        <v>325</v>
      </c>
      <c r="DH9" s="424">
        <f>DH16+DH23+DH30</f>
        <v>839032.25806451612</v>
      </c>
      <c r="DI9" s="425"/>
      <c r="DJ9" s="407">
        <f>DJ16+DJ23+DJ30</f>
        <v>910000</v>
      </c>
      <c r="DK9" s="408"/>
      <c r="DL9" s="253">
        <f>IF(DH9&lt;&gt;0,DJ9-DH9,0)</f>
        <v>70967.741935483878</v>
      </c>
      <c r="DM9" s="276"/>
      <c r="DN9" s="313">
        <f>IFERROR(ROUND(((DO16*DN16+DO23*DN23+DO30*DN30)/DO9),0),0)</f>
        <v>330</v>
      </c>
      <c r="DO9" s="424">
        <f>DO16+DO23+DO30</f>
        <v>724137.93103448278</v>
      </c>
      <c r="DP9" s="425"/>
      <c r="DQ9" s="407">
        <f>DQ16+DQ23+DQ30</f>
        <v>896280</v>
      </c>
      <c r="DR9" s="408"/>
      <c r="DS9" s="253">
        <f>IF(DO9&lt;&gt;0,DQ9-DO9,0)</f>
        <v>172142.06896551722</v>
      </c>
      <c r="DT9" s="276"/>
      <c r="DU9" s="313">
        <f>IFERROR(ROUND(((DV16*DU16+DV23*DU23+DV30*DU30)/DV9),0),0)</f>
        <v>340</v>
      </c>
      <c r="DV9" s="424">
        <f>DV16+DV23+DV30</f>
        <v>696774.19354838715</v>
      </c>
      <c r="DW9" s="425"/>
      <c r="DX9" s="407">
        <f>DX16+DX23+DX30</f>
        <v>878220</v>
      </c>
      <c r="DY9" s="408"/>
      <c r="DZ9" s="253">
        <f>IF(DV9&lt;&gt;0,DX9-DV9,0)</f>
        <v>181445.80645161285</v>
      </c>
      <c r="EA9" s="276"/>
      <c r="EB9" s="313">
        <f>IFERROR(ROUND(((EC16*EB16+EC23*EB23+EC30*EB30)/EC9),0),0)</f>
        <v>335</v>
      </c>
      <c r="EC9" s="424">
        <f>EC16+EC23+EC30</f>
        <v>933000</v>
      </c>
      <c r="ED9" s="425"/>
      <c r="EE9" s="407">
        <f>EE16+EE23+EE30</f>
        <v>956760</v>
      </c>
      <c r="EF9" s="408"/>
      <c r="EG9" s="253">
        <f>IF(EC9&lt;&gt;0,EE9-EC9,0)</f>
        <v>23760</v>
      </c>
      <c r="EH9" s="276"/>
      <c r="EI9" s="313">
        <f>IFERROR(ROUND(((EJ16*EI16+EJ23*EI23+EJ30*EI30)/EJ9),0),0)</f>
        <v>325</v>
      </c>
      <c r="EJ9" s="424">
        <f>EJ16+EJ23+EJ30</f>
        <v>867000</v>
      </c>
      <c r="EK9" s="425"/>
      <c r="EL9" s="407">
        <f>EL16+EL23+EL30</f>
        <v>996450</v>
      </c>
      <c r="EM9" s="408"/>
      <c r="EN9" s="253">
        <f>IF(EJ9&lt;&gt;0,EL9-EJ9,0)</f>
        <v>129450</v>
      </c>
      <c r="EO9" s="276"/>
      <c r="EP9" s="313">
        <f>IFERROR(ROUND(((EQ16*EP16+EQ23*EP23+EQ30*EP30)/EQ9),0),0)</f>
        <v>330</v>
      </c>
      <c r="EQ9" s="424">
        <f>EQ16+EQ23+EQ30</f>
        <v>999545.45454545459</v>
      </c>
      <c r="ER9" s="425"/>
      <c r="ES9" s="407">
        <f>ES16+ES23+ES30</f>
        <v>1051050</v>
      </c>
      <c r="ET9" s="408"/>
      <c r="EU9" s="253">
        <f>IF(EQ9&lt;&gt;0,ES9-EQ9,0)</f>
        <v>51504.545454545412</v>
      </c>
      <c r="EV9" s="276"/>
      <c r="EW9" s="313">
        <f>IFERROR(ROUND(((EX16*EW16+EX23*EW23+EX30*EW30)/EX9),0),0)</f>
        <v>330</v>
      </c>
      <c r="EX9" s="424">
        <f>EX16+EX23+EX30</f>
        <v>867000</v>
      </c>
      <c r="EY9" s="425"/>
      <c r="EZ9" s="407">
        <f>EZ16+EZ23+EZ30</f>
        <v>981750</v>
      </c>
      <c r="FA9" s="408"/>
      <c r="FB9" s="253">
        <f>IF(EX9&lt;&gt;0,EZ9-EX9,0)</f>
        <v>114750</v>
      </c>
      <c r="FC9" s="276"/>
      <c r="FD9" s="313">
        <f>IFERROR(ROUND(((FE16*FD16+FE23*FD23+FE30*FD30)/FE9),0),0)</f>
        <v>330</v>
      </c>
      <c r="FE9" s="424">
        <f>FE16+FE23+FE30</f>
        <v>900000</v>
      </c>
      <c r="FF9" s="425"/>
      <c r="FG9" s="407">
        <f>FG16+FG23+FG30</f>
        <v>1039500</v>
      </c>
      <c r="FH9" s="408"/>
      <c r="FI9" s="253">
        <f>IF(FE9&lt;&gt;0,FG9-FE9,0)</f>
        <v>139500</v>
      </c>
      <c r="FJ9" s="276"/>
      <c r="FK9" s="313">
        <f>IFERROR(ROUND(((FL16*FK16+FL23*FK23+FL30*FK30)/FL9),0),0)</f>
        <v>320</v>
      </c>
      <c r="FL9" s="424">
        <f>FL16+FL23+FL30</f>
        <v>900000</v>
      </c>
      <c r="FM9" s="425"/>
      <c r="FN9" s="407">
        <f>FN16+FN23+FN30</f>
        <v>936000</v>
      </c>
      <c r="FO9" s="408"/>
      <c r="FP9" s="253">
        <f>IF(FL9&lt;&gt;0,FN9-FL9,0)</f>
        <v>36000</v>
      </c>
      <c r="FQ9" s="276"/>
      <c r="FR9" s="313">
        <f>IFERROR(ROUND(((FS16*FR16+FS23*FR23+FS30*FR30)/FS9),0),0)</f>
        <v>330</v>
      </c>
      <c r="FS9" s="424">
        <f>FS16+FS23+FS30</f>
        <v>1000000</v>
      </c>
      <c r="FT9" s="425"/>
      <c r="FU9" s="407">
        <f>FU16+FU23+FU30</f>
        <v>1004850</v>
      </c>
      <c r="FV9" s="408"/>
      <c r="FW9" s="253">
        <f>IF(FS9&lt;&gt;0,FU9-FS9,0)</f>
        <v>4850</v>
      </c>
      <c r="FX9" s="276"/>
      <c r="FY9" s="313">
        <f>IFERROR(ROUND(((FZ16*FY16+FZ23*FY23+FZ30*FY30)/FZ9),0),0)</f>
        <v>320</v>
      </c>
      <c r="FZ9" s="424">
        <f>FZ16+FZ23+FZ30</f>
        <v>1000000</v>
      </c>
      <c r="GA9" s="425"/>
      <c r="GB9" s="407">
        <f>GB16+GB23+GB30</f>
        <v>978880</v>
      </c>
      <c r="GC9" s="408"/>
      <c r="GD9" s="253">
        <f>IF(FZ9&lt;&gt;0,GB9-FZ9,0)</f>
        <v>-21120</v>
      </c>
      <c r="GE9" s="276"/>
      <c r="GF9" s="313">
        <f>IFERROR(ROUND(((GG16*GF16+GG23*GF23+GG30*GF30)/GG9),0),0)</f>
        <v>320</v>
      </c>
      <c r="GG9" s="424">
        <f>GG16+GG23+GG30</f>
        <v>1000000</v>
      </c>
      <c r="GH9" s="425"/>
      <c r="GI9" s="407">
        <f>GI16+GI23+GI30</f>
        <v>940800</v>
      </c>
      <c r="GJ9" s="408"/>
      <c r="GK9" s="253">
        <f>IF(GG9&lt;&gt;0,GI9-GG9,0)</f>
        <v>-59200</v>
      </c>
      <c r="GL9" s="276"/>
      <c r="GM9" s="313">
        <f>IFERROR(ROUND(((GN16*GM16+GN23*GM23+GN30*GM30)/GN9),0),0)</f>
        <v>320</v>
      </c>
      <c r="GN9" s="424">
        <f>GN16+GN23+GN30</f>
        <v>1000000</v>
      </c>
      <c r="GO9" s="425"/>
      <c r="GP9" s="407">
        <f>GP16+GP23+GP30</f>
        <v>918400</v>
      </c>
      <c r="GQ9" s="408"/>
      <c r="GR9" s="253">
        <f>IF(GN9&lt;&gt;0,GP9-GN9,0)</f>
        <v>-81600</v>
      </c>
      <c r="GS9" s="276"/>
      <c r="GT9" s="313">
        <f>IFERROR(ROUND(((GU16*GT16+GU23*GT23+GU30*GT30)/GU9),0),0)</f>
        <v>320</v>
      </c>
      <c r="GU9" s="424">
        <f>GU16+GU23+GU30</f>
        <v>867000</v>
      </c>
      <c r="GV9" s="425"/>
      <c r="GW9" s="407">
        <f>GW16+GW23+GW30</f>
        <v>730240</v>
      </c>
      <c r="GX9" s="408"/>
      <c r="GY9" s="253">
        <f>IF(GU9&lt;&gt;0,GW9-GU9,0)</f>
        <v>-136760</v>
      </c>
      <c r="GZ9" s="263"/>
      <c r="HA9" s="313">
        <f>ROUND(((HD16*HA16+HD23*HA23+HD30*HA30)/HD9),0)</f>
        <v>320</v>
      </c>
      <c r="HB9" s="424">
        <f>HB16+HB23+HB30</f>
        <v>870000</v>
      </c>
      <c r="HC9" s="425"/>
      <c r="HD9" s="407">
        <f>HD16+HD23+HD30</f>
        <v>840000</v>
      </c>
      <c r="HE9" s="408"/>
      <c r="HF9" s="253">
        <f>IF(HB9&lt;&gt;0,HD9-HB9,0)</f>
        <v>-30000</v>
      </c>
      <c r="HG9" s="276"/>
      <c r="HH9" s="313">
        <f>IFERROR(ROUND(((HI16*HH16+HI23*HH23+HI30*HH30)/HI9),0),0)</f>
        <v>320</v>
      </c>
      <c r="HI9" s="424">
        <f>HI16+HI23+HI30</f>
        <v>961000</v>
      </c>
      <c r="HJ9" s="425"/>
      <c r="HK9" s="407">
        <f>HK16+HK23+HK30</f>
        <v>848640</v>
      </c>
      <c r="HL9" s="408"/>
      <c r="HM9" s="253">
        <f>IF(HI9&lt;&gt;0,HK9-HI9,0)</f>
        <v>-112360</v>
      </c>
      <c r="HN9" s="276"/>
      <c r="HO9" s="313">
        <f>IFERROR(ROUND(((HP16*HO16+HP23*HO23+HP30*HO30)/HP9),0),0)</f>
        <v>320</v>
      </c>
      <c r="HP9" s="424">
        <f>HP16+HP23+HP30</f>
        <v>1000000</v>
      </c>
      <c r="HQ9" s="425"/>
      <c r="HR9" s="407">
        <f>HR16+HR23+HR30</f>
        <v>784000</v>
      </c>
      <c r="HS9" s="408"/>
      <c r="HT9" s="253">
        <f>IF(HP9&lt;&gt;0,HR9-HP9,0)</f>
        <v>-216000</v>
      </c>
      <c r="HU9" s="276"/>
      <c r="HV9" s="313">
        <f>IFERROR(ROUND(((HW16*HV16+HW23*HV23+HW30*HV30)/HW9),0),0)</f>
        <v>320</v>
      </c>
      <c r="HW9" s="424">
        <f>HW16+HW23+HW30</f>
        <v>1000000</v>
      </c>
      <c r="HX9" s="425"/>
      <c r="HY9" s="407">
        <f>HY16+HY23+HY30</f>
        <v>817600</v>
      </c>
      <c r="HZ9" s="408"/>
      <c r="IA9" s="253">
        <f>IF(HW9&lt;&gt;0,HY9-HW9,0)</f>
        <v>-182400</v>
      </c>
      <c r="IB9" s="276"/>
      <c r="IC9" s="313">
        <f>IFERROR(ROUND(((ID16*IC16+ID23*IC23+ID30*IC30)/ID9),0),0)</f>
        <v>320</v>
      </c>
      <c r="ID9" s="424">
        <f>ID16+ID23+ID30</f>
        <v>1000000</v>
      </c>
      <c r="IE9" s="425"/>
      <c r="IF9" s="407">
        <f>IF16+IF23+IF30</f>
        <v>907200</v>
      </c>
      <c r="IG9" s="408"/>
      <c r="IH9" s="253">
        <f>IF(ID9&lt;&gt;0,IF9-ID9,0)</f>
        <v>-92800</v>
      </c>
      <c r="II9" s="276"/>
      <c r="IJ9" s="313">
        <f>IFERROR(ROUND(((IK16*IJ16+IK23*IJ23+IK30*IJ30)/IK9),0),0)</f>
        <v>300</v>
      </c>
      <c r="IK9" s="424">
        <f>IK16+IK23+IK30</f>
        <v>733000</v>
      </c>
      <c r="IL9" s="425"/>
      <c r="IM9" s="407">
        <f>IM16+IM23+IM30</f>
        <v>903000</v>
      </c>
      <c r="IN9" s="408"/>
      <c r="IO9" s="253">
        <f>IF(IK9&lt;&gt;0,IM9-IK9,0)</f>
        <v>170000</v>
      </c>
      <c r="IP9" s="276"/>
      <c r="IQ9" s="313">
        <f>IFERROR(ROUND(((IR16*IQ16+IR23*IQ23+IR30*IQ30)/IR9),0),0)</f>
        <v>320</v>
      </c>
      <c r="IR9" s="424">
        <f>IR16+IR23+IR30</f>
        <v>867000</v>
      </c>
      <c r="IS9" s="425"/>
      <c r="IT9" s="407">
        <f>IT16+IT23+IT30</f>
        <v>981120</v>
      </c>
      <c r="IU9" s="408"/>
      <c r="IV9" s="253">
        <f>IF(IR9&lt;&gt;0,IT9-IR9,0)</f>
        <v>114120</v>
      </c>
      <c r="IW9" s="276"/>
      <c r="IX9" s="313">
        <f>IFERROR(ROUND(((IY16*IX16+IY23*IX23+IY30*IX30)/IY9),0),0)</f>
        <v>320</v>
      </c>
      <c r="IY9" s="424">
        <f>IY16+IY23+IY30</f>
        <v>645501</v>
      </c>
      <c r="IZ9" s="425"/>
      <c r="JA9" s="407">
        <f>JA16+JA23+JA30</f>
        <v>1008000</v>
      </c>
      <c r="JB9" s="408"/>
      <c r="JC9" s="253">
        <f>IF(IY9&lt;&gt;0,JA9-IY9,0)</f>
        <v>362499</v>
      </c>
      <c r="JD9" s="276"/>
      <c r="JE9" s="313">
        <f>IFERROR(ROUND(((JF16*JE16+JF23*JE23+JF30*JE30)/JF9),0),0)</f>
        <v>325</v>
      </c>
      <c r="JF9" s="424">
        <f>JF16+JF23+JF30</f>
        <v>839032.25806451612</v>
      </c>
      <c r="JG9" s="425"/>
      <c r="JH9" s="407">
        <f>JH16+JH23+JH30</f>
        <v>1171625</v>
      </c>
      <c r="JI9" s="408"/>
      <c r="JJ9" s="253">
        <f>IF(JF9&lt;&gt;0,JH9-JF9,0)</f>
        <v>332592.74193548388</v>
      </c>
      <c r="JK9" s="276"/>
      <c r="JL9" s="313">
        <f>IFERROR(ROUND(((JM16*JL16+JM23*JL23+JM30*JL30)/JM9),0),0)</f>
        <v>320</v>
      </c>
      <c r="JM9" s="424">
        <f>JM16+JM23+JM30</f>
        <v>867000</v>
      </c>
      <c r="JN9" s="425"/>
      <c r="JO9" s="407">
        <f>JO16+JO23+JO30</f>
        <v>1198400</v>
      </c>
      <c r="JP9" s="408"/>
      <c r="JQ9" s="253">
        <f>IF(JM9&lt;&gt;0,JO9-JM9,0)</f>
        <v>331400</v>
      </c>
      <c r="JR9" s="276"/>
      <c r="JS9" s="313">
        <f>IFERROR(ROUND(((JT16*JS16+JT23*JS23+JT30*JS30)/JT9),0),0)</f>
        <v>320</v>
      </c>
      <c r="JT9" s="424">
        <f>JT16+JT23+JT30</f>
        <v>896896.55172413797</v>
      </c>
      <c r="JU9" s="425"/>
      <c r="JV9" s="407">
        <f>JV16+JV23+JV30</f>
        <v>1220800</v>
      </c>
      <c r="JW9" s="408"/>
      <c r="JX9" s="253">
        <f>IF(JT9&lt;&gt;0,JV9-JT9,0)</f>
        <v>323903.44827586203</v>
      </c>
      <c r="JY9" s="276"/>
      <c r="JZ9" s="313">
        <f>IFERROR(ROUND(((KA16*JZ16+KA23*JZ23+KA30*JZ30)/KA9),0),0)</f>
        <v>325</v>
      </c>
      <c r="KA9" s="424">
        <f>KA16+KA23+KA30</f>
        <v>839032.25806451612</v>
      </c>
      <c r="KB9" s="425"/>
      <c r="KC9" s="407">
        <f>KC16+KC23+KC30</f>
        <v>1239875</v>
      </c>
      <c r="KD9" s="408"/>
      <c r="KE9" s="253">
        <f>IF(KA9&lt;&gt;0,KC9-KA9,0)</f>
        <v>400842.74193548388</v>
      </c>
      <c r="KF9" s="276"/>
      <c r="KG9" s="313">
        <f>IFERROR(ROUND(((KH16*KG16+KH23*KG23+KH30*KG30)/KH9),0),0)</f>
        <v>330</v>
      </c>
      <c r="KH9" s="424">
        <f>KH16+KH23+KH30</f>
        <v>724137.93103448278</v>
      </c>
      <c r="KI9" s="425"/>
      <c r="KJ9" s="407">
        <f>KJ16+KJ23+KJ30</f>
        <v>1258950</v>
      </c>
      <c r="KK9" s="408"/>
      <c r="KL9" s="253">
        <f>IF(KH9&lt;&gt;0,KJ9-KH9,0)</f>
        <v>534812.06896551722</v>
      </c>
      <c r="KM9" s="276"/>
      <c r="KN9" s="313">
        <f>IFERROR(ROUND(((KO16*KN16+KO23*KN23+KO30*KN30)/KO9),0),0)</f>
        <v>340</v>
      </c>
      <c r="KO9" s="424">
        <f>KO16+KO23+KO30</f>
        <v>696774.19354838715</v>
      </c>
      <c r="KP9" s="425"/>
      <c r="KQ9" s="407">
        <f>KQ16+KQ23+KQ30</f>
        <v>1297100</v>
      </c>
      <c r="KR9" s="408"/>
      <c r="KS9" s="253">
        <f>IF(KO9&lt;&gt;0,KQ9-KO9,0)</f>
        <v>600325.80645161285</v>
      </c>
      <c r="KT9" s="276"/>
      <c r="KU9" s="313">
        <f>IFERROR(ROUND(((KV16*KU16+KV23*KU23+KV30*KU30)/KV9),0),0)</f>
        <v>335</v>
      </c>
      <c r="KV9" s="424">
        <f>KV16+KV23+KV30</f>
        <v>933000</v>
      </c>
      <c r="KW9" s="425"/>
      <c r="KX9" s="407">
        <f>KX16+KX23+KX30</f>
        <v>1278025</v>
      </c>
      <c r="KY9" s="408"/>
      <c r="KZ9" s="253">
        <f>IF(KV9&lt;&gt;0,KX9-KV9,0)</f>
        <v>345025</v>
      </c>
      <c r="LA9" s="276"/>
      <c r="LB9" s="313">
        <f>IFERROR(ROUND(((LC16*LB16+LC23*LB23+LC30*LB30)/LC9),0),0)</f>
        <v>325</v>
      </c>
      <c r="LC9" s="424">
        <f>LC16+LC23+LC30</f>
        <v>867000</v>
      </c>
      <c r="LD9" s="425"/>
      <c r="LE9" s="407">
        <f>LE16+LE23+LE30</f>
        <v>1239875</v>
      </c>
      <c r="LF9" s="408"/>
      <c r="LG9" s="253">
        <f>IF(LC9&lt;&gt;0,LE9-LC9,0)</f>
        <v>372875</v>
      </c>
      <c r="LH9" s="276"/>
      <c r="LI9" s="313">
        <f>IFERROR(ROUND(((LJ16*LI16+LJ23*LI23+LJ30*LI30)/LJ9),0),0)</f>
        <v>330</v>
      </c>
      <c r="LJ9" s="424">
        <f>LJ16+LJ23+LJ30</f>
        <v>999545.45454545459</v>
      </c>
      <c r="LK9" s="425"/>
      <c r="LL9" s="407">
        <f>LL16+LL23+LL30</f>
        <v>1258950</v>
      </c>
      <c r="LM9" s="408"/>
      <c r="LN9" s="253">
        <f>IF(LJ9&lt;&gt;0,LL9-LJ9,0)</f>
        <v>259404.54545454541</v>
      </c>
      <c r="LO9" s="276"/>
      <c r="LP9" s="313">
        <f>IFERROR(ROUND(((LQ16*LP16+LQ23*LP23+LQ30*LP30)/LQ9),0),0)</f>
        <v>330</v>
      </c>
      <c r="LQ9" s="424">
        <f>LQ16+LQ23+LQ30</f>
        <v>867000</v>
      </c>
      <c r="LR9" s="425"/>
      <c r="LS9" s="407">
        <f>LS16+LS23+LS30</f>
        <v>1258950</v>
      </c>
      <c r="LT9" s="408"/>
      <c r="LU9" s="253">
        <f>IF(LQ9&lt;&gt;0,LS9-LQ9,0)</f>
        <v>391950</v>
      </c>
      <c r="LV9" s="276"/>
      <c r="LW9" s="313">
        <f>IFERROR(ROUND(((LX16*LW16+LX23*LW23+LX30*LW30)/LX9),0),0)</f>
        <v>300</v>
      </c>
      <c r="LX9" s="424">
        <f>LX16+LX23+LX30</f>
        <v>743142.85714285716</v>
      </c>
      <c r="LY9" s="425"/>
      <c r="LZ9" s="407">
        <f>LZ16+LZ23+LZ30</f>
        <v>1144500</v>
      </c>
      <c r="MA9" s="408"/>
      <c r="MB9" s="253">
        <f>IF(LX9&lt;&gt;0,LZ9-LX9,0)</f>
        <v>401357.14285714284</v>
      </c>
      <c r="MC9" s="276"/>
      <c r="MD9" s="313">
        <f>IFERROR(ROUND(((ME16*MD16+ME23*MD23+ME30*MD30)/ME9),0),0)</f>
        <v>300</v>
      </c>
      <c r="ME9" s="424">
        <f>ME16+ME23+ME30</f>
        <v>743142.85714285716</v>
      </c>
      <c r="MF9" s="425"/>
      <c r="MG9" s="407">
        <f>MG16+MG23+MG30</f>
        <v>1144500</v>
      </c>
      <c r="MH9" s="408"/>
      <c r="MI9" s="253">
        <f>IF(ME9&lt;&gt;0,MG9-ME9,0)</f>
        <v>401357.14285714284</v>
      </c>
      <c r="MJ9" s="276"/>
      <c r="MK9" s="313">
        <f>IFERROR(ROUND(((ML16*MK16+ML23*MK23+ML30*MK30)/ML9),0),0)</f>
        <v>300</v>
      </c>
      <c r="ML9" s="424">
        <f>ML16+ML23+ML30</f>
        <v>743142.85714285716</v>
      </c>
      <c r="MM9" s="425"/>
      <c r="MN9" s="407">
        <f>MN16+MN23+MN30</f>
        <v>1144500</v>
      </c>
      <c r="MO9" s="408"/>
      <c r="MP9" s="253">
        <f>IF(ML9&lt;&gt;0,MN9-ML9,0)</f>
        <v>401357.14285714284</v>
      </c>
      <c r="MQ9" s="276"/>
      <c r="MR9" s="313">
        <f>IFERROR(ROUND(((MS16*MR16+MS23*MR23+MS30*MR30)/MS9),0),0)</f>
        <v>300</v>
      </c>
      <c r="MS9" s="424">
        <f>MS16+MS23+MS30</f>
        <v>743142.85714285716</v>
      </c>
      <c r="MT9" s="425"/>
      <c r="MU9" s="407">
        <f>MU16+MU23+MU30</f>
        <v>1144500</v>
      </c>
      <c r="MV9" s="408"/>
      <c r="MW9" s="253">
        <f>IF(MS9&lt;&gt;0,MU9-MS9,0)</f>
        <v>401357.14285714284</v>
      </c>
      <c r="MX9" s="276"/>
      <c r="MY9" s="313">
        <f>IFERROR(ROUND(((MZ16*MY16+MZ23*MY23+MZ30*MY30)/MZ9),0),0)</f>
        <v>300</v>
      </c>
      <c r="MZ9" s="424">
        <f>MZ16+MZ23+MZ30</f>
        <v>743142.85714285716</v>
      </c>
      <c r="NA9" s="425"/>
      <c r="NB9" s="407">
        <f>NB16+NB23+NB30</f>
        <v>1144500</v>
      </c>
      <c r="NC9" s="408"/>
      <c r="ND9" s="253">
        <f>IF(MZ9&lt;&gt;0,NB9-MZ9,0)</f>
        <v>401357.14285714284</v>
      </c>
      <c r="NE9" s="276"/>
      <c r="NF9" s="313">
        <f>IFERROR(ROUND(((NG16*NF16+NG23*NF23+NG30*NF30)/NG9),0),0)</f>
        <v>300</v>
      </c>
      <c r="NG9" s="424">
        <f>NG16+NG23+NG30</f>
        <v>743142.85714285716</v>
      </c>
      <c r="NH9" s="425"/>
      <c r="NI9" s="407">
        <f>NI16+NI23+NI30</f>
        <v>1144500</v>
      </c>
      <c r="NJ9" s="408"/>
      <c r="NK9" s="253">
        <f>IF(NG9&lt;&gt;0,NI9-NG9,0)</f>
        <v>401357.14285714284</v>
      </c>
      <c r="NL9" s="276"/>
      <c r="NM9" s="313">
        <f>IFERROR(ROUND(((NN16*NM16+NN23*NM23+NN30*NM30)/NN9),0),0)</f>
        <v>300</v>
      </c>
      <c r="NN9" s="424">
        <f>NN16+NN23+NN30</f>
        <v>743142.85714285716</v>
      </c>
      <c r="NO9" s="425"/>
      <c r="NP9" s="407">
        <f>NP16+NP23+NP30</f>
        <v>735000</v>
      </c>
      <c r="NQ9" s="408"/>
      <c r="NR9" s="253">
        <f>IF(NN9&lt;&gt;0,NP9-NN9,0)</f>
        <v>-8142.8571428571595</v>
      </c>
      <c r="NS9" s="263"/>
    </row>
    <row r="10" spans="1:383" s="110" customFormat="1" ht="27.6" customHeight="1" thickBot="1" x14ac:dyDescent="0.35">
      <c r="A10" s="316"/>
      <c r="B10" s="306"/>
      <c r="C10" s="314"/>
      <c r="D10" s="314"/>
      <c r="E10" s="196"/>
      <c r="F10" s="264"/>
      <c r="G10" s="277"/>
      <c r="H10" s="277"/>
      <c r="I10" s="315"/>
      <c r="J10" s="315"/>
      <c r="K10" s="315"/>
      <c r="L10" s="263"/>
      <c r="M10" s="264"/>
      <c r="N10" s="277"/>
      <c r="O10" s="277"/>
      <c r="P10" s="315"/>
      <c r="Q10" s="315"/>
      <c r="R10" s="315"/>
      <c r="S10" s="263"/>
      <c r="T10" s="264"/>
      <c r="U10" s="277"/>
      <c r="V10" s="277"/>
      <c r="W10" s="315"/>
      <c r="X10" s="315"/>
      <c r="Y10" s="315"/>
      <c r="Z10" s="263"/>
      <c r="AA10" s="264"/>
      <c r="AB10" s="277"/>
      <c r="AC10" s="277"/>
      <c r="AD10" s="315"/>
      <c r="AE10" s="315"/>
      <c r="AF10" s="315"/>
      <c r="AG10" s="263"/>
      <c r="AH10" s="264"/>
      <c r="AI10" s="277"/>
      <c r="AJ10" s="277"/>
      <c r="AK10" s="315"/>
      <c r="AL10" s="315"/>
      <c r="AM10" s="315"/>
      <c r="AN10" s="263"/>
      <c r="AO10" s="264"/>
      <c r="AP10" s="277"/>
      <c r="AQ10" s="277"/>
      <c r="AR10" s="315"/>
      <c r="AS10" s="315"/>
      <c r="AT10" s="315"/>
      <c r="AU10" s="263"/>
      <c r="AV10" s="264"/>
      <c r="AW10" s="277"/>
      <c r="AX10" s="277"/>
      <c r="AY10" s="315"/>
      <c r="AZ10" s="315"/>
      <c r="BA10" s="315"/>
      <c r="BB10" s="263"/>
      <c r="BC10" s="264"/>
      <c r="BD10" s="277"/>
      <c r="BE10" s="277"/>
      <c r="BF10" s="315"/>
      <c r="BG10" s="315"/>
      <c r="BH10" s="315"/>
      <c r="BI10" s="263"/>
      <c r="BJ10" s="264"/>
      <c r="BK10" s="277"/>
      <c r="BL10" s="277"/>
      <c r="BM10" s="315"/>
      <c r="BN10" s="315"/>
      <c r="BO10" s="315"/>
      <c r="BP10" s="263"/>
      <c r="BQ10" s="264"/>
      <c r="BR10" s="277"/>
      <c r="BS10" s="277"/>
      <c r="BT10" s="315"/>
      <c r="BU10" s="315"/>
      <c r="BV10" s="315"/>
      <c r="BW10" s="263"/>
      <c r="BX10" s="264"/>
      <c r="BY10" s="277"/>
      <c r="BZ10" s="277"/>
      <c r="CA10" s="315"/>
      <c r="CB10" s="315"/>
      <c r="CC10" s="315"/>
      <c r="CD10" s="263"/>
      <c r="CE10" s="264"/>
      <c r="CF10" s="277"/>
      <c r="CG10" s="277"/>
      <c r="CH10" s="315"/>
      <c r="CI10" s="315"/>
      <c r="CJ10" s="315"/>
      <c r="CK10" s="263"/>
      <c r="CL10" s="264"/>
      <c r="CM10" s="277"/>
      <c r="CN10" s="277"/>
      <c r="CO10" s="315"/>
      <c r="CP10" s="315"/>
      <c r="CQ10" s="315"/>
      <c r="CR10" s="263"/>
      <c r="CS10" s="264"/>
      <c r="CT10" s="277"/>
      <c r="CU10" s="277"/>
      <c r="CV10" s="315"/>
      <c r="CW10" s="315"/>
      <c r="CX10" s="315"/>
      <c r="CY10" s="263"/>
      <c r="CZ10" s="264"/>
      <c r="DA10" s="277"/>
      <c r="DB10" s="277"/>
      <c r="DC10" s="315"/>
      <c r="DD10" s="315"/>
      <c r="DE10" s="315"/>
      <c r="DF10" s="263"/>
      <c r="DG10" s="264"/>
      <c r="DH10" s="277"/>
      <c r="DI10" s="277"/>
      <c r="DJ10" s="315"/>
      <c r="DK10" s="315"/>
      <c r="DL10" s="315"/>
      <c r="DM10" s="263"/>
      <c r="DN10" s="264"/>
      <c r="DO10" s="277"/>
      <c r="DP10" s="277"/>
      <c r="DQ10" s="315"/>
      <c r="DR10" s="315"/>
      <c r="DS10" s="315"/>
      <c r="DT10" s="263"/>
      <c r="DU10" s="264"/>
      <c r="DV10" s="277"/>
      <c r="DW10" s="277"/>
      <c r="DX10" s="315"/>
      <c r="DY10" s="315"/>
      <c r="DZ10" s="315"/>
      <c r="EA10" s="263"/>
      <c r="EB10" s="264"/>
      <c r="EC10" s="277"/>
      <c r="ED10" s="277"/>
      <c r="EE10" s="315"/>
      <c r="EF10" s="315"/>
      <c r="EG10" s="315"/>
      <c r="EH10" s="263"/>
      <c r="EI10" s="264"/>
      <c r="EJ10" s="277"/>
      <c r="EK10" s="277"/>
      <c r="EL10" s="315"/>
      <c r="EM10" s="315"/>
      <c r="EN10" s="315"/>
      <c r="EO10" s="263"/>
      <c r="EP10" s="264"/>
      <c r="EQ10" s="277"/>
      <c r="ER10" s="277"/>
      <c r="ES10" s="315"/>
      <c r="ET10" s="315"/>
      <c r="EU10" s="315"/>
      <c r="EV10" s="263"/>
      <c r="EW10" s="264"/>
      <c r="EX10" s="277"/>
      <c r="EY10" s="277"/>
      <c r="EZ10" s="315"/>
      <c r="FA10" s="315"/>
      <c r="FB10" s="315"/>
      <c r="FC10" s="263"/>
      <c r="FD10" s="264"/>
      <c r="FE10" s="277"/>
      <c r="FF10" s="277"/>
      <c r="FG10" s="315"/>
      <c r="FH10" s="315"/>
      <c r="FI10" s="315"/>
      <c r="FJ10" s="263"/>
      <c r="FK10" s="264"/>
      <c r="FL10" s="277"/>
      <c r="FM10" s="277"/>
      <c r="FN10" s="315"/>
      <c r="FO10" s="315"/>
      <c r="FP10" s="315"/>
      <c r="FQ10" s="263"/>
      <c r="FR10" s="264"/>
      <c r="FS10" s="277"/>
      <c r="FT10" s="277"/>
      <c r="FU10" s="315"/>
      <c r="FV10" s="315"/>
      <c r="FW10" s="315"/>
      <c r="FX10" s="263"/>
      <c r="FY10" s="264"/>
      <c r="FZ10" s="277"/>
      <c r="GA10" s="277"/>
      <c r="GB10" s="315"/>
      <c r="GC10" s="315"/>
      <c r="GD10" s="315"/>
      <c r="GE10" s="263"/>
      <c r="GF10" s="264"/>
      <c r="GG10" s="277"/>
      <c r="GH10" s="277"/>
      <c r="GI10" s="315"/>
      <c r="GJ10" s="315"/>
      <c r="GK10" s="315"/>
      <c r="GL10" s="263"/>
      <c r="GM10" s="264"/>
      <c r="GN10" s="277"/>
      <c r="GO10" s="277"/>
      <c r="GP10" s="315"/>
      <c r="GQ10" s="315"/>
      <c r="GR10" s="315"/>
      <c r="GS10" s="263"/>
      <c r="GT10" s="264"/>
      <c r="GU10" s="277"/>
      <c r="GV10" s="277"/>
      <c r="GW10" s="315"/>
      <c r="GX10" s="315"/>
      <c r="GY10" s="315"/>
      <c r="GZ10" s="263"/>
      <c r="HA10" s="264"/>
      <c r="HB10" s="277"/>
      <c r="HC10" s="277"/>
      <c r="HD10" s="315"/>
      <c r="HE10" s="315"/>
      <c r="HF10" s="315"/>
      <c r="HG10" s="263"/>
      <c r="HH10" s="264"/>
      <c r="HI10" s="277"/>
      <c r="HJ10" s="277"/>
      <c r="HK10" s="315"/>
      <c r="HL10" s="315"/>
      <c r="HM10" s="315"/>
      <c r="HN10" s="263"/>
      <c r="HO10" s="264"/>
      <c r="HP10" s="277"/>
      <c r="HQ10" s="277"/>
      <c r="HR10" s="315"/>
      <c r="HS10" s="315"/>
      <c r="HT10" s="315"/>
      <c r="HU10" s="263"/>
      <c r="HV10" s="264"/>
      <c r="HW10" s="277"/>
      <c r="HX10" s="277"/>
      <c r="HY10" s="315"/>
      <c r="HZ10" s="315"/>
      <c r="IA10" s="315"/>
      <c r="IB10" s="263"/>
      <c r="IC10" s="264"/>
      <c r="ID10" s="277"/>
      <c r="IE10" s="277"/>
      <c r="IF10" s="315"/>
      <c r="IG10" s="315"/>
      <c r="IH10" s="315"/>
      <c r="II10" s="263"/>
      <c r="IJ10" s="264"/>
      <c r="IK10" s="277"/>
      <c r="IL10" s="277"/>
      <c r="IM10" s="315"/>
      <c r="IN10" s="315"/>
      <c r="IO10" s="315"/>
      <c r="IP10" s="263"/>
      <c r="IQ10" s="264"/>
      <c r="IR10" s="277"/>
      <c r="IS10" s="277"/>
      <c r="IT10" s="315"/>
      <c r="IU10" s="315"/>
      <c r="IV10" s="315"/>
      <c r="IW10" s="263"/>
      <c r="IX10" s="264"/>
      <c r="IY10" s="277"/>
      <c r="IZ10" s="277"/>
      <c r="JA10" s="315"/>
      <c r="JB10" s="315"/>
      <c r="JC10" s="315"/>
      <c r="JD10" s="263"/>
      <c r="JE10" s="264"/>
      <c r="JF10" s="277"/>
      <c r="JG10" s="277"/>
      <c r="JH10" s="315"/>
      <c r="JI10" s="315"/>
      <c r="JJ10" s="315"/>
      <c r="JK10" s="263"/>
      <c r="JL10" s="264"/>
      <c r="JM10" s="277"/>
      <c r="JN10" s="277"/>
      <c r="JO10" s="315"/>
      <c r="JP10" s="315"/>
      <c r="JQ10" s="315"/>
      <c r="JR10" s="263"/>
      <c r="JS10" s="264"/>
      <c r="JT10" s="277"/>
      <c r="JU10" s="277"/>
      <c r="JV10" s="315"/>
      <c r="JW10" s="315"/>
      <c r="JX10" s="315"/>
      <c r="JY10" s="263"/>
      <c r="JZ10" s="264"/>
      <c r="KA10" s="277"/>
      <c r="KB10" s="277"/>
      <c r="KC10" s="315"/>
      <c r="KD10" s="315"/>
      <c r="KE10" s="315"/>
      <c r="KF10" s="263"/>
      <c r="KG10" s="264"/>
      <c r="KH10" s="277"/>
      <c r="KI10" s="277"/>
      <c r="KJ10" s="315"/>
      <c r="KK10" s="315"/>
      <c r="KL10" s="315"/>
      <c r="KM10" s="263"/>
      <c r="KN10" s="264"/>
      <c r="KO10" s="277"/>
      <c r="KP10" s="277"/>
      <c r="KQ10" s="315"/>
      <c r="KR10" s="315"/>
      <c r="KS10" s="315"/>
      <c r="KT10" s="263"/>
      <c r="KU10" s="264"/>
      <c r="KV10" s="277"/>
      <c r="KW10" s="277"/>
      <c r="KX10" s="315"/>
      <c r="KY10" s="315"/>
      <c r="KZ10" s="315"/>
      <c r="LA10" s="263"/>
      <c r="LB10" s="264"/>
      <c r="LC10" s="277"/>
      <c r="LD10" s="277"/>
      <c r="LE10" s="315"/>
      <c r="LF10" s="315"/>
      <c r="LG10" s="315"/>
      <c r="LH10" s="263"/>
      <c r="LI10" s="264"/>
      <c r="LJ10" s="277"/>
      <c r="LK10" s="277"/>
      <c r="LL10" s="315"/>
      <c r="LM10" s="315"/>
      <c r="LN10" s="315"/>
      <c r="LO10" s="263"/>
      <c r="LP10" s="264"/>
      <c r="LQ10" s="277"/>
      <c r="LR10" s="277"/>
      <c r="LS10" s="315"/>
      <c r="LT10" s="315"/>
      <c r="LU10" s="315"/>
      <c r="LV10" s="263"/>
      <c r="LW10" s="264"/>
      <c r="LX10" s="277"/>
      <c r="LY10" s="277"/>
      <c r="LZ10" s="315"/>
      <c r="MA10" s="315"/>
      <c r="MB10" s="315"/>
      <c r="MC10" s="263"/>
      <c r="MD10" s="264"/>
      <c r="ME10" s="277"/>
      <c r="MF10" s="277"/>
      <c r="MG10" s="315"/>
      <c r="MH10" s="315"/>
      <c r="MI10" s="315"/>
      <c r="MJ10" s="263"/>
      <c r="MK10" s="264"/>
      <c r="ML10" s="277"/>
      <c r="MM10" s="277"/>
      <c r="MN10" s="315"/>
      <c r="MO10" s="315"/>
      <c r="MP10" s="315"/>
      <c r="MQ10" s="263"/>
      <c r="MR10" s="264"/>
      <c r="MS10" s="277"/>
      <c r="MT10" s="277"/>
      <c r="MU10" s="315"/>
      <c r="MV10" s="315"/>
      <c r="MW10" s="315"/>
      <c r="MX10" s="263"/>
      <c r="MY10" s="264"/>
      <c r="MZ10" s="277"/>
      <c r="NA10" s="277"/>
      <c r="NB10" s="315"/>
      <c r="NC10" s="315"/>
      <c r="ND10" s="315"/>
      <c r="NE10" s="263"/>
      <c r="NF10" s="264"/>
      <c r="NG10" s="277"/>
      <c r="NH10" s="277"/>
      <c r="NI10" s="315"/>
      <c r="NJ10" s="315"/>
      <c r="NK10" s="315"/>
      <c r="NL10" s="263"/>
      <c r="NM10" s="264"/>
      <c r="NN10" s="277"/>
      <c r="NO10" s="277"/>
      <c r="NP10" s="315"/>
      <c r="NQ10" s="315"/>
      <c r="NR10" s="315"/>
      <c r="NS10" s="263"/>
    </row>
    <row r="11" spans="1:383" x14ac:dyDescent="0.3">
      <c r="D11" s="306"/>
      <c r="E11" s="196"/>
      <c r="F11" s="248" t="s">
        <v>701</v>
      </c>
      <c r="G11" s="394" t="s">
        <v>702</v>
      </c>
      <c r="H11" s="395"/>
      <c r="I11"/>
      <c r="J11"/>
      <c r="K11"/>
      <c r="L11"/>
      <c r="M11" s="248" t="s">
        <v>701</v>
      </c>
      <c r="N11" s="394" t="s">
        <v>702</v>
      </c>
      <c r="O11" s="395"/>
      <c r="P11"/>
      <c r="Q11"/>
      <c r="R11"/>
      <c r="T11" s="248" t="s">
        <v>701</v>
      </c>
      <c r="U11" s="394" t="s">
        <v>702</v>
      </c>
      <c r="V11" s="395"/>
      <c r="AA11" s="248" t="s">
        <v>701</v>
      </c>
      <c r="AB11" s="394" t="s">
        <v>702</v>
      </c>
      <c r="AC11" s="395"/>
      <c r="AH11" s="248" t="s">
        <v>701</v>
      </c>
      <c r="AI11" s="394" t="s">
        <v>702</v>
      </c>
      <c r="AJ11" s="395"/>
      <c r="AO11" s="248" t="s">
        <v>701</v>
      </c>
      <c r="AP11" s="394" t="s">
        <v>702</v>
      </c>
      <c r="AQ11" s="395"/>
      <c r="AV11" s="248" t="s">
        <v>701</v>
      </c>
      <c r="AW11" s="394" t="s">
        <v>702</v>
      </c>
      <c r="AX11" s="395"/>
      <c r="BC11" s="248" t="s">
        <v>701</v>
      </c>
      <c r="BD11" s="394" t="s">
        <v>702</v>
      </c>
      <c r="BE11" s="395"/>
      <c r="BJ11" s="248" t="s">
        <v>701</v>
      </c>
      <c r="BK11" s="394" t="s">
        <v>702</v>
      </c>
      <c r="BL11" s="395"/>
      <c r="BQ11" s="248" t="s">
        <v>701</v>
      </c>
      <c r="BR11" s="394" t="s">
        <v>702</v>
      </c>
      <c r="BS11" s="395"/>
      <c r="BX11" s="248" t="s">
        <v>701</v>
      </c>
      <c r="BY11" s="394" t="s">
        <v>702</v>
      </c>
      <c r="BZ11" s="395"/>
      <c r="CE11" s="248" t="s">
        <v>701</v>
      </c>
      <c r="CF11" s="394" t="s">
        <v>702</v>
      </c>
      <c r="CG11" s="395"/>
      <c r="CL11" s="248" t="s">
        <v>701</v>
      </c>
      <c r="CM11" s="394" t="s">
        <v>702</v>
      </c>
      <c r="CN11" s="395"/>
      <c r="CS11" s="248" t="s">
        <v>701</v>
      </c>
      <c r="CT11" s="394" t="s">
        <v>702</v>
      </c>
      <c r="CU11" s="395"/>
      <c r="CZ11" s="248" t="s">
        <v>701</v>
      </c>
      <c r="DA11" s="394" t="s">
        <v>702</v>
      </c>
      <c r="DB11" s="395"/>
      <c r="DG11" s="248" t="s">
        <v>701</v>
      </c>
      <c r="DH11" s="394" t="s">
        <v>702</v>
      </c>
      <c r="DI11" s="395"/>
      <c r="DN11" s="248" t="s">
        <v>701</v>
      </c>
      <c r="DO11" s="394" t="s">
        <v>702</v>
      </c>
      <c r="DP11" s="395"/>
      <c r="DU11" s="248" t="s">
        <v>701</v>
      </c>
      <c r="DV11" s="394" t="s">
        <v>702</v>
      </c>
      <c r="DW11" s="395"/>
      <c r="EB11" s="248" t="s">
        <v>701</v>
      </c>
      <c r="EC11" s="394" t="s">
        <v>702</v>
      </c>
      <c r="ED11" s="395"/>
      <c r="EI11" s="248" t="s">
        <v>701</v>
      </c>
      <c r="EJ11" s="394" t="s">
        <v>702</v>
      </c>
      <c r="EK11" s="395"/>
      <c r="EP11" s="248" t="s">
        <v>701</v>
      </c>
      <c r="EQ11" s="394" t="s">
        <v>702</v>
      </c>
      <c r="ER11" s="395"/>
      <c r="EW11" s="248" t="s">
        <v>701</v>
      </c>
      <c r="EX11" s="394" t="s">
        <v>702</v>
      </c>
      <c r="EY11" s="395"/>
      <c r="FD11" s="248" t="s">
        <v>701</v>
      </c>
      <c r="FE11" s="394" t="s">
        <v>702</v>
      </c>
      <c r="FF11" s="395"/>
      <c r="FK11" s="248" t="s">
        <v>701</v>
      </c>
      <c r="FL11" s="394" t="s">
        <v>702</v>
      </c>
      <c r="FM11" s="395"/>
      <c r="FR11" s="248" t="s">
        <v>701</v>
      </c>
      <c r="FS11" s="394" t="s">
        <v>702</v>
      </c>
      <c r="FT11" s="395"/>
      <c r="FY11" s="248" t="s">
        <v>701</v>
      </c>
      <c r="FZ11" s="394" t="s">
        <v>702</v>
      </c>
      <c r="GA11" s="395"/>
      <c r="GF11" s="248" t="s">
        <v>701</v>
      </c>
      <c r="GG11" s="394" t="s">
        <v>702</v>
      </c>
      <c r="GH11" s="395"/>
      <c r="GM11" s="248" t="s">
        <v>701</v>
      </c>
      <c r="GN11" s="394" t="s">
        <v>702</v>
      </c>
      <c r="GO11" s="395"/>
      <c r="GT11" s="248" t="s">
        <v>701</v>
      </c>
      <c r="GU11" s="394" t="s">
        <v>702</v>
      </c>
      <c r="GV11" s="395"/>
      <c r="HA11" s="248" t="s">
        <v>701</v>
      </c>
      <c r="HB11" s="394" t="s">
        <v>702</v>
      </c>
      <c r="HC11" s="395"/>
      <c r="HH11" s="248" t="s">
        <v>701</v>
      </c>
      <c r="HI11" s="394" t="s">
        <v>702</v>
      </c>
      <c r="HJ11" s="395"/>
      <c r="HO11" s="248" t="s">
        <v>701</v>
      </c>
      <c r="HP11" s="394" t="s">
        <v>702</v>
      </c>
      <c r="HQ11" s="395"/>
      <c r="HV11" s="248" t="s">
        <v>701</v>
      </c>
      <c r="HW11" s="394" t="s">
        <v>702</v>
      </c>
      <c r="HX11" s="395"/>
      <c r="IC11" s="248" t="s">
        <v>701</v>
      </c>
      <c r="ID11" s="394" t="s">
        <v>702</v>
      </c>
      <c r="IE11" s="395"/>
      <c r="IJ11" s="248" t="s">
        <v>701</v>
      </c>
      <c r="IK11" s="394" t="s">
        <v>702</v>
      </c>
      <c r="IL11" s="395"/>
      <c r="IQ11" s="248" t="s">
        <v>701</v>
      </c>
      <c r="IR11" s="394" t="s">
        <v>702</v>
      </c>
      <c r="IS11" s="395"/>
      <c r="IX11" s="248" t="s">
        <v>701</v>
      </c>
      <c r="IY11" s="394" t="s">
        <v>702</v>
      </c>
      <c r="IZ11" s="395"/>
      <c r="JE11" s="248" t="s">
        <v>701</v>
      </c>
      <c r="JF11" s="394" t="s">
        <v>702</v>
      </c>
      <c r="JG11" s="395"/>
      <c r="JL11" s="248" t="s">
        <v>701</v>
      </c>
      <c r="JM11" s="394" t="s">
        <v>702</v>
      </c>
      <c r="JN11" s="395"/>
      <c r="JS11" s="248" t="s">
        <v>701</v>
      </c>
      <c r="JT11" s="394" t="s">
        <v>702</v>
      </c>
      <c r="JU11" s="395"/>
      <c r="JZ11" s="248" t="s">
        <v>701</v>
      </c>
      <c r="KA11" s="394" t="s">
        <v>702</v>
      </c>
      <c r="KB11" s="395"/>
      <c r="KG11" s="248" t="s">
        <v>701</v>
      </c>
      <c r="KH11" s="394" t="s">
        <v>702</v>
      </c>
      <c r="KI11" s="395"/>
      <c r="KN11" s="248" t="s">
        <v>701</v>
      </c>
      <c r="KO11" s="394" t="s">
        <v>702</v>
      </c>
      <c r="KP11" s="395"/>
      <c r="KU11" s="248" t="s">
        <v>701</v>
      </c>
      <c r="KV11" s="394" t="s">
        <v>702</v>
      </c>
      <c r="KW11" s="395"/>
      <c r="LB11" s="248" t="s">
        <v>701</v>
      </c>
      <c r="LC11" s="394" t="s">
        <v>702</v>
      </c>
      <c r="LD11" s="395"/>
      <c r="LI11" s="248" t="s">
        <v>701</v>
      </c>
      <c r="LJ11" s="394" t="s">
        <v>702</v>
      </c>
      <c r="LK11" s="395"/>
      <c r="LP11" s="248" t="s">
        <v>701</v>
      </c>
      <c r="LQ11" s="394" t="s">
        <v>702</v>
      </c>
      <c r="LR11" s="395"/>
      <c r="LW11" s="248" t="s">
        <v>701</v>
      </c>
      <c r="LX11" s="394" t="s">
        <v>702</v>
      </c>
      <c r="LY11" s="395"/>
      <c r="MD11" s="248" t="s">
        <v>701</v>
      </c>
      <c r="ME11" s="394" t="s">
        <v>702</v>
      </c>
      <c r="MF11" s="395"/>
      <c r="MK11" s="248" t="s">
        <v>701</v>
      </c>
      <c r="ML11" s="394" t="s">
        <v>702</v>
      </c>
      <c r="MM11" s="395"/>
      <c r="MR11" s="248" t="s">
        <v>701</v>
      </c>
      <c r="MS11" s="394" t="s">
        <v>702</v>
      </c>
      <c r="MT11" s="395"/>
      <c r="MY11" s="248" t="s">
        <v>701</v>
      </c>
      <c r="MZ11" s="394" t="s">
        <v>702</v>
      </c>
      <c r="NA11" s="395"/>
      <c r="NF11" s="248" t="s">
        <v>701</v>
      </c>
      <c r="NG11" s="394" t="s">
        <v>702</v>
      </c>
      <c r="NH11" s="395"/>
      <c r="NM11" s="248" t="s">
        <v>701</v>
      </c>
      <c r="NN11" s="394" t="s">
        <v>702</v>
      </c>
      <c r="NO11" s="395"/>
    </row>
    <row r="12" spans="1:383" ht="15" thickBot="1" x14ac:dyDescent="0.35">
      <c r="D12" s="306"/>
      <c r="E12" s="196"/>
      <c r="F12" s="313">
        <v>600</v>
      </c>
      <c r="G12" s="388">
        <f>ROUND(G$5/3,-3)</f>
        <v>867000</v>
      </c>
      <c r="H12" s="389"/>
      <c r="I12"/>
      <c r="J12"/>
      <c r="K12"/>
      <c r="L12"/>
      <c r="M12" s="313">
        <v>600</v>
      </c>
      <c r="N12" s="388">
        <f>ROUND(N$5/3,-3)</f>
        <v>867000</v>
      </c>
      <c r="O12" s="389"/>
      <c r="P12"/>
      <c r="Q12"/>
      <c r="R12"/>
      <c r="T12" s="313">
        <v>600</v>
      </c>
      <c r="U12" s="388">
        <f>ROUND(U$5/3,-3)</f>
        <v>1000000</v>
      </c>
      <c r="V12" s="389"/>
      <c r="AA12" s="313">
        <v>600</v>
      </c>
      <c r="AB12" s="388">
        <f>ROUND(AB$5/3,-3)</f>
        <v>867000</v>
      </c>
      <c r="AC12" s="389"/>
      <c r="AH12" s="313">
        <v>600</v>
      </c>
      <c r="AI12" s="388">
        <f>ROUND(AI$5/3,-3)</f>
        <v>867000</v>
      </c>
      <c r="AJ12" s="389"/>
      <c r="AO12" s="313">
        <v>600</v>
      </c>
      <c r="AP12" s="388">
        <f>ROUND(AP$5/3,-3)</f>
        <v>867000</v>
      </c>
      <c r="AQ12" s="389"/>
      <c r="AR12" s="386"/>
      <c r="AS12" s="387"/>
      <c r="AV12" s="313">
        <v>600</v>
      </c>
      <c r="AW12" s="388">
        <f>ROUND(AW$5/3,-3)</f>
        <v>867000</v>
      </c>
      <c r="AX12" s="389"/>
      <c r="BC12" s="313">
        <v>600</v>
      </c>
      <c r="BD12" s="388">
        <f>ROUND(BD$5/3,-3)</f>
        <v>867000</v>
      </c>
      <c r="BE12" s="389"/>
      <c r="BJ12" s="313">
        <v>600</v>
      </c>
      <c r="BK12" s="388">
        <f>ROUND(BK$5/3,-3)</f>
        <v>867000</v>
      </c>
      <c r="BL12" s="389"/>
      <c r="BQ12" s="313">
        <v>600</v>
      </c>
      <c r="BR12" s="388">
        <f>ROUND(BR$5/3,-3)</f>
        <v>733000</v>
      </c>
      <c r="BS12" s="389"/>
      <c r="BX12" s="313">
        <v>600</v>
      </c>
      <c r="BY12" s="388">
        <f>ROUND(BY$5/3,-3)</f>
        <v>867000</v>
      </c>
      <c r="BZ12" s="389"/>
      <c r="CE12" s="313">
        <v>600</v>
      </c>
      <c r="CF12" s="388">
        <f>ROUND(CF$5/3,-3)</f>
        <v>867000</v>
      </c>
      <c r="CG12" s="389"/>
      <c r="CL12" s="313">
        <v>600</v>
      </c>
      <c r="CM12" s="388">
        <f>ROUND(CM$5/3,-3)</f>
        <v>867000</v>
      </c>
      <c r="CN12" s="389"/>
      <c r="CS12" s="313">
        <v>600</v>
      </c>
      <c r="CT12" s="388">
        <f>ROUND(CT$5/3,-3)</f>
        <v>867000</v>
      </c>
      <c r="CU12" s="389"/>
      <c r="CZ12" s="313">
        <v>600</v>
      </c>
      <c r="DA12" s="388">
        <f>ROUND(DA$5/3,-3)</f>
        <v>867000</v>
      </c>
      <c r="DB12" s="389"/>
      <c r="DG12" s="313">
        <v>600</v>
      </c>
      <c r="DH12" s="388">
        <f>ROUND(DH$5/3,-3)</f>
        <v>867000</v>
      </c>
      <c r="DI12" s="389"/>
      <c r="DN12" s="313">
        <v>600</v>
      </c>
      <c r="DO12" s="388">
        <f>ROUND(DO$5/3,-3)</f>
        <v>700000</v>
      </c>
      <c r="DP12" s="389"/>
      <c r="DU12" s="313">
        <v>600</v>
      </c>
      <c r="DV12" s="388">
        <f>ROUND(DV$5/3,-3)</f>
        <v>720000</v>
      </c>
      <c r="DW12" s="389"/>
      <c r="EB12" s="313">
        <v>600</v>
      </c>
      <c r="EC12" s="388">
        <f>ROUND(EC$5/3,-3)</f>
        <v>933000</v>
      </c>
      <c r="ED12" s="389"/>
      <c r="EI12" s="313">
        <v>600</v>
      </c>
      <c r="EJ12" s="388">
        <f>ROUND(EJ$5/3,-3)</f>
        <v>867000</v>
      </c>
      <c r="EK12" s="389"/>
      <c r="EP12" s="313">
        <v>600</v>
      </c>
      <c r="EQ12" s="388">
        <f>ROUND(EQ$5/3,-3)</f>
        <v>733000</v>
      </c>
      <c r="ER12" s="389"/>
      <c r="EW12" s="313">
        <v>600</v>
      </c>
      <c r="EX12" s="388">
        <f>ROUND(EX$5/3,-3)</f>
        <v>867000</v>
      </c>
      <c r="EY12" s="389"/>
      <c r="FD12" s="313">
        <v>600</v>
      </c>
      <c r="FE12" s="388">
        <f>ROUND(FE$5/3,-3)</f>
        <v>867000</v>
      </c>
      <c r="FF12" s="389"/>
      <c r="FK12" s="313">
        <v>600</v>
      </c>
      <c r="FL12" s="388">
        <f>ROUND(FL$5/3,-3)</f>
        <v>867000</v>
      </c>
      <c r="FM12" s="389"/>
      <c r="FR12" s="313">
        <v>600</v>
      </c>
      <c r="FS12" s="388">
        <f>ROUND(FS$5/3,-3)</f>
        <v>1000000</v>
      </c>
      <c r="FT12" s="389"/>
      <c r="FY12" s="313">
        <v>600</v>
      </c>
      <c r="FZ12" s="388">
        <f>ROUND(FZ$5/3,-3)</f>
        <v>1000000</v>
      </c>
      <c r="GA12" s="389"/>
      <c r="GF12" s="313">
        <v>600</v>
      </c>
      <c r="GG12" s="388">
        <f>ROUND(GG$5/3,-3)</f>
        <v>1000000</v>
      </c>
      <c r="GH12" s="389"/>
      <c r="GM12" s="313">
        <v>600</v>
      </c>
      <c r="GN12" s="388">
        <f>ROUND(GN$5/3,-3)</f>
        <v>1000000</v>
      </c>
      <c r="GO12" s="389"/>
      <c r="GT12" s="313">
        <v>600</v>
      </c>
      <c r="GU12" s="388">
        <f>ROUND(GU$5/3,-3)</f>
        <v>867000</v>
      </c>
      <c r="GV12" s="389"/>
      <c r="HA12" s="313">
        <v>600</v>
      </c>
      <c r="HB12" s="388">
        <f>ROUND(HB$5/3,-3)</f>
        <v>1000000</v>
      </c>
      <c r="HC12" s="389"/>
      <c r="HH12" s="313">
        <v>600</v>
      </c>
      <c r="HI12" s="388">
        <f>ROUND(HI$5/3,-3)</f>
        <v>1000000</v>
      </c>
      <c r="HJ12" s="389"/>
      <c r="HK12" s="386"/>
      <c r="HL12" s="387"/>
      <c r="HO12" s="313">
        <v>600</v>
      </c>
      <c r="HP12" s="388">
        <f>ROUND(HP$5/3,-3)</f>
        <v>1000000</v>
      </c>
      <c r="HQ12" s="389"/>
      <c r="HV12" s="313">
        <v>600</v>
      </c>
      <c r="HW12" s="388">
        <f>ROUND(HW$5/3,-3)</f>
        <v>1000000</v>
      </c>
      <c r="HX12" s="389"/>
      <c r="IC12" s="313">
        <v>600</v>
      </c>
      <c r="ID12" s="388">
        <f>ROUND(ID$5/3,-3)</f>
        <v>1000000</v>
      </c>
      <c r="IE12" s="389"/>
      <c r="IJ12" s="313">
        <v>600</v>
      </c>
      <c r="IK12" s="388">
        <f>ROUND(IK$5/3,-3)</f>
        <v>733000</v>
      </c>
      <c r="IL12" s="389"/>
      <c r="IQ12" s="313">
        <v>600</v>
      </c>
      <c r="IR12" s="388">
        <f>ROUND(IR$5/3,-3)</f>
        <v>867000</v>
      </c>
      <c r="IS12" s="389"/>
      <c r="IX12" s="313">
        <v>600</v>
      </c>
      <c r="IY12" s="388">
        <f>ROUND(IY$5/3,-3)</f>
        <v>867000</v>
      </c>
      <c r="IZ12" s="389"/>
      <c r="JE12" s="313">
        <v>600</v>
      </c>
      <c r="JF12" s="388">
        <f>ROUND(JF$5/3,-3)</f>
        <v>867000</v>
      </c>
      <c r="JG12" s="389"/>
      <c r="JL12" s="313">
        <v>600</v>
      </c>
      <c r="JM12" s="388">
        <f>ROUND(JM$5/3,-3)</f>
        <v>867000</v>
      </c>
      <c r="JN12" s="389"/>
      <c r="JS12" s="313">
        <v>600</v>
      </c>
      <c r="JT12" s="388">
        <f>ROUND(JT$5/3,-3)</f>
        <v>867000</v>
      </c>
      <c r="JU12" s="389"/>
      <c r="JZ12" s="313">
        <v>600</v>
      </c>
      <c r="KA12" s="388">
        <f>ROUND(KA$5/3,-3)</f>
        <v>867000</v>
      </c>
      <c r="KB12" s="389"/>
      <c r="KG12" s="313">
        <v>600</v>
      </c>
      <c r="KH12" s="388">
        <f>ROUND(KH$5/3,-3)</f>
        <v>700000</v>
      </c>
      <c r="KI12" s="389"/>
      <c r="KN12" s="313">
        <v>600</v>
      </c>
      <c r="KO12" s="388">
        <f>ROUND(KO$5/3,-3)</f>
        <v>720000</v>
      </c>
      <c r="KP12" s="389"/>
      <c r="KU12" s="313">
        <v>600</v>
      </c>
      <c r="KV12" s="388">
        <f>ROUND(KV$5/3,-3)</f>
        <v>933000</v>
      </c>
      <c r="KW12" s="389"/>
      <c r="LB12" s="313">
        <v>600</v>
      </c>
      <c r="LC12" s="388">
        <f>ROUND(LC$5/3,-3)</f>
        <v>867000</v>
      </c>
      <c r="LD12" s="389"/>
      <c r="LI12" s="313">
        <v>600</v>
      </c>
      <c r="LJ12" s="388">
        <f>ROUND(LJ$5/3,-3)</f>
        <v>733000</v>
      </c>
      <c r="LK12" s="389"/>
      <c r="LP12" s="313">
        <v>600</v>
      </c>
      <c r="LQ12" s="388">
        <f>ROUND(LQ$5/3,-3)</f>
        <v>867000</v>
      </c>
      <c r="LR12" s="389"/>
      <c r="LW12" s="313">
        <v>600</v>
      </c>
      <c r="LX12" s="388">
        <f>ROUND(LX$5/3,-3)</f>
        <v>867000</v>
      </c>
      <c r="LY12" s="389"/>
      <c r="MD12" s="313">
        <v>600</v>
      </c>
      <c r="ME12" s="388">
        <f>ROUND(ME$5/3,-3)</f>
        <v>867000</v>
      </c>
      <c r="MF12" s="389"/>
      <c r="MK12" s="313">
        <v>600</v>
      </c>
      <c r="ML12" s="388">
        <f>ROUND(ML$5/3,-3)</f>
        <v>867000</v>
      </c>
      <c r="MM12" s="389"/>
      <c r="MR12" s="313">
        <v>600</v>
      </c>
      <c r="MS12" s="388">
        <f>ROUND(MS$5/3,-3)</f>
        <v>867000</v>
      </c>
      <c r="MT12" s="389"/>
      <c r="MY12" s="313">
        <v>600</v>
      </c>
      <c r="MZ12" s="388">
        <f>ROUND(MZ$5/3,-3)</f>
        <v>867000</v>
      </c>
      <c r="NA12" s="389"/>
      <c r="NF12" s="313">
        <v>600</v>
      </c>
      <c r="NG12" s="388">
        <f>ROUND(NG$5/3,-3)</f>
        <v>867000</v>
      </c>
      <c r="NH12" s="389"/>
      <c r="NM12" s="313">
        <v>600</v>
      </c>
      <c r="NN12" s="388">
        <f>ROUND(NN$5/3,-3)</f>
        <v>867000</v>
      </c>
      <c r="NO12" s="389"/>
    </row>
    <row r="13" spans="1:383" s="196" customFormat="1" ht="16.05" customHeight="1" x14ac:dyDescent="0.3">
      <c r="A13" s="294"/>
      <c r="B13" s="308"/>
      <c r="C13" s="426" t="s">
        <v>60</v>
      </c>
      <c r="D13" s="339"/>
      <c r="F13" s="319" t="s">
        <v>692</v>
      </c>
      <c r="G13" s="420" t="s">
        <v>689</v>
      </c>
      <c r="H13" s="420"/>
      <c r="I13" s="420" t="s">
        <v>687</v>
      </c>
      <c r="J13" s="420"/>
      <c r="K13" s="249" t="s">
        <v>690</v>
      </c>
      <c r="M13" s="319" t="s">
        <v>692</v>
      </c>
      <c r="N13" s="420" t="s">
        <v>689</v>
      </c>
      <c r="O13" s="420"/>
      <c r="P13" s="420" t="s">
        <v>687</v>
      </c>
      <c r="Q13" s="420"/>
      <c r="R13" s="249" t="s">
        <v>690</v>
      </c>
      <c r="S13" s="265"/>
      <c r="T13" s="319" t="s">
        <v>692</v>
      </c>
      <c r="U13" s="394" t="s">
        <v>689</v>
      </c>
      <c r="V13" s="402"/>
      <c r="W13" s="394" t="s">
        <v>687</v>
      </c>
      <c r="X13" s="402"/>
      <c r="Y13" s="249" t="s">
        <v>690</v>
      </c>
      <c r="Z13" s="265"/>
      <c r="AA13" s="319" t="s">
        <v>692</v>
      </c>
      <c r="AB13" s="394" t="s">
        <v>689</v>
      </c>
      <c r="AC13" s="402"/>
      <c r="AD13" s="394" t="s">
        <v>687</v>
      </c>
      <c r="AE13" s="402"/>
      <c r="AF13" s="249" t="s">
        <v>690</v>
      </c>
      <c r="AG13" s="265"/>
      <c r="AH13" s="319" t="s">
        <v>692</v>
      </c>
      <c r="AI13" s="394" t="s">
        <v>689</v>
      </c>
      <c r="AJ13" s="402"/>
      <c r="AK13" s="394" t="s">
        <v>687</v>
      </c>
      <c r="AL13" s="402"/>
      <c r="AM13" s="249" t="s">
        <v>690</v>
      </c>
      <c r="AN13" s="265"/>
      <c r="AO13" s="319" t="s">
        <v>692</v>
      </c>
      <c r="AP13" s="394" t="s">
        <v>689</v>
      </c>
      <c r="AQ13" s="402"/>
      <c r="AR13" s="394" t="s">
        <v>687</v>
      </c>
      <c r="AS13" s="402"/>
      <c r="AT13" s="249" t="s">
        <v>690</v>
      </c>
      <c r="AU13" s="265"/>
      <c r="AV13" s="319" t="s">
        <v>692</v>
      </c>
      <c r="AW13" s="394" t="s">
        <v>689</v>
      </c>
      <c r="AX13" s="402"/>
      <c r="AY13" s="394" t="s">
        <v>687</v>
      </c>
      <c r="AZ13" s="402"/>
      <c r="BA13" s="249" t="s">
        <v>690</v>
      </c>
      <c r="BB13" s="265"/>
      <c r="BC13" s="319" t="s">
        <v>692</v>
      </c>
      <c r="BD13" s="394" t="s">
        <v>689</v>
      </c>
      <c r="BE13" s="402"/>
      <c r="BF13" s="394" t="s">
        <v>687</v>
      </c>
      <c r="BG13" s="402"/>
      <c r="BH13" s="249" t="s">
        <v>690</v>
      </c>
      <c r="BI13" s="265"/>
      <c r="BJ13" s="319" t="s">
        <v>692</v>
      </c>
      <c r="BK13" s="394" t="s">
        <v>689</v>
      </c>
      <c r="BL13" s="402"/>
      <c r="BM13" s="394" t="s">
        <v>687</v>
      </c>
      <c r="BN13" s="402"/>
      <c r="BO13" s="249" t="s">
        <v>690</v>
      </c>
      <c r="BP13" s="265"/>
      <c r="BQ13" s="319" t="s">
        <v>692</v>
      </c>
      <c r="BR13" s="394" t="s">
        <v>689</v>
      </c>
      <c r="BS13" s="402"/>
      <c r="BT13" s="394" t="s">
        <v>687</v>
      </c>
      <c r="BU13" s="402"/>
      <c r="BV13" s="249" t="s">
        <v>690</v>
      </c>
      <c r="BW13" s="265"/>
      <c r="BX13" s="319" t="s">
        <v>692</v>
      </c>
      <c r="BY13" s="394" t="s">
        <v>689</v>
      </c>
      <c r="BZ13" s="402"/>
      <c r="CA13" s="394" t="s">
        <v>687</v>
      </c>
      <c r="CB13" s="402"/>
      <c r="CC13" s="249" t="s">
        <v>690</v>
      </c>
      <c r="CD13" s="265"/>
      <c r="CE13" s="319" t="s">
        <v>692</v>
      </c>
      <c r="CF13" s="394" t="s">
        <v>689</v>
      </c>
      <c r="CG13" s="402"/>
      <c r="CH13" s="394" t="s">
        <v>687</v>
      </c>
      <c r="CI13" s="402"/>
      <c r="CJ13" s="249" t="s">
        <v>690</v>
      </c>
      <c r="CK13" s="265"/>
      <c r="CL13" s="319" t="s">
        <v>692</v>
      </c>
      <c r="CM13" s="394" t="s">
        <v>689</v>
      </c>
      <c r="CN13" s="402"/>
      <c r="CO13" s="394" t="s">
        <v>687</v>
      </c>
      <c r="CP13" s="402"/>
      <c r="CQ13" s="249" t="s">
        <v>690</v>
      </c>
      <c r="CR13" s="265"/>
      <c r="CS13" s="319" t="s">
        <v>692</v>
      </c>
      <c r="CT13" s="394" t="s">
        <v>689</v>
      </c>
      <c r="CU13" s="402"/>
      <c r="CV13" s="394" t="s">
        <v>687</v>
      </c>
      <c r="CW13" s="402"/>
      <c r="CX13" s="249" t="s">
        <v>690</v>
      </c>
      <c r="CY13" s="265"/>
      <c r="CZ13" s="319" t="s">
        <v>692</v>
      </c>
      <c r="DA13" s="394" t="s">
        <v>689</v>
      </c>
      <c r="DB13" s="402"/>
      <c r="DC13" s="394" t="s">
        <v>687</v>
      </c>
      <c r="DD13" s="402"/>
      <c r="DE13" s="249" t="s">
        <v>690</v>
      </c>
      <c r="DF13" s="265"/>
      <c r="DG13" s="319" t="s">
        <v>692</v>
      </c>
      <c r="DH13" s="394" t="s">
        <v>689</v>
      </c>
      <c r="DI13" s="402"/>
      <c r="DJ13" s="394" t="s">
        <v>687</v>
      </c>
      <c r="DK13" s="402"/>
      <c r="DL13" s="249" t="s">
        <v>690</v>
      </c>
      <c r="DM13" s="265"/>
      <c r="DN13" s="319" t="s">
        <v>692</v>
      </c>
      <c r="DO13" s="394" t="s">
        <v>689</v>
      </c>
      <c r="DP13" s="402"/>
      <c r="DQ13" s="394" t="s">
        <v>687</v>
      </c>
      <c r="DR13" s="402"/>
      <c r="DS13" s="249" t="s">
        <v>690</v>
      </c>
      <c r="DT13" s="265"/>
      <c r="DU13" s="319" t="s">
        <v>692</v>
      </c>
      <c r="DV13" s="394" t="s">
        <v>689</v>
      </c>
      <c r="DW13" s="402"/>
      <c r="DX13" s="394" t="s">
        <v>687</v>
      </c>
      <c r="DY13" s="402"/>
      <c r="DZ13" s="249" t="s">
        <v>690</v>
      </c>
      <c r="EA13" s="265"/>
      <c r="EB13" s="319" t="s">
        <v>692</v>
      </c>
      <c r="EC13" s="394" t="s">
        <v>689</v>
      </c>
      <c r="ED13" s="402"/>
      <c r="EE13" s="394" t="s">
        <v>687</v>
      </c>
      <c r="EF13" s="402"/>
      <c r="EG13" s="249" t="s">
        <v>690</v>
      </c>
      <c r="EH13" s="265"/>
      <c r="EI13" s="319" t="s">
        <v>692</v>
      </c>
      <c r="EJ13" s="394" t="s">
        <v>689</v>
      </c>
      <c r="EK13" s="402"/>
      <c r="EL13" s="394" t="s">
        <v>687</v>
      </c>
      <c r="EM13" s="402"/>
      <c r="EN13" s="249" t="s">
        <v>690</v>
      </c>
      <c r="EO13" s="265"/>
      <c r="EP13" s="319" t="s">
        <v>692</v>
      </c>
      <c r="EQ13" s="394" t="s">
        <v>689</v>
      </c>
      <c r="ER13" s="402"/>
      <c r="ES13" s="394" t="s">
        <v>687</v>
      </c>
      <c r="ET13" s="402"/>
      <c r="EU13" s="249" t="s">
        <v>690</v>
      </c>
      <c r="EV13" s="265"/>
      <c r="EW13" s="319" t="s">
        <v>692</v>
      </c>
      <c r="EX13" s="394" t="s">
        <v>689</v>
      </c>
      <c r="EY13" s="402"/>
      <c r="EZ13" s="394" t="s">
        <v>687</v>
      </c>
      <c r="FA13" s="402"/>
      <c r="FB13" s="249" t="s">
        <v>690</v>
      </c>
      <c r="FC13" s="265"/>
      <c r="FD13" s="319" t="s">
        <v>692</v>
      </c>
      <c r="FE13" s="394" t="s">
        <v>689</v>
      </c>
      <c r="FF13" s="402"/>
      <c r="FG13" s="394" t="s">
        <v>687</v>
      </c>
      <c r="FH13" s="402"/>
      <c r="FI13" s="249" t="s">
        <v>690</v>
      </c>
      <c r="FJ13" s="265"/>
      <c r="FK13" s="319" t="s">
        <v>692</v>
      </c>
      <c r="FL13" s="394" t="s">
        <v>689</v>
      </c>
      <c r="FM13" s="402"/>
      <c r="FN13" s="394" t="s">
        <v>687</v>
      </c>
      <c r="FO13" s="402"/>
      <c r="FP13" s="249" t="s">
        <v>690</v>
      </c>
      <c r="FQ13" s="265"/>
      <c r="FR13" s="319" t="s">
        <v>692</v>
      </c>
      <c r="FS13" s="394" t="s">
        <v>689</v>
      </c>
      <c r="FT13" s="402"/>
      <c r="FU13" s="394" t="s">
        <v>687</v>
      </c>
      <c r="FV13" s="402"/>
      <c r="FW13" s="249" t="s">
        <v>690</v>
      </c>
      <c r="FX13" s="265"/>
      <c r="FY13" s="319" t="s">
        <v>692</v>
      </c>
      <c r="FZ13" s="394" t="s">
        <v>689</v>
      </c>
      <c r="GA13" s="402"/>
      <c r="GB13" s="394" t="s">
        <v>687</v>
      </c>
      <c r="GC13" s="402"/>
      <c r="GD13" s="249" t="s">
        <v>690</v>
      </c>
      <c r="GE13" s="265"/>
      <c r="GF13" s="319" t="s">
        <v>692</v>
      </c>
      <c r="GG13" s="394" t="s">
        <v>689</v>
      </c>
      <c r="GH13" s="402"/>
      <c r="GI13" s="394" t="s">
        <v>687</v>
      </c>
      <c r="GJ13" s="402"/>
      <c r="GK13" s="249" t="s">
        <v>690</v>
      </c>
      <c r="GL13" s="265"/>
      <c r="GM13" s="319" t="s">
        <v>692</v>
      </c>
      <c r="GN13" s="394" t="s">
        <v>689</v>
      </c>
      <c r="GO13" s="402"/>
      <c r="GP13" s="394" t="s">
        <v>687</v>
      </c>
      <c r="GQ13" s="402"/>
      <c r="GR13" s="249" t="s">
        <v>690</v>
      </c>
      <c r="GS13" s="265"/>
      <c r="GT13" s="319" t="s">
        <v>692</v>
      </c>
      <c r="GU13" s="394" t="s">
        <v>689</v>
      </c>
      <c r="GV13" s="402"/>
      <c r="GW13" s="394" t="s">
        <v>687</v>
      </c>
      <c r="GX13" s="402"/>
      <c r="GY13" s="249" t="s">
        <v>690</v>
      </c>
      <c r="GZ13" s="283"/>
      <c r="HA13" s="319" t="s">
        <v>692</v>
      </c>
      <c r="HB13" s="394" t="s">
        <v>689</v>
      </c>
      <c r="HC13" s="402"/>
      <c r="HD13" s="394" t="s">
        <v>687</v>
      </c>
      <c r="HE13" s="402"/>
      <c r="HF13" s="249" t="s">
        <v>690</v>
      </c>
      <c r="HG13" s="265"/>
      <c r="HH13" s="319" t="s">
        <v>692</v>
      </c>
      <c r="HI13" s="394" t="s">
        <v>689</v>
      </c>
      <c r="HJ13" s="402"/>
      <c r="HK13" s="394" t="s">
        <v>687</v>
      </c>
      <c r="HL13" s="402"/>
      <c r="HM13" s="249" t="s">
        <v>690</v>
      </c>
      <c r="HN13" s="265"/>
      <c r="HO13" s="319" t="s">
        <v>692</v>
      </c>
      <c r="HP13" s="394" t="s">
        <v>689</v>
      </c>
      <c r="HQ13" s="402"/>
      <c r="HR13" s="394" t="s">
        <v>687</v>
      </c>
      <c r="HS13" s="402"/>
      <c r="HT13" s="249" t="s">
        <v>690</v>
      </c>
      <c r="HU13" s="265"/>
      <c r="HV13" s="319" t="s">
        <v>692</v>
      </c>
      <c r="HW13" s="394" t="s">
        <v>689</v>
      </c>
      <c r="HX13" s="402"/>
      <c r="HY13" s="394" t="s">
        <v>687</v>
      </c>
      <c r="HZ13" s="402"/>
      <c r="IA13" s="249" t="s">
        <v>690</v>
      </c>
      <c r="IB13" s="265"/>
      <c r="IC13" s="319" t="s">
        <v>692</v>
      </c>
      <c r="ID13" s="394" t="s">
        <v>689</v>
      </c>
      <c r="IE13" s="402"/>
      <c r="IF13" s="394" t="s">
        <v>687</v>
      </c>
      <c r="IG13" s="402"/>
      <c r="IH13" s="249" t="s">
        <v>690</v>
      </c>
      <c r="II13" s="265"/>
      <c r="IJ13" s="319" t="s">
        <v>692</v>
      </c>
      <c r="IK13" s="394" t="s">
        <v>689</v>
      </c>
      <c r="IL13" s="402"/>
      <c r="IM13" s="394" t="s">
        <v>687</v>
      </c>
      <c r="IN13" s="402"/>
      <c r="IO13" s="249" t="s">
        <v>690</v>
      </c>
      <c r="IP13" s="265"/>
      <c r="IQ13" s="319" t="s">
        <v>692</v>
      </c>
      <c r="IR13" s="394" t="s">
        <v>689</v>
      </c>
      <c r="IS13" s="402"/>
      <c r="IT13" s="394" t="s">
        <v>687</v>
      </c>
      <c r="IU13" s="402"/>
      <c r="IV13" s="249" t="s">
        <v>690</v>
      </c>
      <c r="IW13" s="265"/>
      <c r="IX13" s="319" t="s">
        <v>692</v>
      </c>
      <c r="IY13" s="394" t="s">
        <v>689</v>
      </c>
      <c r="IZ13" s="402"/>
      <c r="JA13" s="394" t="s">
        <v>687</v>
      </c>
      <c r="JB13" s="402"/>
      <c r="JC13" s="249" t="s">
        <v>690</v>
      </c>
      <c r="JD13" s="265"/>
      <c r="JE13" s="319" t="s">
        <v>692</v>
      </c>
      <c r="JF13" s="394" t="s">
        <v>689</v>
      </c>
      <c r="JG13" s="402"/>
      <c r="JH13" s="394" t="s">
        <v>687</v>
      </c>
      <c r="JI13" s="402"/>
      <c r="JJ13" s="249" t="s">
        <v>690</v>
      </c>
      <c r="JK13" s="265"/>
      <c r="JL13" s="319" t="s">
        <v>692</v>
      </c>
      <c r="JM13" s="394" t="s">
        <v>689</v>
      </c>
      <c r="JN13" s="402"/>
      <c r="JO13" s="394" t="s">
        <v>687</v>
      </c>
      <c r="JP13" s="402"/>
      <c r="JQ13" s="249" t="s">
        <v>690</v>
      </c>
      <c r="JR13" s="265"/>
      <c r="JS13" s="319" t="s">
        <v>692</v>
      </c>
      <c r="JT13" s="394" t="s">
        <v>689</v>
      </c>
      <c r="JU13" s="402"/>
      <c r="JV13" s="394" t="s">
        <v>687</v>
      </c>
      <c r="JW13" s="402"/>
      <c r="JX13" s="249" t="s">
        <v>690</v>
      </c>
      <c r="JY13" s="265"/>
      <c r="JZ13" s="319" t="s">
        <v>692</v>
      </c>
      <c r="KA13" s="394" t="s">
        <v>689</v>
      </c>
      <c r="KB13" s="402"/>
      <c r="KC13" s="394" t="s">
        <v>687</v>
      </c>
      <c r="KD13" s="402"/>
      <c r="KE13" s="249" t="s">
        <v>690</v>
      </c>
      <c r="KF13" s="265"/>
      <c r="KG13" s="319" t="s">
        <v>692</v>
      </c>
      <c r="KH13" s="394" t="s">
        <v>689</v>
      </c>
      <c r="KI13" s="402"/>
      <c r="KJ13" s="394" t="s">
        <v>687</v>
      </c>
      <c r="KK13" s="402"/>
      <c r="KL13" s="249" t="s">
        <v>690</v>
      </c>
      <c r="KM13" s="265"/>
      <c r="KN13" s="319" t="s">
        <v>692</v>
      </c>
      <c r="KO13" s="394" t="s">
        <v>689</v>
      </c>
      <c r="KP13" s="402"/>
      <c r="KQ13" s="394" t="s">
        <v>687</v>
      </c>
      <c r="KR13" s="402"/>
      <c r="KS13" s="249" t="s">
        <v>690</v>
      </c>
      <c r="KT13" s="265"/>
      <c r="KU13" s="319" t="s">
        <v>692</v>
      </c>
      <c r="KV13" s="394" t="s">
        <v>689</v>
      </c>
      <c r="KW13" s="402"/>
      <c r="KX13" s="394" t="s">
        <v>687</v>
      </c>
      <c r="KY13" s="402"/>
      <c r="KZ13" s="249" t="s">
        <v>690</v>
      </c>
      <c r="LA13" s="265"/>
      <c r="LB13" s="319" t="s">
        <v>692</v>
      </c>
      <c r="LC13" s="394" t="s">
        <v>689</v>
      </c>
      <c r="LD13" s="402"/>
      <c r="LE13" s="394" t="s">
        <v>687</v>
      </c>
      <c r="LF13" s="402"/>
      <c r="LG13" s="249" t="s">
        <v>690</v>
      </c>
      <c r="LH13" s="265"/>
      <c r="LI13" s="319" t="s">
        <v>692</v>
      </c>
      <c r="LJ13" s="394" t="s">
        <v>689</v>
      </c>
      <c r="LK13" s="402"/>
      <c r="LL13" s="394" t="s">
        <v>687</v>
      </c>
      <c r="LM13" s="402"/>
      <c r="LN13" s="249" t="s">
        <v>690</v>
      </c>
      <c r="LO13" s="265"/>
      <c r="LP13" s="319" t="s">
        <v>692</v>
      </c>
      <c r="LQ13" s="394" t="s">
        <v>689</v>
      </c>
      <c r="LR13" s="402"/>
      <c r="LS13" s="394" t="s">
        <v>687</v>
      </c>
      <c r="LT13" s="402"/>
      <c r="LU13" s="249" t="s">
        <v>690</v>
      </c>
      <c r="LV13" s="265"/>
      <c r="LW13" s="319" t="s">
        <v>692</v>
      </c>
      <c r="LX13" s="394" t="s">
        <v>689</v>
      </c>
      <c r="LY13" s="402"/>
      <c r="LZ13" s="394" t="s">
        <v>687</v>
      </c>
      <c r="MA13" s="402"/>
      <c r="MB13" s="249" t="s">
        <v>690</v>
      </c>
      <c r="MC13" s="265"/>
      <c r="MD13" s="319" t="s">
        <v>692</v>
      </c>
      <c r="ME13" s="394" t="s">
        <v>689</v>
      </c>
      <c r="MF13" s="402"/>
      <c r="MG13" s="394" t="s">
        <v>687</v>
      </c>
      <c r="MH13" s="402"/>
      <c r="MI13" s="249" t="s">
        <v>690</v>
      </c>
      <c r="MJ13" s="265"/>
      <c r="MK13" s="319" t="s">
        <v>692</v>
      </c>
      <c r="ML13" s="394" t="s">
        <v>689</v>
      </c>
      <c r="MM13" s="402"/>
      <c r="MN13" s="394" t="s">
        <v>687</v>
      </c>
      <c r="MO13" s="402"/>
      <c r="MP13" s="249" t="s">
        <v>690</v>
      </c>
      <c r="MQ13" s="265"/>
      <c r="MR13" s="319" t="s">
        <v>692</v>
      </c>
      <c r="MS13" s="394" t="s">
        <v>689</v>
      </c>
      <c r="MT13" s="402"/>
      <c r="MU13" s="394" t="s">
        <v>687</v>
      </c>
      <c r="MV13" s="402"/>
      <c r="MW13" s="249" t="s">
        <v>690</v>
      </c>
      <c r="MX13" s="265"/>
      <c r="MY13" s="319" t="s">
        <v>692</v>
      </c>
      <c r="MZ13" s="394" t="s">
        <v>689</v>
      </c>
      <c r="NA13" s="402"/>
      <c r="NB13" s="394" t="s">
        <v>687</v>
      </c>
      <c r="NC13" s="402"/>
      <c r="ND13" s="249" t="s">
        <v>690</v>
      </c>
      <c r="NE13" s="265"/>
      <c r="NF13" s="319" t="s">
        <v>692</v>
      </c>
      <c r="NG13" s="394" t="s">
        <v>689</v>
      </c>
      <c r="NH13" s="402"/>
      <c r="NI13" s="394" t="s">
        <v>687</v>
      </c>
      <c r="NJ13" s="402"/>
      <c r="NK13" s="249" t="s">
        <v>690</v>
      </c>
      <c r="NL13" s="265"/>
      <c r="NM13" s="319" t="s">
        <v>692</v>
      </c>
      <c r="NN13" s="394" t="s">
        <v>689</v>
      </c>
      <c r="NO13" s="402"/>
      <c r="NP13" s="394" t="s">
        <v>687</v>
      </c>
      <c r="NQ13" s="402"/>
      <c r="NR13" s="249" t="s">
        <v>690</v>
      </c>
      <c r="NS13" s="283"/>
    </row>
    <row r="14" spans="1:383" s="196" customFormat="1" ht="16.05" customHeight="1" x14ac:dyDescent="0.3">
      <c r="A14" s="294"/>
      <c r="B14" s="308"/>
      <c r="C14" s="427"/>
      <c r="D14" s="339"/>
      <c r="F14" s="322">
        <f>'Pilotage effectif PA'!N47</f>
        <v>37</v>
      </c>
      <c r="G14" s="403">
        <f>(G12/F12)*(1-0.4)</f>
        <v>867</v>
      </c>
      <c r="H14" s="404"/>
      <c r="I14" s="405">
        <f>'Pilotage effectif PA'!N47*35</f>
        <v>1295</v>
      </c>
      <c r="J14" s="406"/>
      <c r="K14" s="318">
        <f>IF(G14&lt;&gt;0,I14-G14,0)</f>
        <v>428</v>
      </c>
      <c r="L14" s="332">
        <f>K14/35</f>
        <v>12.228571428571428</v>
      </c>
      <c r="M14" s="322">
        <f>'Pilotage effectif PA'!U47</f>
        <v>37</v>
      </c>
      <c r="N14" s="403">
        <f>(N12/M12)*(1-0.4)</f>
        <v>867</v>
      </c>
      <c r="O14" s="404"/>
      <c r="P14" s="405">
        <f>'Pilotage effectif PA'!U47*35</f>
        <v>1295</v>
      </c>
      <c r="Q14" s="406"/>
      <c r="R14" s="318">
        <f>IF(N14&lt;&gt;0,P14-N14,0)</f>
        <v>428</v>
      </c>
      <c r="S14" s="332">
        <f>R14/35</f>
        <v>12.228571428571428</v>
      </c>
      <c r="T14" s="322">
        <f>'Pilotage effectif PA'!AB47</f>
        <v>35</v>
      </c>
      <c r="U14" s="403">
        <f>(U12/T12)*(1-0.4)</f>
        <v>1000</v>
      </c>
      <c r="V14" s="404"/>
      <c r="W14" s="405">
        <f>'Pilotage effectif PA'!AB47*42</f>
        <v>1470</v>
      </c>
      <c r="X14" s="406"/>
      <c r="Y14" s="318">
        <f>IF(U14&lt;&gt;0,W14-U14,0)</f>
        <v>470</v>
      </c>
      <c r="Z14" s="332">
        <f>Y14/35</f>
        <v>13.428571428571429</v>
      </c>
      <c r="AA14" s="322">
        <f>'Pilotage effectif PA'!AI47</f>
        <v>35</v>
      </c>
      <c r="AB14" s="403">
        <f>AB16/AA16</f>
        <v>816.90140845070425</v>
      </c>
      <c r="AC14" s="404"/>
      <c r="AD14" s="405">
        <f>'Pilotage effectif PA'!AI47*35</f>
        <v>1225</v>
      </c>
      <c r="AE14" s="406"/>
      <c r="AF14" s="318">
        <f>IF(AB14&lt;&gt;0,AD14-AB14,0)</f>
        <v>408.09859154929575</v>
      </c>
      <c r="AG14" s="332">
        <f>AF14/35</f>
        <v>11.659959758551308</v>
      </c>
      <c r="AH14" s="322">
        <f>'Pilotage effectif PA'!AP47</f>
        <v>35</v>
      </c>
      <c r="AI14" s="403">
        <f>IFERROR(AI16/AH16,0)</f>
        <v>816.90140845070425</v>
      </c>
      <c r="AJ14" s="404"/>
      <c r="AK14" s="405">
        <f>'Pilotage effectif PA'!AP47*35</f>
        <v>1225</v>
      </c>
      <c r="AL14" s="406"/>
      <c r="AM14" s="318">
        <f>IF(AI14&lt;&gt;0,AK14-AI14,0)</f>
        <v>408.09859154929575</v>
      </c>
      <c r="AN14" s="332">
        <f>AM14/35</f>
        <v>11.659959758551308</v>
      </c>
      <c r="AO14" s="342">
        <f>'Pilotage effectif PA'!AW47</f>
        <v>35</v>
      </c>
      <c r="AP14" s="403">
        <f>IFERROR(AP16/AO16,0)</f>
        <v>923.94366197183103</v>
      </c>
      <c r="AQ14" s="404"/>
      <c r="AR14" s="405">
        <f>'Pilotage effectif PA'!AW47*39</f>
        <v>1365</v>
      </c>
      <c r="AS14" s="406"/>
      <c r="AT14" s="318">
        <f>IF(AP14&lt;&gt;0,AR14-AP14,0)</f>
        <v>441.05633802816897</v>
      </c>
      <c r="AU14" s="332">
        <f>AT14/35</f>
        <v>12.601609657947686</v>
      </c>
      <c r="AV14" s="342">
        <f>'Pilotage effectif PA'!BD47</f>
        <v>33.799999999999997</v>
      </c>
      <c r="AW14" s="403">
        <f>IFERROR(AW16/AV16,0)</f>
        <v>904.53834115805932</v>
      </c>
      <c r="AX14" s="404"/>
      <c r="AY14" s="405">
        <f>'Pilotage effectif PA'!BD47*35</f>
        <v>1183</v>
      </c>
      <c r="AZ14" s="406"/>
      <c r="BA14" s="318">
        <f>IF(AW14&lt;&gt;0,AY14-AW14,0)</f>
        <v>278.46165884194068</v>
      </c>
      <c r="BB14" s="332">
        <f>BA14/35</f>
        <v>7.9560473954840196</v>
      </c>
      <c r="BC14" s="342">
        <f>'Pilotage effectif PA'!BK47</f>
        <v>34</v>
      </c>
      <c r="BD14" s="403">
        <f>IFERROR(BD16/BC16,0)</f>
        <v>872.23340040241453</v>
      </c>
      <c r="BE14" s="404"/>
      <c r="BF14" s="405">
        <f>'Pilotage effectif PA'!BK47*35</f>
        <v>1190</v>
      </c>
      <c r="BG14" s="406"/>
      <c r="BH14" s="318">
        <f>IF(BD14&lt;&gt;0,BF14-BD14,0)</f>
        <v>317.76659959758547</v>
      </c>
      <c r="BI14" s="332">
        <f>BH14/35</f>
        <v>9.0790457027881555</v>
      </c>
      <c r="BJ14" s="322">
        <f>'Pilotage effectif PA'!BR47</f>
        <v>37</v>
      </c>
      <c r="BK14" s="403">
        <f>IFERROR(BK16/BJ16,0)</f>
        <v>903.125</v>
      </c>
      <c r="BL14" s="404"/>
      <c r="BM14" s="405">
        <f>'Pilotage effectif PA'!BR47*35</f>
        <v>1295</v>
      </c>
      <c r="BN14" s="406"/>
      <c r="BO14" s="318">
        <f>IF(BK14&lt;&gt;0,BM14-BK14,0)</f>
        <v>391.875</v>
      </c>
      <c r="BP14" s="332">
        <f>BO14/35</f>
        <v>11.196428571428571</v>
      </c>
      <c r="BQ14" s="342">
        <f>'Pilotage effectif PA'!BY47</f>
        <v>36</v>
      </c>
      <c r="BR14" s="403">
        <f>IFERROR(BR16/BQ16,0)</f>
        <v>904.93827160493822</v>
      </c>
      <c r="BS14" s="404"/>
      <c r="BT14" s="405">
        <f>'Pilotage effectif PA'!BY47*35</f>
        <v>1260</v>
      </c>
      <c r="BU14" s="406"/>
      <c r="BV14" s="318">
        <f>IF(BR14&lt;&gt;0,BT14-BR14,0)</f>
        <v>355.06172839506178</v>
      </c>
      <c r="BW14" s="332">
        <f>BV14/35</f>
        <v>10.14462081128748</v>
      </c>
      <c r="BX14" s="322">
        <f>'Pilotage effectif PA'!CF47</f>
        <v>35</v>
      </c>
      <c r="BY14" s="403">
        <f>IFERROR(BY16/BX16,0)</f>
        <v>967.63392857142867</v>
      </c>
      <c r="BZ14" s="404"/>
      <c r="CA14" s="405">
        <f>'Pilotage effectif PA'!CF47*35</f>
        <v>1225</v>
      </c>
      <c r="CB14" s="406"/>
      <c r="CC14" s="318">
        <f>IF(BY14&lt;&gt;0,CA14-BY14,0)</f>
        <v>257.36607142857133</v>
      </c>
      <c r="CD14" s="332">
        <f>CC14/35</f>
        <v>7.3533163265306092</v>
      </c>
      <c r="CE14" s="322">
        <f>'Pilotage effectif PA'!CM47</f>
        <v>36</v>
      </c>
      <c r="CF14" s="403">
        <f>IFERROR(CF16/CE16,0)</f>
        <v>599.26874999999995</v>
      </c>
      <c r="CG14" s="404"/>
      <c r="CH14" s="405">
        <f>'Pilotage effectif PA'!CM47*35</f>
        <v>1260</v>
      </c>
      <c r="CI14" s="406"/>
      <c r="CJ14" s="318">
        <f>IF(CF14&lt;&gt;0,CH14-CF14,0)</f>
        <v>660.73125000000005</v>
      </c>
      <c r="CK14" s="332">
        <f>CJ14/35</f>
        <v>18.878035714285716</v>
      </c>
      <c r="CL14" s="342">
        <f>'Pilotage effectif PA'!CT47</f>
        <v>35</v>
      </c>
      <c r="CM14" s="403">
        <f>IFERROR(CM16/CL16,0)</f>
        <v>860.54590570719608</v>
      </c>
      <c r="CN14" s="404"/>
      <c r="CO14" s="405">
        <f>'Pilotage effectif PA'!CT47*35</f>
        <v>1225</v>
      </c>
      <c r="CP14" s="406"/>
      <c r="CQ14" s="318">
        <f>IF(CM14&lt;&gt;0,CO14-CM14,0)</f>
        <v>364.45409429280392</v>
      </c>
      <c r="CR14" s="332">
        <f>CQ14/35</f>
        <v>10.412974122651541</v>
      </c>
      <c r="CS14" s="342">
        <f>'Pilotage effectif PA'!DA47</f>
        <v>35</v>
      </c>
      <c r="CT14" s="403">
        <f>IFERROR(CT16/CS16,0)</f>
        <v>903.125</v>
      </c>
      <c r="CU14" s="404"/>
      <c r="CV14" s="405">
        <f>'Pilotage effectif PA'!DA47*35</f>
        <v>1225</v>
      </c>
      <c r="CW14" s="406"/>
      <c r="CX14" s="318">
        <f>IF(CT14&lt;&gt;0,CV14-CT14,0)</f>
        <v>321.875</v>
      </c>
      <c r="CY14" s="332">
        <f>CX14/35</f>
        <v>9.1964285714285712</v>
      </c>
      <c r="CZ14" s="342">
        <f>'Pilotage effectif PA'!DH47</f>
        <v>33</v>
      </c>
      <c r="DA14" s="403">
        <f>IFERROR(DA16/CZ16,0)</f>
        <v>934.26724137931035</v>
      </c>
      <c r="DB14" s="404"/>
      <c r="DC14" s="405">
        <f>'Pilotage effectif PA'!DH47*35</f>
        <v>1155</v>
      </c>
      <c r="DD14" s="406"/>
      <c r="DE14" s="318">
        <f>IF(DA14&lt;&gt;0,DC14-DA14,0)</f>
        <v>220.73275862068965</v>
      </c>
      <c r="DF14" s="332">
        <f>DE14/35</f>
        <v>6.306650246305419</v>
      </c>
      <c r="DG14" s="342">
        <f>'Pilotage effectif PA'!DO47</f>
        <v>30</v>
      </c>
      <c r="DH14" s="403">
        <f>IFERROR(DH16/DG16,0)</f>
        <v>860.54590570719608</v>
      </c>
      <c r="DI14" s="404"/>
      <c r="DJ14" s="405">
        <f>'Pilotage effectif PA'!DO47*35</f>
        <v>1050</v>
      </c>
      <c r="DK14" s="406"/>
      <c r="DL14" s="318">
        <f>IF(DH14&lt;&gt;0,DJ14-DH14,0)</f>
        <v>189.45409429280392</v>
      </c>
      <c r="DM14" s="332">
        <f>DL14/35</f>
        <v>5.4129741226515407</v>
      </c>
      <c r="DN14" s="342">
        <f>'Pilotage effectif PA'!DV47</f>
        <v>25.8</v>
      </c>
      <c r="DO14" s="403">
        <f>IFERROR(DO16/DN16,0)</f>
        <v>731.45245559038665</v>
      </c>
      <c r="DP14" s="404"/>
      <c r="DQ14" s="405">
        <f>'Pilotage effectif PA'!DV47*35</f>
        <v>903</v>
      </c>
      <c r="DR14" s="406"/>
      <c r="DS14" s="318">
        <f>IF(DO14&lt;&gt;0,DQ14-DO14,0)</f>
        <v>171.54754440961335</v>
      </c>
      <c r="DT14" s="332">
        <f>DS14/35</f>
        <v>4.9013584117032387</v>
      </c>
      <c r="DU14" s="342">
        <f>'Pilotage effectif PA'!EC47</f>
        <v>26.8</v>
      </c>
      <c r="DV14" s="403">
        <f>IFERROR(DV16/DU16,0)</f>
        <v>683.11195445920305</v>
      </c>
      <c r="DW14" s="404"/>
      <c r="DX14" s="405">
        <f>'Pilotage effectif PA'!EC49</f>
        <v>938</v>
      </c>
      <c r="DY14" s="406"/>
      <c r="DZ14" s="318">
        <f>IF(DV14&lt;&gt;0,DX14-DV14,0)</f>
        <v>254.88804554079695</v>
      </c>
      <c r="EA14" s="332">
        <f>DZ14/35</f>
        <v>7.2825155868799127</v>
      </c>
      <c r="EB14" s="322">
        <f>'Pilotage effectif PA'!EJ47</f>
        <v>29</v>
      </c>
      <c r="EC14" s="403">
        <f>IFERROR(EC16/EB16,0)</f>
        <v>928.35820895522386</v>
      </c>
      <c r="ED14" s="404"/>
      <c r="EE14" s="405">
        <f>'Pilotage effectif PA'!EJ47*35</f>
        <v>1015</v>
      </c>
      <c r="EF14" s="406"/>
      <c r="EG14" s="318">
        <f>IF(EC14&lt;&gt;0,EE14-EC14,0)</f>
        <v>86.641791044776141</v>
      </c>
      <c r="EH14" s="332">
        <f>EG14/35</f>
        <v>2.4754797441364613</v>
      </c>
      <c r="EI14" s="322">
        <f>'Pilotage effectif PA'!EQ47</f>
        <v>31.6</v>
      </c>
      <c r="EJ14" s="403">
        <f>IFERROR(EJ16/EI16,0)</f>
        <v>889.23076923076928</v>
      </c>
      <c r="EK14" s="404"/>
      <c r="EL14" s="405">
        <f>'Pilotage effectif PA'!EQ47*35</f>
        <v>1106</v>
      </c>
      <c r="EM14" s="406"/>
      <c r="EN14" s="318">
        <f>IF(EJ14&lt;&gt;0,EL14-EJ14,0)</f>
        <v>216.76923076923072</v>
      </c>
      <c r="EO14" s="332">
        <f>EN14/35</f>
        <v>6.1934065934065918</v>
      </c>
      <c r="EP14" s="342">
        <f>'Pilotage effectif PA'!EX47</f>
        <v>31</v>
      </c>
      <c r="EQ14" s="403">
        <f>IFERROR(EQ16/EP16,0)</f>
        <v>1009.6418732782369</v>
      </c>
      <c r="ER14" s="404"/>
      <c r="ES14" s="405">
        <f>'Pilotage effectif PA'!EX47*35</f>
        <v>1085</v>
      </c>
      <c r="ET14" s="406"/>
      <c r="EU14" s="318">
        <f>IF(EQ14&lt;&gt;0,ES14-EQ14,0)</f>
        <v>75.358126721763142</v>
      </c>
      <c r="EV14" s="332">
        <f>EU14/35</f>
        <v>2.1530893349075182</v>
      </c>
      <c r="EW14" s="342">
        <f>'Pilotage effectif PA'!FE47</f>
        <v>29</v>
      </c>
      <c r="EX14" s="403">
        <f>IFERROR(EX16/EW16,0)</f>
        <v>875.75757575757575</v>
      </c>
      <c r="EY14" s="404"/>
      <c r="EZ14" s="405">
        <f>'Pilotage effectif PA'!FE47*35</f>
        <v>1015</v>
      </c>
      <c r="FA14" s="406"/>
      <c r="FB14" s="318">
        <f>IF(EX14&lt;&gt;0,EZ14-EX14,0)</f>
        <v>139.24242424242425</v>
      </c>
      <c r="FC14" s="332">
        <f>FB14/35</f>
        <v>3.9783549783549788</v>
      </c>
      <c r="FD14" s="322">
        <f>'Pilotage effectif PA'!FL47</f>
        <v>33</v>
      </c>
      <c r="FE14" s="403">
        <f>IFERROR(FE16/FD16,0)</f>
        <v>909.09090909090912</v>
      </c>
      <c r="FF14" s="404"/>
      <c r="FG14" s="405">
        <f>'Pilotage effectif PA'!FL47*35</f>
        <v>1155</v>
      </c>
      <c r="FH14" s="406"/>
      <c r="FI14" s="318">
        <f>IF(FE14&lt;&gt;0,FG14-FE14,0)</f>
        <v>245.90909090909088</v>
      </c>
      <c r="FJ14" s="332">
        <f>FI14/35</f>
        <v>7.0259740259740253</v>
      </c>
      <c r="FK14" s="342">
        <f>'Pilotage effectif PA'!FS47</f>
        <v>25.8</v>
      </c>
      <c r="FL14" s="403">
        <f>IFERROR(FL16/FK16,0)</f>
        <v>937.5</v>
      </c>
      <c r="FM14" s="404"/>
      <c r="FN14" s="405">
        <f>'Pilotage effectif PA'!FS47*39</f>
        <v>1006.2</v>
      </c>
      <c r="FO14" s="406"/>
      <c r="FP14" s="318">
        <f>IF(FL14&lt;&gt;0,FN14-FL14,0)</f>
        <v>68.700000000000045</v>
      </c>
      <c r="FQ14" s="332">
        <f>FP14/35</f>
        <v>1.9628571428571442</v>
      </c>
      <c r="FR14" s="322">
        <f>'Pilotage effectif PA'!FZ47</f>
        <v>29</v>
      </c>
      <c r="FS14" s="403">
        <f>IFERROR(FS16/FR16,0)</f>
        <v>1010.10101010101</v>
      </c>
      <c r="FT14" s="404"/>
      <c r="FU14" s="405">
        <f>'Pilotage effectif PA'!FZ47*35</f>
        <v>1015</v>
      </c>
      <c r="FV14" s="406"/>
      <c r="FW14" s="318">
        <f>IF(FS14&lt;&gt;0,FU14-FS14,0)</f>
        <v>4.898989898989953</v>
      </c>
      <c r="FX14" s="332">
        <f>FW14/35</f>
        <v>0.13997113997114152</v>
      </c>
      <c r="FY14" s="322">
        <f>'Pilotage effectif PA'!GG47</f>
        <v>29</v>
      </c>
      <c r="FZ14" s="403">
        <f>IFERROR(FZ16/FY16,0)</f>
        <v>1041.6666666666665</v>
      </c>
      <c r="GA14" s="404"/>
      <c r="GB14" s="405">
        <f>'Pilotage effectif PA'!GG47*35</f>
        <v>1015</v>
      </c>
      <c r="GC14" s="406"/>
      <c r="GD14" s="318">
        <f>IF(FZ14&lt;&gt;0,GB14-FZ14,0)</f>
        <v>-26.666666666666515</v>
      </c>
      <c r="GE14" s="332">
        <f>GD14/35</f>
        <v>-0.76190476190475753</v>
      </c>
      <c r="GF14" s="322">
        <f>'Pilotage effectif PA'!GN47</f>
        <v>29</v>
      </c>
      <c r="GG14" s="403">
        <f>IFERROR(GG16/GF16,0)</f>
        <v>1041.6666666666665</v>
      </c>
      <c r="GH14" s="404"/>
      <c r="GI14" s="405">
        <f>'Pilotage effectif PA'!GN47*35</f>
        <v>1015</v>
      </c>
      <c r="GJ14" s="406"/>
      <c r="GK14" s="318">
        <f>IF(GG14&lt;&gt;0,GI14-GG14,0)</f>
        <v>-26.666666666666515</v>
      </c>
      <c r="GL14" s="332">
        <f>GK14/35</f>
        <v>-0.76190476190475753</v>
      </c>
      <c r="GM14" s="322">
        <f>'Pilotage effectif PA'!GU47</f>
        <v>28</v>
      </c>
      <c r="GN14" s="403">
        <f>IFERROR(GN16/GM16,0)</f>
        <v>1041.6666666666665</v>
      </c>
      <c r="GO14" s="404"/>
      <c r="GP14" s="405">
        <f>'Pilotage effectif PA'!GU47*35</f>
        <v>980</v>
      </c>
      <c r="GQ14" s="406"/>
      <c r="GR14" s="318">
        <f>IF(GN14&lt;&gt;0,GP14-GN14,0)</f>
        <v>-61.666666666666515</v>
      </c>
      <c r="GS14" s="332">
        <f>GR14/35</f>
        <v>-1.7619047619047576</v>
      </c>
      <c r="GT14" s="342">
        <f>'Pilotage effectif PA'!HB47</f>
        <v>24</v>
      </c>
      <c r="GU14" s="403">
        <f>IFERROR(GU16/GT16,0)</f>
        <v>903.125</v>
      </c>
      <c r="GV14" s="404"/>
      <c r="GW14" s="405">
        <f>'Pilotage effectif PA'!HB47*35</f>
        <v>840</v>
      </c>
      <c r="GX14" s="406"/>
      <c r="GY14" s="318">
        <f>IF(GU14&lt;&gt;0,GW14-GU14,0)</f>
        <v>-63.125</v>
      </c>
      <c r="GZ14" s="332">
        <f>GY14/35</f>
        <v>-1.8035714285714286</v>
      </c>
      <c r="HA14" s="322">
        <f>'Pilotage effectif PA'!HI47</f>
        <v>29</v>
      </c>
      <c r="HB14" s="403">
        <f>IFERROR(HB16/HA16,0)</f>
        <v>906.25</v>
      </c>
      <c r="HC14" s="404"/>
      <c r="HD14" s="405">
        <f>'Pilotage effectif PA'!HI47*35</f>
        <v>1015</v>
      </c>
      <c r="HE14" s="406"/>
      <c r="HF14" s="318">
        <f>IF(HB14&lt;&gt;0,HD14-HB14,0)</f>
        <v>108.75</v>
      </c>
      <c r="HG14" s="332">
        <f>HF14/35</f>
        <v>3.1071428571428572</v>
      </c>
      <c r="HH14" s="342">
        <f>'Pilotage effectif PA'!HP47</f>
        <v>23</v>
      </c>
      <c r="HI14" s="403">
        <f>IFERROR(HI16/HH16,0)</f>
        <v>1025</v>
      </c>
      <c r="HJ14" s="404"/>
      <c r="HK14" s="405">
        <f>'Pilotage effectif PA'!HP47*39</f>
        <v>897</v>
      </c>
      <c r="HL14" s="406"/>
      <c r="HM14" s="318">
        <f>IF(HI14&lt;&gt;0,HK14-HI14,0)</f>
        <v>-128</v>
      </c>
      <c r="HN14" s="332">
        <f>HM14/35</f>
        <v>-3.657142857142857</v>
      </c>
      <c r="HO14" s="342">
        <f>'Pilotage effectif PA'!HW47</f>
        <v>23</v>
      </c>
      <c r="HP14" s="403">
        <f>IFERROR(HP16/HO16,0)</f>
        <v>1041.6666666666665</v>
      </c>
      <c r="HQ14" s="404"/>
      <c r="HR14" s="405">
        <f>'Pilotage effectif PA'!HW47*35</f>
        <v>805</v>
      </c>
      <c r="HS14" s="406"/>
      <c r="HT14" s="318">
        <f>IF(HP14&lt;&gt;0,HR14-HP14,0)</f>
        <v>-236.66666666666652</v>
      </c>
      <c r="HU14" s="332">
        <f>HT14/35</f>
        <v>-6.7619047619047574</v>
      </c>
      <c r="HV14" s="342">
        <f>'Pilotage effectif PA'!ID47</f>
        <v>25</v>
      </c>
      <c r="HW14" s="403">
        <f>IFERROR(HW16/HV16,0)</f>
        <v>1041.6666666666665</v>
      </c>
      <c r="HX14" s="404"/>
      <c r="HY14" s="405">
        <f>'Pilotage effectif PA'!ID47*35</f>
        <v>875</v>
      </c>
      <c r="HZ14" s="406"/>
      <c r="IA14" s="318">
        <f>IF(HW14&lt;&gt;0,HY14-HW14,0)</f>
        <v>-166.66666666666652</v>
      </c>
      <c r="IB14" s="332">
        <f>IA14/35</f>
        <v>-4.7619047619047574</v>
      </c>
      <c r="IC14" s="322">
        <f>'Pilotage effectif PA'!IK47</f>
        <v>31</v>
      </c>
      <c r="ID14" s="403">
        <f>IFERROR(ID16/IC16,0)</f>
        <v>1041.6666666666665</v>
      </c>
      <c r="IE14" s="404"/>
      <c r="IF14" s="405">
        <f>'Pilotage effectif PA'!IK47*35</f>
        <v>1085</v>
      </c>
      <c r="IG14" s="406"/>
      <c r="IH14" s="318">
        <f>IF(ID14&lt;&gt;0,IF14-ID14,0)</f>
        <v>43.333333333333485</v>
      </c>
      <c r="II14" s="332">
        <f>IH14/35</f>
        <v>1.2380952380952424</v>
      </c>
      <c r="IJ14" s="342">
        <f>'Pilotage effectif PA'!IR47</f>
        <v>31</v>
      </c>
      <c r="IK14" s="403">
        <f>IFERROR(IK16/IJ16,0)</f>
        <v>814.44444444444446</v>
      </c>
      <c r="IL14" s="404"/>
      <c r="IM14" s="405">
        <f>'Pilotage effectif PA'!IR47*35</f>
        <v>1085</v>
      </c>
      <c r="IN14" s="406"/>
      <c r="IO14" s="318">
        <f>IF(IK14&lt;&gt;0,IM14-IK14,0)</f>
        <v>270.55555555555554</v>
      </c>
      <c r="IP14" s="332">
        <f>IO14/35</f>
        <v>7.7301587301587302</v>
      </c>
      <c r="IQ14" s="322">
        <f>'Pilotage effectif PA'!IY47</f>
        <v>31.6</v>
      </c>
      <c r="IR14" s="403">
        <f>IFERROR(IR16/IQ16,0)</f>
        <v>903.125</v>
      </c>
      <c r="IS14" s="404"/>
      <c r="IT14" s="405">
        <f>'Pilotage effectif PA'!IY47*35</f>
        <v>1106</v>
      </c>
      <c r="IU14" s="406"/>
      <c r="IV14" s="318">
        <f>IF(IR14&lt;&gt;0,IT14-IR14,0)</f>
        <v>202.875</v>
      </c>
      <c r="IW14" s="332">
        <f>IV14/35</f>
        <v>5.7964285714285717</v>
      </c>
      <c r="IX14" s="322">
        <f>'Pilotage effectif PA'!JF47</f>
        <v>32</v>
      </c>
      <c r="IY14" s="403">
        <f>IFERROR(IY16/IX16,0)</f>
        <v>599.26874999999995</v>
      </c>
      <c r="IZ14" s="404"/>
      <c r="JA14" s="405">
        <f>'Pilotage effectif PA'!JF47*35</f>
        <v>1120</v>
      </c>
      <c r="JB14" s="406"/>
      <c r="JC14" s="318">
        <f>IF(IY14&lt;&gt;0,JA14-IY14,0)</f>
        <v>520.73125000000005</v>
      </c>
      <c r="JD14" s="332">
        <f>JC14/35</f>
        <v>14.878035714285716</v>
      </c>
      <c r="JE14" s="342">
        <f>'Pilotage effectif PA'!JM47</f>
        <v>39</v>
      </c>
      <c r="JF14" s="403">
        <f>IFERROR(JF16/JE16,0)</f>
        <v>860.54590570719608</v>
      </c>
      <c r="JG14" s="404"/>
      <c r="JH14" s="405">
        <f>'Pilotage effectif PA'!JM47*35</f>
        <v>1365</v>
      </c>
      <c r="JI14" s="406"/>
      <c r="JJ14" s="318">
        <f>IF(JF14&lt;&gt;0,JH14-JF14,0)</f>
        <v>504.45409429280392</v>
      </c>
      <c r="JK14" s="332">
        <f>JJ14/35</f>
        <v>14.412974122651541</v>
      </c>
      <c r="JL14" s="342">
        <f>'Pilotage effectif PA'!JT47</f>
        <v>39</v>
      </c>
      <c r="JM14" s="403">
        <f>IFERROR(JM16/JL16,0)</f>
        <v>903.125</v>
      </c>
      <c r="JN14" s="404"/>
      <c r="JO14" s="405">
        <f>'Pilotage effectif PA'!JT47*35</f>
        <v>1365</v>
      </c>
      <c r="JP14" s="406"/>
      <c r="JQ14" s="318">
        <f>IF(JM14&lt;&gt;0,JO14-JM14,0)</f>
        <v>461.875</v>
      </c>
      <c r="JR14" s="332">
        <f>JQ14/35</f>
        <v>13.196428571428571</v>
      </c>
      <c r="JS14" s="342">
        <f>'Pilotage effectif PA'!KA47</f>
        <v>39</v>
      </c>
      <c r="JT14" s="403">
        <f>IFERROR(JT16/JS16,0)</f>
        <v>934.26724137931035</v>
      </c>
      <c r="JU14" s="404"/>
      <c r="JV14" s="405">
        <f>'Pilotage effectif PA'!KA47*35</f>
        <v>1365</v>
      </c>
      <c r="JW14" s="406"/>
      <c r="JX14" s="318">
        <f>IF(JT14&lt;&gt;0,JV14-JT14,0)</f>
        <v>430.73275862068965</v>
      </c>
      <c r="JY14" s="332">
        <f>JX14/35</f>
        <v>12.306650246305418</v>
      </c>
      <c r="JZ14" s="342">
        <f>'Pilotage effectif PA'!KH47</f>
        <v>39</v>
      </c>
      <c r="KA14" s="403">
        <f>IFERROR(KA16/JZ16,0)</f>
        <v>860.54590570719608</v>
      </c>
      <c r="KB14" s="404"/>
      <c r="KC14" s="405">
        <f>'Pilotage effectif PA'!KH47*35</f>
        <v>1365</v>
      </c>
      <c r="KD14" s="406"/>
      <c r="KE14" s="318">
        <f>IF(KA14&lt;&gt;0,KC14-KA14,0)</f>
        <v>504.45409429280392</v>
      </c>
      <c r="KF14" s="332">
        <f>KE14/35</f>
        <v>14.412974122651541</v>
      </c>
      <c r="KG14" s="342">
        <f>'Pilotage effectif PA'!KO47</f>
        <v>39</v>
      </c>
      <c r="KH14" s="403">
        <f>IFERROR(KH16/KG16,0)</f>
        <v>731.45245559038665</v>
      </c>
      <c r="KI14" s="404"/>
      <c r="KJ14" s="405">
        <f>'Pilotage effectif PA'!KO47*35</f>
        <v>1365</v>
      </c>
      <c r="KK14" s="406"/>
      <c r="KL14" s="318">
        <f>IF(KH14&lt;&gt;0,KJ14-KH14,0)</f>
        <v>633.54754440961335</v>
      </c>
      <c r="KM14" s="332">
        <f>KL14/35</f>
        <v>18.101358411703238</v>
      </c>
      <c r="KN14" s="342">
        <f>'Pilotage effectif PA'!KV47</f>
        <v>39</v>
      </c>
      <c r="KO14" s="403">
        <f>IFERROR(KO16/KN16,0)</f>
        <v>683.11195445920305</v>
      </c>
      <c r="KP14" s="404"/>
      <c r="KQ14" s="405">
        <f>'Pilotage effectif PA'!KV49</f>
        <v>1365</v>
      </c>
      <c r="KR14" s="406"/>
      <c r="KS14" s="318">
        <f>IF(KO14&lt;&gt;0,KQ14-KO14,0)</f>
        <v>681.88804554079695</v>
      </c>
      <c r="KT14" s="332">
        <f>KS14/35</f>
        <v>19.482515586879913</v>
      </c>
      <c r="KU14" s="322">
        <f>'Pilotage effectif PA'!LC47</f>
        <v>39</v>
      </c>
      <c r="KV14" s="403">
        <f>IFERROR(KV16/KU16,0)</f>
        <v>928.35820895522386</v>
      </c>
      <c r="KW14" s="404"/>
      <c r="KX14" s="405">
        <f>'Pilotage effectif PA'!LC47*35</f>
        <v>1365</v>
      </c>
      <c r="KY14" s="406"/>
      <c r="KZ14" s="318">
        <f>IF(KV14&lt;&gt;0,KX14-KV14,0)</f>
        <v>436.64179104477614</v>
      </c>
      <c r="LA14" s="332">
        <f>KZ14/35</f>
        <v>12.475479744136461</v>
      </c>
      <c r="LB14" s="322">
        <f>'Pilotage effectif PA'!LJ47</f>
        <v>39</v>
      </c>
      <c r="LC14" s="403">
        <f>IFERROR(LC16/LB16,0)</f>
        <v>889.23076923076928</v>
      </c>
      <c r="LD14" s="404"/>
      <c r="LE14" s="405">
        <f>'Pilotage effectif PA'!LJ47*35</f>
        <v>1365</v>
      </c>
      <c r="LF14" s="406"/>
      <c r="LG14" s="318">
        <f>IF(LC14&lt;&gt;0,LE14-LC14,0)</f>
        <v>475.76923076923072</v>
      </c>
      <c r="LH14" s="332">
        <f>LG14/35</f>
        <v>13.593406593406591</v>
      </c>
      <c r="LI14" s="342">
        <f>'Pilotage effectif PA'!LQ47</f>
        <v>39</v>
      </c>
      <c r="LJ14" s="403">
        <f>IFERROR(LJ16/LI16,0)</f>
        <v>1009.6418732782369</v>
      </c>
      <c r="LK14" s="404"/>
      <c r="LL14" s="405">
        <f>'Pilotage effectif PA'!LQ47*35</f>
        <v>1365</v>
      </c>
      <c r="LM14" s="406"/>
      <c r="LN14" s="318">
        <f>IF(LJ14&lt;&gt;0,LL14-LJ14,0)</f>
        <v>355.35812672176314</v>
      </c>
      <c r="LO14" s="332">
        <f>LN14/35</f>
        <v>10.153089334907518</v>
      </c>
      <c r="LP14" s="342">
        <f>'Pilotage effectif PA'!LX47</f>
        <v>39</v>
      </c>
      <c r="LQ14" s="403">
        <f>IFERROR(LQ16/LP16,0)</f>
        <v>875.75757575757575</v>
      </c>
      <c r="LR14" s="404"/>
      <c r="LS14" s="405">
        <f>'Pilotage effectif PA'!LX47*35</f>
        <v>1365</v>
      </c>
      <c r="LT14" s="406"/>
      <c r="LU14" s="318">
        <f>IF(LQ14&lt;&gt;0,LS14-LQ14,0)</f>
        <v>489.24242424242425</v>
      </c>
      <c r="LV14" s="332">
        <f>LU14/35</f>
        <v>13.978354978354979</v>
      </c>
      <c r="LW14" s="322">
        <f>'Pilotage effectif PA'!ME47</f>
        <v>39</v>
      </c>
      <c r="LX14" s="403">
        <f>IFERROR(LX16/LW16,0)</f>
        <v>825.71428571428567</v>
      </c>
      <c r="LY14" s="404"/>
      <c r="LZ14" s="405">
        <f>'Pilotage effectif PA'!ME47*35</f>
        <v>1365</v>
      </c>
      <c r="MA14" s="406"/>
      <c r="MB14" s="318">
        <f>IF(LX14&lt;&gt;0,LZ14-LX14,0)</f>
        <v>539.28571428571433</v>
      </c>
      <c r="MC14" s="332">
        <f>MB14/35</f>
        <v>15.408163265306124</v>
      </c>
      <c r="MD14" s="322">
        <f>'Pilotage effectif PA'!ML47</f>
        <v>39</v>
      </c>
      <c r="ME14" s="403">
        <f>IFERROR(ME16/MD16,0)</f>
        <v>825.71428571428567</v>
      </c>
      <c r="MF14" s="404"/>
      <c r="MG14" s="405">
        <f>'Pilotage effectif PA'!ML47*35</f>
        <v>1365</v>
      </c>
      <c r="MH14" s="406"/>
      <c r="MI14" s="318">
        <f>IF(ME14&lt;&gt;0,MG14-ME14,0)</f>
        <v>539.28571428571433</v>
      </c>
      <c r="MJ14" s="332">
        <f>MI14/35</f>
        <v>15.408163265306124</v>
      </c>
      <c r="MK14" s="322">
        <f>'Pilotage effectif PA'!MS47</f>
        <v>39</v>
      </c>
      <c r="ML14" s="403">
        <f>IFERROR(ML16/MK16,0)</f>
        <v>825.71428571428567</v>
      </c>
      <c r="MM14" s="404"/>
      <c r="MN14" s="405">
        <f>'Pilotage effectif PA'!MS47*35</f>
        <v>1365</v>
      </c>
      <c r="MO14" s="406"/>
      <c r="MP14" s="318">
        <f>IF(ML14&lt;&gt;0,MN14-ML14,0)</f>
        <v>539.28571428571433</v>
      </c>
      <c r="MQ14" s="332">
        <f>MP14/35</f>
        <v>15.408163265306124</v>
      </c>
      <c r="MR14" s="322">
        <f>'Pilotage effectif PA'!MZ47</f>
        <v>39</v>
      </c>
      <c r="MS14" s="403">
        <f>IFERROR(MS16/MR16,0)</f>
        <v>825.71428571428567</v>
      </c>
      <c r="MT14" s="404"/>
      <c r="MU14" s="405">
        <f>'Pilotage effectif PA'!MZ47*35</f>
        <v>1365</v>
      </c>
      <c r="MV14" s="406"/>
      <c r="MW14" s="318">
        <f>IF(MS14&lt;&gt;0,MU14-MS14,0)</f>
        <v>539.28571428571433</v>
      </c>
      <c r="MX14" s="332">
        <f>MW14/35</f>
        <v>15.408163265306124</v>
      </c>
      <c r="MY14" s="322">
        <f>'Pilotage effectif PA'!NG47</f>
        <v>39</v>
      </c>
      <c r="MZ14" s="403">
        <f>IFERROR(MZ16/MY16,0)</f>
        <v>825.71428571428567</v>
      </c>
      <c r="NA14" s="404"/>
      <c r="NB14" s="405">
        <f>'Pilotage effectif PA'!NG47*35</f>
        <v>1365</v>
      </c>
      <c r="NC14" s="406"/>
      <c r="ND14" s="318">
        <f>IF(MZ14&lt;&gt;0,NB14-MZ14,0)</f>
        <v>539.28571428571433</v>
      </c>
      <c r="NE14" s="332">
        <f>ND14/35</f>
        <v>15.408163265306124</v>
      </c>
      <c r="NF14" s="322">
        <f>'Pilotage effectif PA'!NN47</f>
        <v>39</v>
      </c>
      <c r="NG14" s="403">
        <f>IFERROR(NG16/NF16,0)</f>
        <v>825.71428571428567</v>
      </c>
      <c r="NH14" s="404"/>
      <c r="NI14" s="405">
        <f>'Pilotage effectif PA'!NN47*35</f>
        <v>1365</v>
      </c>
      <c r="NJ14" s="406"/>
      <c r="NK14" s="318">
        <f>IF(NG14&lt;&gt;0,NI14-NG14,0)</f>
        <v>539.28571428571433</v>
      </c>
      <c r="NL14" s="332">
        <f>NK14/35</f>
        <v>15.408163265306124</v>
      </c>
      <c r="NM14" s="322">
        <f>'Pilotage effectif PA'!NU42</f>
        <v>0</v>
      </c>
      <c r="NN14" s="403">
        <f>IFERROR(NN16/NM16,0)</f>
        <v>825.71428571428567</v>
      </c>
      <c r="NO14" s="404"/>
      <c r="NP14" s="405">
        <f>'Pilotage effectif PA'!NU42*35</f>
        <v>0</v>
      </c>
      <c r="NQ14" s="406"/>
      <c r="NR14" s="318">
        <f>IF(NN14&lt;&gt;0,NP14-NN14,0)</f>
        <v>-825.71428571428567</v>
      </c>
      <c r="NS14" s="332">
        <f>NR14/35</f>
        <v>-23.591836734693874</v>
      </c>
    </row>
    <row r="15" spans="1:383" s="196" customFormat="1" ht="16.05" customHeight="1" x14ac:dyDescent="0.3">
      <c r="A15" s="294"/>
      <c r="B15" s="308"/>
      <c r="C15" s="427"/>
      <c r="D15" s="339"/>
      <c r="F15" s="323" t="s">
        <v>688</v>
      </c>
      <c r="G15" s="416" t="s">
        <v>691</v>
      </c>
      <c r="H15" s="416"/>
      <c r="I15" s="416" t="s">
        <v>412</v>
      </c>
      <c r="J15" s="416"/>
      <c r="K15" s="252" t="s">
        <v>690</v>
      </c>
      <c r="L15" s="276"/>
      <c r="M15" s="323" t="s">
        <v>688</v>
      </c>
      <c r="N15" s="416" t="s">
        <v>691</v>
      </c>
      <c r="O15" s="416"/>
      <c r="P15" s="416" t="s">
        <v>412</v>
      </c>
      <c r="Q15" s="416"/>
      <c r="R15" s="252" t="s">
        <v>690</v>
      </c>
      <c r="S15" s="265"/>
      <c r="T15" s="323" t="s">
        <v>688</v>
      </c>
      <c r="U15" s="400" t="s">
        <v>691</v>
      </c>
      <c r="V15" s="401"/>
      <c r="W15" s="400" t="s">
        <v>412</v>
      </c>
      <c r="X15" s="401"/>
      <c r="Y15" s="252" t="s">
        <v>690</v>
      </c>
      <c r="Z15" s="265"/>
      <c r="AA15" s="323" t="s">
        <v>688</v>
      </c>
      <c r="AB15" s="400" t="s">
        <v>691</v>
      </c>
      <c r="AC15" s="401"/>
      <c r="AD15" s="400" t="s">
        <v>412</v>
      </c>
      <c r="AE15" s="401"/>
      <c r="AF15" s="252" t="s">
        <v>690</v>
      </c>
      <c r="AG15" s="265"/>
      <c r="AH15" s="323" t="s">
        <v>688</v>
      </c>
      <c r="AI15" s="400" t="s">
        <v>691</v>
      </c>
      <c r="AJ15" s="401"/>
      <c r="AK15" s="400" t="s">
        <v>412</v>
      </c>
      <c r="AL15" s="401"/>
      <c r="AM15" s="252" t="s">
        <v>690</v>
      </c>
      <c r="AN15" s="265"/>
      <c r="AO15" s="323" t="s">
        <v>688</v>
      </c>
      <c r="AP15" s="400" t="s">
        <v>691</v>
      </c>
      <c r="AQ15" s="401"/>
      <c r="AR15" s="400" t="s">
        <v>412</v>
      </c>
      <c r="AS15" s="401"/>
      <c r="AT15" s="252" t="s">
        <v>690</v>
      </c>
      <c r="AU15" s="265"/>
      <c r="AV15" s="323" t="s">
        <v>688</v>
      </c>
      <c r="AW15" s="400" t="s">
        <v>691</v>
      </c>
      <c r="AX15" s="401"/>
      <c r="AY15" s="400" t="s">
        <v>412</v>
      </c>
      <c r="AZ15" s="401"/>
      <c r="BA15" s="252" t="s">
        <v>690</v>
      </c>
      <c r="BB15" s="265"/>
      <c r="BC15" s="323" t="s">
        <v>688</v>
      </c>
      <c r="BD15" s="400" t="s">
        <v>691</v>
      </c>
      <c r="BE15" s="401"/>
      <c r="BF15" s="400" t="s">
        <v>412</v>
      </c>
      <c r="BG15" s="401"/>
      <c r="BH15" s="252" t="s">
        <v>690</v>
      </c>
      <c r="BI15" s="265"/>
      <c r="BJ15" s="323" t="s">
        <v>688</v>
      </c>
      <c r="BK15" s="400" t="s">
        <v>691</v>
      </c>
      <c r="BL15" s="401"/>
      <c r="BM15" s="400" t="s">
        <v>412</v>
      </c>
      <c r="BN15" s="401"/>
      <c r="BO15" s="252" t="s">
        <v>690</v>
      </c>
      <c r="BP15" s="265"/>
      <c r="BQ15" s="323" t="s">
        <v>688</v>
      </c>
      <c r="BR15" s="400" t="s">
        <v>691</v>
      </c>
      <c r="BS15" s="401"/>
      <c r="BT15" s="400" t="s">
        <v>412</v>
      </c>
      <c r="BU15" s="401"/>
      <c r="BV15" s="252" t="s">
        <v>690</v>
      </c>
      <c r="BW15" s="265"/>
      <c r="BX15" s="323" t="s">
        <v>688</v>
      </c>
      <c r="BY15" s="400" t="s">
        <v>691</v>
      </c>
      <c r="BZ15" s="401"/>
      <c r="CA15" s="400" t="s">
        <v>412</v>
      </c>
      <c r="CB15" s="401"/>
      <c r="CC15" s="252" t="s">
        <v>690</v>
      </c>
      <c r="CD15" s="265"/>
      <c r="CE15" s="323" t="s">
        <v>688</v>
      </c>
      <c r="CF15" s="400" t="s">
        <v>691</v>
      </c>
      <c r="CG15" s="401"/>
      <c r="CH15" s="400" t="s">
        <v>412</v>
      </c>
      <c r="CI15" s="401"/>
      <c r="CJ15" s="252" t="s">
        <v>690</v>
      </c>
      <c r="CK15" s="265"/>
      <c r="CL15" s="323" t="s">
        <v>688</v>
      </c>
      <c r="CM15" s="400" t="s">
        <v>691</v>
      </c>
      <c r="CN15" s="401"/>
      <c r="CO15" s="400" t="s">
        <v>412</v>
      </c>
      <c r="CP15" s="401"/>
      <c r="CQ15" s="252" t="s">
        <v>690</v>
      </c>
      <c r="CR15" s="265"/>
      <c r="CS15" s="323" t="s">
        <v>688</v>
      </c>
      <c r="CT15" s="400" t="s">
        <v>691</v>
      </c>
      <c r="CU15" s="401"/>
      <c r="CV15" s="400" t="s">
        <v>412</v>
      </c>
      <c r="CW15" s="401"/>
      <c r="CX15" s="252" t="s">
        <v>690</v>
      </c>
      <c r="CY15" s="265"/>
      <c r="CZ15" s="323" t="s">
        <v>688</v>
      </c>
      <c r="DA15" s="400" t="s">
        <v>691</v>
      </c>
      <c r="DB15" s="401"/>
      <c r="DC15" s="400" t="s">
        <v>412</v>
      </c>
      <c r="DD15" s="401"/>
      <c r="DE15" s="252" t="s">
        <v>690</v>
      </c>
      <c r="DF15" s="265"/>
      <c r="DG15" s="323" t="s">
        <v>688</v>
      </c>
      <c r="DH15" s="400" t="s">
        <v>691</v>
      </c>
      <c r="DI15" s="401"/>
      <c r="DJ15" s="400" t="s">
        <v>412</v>
      </c>
      <c r="DK15" s="401"/>
      <c r="DL15" s="252" t="s">
        <v>690</v>
      </c>
      <c r="DM15" s="265"/>
      <c r="DN15" s="323" t="s">
        <v>688</v>
      </c>
      <c r="DO15" s="400" t="s">
        <v>691</v>
      </c>
      <c r="DP15" s="401"/>
      <c r="DQ15" s="400" t="s">
        <v>412</v>
      </c>
      <c r="DR15" s="401"/>
      <c r="DS15" s="252" t="s">
        <v>690</v>
      </c>
      <c r="DT15" s="265"/>
      <c r="DU15" s="323" t="s">
        <v>688</v>
      </c>
      <c r="DV15" s="400" t="s">
        <v>691</v>
      </c>
      <c r="DW15" s="401"/>
      <c r="DX15" s="400" t="s">
        <v>412</v>
      </c>
      <c r="DY15" s="401"/>
      <c r="DZ15" s="252" t="s">
        <v>690</v>
      </c>
      <c r="EA15" s="265"/>
      <c r="EB15" s="323" t="s">
        <v>688</v>
      </c>
      <c r="EC15" s="400" t="s">
        <v>691</v>
      </c>
      <c r="ED15" s="401"/>
      <c r="EE15" s="400" t="s">
        <v>412</v>
      </c>
      <c r="EF15" s="401"/>
      <c r="EG15" s="252" t="s">
        <v>690</v>
      </c>
      <c r="EH15" s="265"/>
      <c r="EI15" s="323" t="s">
        <v>688</v>
      </c>
      <c r="EJ15" s="400" t="s">
        <v>691</v>
      </c>
      <c r="EK15" s="401"/>
      <c r="EL15" s="400" t="s">
        <v>412</v>
      </c>
      <c r="EM15" s="401"/>
      <c r="EN15" s="252" t="s">
        <v>690</v>
      </c>
      <c r="EO15" s="265"/>
      <c r="EP15" s="323" t="s">
        <v>688</v>
      </c>
      <c r="EQ15" s="400" t="s">
        <v>691</v>
      </c>
      <c r="ER15" s="401"/>
      <c r="ES15" s="400" t="s">
        <v>412</v>
      </c>
      <c r="ET15" s="401"/>
      <c r="EU15" s="252" t="s">
        <v>690</v>
      </c>
      <c r="EV15" s="265"/>
      <c r="EW15" s="323" t="s">
        <v>688</v>
      </c>
      <c r="EX15" s="400" t="s">
        <v>691</v>
      </c>
      <c r="EY15" s="401"/>
      <c r="EZ15" s="400" t="s">
        <v>412</v>
      </c>
      <c r="FA15" s="401"/>
      <c r="FB15" s="252" t="s">
        <v>690</v>
      </c>
      <c r="FC15" s="265"/>
      <c r="FD15" s="323" t="s">
        <v>688</v>
      </c>
      <c r="FE15" s="400" t="s">
        <v>691</v>
      </c>
      <c r="FF15" s="401"/>
      <c r="FG15" s="400" t="s">
        <v>412</v>
      </c>
      <c r="FH15" s="401"/>
      <c r="FI15" s="252" t="s">
        <v>690</v>
      </c>
      <c r="FJ15" s="265"/>
      <c r="FK15" s="323" t="s">
        <v>688</v>
      </c>
      <c r="FL15" s="400" t="s">
        <v>691</v>
      </c>
      <c r="FM15" s="401"/>
      <c r="FN15" s="400" t="s">
        <v>412</v>
      </c>
      <c r="FO15" s="401"/>
      <c r="FP15" s="252" t="s">
        <v>690</v>
      </c>
      <c r="FQ15" s="265"/>
      <c r="FR15" s="323" t="s">
        <v>688</v>
      </c>
      <c r="FS15" s="400" t="s">
        <v>691</v>
      </c>
      <c r="FT15" s="401"/>
      <c r="FU15" s="400" t="s">
        <v>412</v>
      </c>
      <c r="FV15" s="401"/>
      <c r="FW15" s="252" t="s">
        <v>690</v>
      </c>
      <c r="FX15" s="265"/>
      <c r="FY15" s="323" t="s">
        <v>688</v>
      </c>
      <c r="FZ15" s="400" t="s">
        <v>691</v>
      </c>
      <c r="GA15" s="401"/>
      <c r="GB15" s="400" t="s">
        <v>412</v>
      </c>
      <c r="GC15" s="401"/>
      <c r="GD15" s="252" t="s">
        <v>690</v>
      </c>
      <c r="GE15" s="265"/>
      <c r="GF15" s="323" t="s">
        <v>688</v>
      </c>
      <c r="GG15" s="400" t="s">
        <v>691</v>
      </c>
      <c r="GH15" s="401"/>
      <c r="GI15" s="400" t="s">
        <v>412</v>
      </c>
      <c r="GJ15" s="401"/>
      <c r="GK15" s="252" t="s">
        <v>690</v>
      </c>
      <c r="GL15" s="265"/>
      <c r="GM15" s="323" t="s">
        <v>688</v>
      </c>
      <c r="GN15" s="400" t="s">
        <v>691</v>
      </c>
      <c r="GO15" s="401"/>
      <c r="GP15" s="400" t="s">
        <v>412</v>
      </c>
      <c r="GQ15" s="401"/>
      <c r="GR15" s="252" t="s">
        <v>690</v>
      </c>
      <c r="GS15" s="265"/>
      <c r="GT15" s="323" t="s">
        <v>688</v>
      </c>
      <c r="GU15" s="400" t="s">
        <v>691</v>
      </c>
      <c r="GV15" s="401"/>
      <c r="GW15" s="400" t="s">
        <v>412</v>
      </c>
      <c r="GX15" s="401"/>
      <c r="GY15" s="252" t="s">
        <v>690</v>
      </c>
      <c r="GZ15" s="283"/>
      <c r="HA15" s="323" t="s">
        <v>688</v>
      </c>
      <c r="HB15" s="400" t="s">
        <v>691</v>
      </c>
      <c r="HC15" s="401"/>
      <c r="HD15" s="400" t="s">
        <v>412</v>
      </c>
      <c r="HE15" s="401"/>
      <c r="HF15" s="252" t="s">
        <v>690</v>
      </c>
      <c r="HG15" s="265"/>
      <c r="HH15" s="323" t="s">
        <v>688</v>
      </c>
      <c r="HI15" s="400" t="s">
        <v>691</v>
      </c>
      <c r="HJ15" s="401"/>
      <c r="HK15" s="400" t="s">
        <v>412</v>
      </c>
      <c r="HL15" s="401"/>
      <c r="HM15" s="252" t="s">
        <v>690</v>
      </c>
      <c r="HN15" s="265"/>
      <c r="HO15" s="323" t="s">
        <v>688</v>
      </c>
      <c r="HP15" s="400" t="s">
        <v>691</v>
      </c>
      <c r="HQ15" s="401"/>
      <c r="HR15" s="400" t="s">
        <v>412</v>
      </c>
      <c r="HS15" s="401"/>
      <c r="HT15" s="252" t="s">
        <v>690</v>
      </c>
      <c r="HU15" s="265"/>
      <c r="HV15" s="323" t="s">
        <v>688</v>
      </c>
      <c r="HW15" s="400" t="s">
        <v>691</v>
      </c>
      <c r="HX15" s="401"/>
      <c r="HY15" s="400" t="s">
        <v>412</v>
      </c>
      <c r="HZ15" s="401"/>
      <c r="IA15" s="252" t="s">
        <v>690</v>
      </c>
      <c r="IB15" s="265"/>
      <c r="IC15" s="323" t="s">
        <v>688</v>
      </c>
      <c r="ID15" s="400" t="s">
        <v>691</v>
      </c>
      <c r="IE15" s="401"/>
      <c r="IF15" s="400" t="s">
        <v>412</v>
      </c>
      <c r="IG15" s="401"/>
      <c r="IH15" s="252" t="s">
        <v>690</v>
      </c>
      <c r="II15" s="265"/>
      <c r="IJ15" s="323" t="s">
        <v>688</v>
      </c>
      <c r="IK15" s="400" t="s">
        <v>691</v>
      </c>
      <c r="IL15" s="401"/>
      <c r="IM15" s="400" t="s">
        <v>412</v>
      </c>
      <c r="IN15" s="401"/>
      <c r="IO15" s="252" t="s">
        <v>690</v>
      </c>
      <c r="IP15" s="265"/>
      <c r="IQ15" s="323" t="s">
        <v>688</v>
      </c>
      <c r="IR15" s="400" t="s">
        <v>691</v>
      </c>
      <c r="IS15" s="401"/>
      <c r="IT15" s="400" t="s">
        <v>412</v>
      </c>
      <c r="IU15" s="401"/>
      <c r="IV15" s="252" t="s">
        <v>690</v>
      </c>
      <c r="IW15" s="265"/>
      <c r="IX15" s="323" t="s">
        <v>688</v>
      </c>
      <c r="IY15" s="400" t="s">
        <v>691</v>
      </c>
      <c r="IZ15" s="401"/>
      <c r="JA15" s="400" t="s">
        <v>412</v>
      </c>
      <c r="JB15" s="401"/>
      <c r="JC15" s="252" t="s">
        <v>690</v>
      </c>
      <c r="JD15" s="265"/>
      <c r="JE15" s="323" t="s">
        <v>688</v>
      </c>
      <c r="JF15" s="400" t="s">
        <v>691</v>
      </c>
      <c r="JG15" s="401"/>
      <c r="JH15" s="400" t="s">
        <v>412</v>
      </c>
      <c r="JI15" s="401"/>
      <c r="JJ15" s="252" t="s">
        <v>690</v>
      </c>
      <c r="JK15" s="265"/>
      <c r="JL15" s="323" t="s">
        <v>688</v>
      </c>
      <c r="JM15" s="400" t="s">
        <v>691</v>
      </c>
      <c r="JN15" s="401"/>
      <c r="JO15" s="400" t="s">
        <v>412</v>
      </c>
      <c r="JP15" s="401"/>
      <c r="JQ15" s="252" t="s">
        <v>690</v>
      </c>
      <c r="JR15" s="265"/>
      <c r="JS15" s="323" t="s">
        <v>688</v>
      </c>
      <c r="JT15" s="400" t="s">
        <v>691</v>
      </c>
      <c r="JU15" s="401"/>
      <c r="JV15" s="400" t="s">
        <v>412</v>
      </c>
      <c r="JW15" s="401"/>
      <c r="JX15" s="252" t="s">
        <v>690</v>
      </c>
      <c r="JY15" s="265"/>
      <c r="JZ15" s="323" t="s">
        <v>688</v>
      </c>
      <c r="KA15" s="400" t="s">
        <v>691</v>
      </c>
      <c r="KB15" s="401"/>
      <c r="KC15" s="400" t="s">
        <v>412</v>
      </c>
      <c r="KD15" s="401"/>
      <c r="KE15" s="252" t="s">
        <v>690</v>
      </c>
      <c r="KF15" s="265"/>
      <c r="KG15" s="323" t="s">
        <v>688</v>
      </c>
      <c r="KH15" s="400" t="s">
        <v>691</v>
      </c>
      <c r="KI15" s="401"/>
      <c r="KJ15" s="400" t="s">
        <v>412</v>
      </c>
      <c r="KK15" s="401"/>
      <c r="KL15" s="252" t="s">
        <v>690</v>
      </c>
      <c r="KM15" s="265"/>
      <c r="KN15" s="323" t="s">
        <v>688</v>
      </c>
      <c r="KO15" s="400" t="s">
        <v>691</v>
      </c>
      <c r="KP15" s="401"/>
      <c r="KQ15" s="400" t="s">
        <v>412</v>
      </c>
      <c r="KR15" s="401"/>
      <c r="KS15" s="252" t="s">
        <v>690</v>
      </c>
      <c r="KT15" s="265"/>
      <c r="KU15" s="323" t="s">
        <v>688</v>
      </c>
      <c r="KV15" s="400" t="s">
        <v>691</v>
      </c>
      <c r="KW15" s="401"/>
      <c r="KX15" s="400" t="s">
        <v>412</v>
      </c>
      <c r="KY15" s="401"/>
      <c r="KZ15" s="252" t="s">
        <v>690</v>
      </c>
      <c r="LA15" s="265"/>
      <c r="LB15" s="323" t="s">
        <v>688</v>
      </c>
      <c r="LC15" s="400" t="s">
        <v>691</v>
      </c>
      <c r="LD15" s="401"/>
      <c r="LE15" s="400" t="s">
        <v>412</v>
      </c>
      <c r="LF15" s="401"/>
      <c r="LG15" s="252" t="s">
        <v>690</v>
      </c>
      <c r="LH15" s="265"/>
      <c r="LI15" s="323" t="s">
        <v>688</v>
      </c>
      <c r="LJ15" s="400" t="s">
        <v>691</v>
      </c>
      <c r="LK15" s="401"/>
      <c r="LL15" s="400" t="s">
        <v>412</v>
      </c>
      <c r="LM15" s="401"/>
      <c r="LN15" s="252" t="s">
        <v>690</v>
      </c>
      <c r="LO15" s="265"/>
      <c r="LP15" s="323" t="s">
        <v>688</v>
      </c>
      <c r="LQ15" s="400" t="s">
        <v>691</v>
      </c>
      <c r="LR15" s="401"/>
      <c r="LS15" s="400" t="s">
        <v>412</v>
      </c>
      <c r="LT15" s="401"/>
      <c r="LU15" s="252" t="s">
        <v>690</v>
      </c>
      <c r="LV15" s="265"/>
      <c r="LW15" s="323" t="s">
        <v>688</v>
      </c>
      <c r="LX15" s="400" t="s">
        <v>691</v>
      </c>
      <c r="LY15" s="401"/>
      <c r="LZ15" s="400" t="s">
        <v>412</v>
      </c>
      <c r="MA15" s="401"/>
      <c r="MB15" s="252" t="s">
        <v>690</v>
      </c>
      <c r="MC15" s="265"/>
      <c r="MD15" s="323" t="s">
        <v>688</v>
      </c>
      <c r="ME15" s="400" t="s">
        <v>691</v>
      </c>
      <c r="MF15" s="401"/>
      <c r="MG15" s="400" t="s">
        <v>412</v>
      </c>
      <c r="MH15" s="401"/>
      <c r="MI15" s="252" t="s">
        <v>690</v>
      </c>
      <c r="MJ15" s="265"/>
      <c r="MK15" s="323" t="s">
        <v>688</v>
      </c>
      <c r="ML15" s="400" t="s">
        <v>691</v>
      </c>
      <c r="MM15" s="401"/>
      <c r="MN15" s="400" t="s">
        <v>412</v>
      </c>
      <c r="MO15" s="401"/>
      <c r="MP15" s="252" t="s">
        <v>690</v>
      </c>
      <c r="MQ15" s="265"/>
      <c r="MR15" s="323" t="s">
        <v>688</v>
      </c>
      <c r="MS15" s="400" t="s">
        <v>691</v>
      </c>
      <c r="MT15" s="401"/>
      <c r="MU15" s="400" t="s">
        <v>412</v>
      </c>
      <c r="MV15" s="401"/>
      <c r="MW15" s="252" t="s">
        <v>690</v>
      </c>
      <c r="MX15" s="265"/>
      <c r="MY15" s="323" t="s">
        <v>688</v>
      </c>
      <c r="MZ15" s="400" t="s">
        <v>691</v>
      </c>
      <c r="NA15" s="401"/>
      <c r="NB15" s="400" t="s">
        <v>412</v>
      </c>
      <c r="NC15" s="401"/>
      <c r="ND15" s="252" t="s">
        <v>690</v>
      </c>
      <c r="NE15" s="265"/>
      <c r="NF15" s="323" t="s">
        <v>688</v>
      </c>
      <c r="NG15" s="400" t="s">
        <v>691</v>
      </c>
      <c r="NH15" s="401"/>
      <c r="NI15" s="400" t="s">
        <v>412</v>
      </c>
      <c r="NJ15" s="401"/>
      <c r="NK15" s="252" t="s">
        <v>690</v>
      </c>
      <c r="NL15" s="265"/>
      <c r="NM15" s="323" t="s">
        <v>688</v>
      </c>
      <c r="NN15" s="400" t="s">
        <v>691</v>
      </c>
      <c r="NO15" s="401"/>
      <c r="NP15" s="400" t="s">
        <v>412</v>
      </c>
      <c r="NQ15" s="401"/>
      <c r="NR15" s="252" t="s">
        <v>690</v>
      </c>
      <c r="NS15" s="283"/>
    </row>
    <row r="16" spans="1:383" s="196" customFormat="1" ht="16.05" customHeight="1" thickBot="1" x14ac:dyDescent="0.35">
      <c r="A16" s="294"/>
      <c r="B16" s="308"/>
      <c r="C16" s="428"/>
      <c r="D16" s="339"/>
      <c r="F16" s="324">
        <v>330</v>
      </c>
      <c r="G16" s="414"/>
      <c r="H16" s="414"/>
      <c r="I16" s="415">
        <f>I14*F16</f>
        <v>427350</v>
      </c>
      <c r="J16" s="415"/>
      <c r="K16" s="321">
        <f>IF(G16&lt;&gt;0,I16-G16,0)</f>
        <v>0</v>
      </c>
      <c r="L16" s="276"/>
      <c r="M16" s="324">
        <v>250</v>
      </c>
      <c r="N16" s="414"/>
      <c r="O16" s="414"/>
      <c r="P16" s="415">
        <f>P14*M16</f>
        <v>323750</v>
      </c>
      <c r="Q16" s="415"/>
      <c r="R16" s="321">
        <f>IF(N16&lt;&gt;0,P16-N16,0)</f>
        <v>0</v>
      </c>
      <c r="S16" s="265"/>
      <c r="T16" s="324">
        <v>355</v>
      </c>
      <c r="U16" s="396"/>
      <c r="V16" s="397"/>
      <c r="W16" s="398">
        <f>W14*T16</f>
        <v>521850</v>
      </c>
      <c r="X16" s="399"/>
      <c r="Y16" s="321">
        <f>IF(U16&lt;&gt;0,W16-U16,0)</f>
        <v>0</v>
      </c>
      <c r="Z16" s="265"/>
      <c r="AA16" s="324">
        <v>355</v>
      </c>
      <c r="AB16" s="396">
        <v>290000</v>
      </c>
      <c r="AC16" s="397"/>
      <c r="AD16" s="398">
        <f>AD14*AA16</f>
        <v>434875</v>
      </c>
      <c r="AE16" s="399"/>
      <c r="AF16" s="321">
        <f>IF(AB16&lt;&gt;0,AD16-AB16,0)</f>
        <v>144875</v>
      </c>
      <c r="AG16" s="265"/>
      <c r="AH16" s="324">
        <v>355</v>
      </c>
      <c r="AI16" s="396">
        <v>290000</v>
      </c>
      <c r="AJ16" s="397"/>
      <c r="AK16" s="398">
        <f>AK14*AH16</f>
        <v>434875</v>
      </c>
      <c r="AL16" s="399"/>
      <c r="AM16" s="321">
        <f>IF(AI16&lt;&gt;0,AK16-AI16,0)</f>
        <v>144875</v>
      </c>
      <c r="AN16" s="265"/>
      <c r="AO16" s="324">
        <v>355</v>
      </c>
      <c r="AP16" s="396">
        <v>328000</v>
      </c>
      <c r="AQ16" s="397"/>
      <c r="AR16" s="398">
        <f>AR14*AO16</f>
        <v>484575</v>
      </c>
      <c r="AS16" s="399"/>
      <c r="AT16" s="321">
        <f>IF(AP16&lt;&gt;0,AR16-AP16,0)</f>
        <v>156575</v>
      </c>
      <c r="AU16" s="265"/>
      <c r="AV16" s="324">
        <v>355</v>
      </c>
      <c r="AW16" s="396">
        <f>AW12/AZ5</f>
        <v>321111.11111111107</v>
      </c>
      <c r="AX16" s="397"/>
      <c r="AY16" s="398">
        <f>AY14*AV16</f>
        <v>419965</v>
      </c>
      <c r="AZ16" s="399"/>
      <c r="BA16" s="321">
        <f>IF(AW16&lt;&gt;0,AY16-AW16,0)</f>
        <v>98853.888888888934</v>
      </c>
      <c r="BB16" s="265"/>
      <c r="BC16" s="324">
        <v>355</v>
      </c>
      <c r="BD16" s="396">
        <f>BD12/BG5</f>
        <v>309642.85714285716</v>
      </c>
      <c r="BE16" s="397"/>
      <c r="BF16" s="398">
        <f>BF14*BC16</f>
        <v>422450</v>
      </c>
      <c r="BG16" s="399"/>
      <c r="BH16" s="321">
        <f>IF(BD16&lt;&gt;0,BF16-BD16,0)</f>
        <v>112807.14285714284</v>
      </c>
      <c r="BI16" s="265"/>
      <c r="BJ16" s="324">
        <v>300</v>
      </c>
      <c r="BK16" s="396">
        <f>BK12/BN5</f>
        <v>270937.5</v>
      </c>
      <c r="BL16" s="397"/>
      <c r="BM16" s="398">
        <f>BM14*BJ16</f>
        <v>388500</v>
      </c>
      <c r="BN16" s="399"/>
      <c r="BO16" s="321">
        <f>IF(BK16&lt;&gt;0,BM16-BK16,0)</f>
        <v>117562.5</v>
      </c>
      <c r="BP16" s="265"/>
      <c r="BQ16" s="324">
        <v>300</v>
      </c>
      <c r="BR16" s="396">
        <f>BR12/BU5</f>
        <v>271481.48148148146</v>
      </c>
      <c r="BS16" s="397"/>
      <c r="BT16" s="398">
        <f>BT14*BQ16</f>
        <v>378000</v>
      </c>
      <c r="BU16" s="399"/>
      <c r="BV16" s="321">
        <f>IF(BR16&lt;&gt;0,BT16-BR16,0)</f>
        <v>106518.51851851854</v>
      </c>
      <c r="BW16" s="265"/>
      <c r="BX16" s="324">
        <v>320</v>
      </c>
      <c r="BY16" s="396">
        <f>BY12/CB5</f>
        <v>309642.85714285716</v>
      </c>
      <c r="BZ16" s="397"/>
      <c r="CA16" s="398">
        <f>CA14*BX16</f>
        <v>392000</v>
      </c>
      <c r="CB16" s="399"/>
      <c r="CC16" s="321">
        <f>IF(BY16&lt;&gt;0,CA16-BY16,0)</f>
        <v>82357.142857142841</v>
      </c>
      <c r="CD16" s="265"/>
      <c r="CE16" s="324">
        <v>320</v>
      </c>
      <c r="CF16" s="396">
        <v>191766</v>
      </c>
      <c r="CG16" s="397"/>
      <c r="CH16" s="398">
        <f>CH14*CE16</f>
        <v>403200</v>
      </c>
      <c r="CI16" s="399"/>
      <c r="CJ16" s="321">
        <f>IF(CF16&lt;&gt;0,CH16-CF16,0)</f>
        <v>211434</v>
      </c>
      <c r="CK16" s="265"/>
      <c r="CL16" s="324">
        <v>325</v>
      </c>
      <c r="CM16" s="396">
        <f>CM12/CP5</f>
        <v>279677.41935483873</v>
      </c>
      <c r="CN16" s="397"/>
      <c r="CO16" s="398">
        <f>CO14*CL16</f>
        <v>398125</v>
      </c>
      <c r="CP16" s="399"/>
      <c r="CQ16" s="321">
        <f>IF(CM16&lt;&gt;0,CO16-CM16,0)</f>
        <v>118447.58064516127</v>
      </c>
      <c r="CR16" s="265"/>
      <c r="CS16" s="324">
        <v>320</v>
      </c>
      <c r="CT16" s="396">
        <f>CT12/CW5</f>
        <v>289000</v>
      </c>
      <c r="CU16" s="397"/>
      <c r="CV16" s="398">
        <f>CV14*CS16</f>
        <v>392000</v>
      </c>
      <c r="CW16" s="399"/>
      <c r="CX16" s="321">
        <f>IF(CT16&lt;&gt;0,CV16-CT16,0)</f>
        <v>103000</v>
      </c>
      <c r="CY16" s="265"/>
      <c r="CZ16" s="324">
        <v>320</v>
      </c>
      <c r="DA16" s="396">
        <f>DA12/DD5</f>
        <v>298965.5172413793</v>
      </c>
      <c r="DB16" s="397"/>
      <c r="DC16" s="398">
        <f>DC14*CZ16</f>
        <v>369600</v>
      </c>
      <c r="DD16" s="399"/>
      <c r="DE16" s="321">
        <f>IF(DA16&lt;&gt;0,DC16-DA16,0)</f>
        <v>70634.482758620696</v>
      </c>
      <c r="DF16" s="265"/>
      <c r="DG16" s="324">
        <v>325</v>
      </c>
      <c r="DH16" s="396">
        <f>DH12/DK5</f>
        <v>279677.41935483873</v>
      </c>
      <c r="DI16" s="397"/>
      <c r="DJ16" s="398">
        <f>DJ14*DG16</f>
        <v>341250</v>
      </c>
      <c r="DK16" s="399"/>
      <c r="DL16" s="321">
        <f>IF(DH16&lt;&gt;0,DJ16-DH16,0)</f>
        <v>61572.580645161273</v>
      </c>
      <c r="DM16" s="265"/>
      <c r="DN16" s="324">
        <v>330</v>
      </c>
      <c r="DO16" s="396">
        <f>DO12/DR5</f>
        <v>241379.31034482759</v>
      </c>
      <c r="DP16" s="397"/>
      <c r="DQ16" s="398">
        <f>DQ14*DN16</f>
        <v>297990</v>
      </c>
      <c r="DR16" s="399"/>
      <c r="DS16" s="321">
        <f>IF(DO16&lt;&gt;0,DQ16-DO16,0)</f>
        <v>56610.689655172406</v>
      </c>
      <c r="DT16" s="265"/>
      <c r="DU16" s="324">
        <v>340</v>
      </c>
      <c r="DV16" s="396">
        <f>DV12/DY5</f>
        <v>232258.06451612903</v>
      </c>
      <c r="DW16" s="397"/>
      <c r="DX16" s="398">
        <f>DX14*DU16</f>
        <v>318920</v>
      </c>
      <c r="DY16" s="399"/>
      <c r="DZ16" s="321">
        <f>IF(DV16&lt;&gt;0,DX16-DV16,0)</f>
        <v>86661.93548387097</v>
      </c>
      <c r="EA16" s="265"/>
      <c r="EB16" s="324">
        <v>335</v>
      </c>
      <c r="EC16" s="396">
        <f>EC12/EF5</f>
        <v>311000</v>
      </c>
      <c r="ED16" s="397"/>
      <c r="EE16" s="398">
        <f>EE14*EB16</f>
        <v>340025</v>
      </c>
      <c r="EF16" s="399"/>
      <c r="EG16" s="321">
        <f>IF(EC16&lt;&gt;0,EE16-EC16,0)</f>
        <v>29025</v>
      </c>
      <c r="EH16" s="265"/>
      <c r="EI16" s="324">
        <v>325</v>
      </c>
      <c r="EJ16" s="396">
        <f>EJ12/EM5</f>
        <v>289000</v>
      </c>
      <c r="EK16" s="397"/>
      <c r="EL16" s="398">
        <f>EL14*EI16</f>
        <v>359450</v>
      </c>
      <c r="EM16" s="399"/>
      <c r="EN16" s="321">
        <f>IF(EJ16&lt;&gt;0,EL16-EJ16,0)</f>
        <v>70450</v>
      </c>
      <c r="EO16" s="265"/>
      <c r="EP16" s="324">
        <v>330</v>
      </c>
      <c r="EQ16" s="396">
        <f>EQ12/ET5</f>
        <v>333181.81818181818</v>
      </c>
      <c r="ER16" s="397"/>
      <c r="ES16" s="398">
        <f>ES14*EP16</f>
        <v>358050</v>
      </c>
      <c r="ET16" s="399"/>
      <c r="EU16" s="321">
        <f>IF(EQ16&lt;&gt;0,ES16-EQ16,0)</f>
        <v>24868.181818181823</v>
      </c>
      <c r="EV16" s="265"/>
      <c r="EW16" s="324">
        <v>330</v>
      </c>
      <c r="EX16" s="396">
        <f>EX12/FA5</f>
        <v>289000</v>
      </c>
      <c r="EY16" s="397"/>
      <c r="EZ16" s="398">
        <f>EZ14*EW16</f>
        <v>334950</v>
      </c>
      <c r="FA16" s="399"/>
      <c r="FB16" s="321">
        <f>IF(EX16&lt;&gt;0,EZ16-EX16,0)</f>
        <v>45950</v>
      </c>
      <c r="FC16" s="265"/>
      <c r="FD16" s="324">
        <v>330</v>
      </c>
      <c r="FE16" s="396">
        <v>300000</v>
      </c>
      <c r="FF16" s="397"/>
      <c r="FG16" s="398">
        <f>FG14*FD16</f>
        <v>381150</v>
      </c>
      <c r="FH16" s="399"/>
      <c r="FI16" s="321">
        <f>IF(FE16&lt;&gt;0,FG16-FE16,0)</f>
        <v>81150</v>
      </c>
      <c r="FJ16" s="265"/>
      <c r="FK16" s="324">
        <v>320</v>
      </c>
      <c r="FL16" s="396">
        <v>300000</v>
      </c>
      <c r="FM16" s="397"/>
      <c r="FN16" s="398">
        <f>FN14*FK16</f>
        <v>321984</v>
      </c>
      <c r="FO16" s="399"/>
      <c r="FP16" s="321">
        <f>IF(FL16&lt;&gt;0,FN16-FL16,0)</f>
        <v>21984</v>
      </c>
      <c r="FQ16" s="265"/>
      <c r="FR16" s="324">
        <v>330</v>
      </c>
      <c r="FS16" s="396">
        <f>FS12/FV5</f>
        <v>333333.33333333331</v>
      </c>
      <c r="FT16" s="397"/>
      <c r="FU16" s="398">
        <f>FU14*FR16</f>
        <v>334950</v>
      </c>
      <c r="FV16" s="399"/>
      <c r="FW16" s="321">
        <f>IF(FS16&lt;&gt;0,FU16-FS16,0)</f>
        <v>1616.6666666666861</v>
      </c>
      <c r="FX16" s="265"/>
      <c r="FY16" s="324">
        <v>320</v>
      </c>
      <c r="FZ16" s="396">
        <f>FZ12/GC5</f>
        <v>333333.33333333331</v>
      </c>
      <c r="GA16" s="397"/>
      <c r="GB16" s="398">
        <f>GB14*FY16</f>
        <v>324800</v>
      </c>
      <c r="GC16" s="399"/>
      <c r="GD16" s="321">
        <f>IF(FZ16&lt;&gt;0,GB16-FZ16,0)</f>
        <v>-8533.3333333333139</v>
      </c>
      <c r="GE16" s="265"/>
      <c r="GF16" s="324">
        <v>320</v>
      </c>
      <c r="GG16" s="396">
        <f>GG12/GJ5</f>
        <v>333333.33333333331</v>
      </c>
      <c r="GH16" s="397"/>
      <c r="GI16" s="398">
        <f>GI14*GF16</f>
        <v>324800</v>
      </c>
      <c r="GJ16" s="399"/>
      <c r="GK16" s="321">
        <f>IF(GG16&lt;&gt;0,GI16-GG16,0)</f>
        <v>-8533.3333333333139</v>
      </c>
      <c r="GL16" s="265"/>
      <c r="GM16" s="324">
        <v>320</v>
      </c>
      <c r="GN16" s="396">
        <f>GN12/GQ5</f>
        <v>333333.33333333331</v>
      </c>
      <c r="GO16" s="397"/>
      <c r="GP16" s="398">
        <f>GP14*GM16</f>
        <v>313600</v>
      </c>
      <c r="GQ16" s="399"/>
      <c r="GR16" s="321">
        <f>IF(GN16&lt;&gt;0,GP16-GN16,0)</f>
        <v>-19733.333333333314</v>
      </c>
      <c r="GS16" s="265"/>
      <c r="GT16" s="324">
        <v>320</v>
      </c>
      <c r="GU16" s="396">
        <f>GU12/GX5</f>
        <v>289000</v>
      </c>
      <c r="GV16" s="397"/>
      <c r="GW16" s="398">
        <f>GW14*GT16</f>
        <v>268800</v>
      </c>
      <c r="GX16" s="399"/>
      <c r="GY16" s="321">
        <f>IF(GU16&lt;&gt;0,GW16-GU16,0)</f>
        <v>-20200</v>
      </c>
      <c r="GZ16" s="283"/>
      <c r="HA16" s="324">
        <v>320</v>
      </c>
      <c r="HB16" s="396">
        <v>290000</v>
      </c>
      <c r="HC16" s="397"/>
      <c r="HD16" s="398">
        <f>HD14*HA16</f>
        <v>324800</v>
      </c>
      <c r="HE16" s="399"/>
      <c r="HF16" s="321">
        <f>IF(HB16&lt;&gt;0,HD16-HB16,0)</f>
        <v>34800</v>
      </c>
      <c r="HG16" s="265"/>
      <c r="HH16" s="324">
        <v>320</v>
      </c>
      <c r="HI16" s="396">
        <v>328000</v>
      </c>
      <c r="HJ16" s="397"/>
      <c r="HK16" s="398">
        <f>HK14*HH16</f>
        <v>287040</v>
      </c>
      <c r="HL16" s="399"/>
      <c r="HM16" s="321">
        <f>IF(HI16&lt;&gt;0,HK16-HI16,0)</f>
        <v>-40960</v>
      </c>
      <c r="HN16" s="265"/>
      <c r="HO16" s="324">
        <v>320</v>
      </c>
      <c r="HP16" s="396">
        <f>HP12/HS5</f>
        <v>333333.33333333331</v>
      </c>
      <c r="HQ16" s="397"/>
      <c r="HR16" s="398">
        <f>HR14*HO16</f>
        <v>257600</v>
      </c>
      <c r="HS16" s="399"/>
      <c r="HT16" s="321">
        <f>IF(HP16&lt;&gt;0,HR16-HP16,0)</f>
        <v>-75733.333333333314</v>
      </c>
      <c r="HU16" s="265"/>
      <c r="HV16" s="324">
        <v>320</v>
      </c>
      <c r="HW16" s="396">
        <f>HW12/HZ5</f>
        <v>333333.33333333331</v>
      </c>
      <c r="HX16" s="397"/>
      <c r="HY16" s="398">
        <f>HY14*HV16</f>
        <v>280000</v>
      </c>
      <c r="HZ16" s="399"/>
      <c r="IA16" s="321">
        <f>IF(HW16&lt;&gt;0,HY16-HW16,0)</f>
        <v>-53333.333333333314</v>
      </c>
      <c r="IB16" s="265"/>
      <c r="IC16" s="324">
        <v>320</v>
      </c>
      <c r="ID16" s="396">
        <f>ID12/IG5</f>
        <v>333333.33333333331</v>
      </c>
      <c r="IE16" s="397"/>
      <c r="IF16" s="398">
        <f>IF14*IC16</f>
        <v>347200</v>
      </c>
      <c r="IG16" s="399"/>
      <c r="IH16" s="321">
        <f>IF(ID16&lt;&gt;0,IF16-ID16,0)</f>
        <v>13866.666666666686</v>
      </c>
      <c r="II16" s="265"/>
      <c r="IJ16" s="324">
        <v>300</v>
      </c>
      <c r="IK16" s="396">
        <f>IK12/IN5</f>
        <v>244333.33333333334</v>
      </c>
      <c r="IL16" s="397"/>
      <c r="IM16" s="398">
        <f>IM14*IJ16</f>
        <v>325500</v>
      </c>
      <c r="IN16" s="399"/>
      <c r="IO16" s="321">
        <f>IF(IK16&lt;&gt;0,IM16-IK16,0)</f>
        <v>81166.666666666657</v>
      </c>
      <c r="IP16" s="265"/>
      <c r="IQ16" s="324">
        <v>320</v>
      </c>
      <c r="IR16" s="396">
        <f>IR12/IU5</f>
        <v>289000</v>
      </c>
      <c r="IS16" s="397"/>
      <c r="IT16" s="398">
        <f>IT14*IQ16</f>
        <v>353920</v>
      </c>
      <c r="IU16" s="399"/>
      <c r="IV16" s="321">
        <f>IF(IR16&lt;&gt;0,IT16-IR16,0)</f>
        <v>64920</v>
      </c>
      <c r="IW16" s="265"/>
      <c r="IX16" s="324">
        <v>320</v>
      </c>
      <c r="IY16" s="396">
        <v>191766</v>
      </c>
      <c r="IZ16" s="397"/>
      <c r="JA16" s="398">
        <f>JA14*IX16</f>
        <v>358400</v>
      </c>
      <c r="JB16" s="399"/>
      <c r="JC16" s="321">
        <f>IF(IY16&lt;&gt;0,JA16-IY16,0)</f>
        <v>166634</v>
      </c>
      <c r="JD16" s="265"/>
      <c r="JE16" s="324">
        <v>325</v>
      </c>
      <c r="JF16" s="396">
        <f>JF12/JI5</f>
        <v>279677.41935483873</v>
      </c>
      <c r="JG16" s="397"/>
      <c r="JH16" s="398">
        <f>JH14*JE16</f>
        <v>443625</v>
      </c>
      <c r="JI16" s="399"/>
      <c r="JJ16" s="321">
        <f>IF(JF16&lt;&gt;0,JH16-JF16,0)</f>
        <v>163947.58064516127</v>
      </c>
      <c r="JK16" s="265"/>
      <c r="JL16" s="324">
        <v>320</v>
      </c>
      <c r="JM16" s="396">
        <f>JM12/JP5</f>
        <v>289000</v>
      </c>
      <c r="JN16" s="397"/>
      <c r="JO16" s="398">
        <f>JO14*JL16</f>
        <v>436800</v>
      </c>
      <c r="JP16" s="399"/>
      <c r="JQ16" s="321">
        <f>IF(JM16&lt;&gt;0,JO16-JM16,0)</f>
        <v>147800</v>
      </c>
      <c r="JR16" s="265"/>
      <c r="JS16" s="324">
        <v>320</v>
      </c>
      <c r="JT16" s="396">
        <f>JT12/JW5</f>
        <v>298965.5172413793</v>
      </c>
      <c r="JU16" s="397"/>
      <c r="JV16" s="398">
        <f>JV14*JS16</f>
        <v>436800</v>
      </c>
      <c r="JW16" s="399"/>
      <c r="JX16" s="321">
        <f>IF(JT16&lt;&gt;0,JV16-JT16,0)</f>
        <v>137834.4827586207</v>
      </c>
      <c r="JY16" s="265"/>
      <c r="JZ16" s="324">
        <v>325</v>
      </c>
      <c r="KA16" s="396">
        <f>KA12/KD5</f>
        <v>279677.41935483873</v>
      </c>
      <c r="KB16" s="397"/>
      <c r="KC16" s="398">
        <f>KC14*JZ16</f>
        <v>443625</v>
      </c>
      <c r="KD16" s="399"/>
      <c r="KE16" s="321">
        <f>IF(KA16&lt;&gt;0,KC16-KA16,0)</f>
        <v>163947.58064516127</v>
      </c>
      <c r="KF16" s="265"/>
      <c r="KG16" s="324">
        <v>330</v>
      </c>
      <c r="KH16" s="396">
        <f>KH12/KK5</f>
        <v>241379.31034482759</v>
      </c>
      <c r="KI16" s="397"/>
      <c r="KJ16" s="398">
        <f>KJ14*KG16</f>
        <v>450450</v>
      </c>
      <c r="KK16" s="399"/>
      <c r="KL16" s="321">
        <f>IF(KH16&lt;&gt;0,KJ16-KH16,0)</f>
        <v>209070.68965517241</v>
      </c>
      <c r="KM16" s="265"/>
      <c r="KN16" s="324">
        <v>340</v>
      </c>
      <c r="KO16" s="396">
        <f>KO12/KR5</f>
        <v>232258.06451612903</v>
      </c>
      <c r="KP16" s="397"/>
      <c r="KQ16" s="398">
        <f>KQ14*KN16</f>
        <v>464100</v>
      </c>
      <c r="KR16" s="399"/>
      <c r="KS16" s="321">
        <f>IF(KO16&lt;&gt;0,KQ16-KO16,0)</f>
        <v>231841.93548387097</v>
      </c>
      <c r="KT16" s="265"/>
      <c r="KU16" s="324">
        <v>335</v>
      </c>
      <c r="KV16" s="396">
        <f>KV12/KY5</f>
        <v>311000</v>
      </c>
      <c r="KW16" s="397"/>
      <c r="KX16" s="398">
        <f>KX14*KU16</f>
        <v>457275</v>
      </c>
      <c r="KY16" s="399"/>
      <c r="KZ16" s="321">
        <f>IF(KV16&lt;&gt;0,KX16-KV16,0)</f>
        <v>146275</v>
      </c>
      <c r="LA16" s="265"/>
      <c r="LB16" s="324">
        <v>325</v>
      </c>
      <c r="LC16" s="396">
        <f>LC12/LF5</f>
        <v>289000</v>
      </c>
      <c r="LD16" s="397"/>
      <c r="LE16" s="398">
        <f>LE14*LB16</f>
        <v>443625</v>
      </c>
      <c r="LF16" s="399"/>
      <c r="LG16" s="321">
        <f>IF(LC16&lt;&gt;0,LE16-LC16,0)</f>
        <v>154625</v>
      </c>
      <c r="LH16" s="265"/>
      <c r="LI16" s="324">
        <v>330</v>
      </c>
      <c r="LJ16" s="396">
        <f>LJ12/LM5</f>
        <v>333181.81818181818</v>
      </c>
      <c r="LK16" s="397"/>
      <c r="LL16" s="398">
        <f>LL14*LI16</f>
        <v>450450</v>
      </c>
      <c r="LM16" s="399"/>
      <c r="LN16" s="321">
        <f>IF(LJ16&lt;&gt;0,LL16-LJ16,0)</f>
        <v>117268.18181818182</v>
      </c>
      <c r="LO16" s="265"/>
      <c r="LP16" s="324">
        <v>330</v>
      </c>
      <c r="LQ16" s="396">
        <f>LQ12/LT5</f>
        <v>289000</v>
      </c>
      <c r="LR16" s="397"/>
      <c r="LS16" s="398">
        <f>LS14*LP16</f>
        <v>450450</v>
      </c>
      <c r="LT16" s="399"/>
      <c r="LU16" s="321">
        <f>IF(LQ16&lt;&gt;0,LS16-LQ16,0)</f>
        <v>161450</v>
      </c>
      <c r="LV16" s="265"/>
      <c r="LW16" s="324">
        <v>300</v>
      </c>
      <c r="LX16" s="396">
        <f>LX12/MA5</f>
        <v>247714.28571428571</v>
      </c>
      <c r="LY16" s="397"/>
      <c r="LZ16" s="398">
        <f>LZ14*LW16</f>
        <v>409500</v>
      </c>
      <c r="MA16" s="399"/>
      <c r="MB16" s="321">
        <f>IF(LX16&lt;&gt;0,LZ16-LX16,0)</f>
        <v>161785.71428571429</v>
      </c>
      <c r="MC16" s="265"/>
      <c r="MD16" s="324">
        <v>300</v>
      </c>
      <c r="ME16" s="396">
        <f>ME12/MH5</f>
        <v>247714.28571428571</v>
      </c>
      <c r="MF16" s="397"/>
      <c r="MG16" s="398">
        <f>MG14*MD16</f>
        <v>409500</v>
      </c>
      <c r="MH16" s="399"/>
      <c r="MI16" s="321">
        <f>IF(ME16&lt;&gt;0,MG16-ME16,0)</f>
        <v>161785.71428571429</v>
      </c>
      <c r="MJ16" s="265"/>
      <c r="MK16" s="324">
        <v>300</v>
      </c>
      <c r="ML16" s="396">
        <f>ML12/MO5</f>
        <v>247714.28571428571</v>
      </c>
      <c r="MM16" s="397"/>
      <c r="MN16" s="398">
        <f>MN14*MK16</f>
        <v>409500</v>
      </c>
      <c r="MO16" s="399"/>
      <c r="MP16" s="321">
        <f>IF(ML16&lt;&gt;0,MN16-ML16,0)</f>
        <v>161785.71428571429</v>
      </c>
      <c r="MQ16" s="265"/>
      <c r="MR16" s="324">
        <v>300</v>
      </c>
      <c r="MS16" s="396">
        <f>MS12/MV5</f>
        <v>247714.28571428571</v>
      </c>
      <c r="MT16" s="397"/>
      <c r="MU16" s="398">
        <f>MU14*MR16</f>
        <v>409500</v>
      </c>
      <c r="MV16" s="399"/>
      <c r="MW16" s="321">
        <f>IF(MS16&lt;&gt;0,MU16-MS16,0)</f>
        <v>161785.71428571429</v>
      </c>
      <c r="MX16" s="265"/>
      <c r="MY16" s="324">
        <v>300</v>
      </c>
      <c r="MZ16" s="396">
        <f>MZ12/NC5</f>
        <v>247714.28571428571</v>
      </c>
      <c r="NA16" s="397"/>
      <c r="NB16" s="398">
        <f>NB14*MY16</f>
        <v>409500</v>
      </c>
      <c r="NC16" s="399"/>
      <c r="ND16" s="321">
        <f>IF(MZ16&lt;&gt;0,NB16-MZ16,0)</f>
        <v>161785.71428571429</v>
      </c>
      <c r="NE16" s="265"/>
      <c r="NF16" s="324">
        <v>300</v>
      </c>
      <c r="NG16" s="396">
        <f>NG12/NJ5</f>
        <v>247714.28571428571</v>
      </c>
      <c r="NH16" s="397"/>
      <c r="NI16" s="398">
        <f>NI14*NF16</f>
        <v>409500</v>
      </c>
      <c r="NJ16" s="399"/>
      <c r="NK16" s="321">
        <f>IF(NG16&lt;&gt;0,NI16-NG16,0)</f>
        <v>161785.71428571429</v>
      </c>
      <c r="NL16" s="265"/>
      <c r="NM16" s="324">
        <v>300</v>
      </c>
      <c r="NN16" s="396">
        <f>NN12/NQ5</f>
        <v>247714.28571428571</v>
      </c>
      <c r="NO16" s="397"/>
      <c r="NP16" s="398">
        <f>NP14*NM16</f>
        <v>0</v>
      </c>
      <c r="NQ16" s="399"/>
      <c r="NR16" s="321">
        <f>IF(NN16&lt;&gt;0,NP16-NN16,0)</f>
        <v>-247714.28571428571</v>
      </c>
      <c r="NS16" s="283"/>
    </row>
    <row r="17" spans="1:383" s="110" customFormat="1" ht="16.05" customHeight="1" thickBot="1" x14ac:dyDescent="0.35">
      <c r="A17" s="294"/>
      <c r="B17" s="306"/>
      <c r="C17" s="307"/>
      <c r="D17" s="314"/>
      <c r="E17" s="196"/>
      <c r="F17" s="255"/>
      <c r="G17" s="256"/>
      <c r="H17" s="256"/>
      <c r="I17" s="317"/>
      <c r="J17" s="317"/>
      <c r="K17" s="317"/>
      <c r="L17" s="263"/>
      <c r="M17" s="255"/>
      <c r="N17" s="256"/>
      <c r="O17" s="256"/>
      <c r="P17" s="317"/>
      <c r="Q17" s="317"/>
      <c r="R17" s="317"/>
      <c r="S17" s="263"/>
      <c r="T17" s="255"/>
      <c r="U17" s="256"/>
      <c r="V17" s="256"/>
      <c r="W17" s="317"/>
      <c r="X17" s="317"/>
      <c r="Y17" s="317"/>
      <c r="Z17" s="263"/>
      <c r="AA17" s="255"/>
      <c r="AB17" s="256"/>
      <c r="AC17" s="256"/>
      <c r="AD17" s="317"/>
      <c r="AE17" s="317"/>
      <c r="AF17" s="317"/>
      <c r="AG17" s="263"/>
      <c r="AH17" s="255"/>
      <c r="AI17" s="256"/>
      <c r="AJ17" s="256"/>
      <c r="AK17" s="317"/>
      <c r="AL17" s="317"/>
      <c r="AM17" s="317"/>
      <c r="AN17" s="263"/>
      <c r="AO17" s="255"/>
      <c r="AP17" s="256"/>
      <c r="AQ17" s="256"/>
      <c r="AR17" s="317"/>
      <c r="AS17" s="317"/>
      <c r="AT17" s="317"/>
      <c r="AU17" s="263"/>
      <c r="AV17" s="255"/>
      <c r="AW17" s="256"/>
      <c r="AX17" s="256"/>
      <c r="AY17" s="317"/>
      <c r="AZ17" s="317"/>
      <c r="BA17" s="317"/>
      <c r="BB17" s="263"/>
      <c r="BC17" s="255"/>
      <c r="BD17" s="256"/>
      <c r="BE17" s="256"/>
      <c r="BF17" s="317"/>
      <c r="BG17" s="317"/>
      <c r="BH17" s="317"/>
      <c r="BI17" s="263"/>
      <c r="BJ17" s="255"/>
      <c r="BK17" s="256"/>
      <c r="BL17" s="256"/>
      <c r="BM17" s="317"/>
      <c r="BN17" s="317"/>
      <c r="BO17" s="317"/>
      <c r="BP17" s="263"/>
      <c r="BQ17" s="255"/>
      <c r="BR17" s="256"/>
      <c r="BS17" s="256"/>
      <c r="BT17" s="317"/>
      <c r="BU17" s="317"/>
      <c r="BV17" s="317"/>
      <c r="BW17" s="263"/>
      <c r="BX17" s="255"/>
      <c r="BY17" s="256"/>
      <c r="BZ17" s="256"/>
      <c r="CA17" s="317"/>
      <c r="CB17" s="317"/>
      <c r="CC17" s="317"/>
      <c r="CD17" s="263"/>
      <c r="CE17" s="255"/>
      <c r="CF17" s="256"/>
      <c r="CG17" s="256"/>
      <c r="CH17" s="317"/>
      <c r="CI17" s="317"/>
      <c r="CJ17" s="317"/>
      <c r="CK17" s="263"/>
      <c r="CL17" s="255"/>
      <c r="CM17" s="256"/>
      <c r="CN17" s="256"/>
      <c r="CO17" s="317"/>
      <c r="CP17" s="317"/>
      <c r="CQ17" s="317"/>
      <c r="CR17" s="263"/>
      <c r="CS17" s="255"/>
      <c r="CT17" s="256"/>
      <c r="CU17" s="256"/>
      <c r="CV17" s="317"/>
      <c r="CW17" s="317"/>
      <c r="CX17" s="317"/>
      <c r="CY17" s="263"/>
      <c r="CZ17" s="255"/>
      <c r="DA17" s="256"/>
      <c r="DB17" s="256"/>
      <c r="DC17" s="317"/>
      <c r="DD17" s="317"/>
      <c r="DE17" s="317"/>
      <c r="DF17" s="263"/>
      <c r="DG17" s="255"/>
      <c r="DH17" s="256"/>
      <c r="DI17" s="256"/>
      <c r="DJ17" s="317"/>
      <c r="DK17" s="317"/>
      <c r="DL17" s="317"/>
      <c r="DM17" s="263"/>
      <c r="DN17" s="255"/>
      <c r="DO17" s="256"/>
      <c r="DP17" s="256"/>
      <c r="DQ17" s="317"/>
      <c r="DR17" s="317"/>
      <c r="DS17" s="317"/>
      <c r="DT17" s="263"/>
      <c r="DU17" s="255"/>
      <c r="DV17" s="256"/>
      <c r="DW17" s="256"/>
      <c r="DX17" s="317"/>
      <c r="DY17" s="317"/>
      <c r="DZ17" s="317"/>
      <c r="EA17" s="263"/>
      <c r="EB17" s="255"/>
      <c r="EC17" s="256"/>
      <c r="ED17" s="256"/>
      <c r="EE17" s="317"/>
      <c r="EF17" s="317"/>
      <c r="EG17" s="317"/>
      <c r="EH17" s="263"/>
      <c r="EI17" s="255"/>
      <c r="EJ17" s="256"/>
      <c r="EK17" s="256"/>
      <c r="EL17" s="317"/>
      <c r="EM17" s="317"/>
      <c r="EN17" s="317"/>
      <c r="EO17" s="263"/>
      <c r="EP17" s="255"/>
      <c r="EQ17" s="256"/>
      <c r="ER17" s="256"/>
      <c r="ES17" s="317"/>
      <c r="ET17" s="317"/>
      <c r="EU17" s="317"/>
      <c r="EV17" s="263"/>
      <c r="EW17" s="255"/>
      <c r="EX17" s="256"/>
      <c r="EY17" s="256"/>
      <c r="EZ17" s="317"/>
      <c r="FA17" s="317"/>
      <c r="FB17" s="317"/>
      <c r="FC17" s="263"/>
      <c r="FD17" s="255"/>
      <c r="FE17" s="256"/>
      <c r="FF17" s="256"/>
      <c r="FG17" s="317"/>
      <c r="FH17" s="317"/>
      <c r="FI17" s="317"/>
      <c r="FJ17" s="263"/>
      <c r="FK17" s="255"/>
      <c r="FL17" s="256"/>
      <c r="FM17" s="256"/>
      <c r="FN17" s="317"/>
      <c r="FO17" s="317"/>
      <c r="FP17" s="317"/>
      <c r="FQ17" s="263"/>
      <c r="FR17" s="255"/>
      <c r="FS17" s="256"/>
      <c r="FT17" s="256"/>
      <c r="FU17" s="317"/>
      <c r="FV17" s="317"/>
      <c r="FW17" s="317"/>
      <c r="FX17" s="263"/>
      <c r="FY17" s="255"/>
      <c r="FZ17" s="256"/>
      <c r="GA17" s="256"/>
      <c r="GB17" s="317"/>
      <c r="GC17" s="317"/>
      <c r="GD17" s="317"/>
      <c r="GE17" s="263"/>
      <c r="GF17" s="255"/>
      <c r="GG17" s="256"/>
      <c r="GH17" s="256"/>
      <c r="GI17" s="317"/>
      <c r="GJ17" s="317"/>
      <c r="GK17" s="317"/>
      <c r="GL17" s="263"/>
      <c r="GM17" s="255"/>
      <c r="GN17" s="256"/>
      <c r="GO17" s="256"/>
      <c r="GP17" s="317"/>
      <c r="GQ17" s="317"/>
      <c r="GR17" s="317"/>
      <c r="GS17" s="263"/>
      <c r="GT17" s="255"/>
      <c r="GU17" s="256"/>
      <c r="GV17" s="256"/>
      <c r="GW17" s="317"/>
      <c r="GX17" s="317"/>
      <c r="GY17" s="317"/>
      <c r="GZ17" s="263"/>
      <c r="HA17" s="255"/>
      <c r="HB17" s="256"/>
      <c r="HC17" s="256"/>
      <c r="HD17" s="317"/>
      <c r="HE17" s="317"/>
      <c r="HF17" s="317"/>
      <c r="HG17" s="263"/>
      <c r="HH17" s="255"/>
      <c r="HI17" s="256"/>
      <c r="HJ17" s="256"/>
      <c r="HK17" s="317"/>
      <c r="HL17" s="317"/>
      <c r="HM17" s="317"/>
      <c r="HN17" s="263"/>
      <c r="HO17" s="255"/>
      <c r="HP17" s="256"/>
      <c r="HQ17" s="256"/>
      <c r="HR17" s="317"/>
      <c r="HS17" s="317"/>
      <c r="HT17" s="317"/>
      <c r="HU17" s="263"/>
      <c r="HV17" s="255"/>
      <c r="HW17" s="256"/>
      <c r="HX17" s="256"/>
      <c r="HY17" s="317"/>
      <c r="HZ17" s="317"/>
      <c r="IA17" s="317"/>
      <c r="IB17" s="263"/>
      <c r="IC17" s="255"/>
      <c r="ID17" s="256"/>
      <c r="IE17" s="256"/>
      <c r="IF17" s="317"/>
      <c r="IG17" s="317"/>
      <c r="IH17" s="317"/>
      <c r="II17" s="263"/>
      <c r="IJ17" s="255"/>
      <c r="IK17" s="256"/>
      <c r="IL17" s="256"/>
      <c r="IM17" s="317"/>
      <c r="IN17" s="317"/>
      <c r="IO17" s="317"/>
      <c r="IP17" s="263"/>
      <c r="IQ17" s="255"/>
      <c r="IR17" s="256"/>
      <c r="IS17" s="256"/>
      <c r="IT17" s="317"/>
      <c r="IU17" s="317"/>
      <c r="IV17" s="317"/>
      <c r="IW17" s="263"/>
      <c r="IX17" s="255"/>
      <c r="IY17" s="256"/>
      <c r="IZ17" s="256"/>
      <c r="JA17" s="317"/>
      <c r="JB17" s="317"/>
      <c r="JC17" s="317"/>
      <c r="JD17" s="263"/>
      <c r="JE17" s="255"/>
      <c r="JF17" s="256"/>
      <c r="JG17" s="256"/>
      <c r="JH17" s="317"/>
      <c r="JI17" s="317"/>
      <c r="JJ17" s="317"/>
      <c r="JK17" s="263"/>
      <c r="JL17" s="255"/>
      <c r="JM17" s="256"/>
      <c r="JN17" s="256"/>
      <c r="JO17" s="317"/>
      <c r="JP17" s="317"/>
      <c r="JQ17" s="317"/>
      <c r="JR17" s="263"/>
      <c r="JS17" s="255"/>
      <c r="JT17" s="256"/>
      <c r="JU17" s="256"/>
      <c r="JV17" s="317"/>
      <c r="JW17" s="317"/>
      <c r="JX17" s="317"/>
      <c r="JY17" s="263"/>
      <c r="JZ17" s="255"/>
      <c r="KA17" s="256"/>
      <c r="KB17" s="256"/>
      <c r="KC17" s="317"/>
      <c r="KD17" s="317"/>
      <c r="KE17" s="317"/>
      <c r="KF17" s="263"/>
      <c r="KG17" s="255"/>
      <c r="KH17" s="256"/>
      <c r="KI17" s="256"/>
      <c r="KJ17" s="317"/>
      <c r="KK17" s="317"/>
      <c r="KL17" s="317"/>
      <c r="KM17" s="263"/>
      <c r="KN17" s="255"/>
      <c r="KO17" s="256"/>
      <c r="KP17" s="256"/>
      <c r="KQ17" s="317"/>
      <c r="KR17" s="317"/>
      <c r="KS17" s="317"/>
      <c r="KT17" s="263"/>
      <c r="KU17" s="255"/>
      <c r="KV17" s="256"/>
      <c r="KW17" s="256"/>
      <c r="KX17" s="317"/>
      <c r="KY17" s="317"/>
      <c r="KZ17" s="317"/>
      <c r="LA17" s="263"/>
      <c r="LB17" s="255"/>
      <c r="LC17" s="256"/>
      <c r="LD17" s="256"/>
      <c r="LE17" s="317"/>
      <c r="LF17" s="317"/>
      <c r="LG17" s="317"/>
      <c r="LH17" s="263"/>
      <c r="LI17" s="255"/>
      <c r="LJ17" s="256"/>
      <c r="LK17" s="256"/>
      <c r="LL17" s="317"/>
      <c r="LM17" s="317"/>
      <c r="LN17" s="317"/>
      <c r="LO17" s="263"/>
      <c r="LP17" s="255"/>
      <c r="LQ17" s="256"/>
      <c r="LR17" s="256"/>
      <c r="LS17" s="317"/>
      <c r="LT17" s="317"/>
      <c r="LU17" s="317"/>
      <c r="LV17" s="263"/>
      <c r="LW17" s="255"/>
      <c r="LX17" s="256"/>
      <c r="LY17" s="256"/>
      <c r="LZ17" s="317"/>
      <c r="MA17" s="317"/>
      <c r="MB17" s="317"/>
      <c r="MC17" s="263"/>
      <c r="MD17" s="255"/>
      <c r="ME17" s="256"/>
      <c r="MF17" s="256"/>
      <c r="MG17" s="317"/>
      <c r="MH17" s="317"/>
      <c r="MI17" s="317"/>
      <c r="MJ17" s="263"/>
      <c r="MK17" s="255"/>
      <c r="ML17" s="256"/>
      <c r="MM17" s="256"/>
      <c r="MN17" s="317"/>
      <c r="MO17" s="317"/>
      <c r="MP17" s="317"/>
      <c r="MQ17" s="263"/>
      <c r="MR17" s="255"/>
      <c r="MS17" s="256"/>
      <c r="MT17" s="256"/>
      <c r="MU17" s="317"/>
      <c r="MV17" s="317"/>
      <c r="MW17" s="317"/>
      <c r="MX17" s="263"/>
      <c r="MY17" s="255"/>
      <c r="MZ17" s="256"/>
      <c r="NA17" s="256"/>
      <c r="NB17" s="317"/>
      <c r="NC17" s="317"/>
      <c r="ND17" s="317"/>
      <c r="NE17" s="263"/>
      <c r="NF17" s="255"/>
      <c r="NG17" s="256"/>
      <c r="NH17" s="256"/>
      <c r="NI17" s="317"/>
      <c r="NJ17" s="317"/>
      <c r="NK17" s="317"/>
      <c r="NL17" s="263"/>
      <c r="NM17" s="255"/>
      <c r="NN17" s="256"/>
      <c r="NO17" s="256"/>
      <c r="NP17" s="317"/>
      <c r="NQ17" s="317"/>
      <c r="NR17" s="317"/>
      <c r="NS17" s="263"/>
    </row>
    <row r="18" spans="1:383" x14ac:dyDescent="0.3">
      <c r="C18" s="306"/>
      <c r="D18" s="306"/>
      <c r="E18" s="196"/>
      <c r="F18" s="248" t="s">
        <v>701</v>
      </c>
      <c r="G18" s="394" t="s">
        <v>702</v>
      </c>
      <c r="H18" s="395"/>
      <c r="I18"/>
      <c r="J18"/>
      <c r="K18"/>
      <c r="L18"/>
      <c r="M18" s="248" t="s">
        <v>701</v>
      </c>
      <c r="N18" s="394" t="s">
        <v>702</v>
      </c>
      <c r="O18" s="395"/>
      <c r="P18"/>
      <c r="Q18"/>
      <c r="R18"/>
      <c r="T18" s="248" t="s">
        <v>701</v>
      </c>
      <c r="U18" s="394" t="s">
        <v>702</v>
      </c>
      <c r="V18" s="395"/>
      <c r="AA18" s="248" t="s">
        <v>701</v>
      </c>
      <c r="AB18" s="394" t="s">
        <v>702</v>
      </c>
      <c r="AC18" s="395"/>
      <c r="AH18" s="248" t="s">
        <v>701</v>
      </c>
      <c r="AI18" s="394" t="s">
        <v>702</v>
      </c>
      <c r="AJ18" s="395"/>
      <c r="AO18" s="248" t="s">
        <v>701</v>
      </c>
      <c r="AP18" s="394" t="s">
        <v>702</v>
      </c>
      <c r="AQ18" s="395"/>
      <c r="AV18" s="248" t="s">
        <v>701</v>
      </c>
      <c r="AW18" s="394" t="s">
        <v>702</v>
      </c>
      <c r="AX18" s="395"/>
      <c r="BC18" s="248" t="s">
        <v>701</v>
      </c>
      <c r="BD18" s="394" t="s">
        <v>702</v>
      </c>
      <c r="BE18" s="395"/>
      <c r="BJ18" s="248" t="s">
        <v>701</v>
      </c>
      <c r="BK18" s="394" t="s">
        <v>702</v>
      </c>
      <c r="BL18" s="395"/>
      <c r="BQ18" s="248" t="s">
        <v>701</v>
      </c>
      <c r="BR18" s="394" t="s">
        <v>702</v>
      </c>
      <c r="BS18" s="395"/>
      <c r="BX18" s="248" t="s">
        <v>701</v>
      </c>
      <c r="BY18" s="394" t="s">
        <v>702</v>
      </c>
      <c r="BZ18" s="395"/>
      <c r="CE18" s="248" t="s">
        <v>701</v>
      </c>
      <c r="CF18" s="394" t="s">
        <v>702</v>
      </c>
      <c r="CG18" s="395"/>
      <c r="CL18" s="248" t="s">
        <v>701</v>
      </c>
      <c r="CM18" s="394" t="s">
        <v>702</v>
      </c>
      <c r="CN18" s="395"/>
      <c r="CS18" s="248" t="s">
        <v>701</v>
      </c>
      <c r="CT18" s="394" t="s">
        <v>702</v>
      </c>
      <c r="CU18" s="395"/>
      <c r="CZ18" s="248" t="s">
        <v>701</v>
      </c>
      <c r="DA18" s="394" t="s">
        <v>702</v>
      </c>
      <c r="DB18" s="395"/>
      <c r="DG18" s="248" t="s">
        <v>701</v>
      </c>
      <c r="DH18" s="394" t="s">
        <v>702</v>
      </c>
      <c r="DI18" s="395"/>
      <c r="DN18" s="248" t="s">
        <v>701</v>
      </c>
      <c r="DO18" s="394" t="s">
        <v>702</v>
      </c>
      <c r="DP18" s="395"/>
      <c r="DU18" s="248" t="s">
        <v>701</v>
      </c>
      <c r="DV18" s="394" t="s">
        <v>702</v>
      </c>
      <c r="DW18" s="395"/>
      <c r="EB18" s="248" t="s">
        <v>701</v>
      </c>
      <c r="EC18" s="394" t="s">
        <v>702</v>
      </c>
      <c r="ED18" s="395"/>
      <c r="EI18" s="248" t="s">
        <v>701</v>
      </c>
      <c r="EJ18" s="394" t="s">
        <v>702</v>
      </c>
      <c r="EK18" s="395"/>
      <c r="EP18" s="248" t="s">
        <v>701</v>
      </c>
      <c r="EQ18" s="394" t="s">
        <v>702</v>
      </c>
      <c r="ER18" s="395"/>
      <c r="EW18" s="248" t="s">
        <v>701</v>
      </c>
      <c r="EX18" s="394" t="s">
        <v>702</v>
      </c>
      <c r="EY18" s="395"/>
      <c r="FD18" s="248" t="s">
        <v>701</v>
      </c>
      <c r="FE18" s="394" t="s">
        <v>702</v>
      </c>
      <c r="FF18" s="395"/>
      <c r="FK18" s="248" t="s">
        <v>701</v>
      </c>
      <c r="FL18" s="394" t="s">
        <v>702</v>
      </c>
      <c r="FM18" s="395"/>
      <c r="FR18" s="248" t="s">
        <v>701</v>
      </c>
      <c r="FS18" s="394" t="s">
        <v>702</v>
      </c>
      <c r="FT18" s="395"/>
      <c r="FY18" s="248" t="s">
        <v>701</v>
      </c>
      <c r="FZ18" s="394" t="s">
        <v>702</v>
      </c>
      <c r="GA18" s="395"/>
      <c r="GF18" s="248" t="s">
        <v>701</v>
      </c>
      <c r="GG18" s="394" t="s">
        <v>702</v>
      </c>
      <c r="GH18" s="395"/>
      <c r="GM18" s="248" t="s">
        <v>701</v>
      </c>
      <c r="GN18" s="394" t="s">
        <v>702</v>
      </c>
      <c r="GO18" s="395"/>
      <c r="GT18" s="248" t="s">
        <v>701</v>
      </c>
      <c r="GU18" s="394" t="s">
        <v>702</v>
      </c>
      <c r="GV18" s="395"/>
      <c r="HA18" s="248" t="s">
        <v>701</v>
      </c>
      <c r="HB18" s="394" t="s">
        <v>702</v>
      </c>
      <c r="HC18" s="395"/>
      <c r="HH18" s="248" t="s">
        <v>701</v>
      </c>
      <c r="HI18" s="394" t="s">
        <v>702</v>
      </c>
      <c r="HJ18" s="395"/>
      <c r="HO18" s="248" t="s">
        <v>701</v>
      </c>
      <c r="HP18" s="394" t="s">
        <v>702</v>
      </c>
      <c r="HQ18" s="395"/>
      <c r="HV18" s="248" t="s">
        <v>701</v>
      </c>
      <c r="HW18" s="394" t="s">
        <v>702</v>
      </c>
      <c r="HX18" s="395"/>
      <c r="IC18" s="248" t="s">
        <v>701</v>
      </c>
      <c r="ID18" s="394" t="s">
        <v>702</v>
      </c>
      <c r="IE18" s="395"/>
      <c r="IJ18" s="248" t="s">
        <v>701</v>
      </c>
      <c r="IK18" s="394" t="s">
        <v>702</v>
      </c>
      <c r="IL18" s="395"/>
      <c r="IQ18" s="248" t="s">
        <v>701</v>
      </c>
      <c r="IR18" s="394" t="s">
        <v>702</v>
      </c>
      <c r="IS18" s="395"/>
      <c r="IX18" s="248" t="s">
        <v>701</v>
      </c>
      <c r="IY18" s="394" t="s">
        <v>702</v>
      </c>
      <c r="IZ18" s="395"/>
      <c r="JE18" s="248" t="s">
        <v>701</v>
      </c>
      <c r="JF18" s="394" t="s">
        <v>702</v>
      </c>
      <c r="JG18" s="395"/>
      <c r="JL18" s="248" t="s">
        <v>701</v>
      </c>
      <c r="JM18" s="394" t="s">
        <v>702</v>
      </c>
      <c r="JN18" s="395"/>
      <c r="JS18" s="248" t="s">
        <v>701</v>
      </c>
      <c r="JT18" s="394" t="s">
        <v>702</v>
      </c>
      <c r="JU18" s="395"/>
      <c r="JZ18" s="248" t="s">
        <v>701</v>
      </c>
      <c r="KA18" s="394" t="s">
        <v>702</v>
      </c>
      <c r="KB18" s="395"/>
      <c r="KG18" s="248" t="s">
        <v>701</v>
      </c>
      <c r="KH18" s="394" t="s">
        <v>702</v>
      </c>
      <c r="KI18" s="395"/>
      <c r="KN18" s="248" t="s">
        <v>701</v>
      </c>
      <c r="KO18" s="394" t="s">
        <v>702</v>
      </c>
      <c r="KP18" s="395"/>
      <c r="KU18" s="248" t="s">
        <v>701</v>
      </c>
      <c r="KV18" s="394" t="s">
        <v>702</v>
      </c>
      <c r="KW18" s="395"/>
      <c r="LB18" s="248" t="s">
        <v>701</v>
      </c>
      <c r="LC18" s="394" t="s">
        <v>702</v>
      </c>
      <c r="LD18" s="395"/>
      <c r="LI18" s="248" t="s">
        <v>701</v>
      </c>
      <c r="LJ18" s="394" t="s">
        <v>702</v>
      </c>
      <c r="LK18" s="395"/>
      <c r="LP18" s="248" t="s">
        <v>701</v>
      </c>
      <c r="LQ18" s="394" t="s">
        <v>702</v>
      </c>
      <c r="LR18" s="395"/>
      <c r="LW18" s="248" t="s">
        <v>701</v>
      </c>
      <c r="LX18" s="394" t="s">
        <v>702</v>
      </c>
      <c r="LY18" s="395"/>
      <c r="MD18" s="248" t="s">
        <v>701</v>
      </c>
      <c r="ME18" s="394" t="s">
        <v>702</v>
      </c>
      <c r="MF18" s="395"/>
      <c r="MK18" s="248" t="s">
        <v>701</v>
      </c>
      <c r="ML18" s="394" t="s">
        <v>702</v>
      </c>
      <c r="MM18" s="395"/>
      <c r="MR18" s="248" t="s">
        <v>701</v>
      </c>
      <c r="MS18" s="394" t="s">
        <v>702</v>
      </c>
      <c r="MT18" s="395"/>
      <c r="MY18" s="248" t="s">
        <v>701</v>
      </c>
      <c r="MZ18" s="394" t="s">
        <v>702</v>
      </c>
      <c r="NA18" s="395"/>
      <c r="NF18" s="248" t="s">
        <v>701</v>
      </c>
      <c r="NG18" s="394" t="s">
        <v>702</v>
      </c>
      <c r="NH18" s="395"/>
      <c r="NM18" s="248" t="s">
        <v>701</v>
      </c>
      <c r="NN18" s="394" t="s">
        <v>702</v>
      </c>
      <c r="NO18" s="395"/>
    </row>
    <row r="19" spans="1:383" ht="15" thickBot="1" x14ac:dyDescent="0.35">
      <c r="D19" s="306"/>
      <c r="E19" s="196"/>
      <c r="F19" s="313">
        <v>600</v>
      </c>
      <c r="G19" s="388">
        <f>ROUND(G$5/3,-3)</f>
        <v>867000</v>
      </c>
      <c r="H19" s="389"/>
      <c r="I19"/>
      <c r="J19"/>
      <c r="K19"/>
      <c r="L19"/>
      <c r="M19" s="313">
        <v>600</v>
      </c>
      <c r="N19" s="388">
        <f>ROUND(N$5/3,-3)</f>
        <v>867000</v>
      </c>
      <c r="O19" s="389"/>
      <c r="P19"/>
      <c r="Q19"/>
      <c r="R19"/>
      <c r="T19" s="313">
        <v>600</v>
      </c>
      <c r="U19" s="388">
        <f>ROUND(U$5/3,-3)</f>
        <v>1000000</v>
      </c>
      <c r="V19" s="389"/>
      <c r="AA19" s="313">
        <v>600</v>
      </c>
      <c r="AB19" s="388">
        <f>ROUND(AB$5/3,-3)</f>
        <v>867000</v>
      </c>
      <c r="AC19" s="389"/>
      <c r="AH19" s="313">
        <v>600</v>
      </c>
      <c r="AI19" s="388">
        <f>ROUND(AI$5/3,-3)</f>
        <v>867000</v>
      </c>
      <c r="AJ19" s="389"/>
      <c r="AO19" s="313">
        <v>600</v>
      </c>
      <c r="AP19" s="388">
        <f>ROUND(AP$5/3,-3)</f>
        <v>867000</v>
      </c>
      <c r="AQ19" s="389"/>
      <c r="AV19" s="313">
        <v>600</v>
      </c>
      <c r="AW19" s="388">
        <f>ROUND(AW$5/3,-3)</f>
        <v>867000</v>
      </c>
      <c r="AX19" s="389"/>
      <c r="BC19" s="313">
        <v>600</v>
      </c>
      <c r="BD19" s="388">
        <f>ROUND(BD$5/3,-3)</f>
        <v>867000</v>
      </c>
      <c r="BE19" s="389"/>
      <c r="BJ19" s="313">
        <v>600</v>
      </c>
      <c r="BK19" s="388">
        <f>ROUND(BK$5/3,-3)</f>
        <v>867000</v>
      </c>
      <c r="BL19" s="389"/>
      <c r="BQ19" s="313">
        <v>600</v>
      </c>
      <c r="BR19" s="388">
        <f>ROUND(BR$5/3,-3)</f>
        <v>733000</v>
      </c>
      <c r="BS19" s="389"/>
      <c r="BX19" s="313">
        <v>600</v>
      </c>
      <c r="BY19" s="388">
        <f>ROUND(BY$5/3,-3)</f>
        <v>867000</v>
      </c>
      <c r="BZ19" s="389"/>
      <c r="CE19" s="313">
        <v>600</v>
      </c>
      <c r="CF19" s="388">
        <f>ROUND(CF$5/3,-3)</f>
        <v>867000</v>
      </c>
      <c r="CG19" s="389"/>
      <c r="CL19" s="313">
        <v>600</v>
      </c>
      <c r="CM19" s="388">
        <f>ROUND(CM$5/3,-3)</f>
        <v>867000</v>
      </c>
      <c r="CN19" s="389"/>
      <c r="CS19" s="313">
        <v>600</v>
      </c>
      <c r="CT19" s="388">
        <f>ROUND(CT$5/3,-3)</f>
        <v>867000</v>
      </c>
      <c r="CU19" s="389"/>
      <c r="CZ19" s="313">
        <v>600</v>
      </c>
      <c r="DA19" s="388">
        <f>ROUND(DA$5/3,-3)</f>
        <v>867000</v>
      </c>
      <c r="DB19" s="389"/>
      <c r="DG19" s="313">
        <v>600</v>
      </c>
      <c r="DH19" s="388">
        <f>ROUND(DH$5/3,-3)</f>
        <v>867000</v>
      </c>
      <c r="DI19" s="389"/>
      <c r="DN19" s="313">
        <v>600</v>
      </c>
      <c r="DO19" s="388">
        <f>ROUND(DO$5/3,-3)</f>
        <v>700000</v>
      </c>
      <c r="DP19" s="389"/>
      <c r="DU19" s="313">
        <v>600</v>
      </c>
      <c r="DV19" s="388">
        <f>ROUND(DV$5/3,-3)</f>
        <v>720000</v>
      </c>
      <c r="DW19" s="389"/>
      <c r="EB19" s="313">
        <v>600</v>
      </c>
      <c r="EC19" s="388">
        <f>ROUND(EC$5/3,-3)</f>
        <v>933000</v>
      </c>
      <c r="ED19" s="389"/>
      <c r="EI19" s="313">
        <v>600</v>
      </c>
      <c r="EJ19" s="388">
        <f>ROUND(EJ$5/3,-3)</f>
        <v>867000</v>
      </c>
      <c r="EK19" s="389"/>
      <c r="EP19" s="313">
        <v>600</v>
      </c>
      <c r="EQ19" s="388">
        <f>ROUND(EQ$5/3,-3)</f>
        <v>733000</v>
      </c>
      <c r="ER19" s="389"/>
      <c r="EW19" s="313">
        <v>600</v>
      </c>
      <c r="EX19" s="388">
        <f>ROUND(EX$5/3,-3)</f>
        <v>867000</v>
      </c>
      <c r="EY19" s="389"/>
      <c r="FD19" s="313">
        <v>600</v>
      </c>
      <c r="FE19" s="388">
        <f>ROUND(FE$5/3,-3)</f>
        <v>867000</v>
      </c>
      <c r="FF19" s="389"/>
      <c r="FK19" s="313">
        <v>600</v>
      </c>
      <c r="FL19" s="388">
        <f>ROUND(FL$5/3,-3)</f>
        <v>867000</v>
      </c>
      <c r="FM19" s="389"/>
      <c r="FR19" s="313">
        <v>600</v>
      </c>
      <c r="FS19" s="388">
        <f>ROUND(FS$5/3,-3)</f>
        <v>1000000</v>
      </c>
      <c r="FT19" s="389"/>
      <c r="FY19" s="313">
        <v>600</v>
      </c>
      <c r="FZ19" s="388">
        <f>ROUND(FZ$5/3,-3)</f>
        <v>1000000</v>
      </c>
      <c r="GA19" s="389"/>
      <c r="GF19" s="313">
        <v>600</v>
      </c>
      <c r="GG19" s="388">
        <f>ROUND(GG$5/3,-3)</f>
        <v>1000000</v>
      </c>
      <c r="GH19" s="389"/>
      <c r="GM19" s="313">
        <v>600</v>
      </c>
      <c r="GN19" s="388">
        <f>ROUND(GN$5/3,-3)</f>
        <v>1000000</v>
      </c>
      <c r="GO19" s="389"/>
      <c r="GT19" s="313">
        <v>600</v>
      </c>
      <c r="GU19" s="388">
        <f>ROUND(GU$5/3,-3)</f>
        <v>867000</v>
      </c>
      <c r="GV19" s="389"/>
      <c r="HA19" s="313">
        <v>600</v>
      </c>
      <c r="HB19" s="388">
        <f>ROUND(HB$5/3,-3)</f>
        <v>1000000</v>
      </c>
      <c r="HC19" s="389"/>
      <c r="HH19" s="313">
        <v>600</v>
      </c>
      <c r="HI19" s="388">
        <f>ROUND(HI$5/3,-3)</f>
        <v>1000000</v>
      </c>
      <c r="HJ19" s="389"/>
      <c r="HO19" s="313">
        <v>600</v>
      </c>
      <c r="HP19" s="388">
        <f>ROUND(HP$5/3,-3)</f>
        <v>1000000</v>
      </c>
      <c r="HQ19" s="389"/>
      <c r="HV19" s="313">
        <v>600</v>
      </c>
      <c r="HW19" s="388">
        <f>ROUND(HW$5/3,-3)</f>
        <v>1000000</v>
      </c>
      <c r="HX19" s="389"/>
      <c r="IC19" s="313">
        <v>600</v>
      </c>
      <c r="ID19" s="388">
        <f>ROUND(ID$5/3,-3)</f>
        <v>1000000</v>
      </c>
      <c r="IE19" s="389"/>
      <c r="IJ19" s="313">
        <v>600</v>
      </c>
      <c r="IK19" s="388">
        <f>ROUND(IK$5/3,-3)</f>
        <v>733000</v>
      </c>
      <c r="IL19" s="389"/>
      <c r="IQ19" s="313">
        <v>600</v>
      </c>
      <c r="IR19" s="388">
        <f>ROUND(IR$5/3,-3)</f>
        <v>867000</v>
      </c>
      <c r="IS19" s="389"/>
      <c r="IX19" s="313">
        <v>600</v>
      </c>
      <c r="IY19" s="388">
        <f>ROUND(IY$5/3,-3)</f>
        <v>867000</v>
      </c>
      <c r="IZ19" s="389"/>
      <c r="JE19" s="313">
        <v>600</v>
      </c>
      <c r="JF19" s="388">
        <f>ROUND(JF$5/3,-3)</f>
        <v>867000</v>
      </c>
      <c r="JG19" s="389"/>
      <c r="JL19" s="313">
        <v>600</v>
      </c>
      <c r="JM19" s="388">
        <f>ROUND(JM$5/3,-3)</f>
        <v>867000</v>
      </c>
      <c r="JN19" s="389"/>
      <c r="JS19" s="313">
        <v>600</v>
      </c>
      <c r="JT19" s="388">
        <f>ROUND(JT$5/3,-3)</f>
        <v>867000</v>
      </c>
      <c r="JU19" s="389"/>
      <c r="JZ19" s="313">
        <v>600</v>
      </c>
      <c r="KA19" s="388">
        <f>ROUND(KA$5/3,-3)</f>
        <v>867000</v>
      </c>
      <c r="KB19" s="389"/>
      <c r="KG19" s="313">
        <v>600</v>
      </c>
      <c r="KH19" s="388">
        <f>ROUND(KH$5/3,-3)</f>
        <v>700000</v>
      </c>
      <c r="KI19" s="389"/>
      <c r="KN19" s="313">
        <v>600</v>
      </c>
      <c r="KO19" s="388">
        <f>ROUND(KO$5/3,-3)</f>
        <v>720000</v>
      </c>
      <c r="KP19" s="389"/>
      <c r="KU19" s="313">
        <v>600</v>
      </c>
      <c r="KV19" s="388">
        <f>ROUND(KV$5/3,-3)</f>
        <v>933000</v>
      </c>
      <c r="KW19" s="389"/>
      <c r="LB19" s="313">
        <v>600</v>
      </c>
      <c r="LC19" s="388">
        <f>ROUND(LC$5/3,-3)</f>
        <v>867000</v>
      </c>
      <c r="LD19" s="389"/>
      <c r="LI19" s="313">
        <v>600</v>
      </c>
      <c r="LJ19" s="388">
        <f>ROUND(LJ$5/3,-3)</f>
        <v>733000</v>
      </c>
      <c r="LK19" s="389"/>
      <c r="LP19" s="313">
        <v>600</v>
      </c>
      <c r="LQ19" s="388">
        <f>ROUND(LQ$5/3,-3)</f>
        <v>867000</v>
      </c>
      <c r="LR19" s="389"/>
      <c r="LW19" s="313">
        <v>600</v>
      </c>
      <c r="LX19" s="388">
        <f>ROUND(LX$5/3,-3)</f>
        <v>867000</v>
      </c>
      <c r="LY19" s="389"/>
      <c r="MD19" s="313">
        <v>600</v>
      </c>
      <c r="ME19" s="388">
        <f>ROUND(ME$5/3,-3)</f>
        <v>867000</v>
      </c>
      <c r="MF19" s="389"/>
      <c r="MK19" s="313">
        <v>600</v>
      </c>
      <c r="ML19" s="388">
        <f>ROUND(ML$5/3,-3)</f>
        <v>867000</v>
      </c>
      <c r="MM19" s="389"/>
      <c r="MR19" s="313">
        <v>600</v>
      </c>
      <c r="MS19" s="388">
        <f>ROUND(MS$5/3,-3)</f>
        <v>867000</v>
      </c>
      <c r="MT19" s="389"/>
      <c r="MY19" s="313">
        <v>600</v>
      </c>
      <c r="MZ19" s="388">
        <f>ROUND(MZ$5/3,-3)</f>
        <v>867000</v>
      </c>
      <c r="NA19" s="389"/>
      <c r="NF19" s="313">
        <v>600</v>
      </c>
      <c r="NG19" s="388">
        <f>ROUND(NG$5/3,-3)</f>
        <v>867000</v>
      </c>
      <c r="NH19" s="389"/>
      <c r="NM19" s="313">
        <v>600</v>
      </c>
      <c r="NN19" s="388">
        <f>ROUND(NN$5/3,-3)</f>
        <v>867000</v>
      </c>
      <c r="NO19" s="389"/>
    </row>
    <row r="20" spans="1:383" s="196" customFormat="1" ht="16.05" customHeight="1" x14ac:dyDescent="0.3">
      <c r="A20" s="294"/>
      <c r="B20" s="308"/>
      <c r="C20" s="421" t="s">
        <v>20</v>
      </c>
      <c r="D20" s="340"/>
      <c r="F20" s="319" t="s">
        <v>692</v>
      </c>
      <c r="G20" s="420" t="s">
        <v>689</v>
      </c>
      <c r="H20" s="420"/>
      <c r="I20" s="420" t="s">
        <v>687</v>
      </c>
      <c r="J20" s="420"/>
      <c r="K20" s="249" t="s">
        <v>690</v>
      </c>
      <c r="M20" s="319" t="s">
        <v>692</v>
      </c>
      <c r="N20" s="420" t="s">
        <v>689</v>
      </c>
      <c r="O20" s="420"/>
      <c r="P20" s="420" t="s">
        <v>687</v>
      </c>
      <c r="Q20" s="420"/>
      <c r="R20" s="249" t="s">
        <v>690</v>
      </c>
      <c r="S20" s="265"/>
      <c r="T20" s="319" t="s">
        <v>692</v>
      </c>
      <c r="U20" s="394" t="s">
        <v>689</v>
      </c>
      <c r="V20" s="402"/>
      <c r="W20" s="394" t="s">
        <v>687</v>
      </c>
      <c r="X20" s="402"/>
      <c r="Y20" s="249" t="s">
        <v>690</v>
      </c>
      <c r="Z20" s="265"/>
      <c r="AA20" s="319" t="s">
        <v>692</v>
      </c>
      <c r="AB20" s="394" t="s">
        <v>689</v>
      </c>
      <c r="AC20" s="402"/>
      <c r="AD20" s="394" t="s">
        <v>687</v>
      </c>
      <c r="AE20" s="402"/>
      <c r="AF20" s="249" t="s">
        <v>690</v>
      </c>
      <c r="AG20" s="265"/>
      <c r="AH20" s="319" t="s">
        <v>692</v>
      </c>
      <c r="AI20" s="394" t="s">
        <v>689</v>
      </c>
      <c r="AJ20" s="402"/>
      <c r="AK20" s="394" t="s">
        <v>687</v>
      </c>
      <c r="AL20" s="402"/>
      <c r="AM20" s="249" t="s">
        <v>690</v>
      </c>
      <c r="AN20" s="265"/>
      <c r="AO20" s="319" t="s">
        <v>692</v>
      </c>
      <c r="AP20" s="394" t="s">
        <v>689</v>
      </c>
      <c r="AQ20" s="402"/>
      <c r="AR20" s="394" t="s">
        <v>687</v>
      </c>
      <c r="AS20" s="402"/>
      <c r="AT20" s="249" t="s">
        <v>690</v>
      </c>
      <c r="AU20" s="265"/>
      <c r="AV20" s="319" t="s">
        <v>692</v>
      </c>
      <c r="AW20" s="394" t="s">
        <v>689</v>
      </c>
      <c r="AX20" s="402"/>
      <c r="AY20" s="394" t="s">
        <v>687</v>
      </c>
      <c r="AZ20" s="402"/>
      <c r="BA20" s="249" t="s">
        <v>690</v>
      </c>
      <c r="BB20" s="265"/>
      <c r="BC20" s="319" t="s">
        <v>692</v>
      </c>
      <c r="BD20" s="394" t="s">
        <v>689</v>
      </c>
      <c r="BE20" s="402"/>
      <c r="BF20" s="394" t="s">
        <v>687</v>
      </c>
      <c r="BG20" s="402"/>
      <c r="BH20" s="249" t="s">
        <v>690</v>
      </c>
      <c r="BI20" s="265"/>
      <c r="BJ20" s="319" t="s">
        <v>692</v>
      </c>
      <c r="BK20" s="394" t="s">
        <v>689</v>
      </c>
      <c r="BL20" s="402"/>
      <c r="BM20" s="394" t="s">
        <v>687</v>
      </c>
      <c r="BN20" s="402"/>
      <c r="BO20" s="249" t="s">
        <v>690</v>
      </c>
      <c r="BP20" s="265"/>
      <c r="BQ20" s="319" t="s">
        <v>692</v>
      </c>
      <c r="BR20" s="394" t="s">
        <v>689</v>
      </c>
      <c r="BS20" s="402"/>
      <c r="BT20" s="394" t="s">
        <v>687</v>
      </c>
      <c r="BU20" s="402"/>
      <c r="BV20" s="249" t="s">
        <v>690</v>
      </c>
      <c r="BW20" s="265"/>
      <c r="BX20" s="319" t="s">
        <v>692</v>
      </c>
      <c r="BY20" s="394" t="s">
        <v>689</v>
      </c>
      <c r="BZ20" s="402"/>
      <c r="CA20" s="394" t="s">
        <v>687</v>
      </c>
      <c r="CB20" s="402"/>
      <c r="CC20" s="249" t="s">
        <v>690</v>
      </c>
      <c r="CD20" s="265"/>
      <c r="CE20" s="319" t="s">
        <v>692</v>
      </c>
      <c r="CF20" s="394" t="s">
        <v>689</v>
      </c>
      <c r="CG20" s="402"/>
      <c r="CH20" s="394" t="s">
        <v>687</v>
      </c>
      <c r="CI20" s="402"/>
      <c r="CJ20" s="249" t="s">
        <v>690</v>
      </c>
      <c r="CK20" s="265"/>
      <c r="CL20" s="319" t="s">
        <v>692</v>
      </c>
      <c r="CM20" s="394" t="s">
        <v>689</v>
      </c>
      <c r="CN20" s="402"/>
      <c r="CO20" s="394" t="s">
        <v>687</v>
      </c>
      <c r="CP20" s="402"/>
      <c r="CQ20" s="249" t="s">
        <v>690</v>
      </c>
      <c r="CR20" s="265"/>
      <c r="CS20" s="319" t="s">
        <v>692</v>
      </c>
      <c r="CT20" s="394" t="s">
        <v>689</v>
      </c>
      <c r="CU20" s="402"/>
      <c r="CV20" s="394" t="s">
        <v>687</v>
      </c>
      <c r="CW20" s="402"/>
      <c r="CX20" s="249" t="s">
        <v>690</v>
      </c>
      <c r="CY20" s="265"/>
      <c r="CZ20" s="319" t="s">
        <v>692</v>
      </c>
      <c r="DA20" s="394" t="s">
        <v>689</v>
      </c>
      <c r="DB20" s="402"/>
      <c r="DC20" s="394" t="s">
        <v>687</v>
      </c>
      <c r="DD20" s="402"/>
      <c r="DE20" s="249" t="s">
        <v>690</v>
      </c>
      <c r="DF20" s="265"/>
      <c r="DG20" s="319" t="s">
        <v>692</v>
      </c>
      <c r="DH20" s="394" t="s">
        <v>689</v>
      </c>
      <c r="DI20" s="402"/>
      <c r="DJ20" s="394" t="s">
        <v>687</v>
      </c>
      <c r="DK20" s="402"/>
      <c r="DL20" s="249" t="s">
        <v>690</v>
      </c>
      <c r="DM20" s="265"/>
      <c r="DN20" s="319" t="s">
        <v>692</v>
      </c>
      <c r="DO20" s="394" t="s">
        <v>689</v>
      </c>
      <c r="DP20" s="402"/>
      <c r="DQ20" s="394" t="s">
        <v>687</v>
      </c>
      <c r="DR20" s="402"/>
      <c r="DS20" s="249" t="s">
        <v>690</v>
      </c>
      <c r="DT20" s="265"/>
      <c r="DU20" s="319" t="s">
        <v>692</v>
      </c>
      <c r="DV20" s="394" t="s">
        <v>689</v>
      </c>
      <c r="DW20" s="402"/>
      <c r="DX20" s="394" t="s">
        <v>687</v>
      </c>
      <c r="DY20" s="402"/>
      <c r="DZ20" s="249" t="s">
        <v>690</v>
      </c>
      <c r="EA20" s="265"/>
      <c r="EB20" s="319" t="s">
        <v>692</v>
      </c>
      <c r="EC20" s="394" t="s">
        <v>689</v>
      </c>
      <c r="ED20" s="402"/>
      <c r="EE20" s="394" t="s">
        <v>687</v>
      </c>
      <c r="EF20" s="402"/>
      <c r="EG20" s="249" t="s">
        <v>690</v>
      </c>
      <c r="EH20" s="265"/>
      <c r="EI20" s="319" t="s">
        <v>692</v>
      </c>
      <c r="EJ20" s="394" t="s">
        <v>689</v>
      </c>
      <c r="EK20" s="402"/>
      <c r="EL20" s="394" t="s">
        <v>687</v>
      </c>
      <c r="EM20" s="402"/>
      <c r="EN20" s="249" t="s">
        <v>690</v>
      </c>
      <c r="EO20" s="265"/>
      <c r="EP20" s="319" t="s">
        <v>692</v>
      </c>
      <c r="EQ20" s="394" t="s">
        <v>689</v>
      </c>
      <c r="ER20" s="402"/>
      <c r="ES20" s="394" t="s">
        <v>687</v>
      </c>
      <c r="ET20" s="402"/>
      <c r="EU20" s="249" t="s">
        <v>690</v>
      </c>
      <c r="EV20" s="265"/>
      <c r="EW20" s="319" t="s">
        <v>692</v>
      </c>
      <c r="EX20" s="394" t="s">
        <v>689</v>
      </c>
      <c r="EY20" s="402"/>
      <c r="EZ20" s="394" t="s">
        <v>687</v>
      </c>
      <c r="FA20" s="402"/>
      <c r="FB20" s="249" t="s">
        <v>690</v>
      </c>
      <c r="FC20" s="265"/>
      <c r="FD20" s="319" t="s">
        <v>692</v>
      </c>
      <c r="FE20" s="394" t="s">
        <v>689</v>
      </c>
      <c r="FF20" s="402"/>
      <c r="FG20" s="394" t="s">
        <v>687</v>
      </c>
      <c r="FH20" s="402"/>
      <c r="FI20" s="249" t="s">
        <v>690</v>
      </c>
      <c r="FJ20" s="265"/>
      <c r="FK20" s="319" t="s">
        <v>692</v>
      </c>
      <c r="FL20" s="394" t="s">
        <v>689</v>
      </c>
      <c r="FM20" s="402"/>
      <c r="FN20" s="394" t="s">
        <v>687</v>
      </c>
      <c r="FO20" s="402"/>
      <c r="FP20" s="249" t="s">
        <v>690</v>
      </c>
      <c r="FQ20" s="265"/>
      <c r="FR20" s="319" t="s">
        <v>692</v>
      </c>
      <c r="FS20" s="394" t="s">
        <v>689</v>
      </c>
      <c r="FT20" s="402"/>
      <c r="FU20" s="394" t="s">
        <v>687</v>
      </c>
      <c r="FV20" s="402"/>
      <c r="FW20" s="249" t="s">
        <v>690</v>
      </c>
      <c r="FX20" s="265"/>
      <c r="FY20" s="319" t="s">
        <v>692</v>
      </c>
      <c r="FZ20" s="394" t="s">
        <v>689</v>
      </c>
      <c r="GA20" s="402"/>
      <c r="GB20" s="394" t="s">
        <v>687</v>
      </c>
      <c r="GC20" s="402"/>
      <c r="GD20" s="249" t="s">
        <v>690</v>
      </c>
      <c r="GE20" s="265"/>
      <c r="GF20" s="319" t="s">
        <v>692</v>
      </c>
      <c r="GG20" s="394" t="s">
        <v>689</v>
      </c>
      <c r="GH20" s="402"/>
      <c r="GI20" s="394" t="s">
        <v>687</v>
      </c>
      <c r="GJ20" s="402"/>
      <c r="GK20" s="249" t="s">
        <v>690</v>
      </c>
      <c r="GL20" s="265"/>
      <c r="GM20" s="319" t="s">
        <v>692</v>
      </c>
      <c r="GN20" s="394" t="s">
        <v>689</v>
      </c>
      <c r="GO20" s="402"/>
      <c r="GP20" s="394" t="s">
        <v>687</v>
      </c>
      <c r="GQ20" s="402"/>
      <c r="GR20" s="249" t="s">
        <v>690</v>
      </c>
      <c r="GS20" s="265"/>
      <c r="GT20" s="319" t="s">
        <v>692</v>
      </c>
      <c r="GU20" s="394" t="s">
        <v>689</v>
      </c>
      <c r="GV20" s="402"/>
      <c r="GW20" s="394" t="s">
        <v>687</v>
      </c>
      <c r="GX20" s="402"/>
      <c r="GY20" s="249" t="s">
        <v>690</v>
      </c>
      <c r="GZ20" s="283"/>
      <c r="HA20" s="319" t="s">
        <v>692</v>
      </c>
      <c r="HB20" s="394" t="s">
        <v>689</v>
      </c>
      <c r="HC20" s="402"/>
      <c r="HD20" s="394" t="s">
        <v>687</v>
      </c>
      <c r="HE20" s="402"/>
      <c r="HF20" s="249" t="s">
        <v>690</v>
      </c>
      <c r="HG20" s="265"/>
      <c r="HH20" s="319" t="s">
        <v>692</v>
      </c>
      <c r="HI20" s="394" t="s">
        <v>689</v>
      </c>
      <c r="HJ20" s="402"/>
      <c r="HK20" s="394" t="s">
        <v>687</v>
      </c>
      <c r="HL20" s="402"/>
      <c r="HM20" s="249" t="s">
        <v>690</v>
      </c>
      <c r="HN20" s="265"/>
      <c r="HO20" s="319" t="s">
        <v>692</v>
      </c>
      <c r="HP20" s="394" t="s">
        <v>689</v>
      </c>
      <c r="HQ20" s="402"/>
      <c r="HR20" s="394" t="s">
        <v>687</v>
      </c>
      <c r="HS20" s="402"/>
      <c r="HT20" s="249" t="s">
        <v>690</v>
      </c>
      <c r="HU20" s="265"/>
      <c r="HV20" s="319" t="s">
        <v>692</v>
      </c>
      <c r="HW20" s="394" t="s">
        <v>689</v>
      </c>
      <c r="HX20" s="402"/>
      <c r="HY20" s="394" t="s">
        <v>687</v>
      </c>
      <c r="HZ20" s="402"/>
      <c r="IA20" s="249" t="s">
        <v>690</v>
      </c>
      <c r="IB20" s="265"/>
      <c r="IC20" s="319" t="s">
        <v>692</v>
      </c>
      <c r="ID20" s="394" t="s">
        <v>689</v>
      </c>
      <c r="IE20" s="402"/>
      <c r="IF20" s="394" t="s">
        <v>687</v>
      </c>
      <c r="IG20" s="402"/>
      <c r="IH20" s="249" t="s">
        <v>690</v>
      </c>
      <c r="II20" s="265"/>
      <c r="IJ20" s="319" t="s">
        <v>692</v>
      </c>
      <c r="IK20" s="394" t="s">
        <v>689</v>
      </c>
      <c r="IL20" s="402"/>
      <c r="IM20" s="394" t="s">
        <v>687</v>
      </c>
      <c r="IN20" s="402"/>
      <c r="IO20" s="249" t="s">
        <v>690</v>
      </c>
      <c r="IP20" s="265"/>
      <c r="IQ20" s="319" t="s">
        <v>692</v>
      </c>
      <c r="IR20" s="394" t="s">
        <v>689</v>
      </c>
      <c r="IS20" s="402"/>
      <c r="IT20" s="394" t="s">
        <v>687</v>
      </c>
      <c r="IU20" s="402"/>
      <c r="IV20" s="249" t="s">
        <v>690</v>
      </c>
      <c r="IW20" s="265"/>
      <c r="IX20" s="319" t="s">
        <v>692</v>
      </c>
      <c r="IY20" s="394" t="s">
        <v>689</v>
      </c>
      <c r="IZ20" s="402"/>
      <c r="JA20" s="394" t="s">
        <v>687</v>
      </c>
      <c r="JB20" s="402"/>
      <c r="JC20" s="249" t="s">
        <v>690</v>
      </c>
      <c r="JD20" s="265"/>
      <c r="JE20" s="319" t="s">
        <v>692</v>
      </c>
      <c r="JF20" s="394" t="s">
        <v>689</v>
      </c>
      <c r="JG20" s="402"/>
      <c r="JH20" s="394" t="s">
        <v>687</v>
      </c>
      <c r="JI20" s="402"/>
      <c r="JJ20" s="249" t="s">
        <v>690</v>
      </c>
      <c r="JK20" s="265"/>
      <c r="JL20" s="319" t="s">
        <v>692</v>
      </c>
      <c r="JM20" s="394" t="s">
        <v>689</v>
      </c>
      <c r="JN20" s="402"/>
      <c r="JO20" s="394" t="s">
        <v>687</v>
      </c>
      <c r="JP20" s="402"/>
      <c r="JQ20" s="249" t="s">
        <v>690</v>
      </c>
      <c r="JR20" s="265"/>
      <c r="JS20" s="319" t="s">
        <v>692</v>
      </c>
      <c r="JT20" s="394" t="s">
        <v>689</v>
      </c>
      <c r="JU20" s="402"/>
      <c r="JV20" s="394" t="s">
        <v>687</v>
      </c>
      <c r="JW20" s="402"/>
      <c r="JX20" s="249" t="s">
        <v>690</v>
      </c>
      <c r="JY20" s="265"/>
      <c r="JZ20" s="319" t="s">
        <v>692</v>
      </c>
      <c r="KA20" s="394" t="s">
        <v>689</v>
      </c>
      <c r="KB20" s="402"/>
      <c r="KC20" s="394" t="s">
        <v>687</v>
      </c>
      <c r="KD20" s="402"/>
      <c r="KE20" s="249" t="s">
        <v>690</v>
      </c>
      <c r="KF20" s="265"/>
      <c r="KG20" s="319" t="s">
        <v>692</v>
      </c>
      <c r="KH20" s="394" t="s">
        <v>689</v>
      </c>
      <c r="KI20" s="402"/>
      <c r="KJ20" s="394" t="s">
        <v>687</v>
      </c>
      <c r="KK20" s="402"/>
      <c r="KL20" s="249" t="s">
        <v>690</v>
      </c>
      <c r="KM20" s="265"/>
      <c r="KN20" s="319" t="s">
        <v>692</v>
      </c>
      <c r="KO20" s="394" t="s">
        <v>689</v>
      </c>
      <c r="KP20" s="402"/>
      <c r="KQ20" s="394" t="s">
        <v>687</v>
      </c>
      <c r="KR20" s="402"/>
      <c r="KS20" s="249" t="s">
        <v>690</v>
      </c>
      <c r="KT20" s="265"/>
      <c r="KU20" s="319" t="s">
        <v>692</v>
      </c>
      <c r="KV20" s="394" t="s">
        <v>689</v>
      </c>
      <c r="KW20" s="402"/>
      <c r="KX20" s="394" t="s">
        <v>687</v>
      </c>
      <c r="KY20" s="402"/>
      <c r="KZ20" s="249" t="s">
        <v>690</v>
      </c>
      <c r="LA20" s="265"/>
      <c r="LB20" s="319" t="s">
        <v>692</v>
      </c>
      <c r="LC20" s="394" t="s">
        <v>689</v>
      </c>
      <c r="LD20" s="402"/>
      <c r="LE20" s="394" t="s">
        <v>687</v>
      </c>
      <c r="LF20" s="402"/>
      <c r="LG20" s="249" t="s">
        <v>690</v>
      </c>
      <c r="LH20" s="265"/>
      <c r="LI20" s="319" t="s">
        <v>692</v>
      </c>
      <c r="LJ20" s="394" t="s">
        <v>689</v>
      </c>
      <c r="LK20" s="402"/>
      <c r="LL20" s="394" t="s">
        <v>687</v>
      </c>
      <c r="LM20" s="402"/>
      <c r="LN20" s="249" t="s">
        <v>690</v>
      </c>
      <c r="LO20" s="265"/>
      <c r="LP20" s="319" t="s">
        <v>692</v>
      </c>
      <c r="LQ20" s="394" t="s">
        <v>689</v>
      </c>
      <c r="LR20" s="402"/>
      <c r="LS20" s="394" t="s">
        <v>687</v>
      </c>
      <c r="LT20" s="402"/>
      <c r="LU20" s="249" t="s">
        <v>690</v>
      </c>
      <c r="LV20" s="265"/>
      <c r="LW20" s="319" t="s">
        <v>692</v>
      </c>
      <c r="LX20" s="394" t="s">
        <v>689</v>
      </c>
      <c r="LY20" s="402"/>
      <c r="LZ20" s="394" t="s">
        <v>687</v>
      </c>
      <c r="MA20" s="402"/>
      <c r="MB20" s="249" t="s">
        <v>690</v>
      </c>
      <c r="MC20" s="265"/>
      <c r="MD20" s="319" t="s">
        <v>692</v>
      </c>
      <c r="ME20" s="394" t="s">
        <v>689</v>
      </c>
      <c r="MF20" s="402"/>
      <c r="MG20" s="394" t="s">
        <v>687</v>
      </c>
      <c r="MH20" s="402"/>
      <c r="MI20" s="249" t="s">
        <v>690</v>
      </c>
      <c r="MJ20" s="265"/>
      <c r="MK20" s="319" t="s">
        <v>692</v>
      </c>
      <c r="ML20" s="394" t="s">
        <v>689</v>
      </c>
      <c r="MM20" s="402"/>
      <c r="MN20" s="394" t="s">
        <v>687</v>
      </c>
      <c r="MO20" s="402"/>
      <c r="MP20" s="249" t="s">
        <v>690</v>
      </c>
      <c r="MQ20" s="265"/>
      <c r="MR20" s="319" t="s">
        <v>692</v>
      </c>
      <c r="MS20" s="394" t="s">
        <v>689</v>
      </c>
      <c r="MT20" s="402"/>
      <c r="MU20" s="394" t="s">
        <v>687</v>
      </c>
      <c r="MV20" s="402"/>
      <c r="MW20" s="249" t="s">
        <v>690</v>
      </c>
      <c r="MX20" s="265"/>
      <c r="MY20" s="319" t="s">
        <v>692</v>
      </c>
      <c r="MZ20" s="394" t="s">
        <v>689</v>
      </c>
      <c r="NA20" s="402"/>
      <c r="NB20" s="394" t="s">
        <v>687</v>
      </c>
      <c r="NC20" s="402"/>
      <c r="ND20" s="249" t="s">
        <v>690</v>
      </c>
      <c r="NE20" s="265"/>
      <c r="NF20" s="319" t="s">
        <v>692</v>
      </c>
      <c r="NG20" s="394" t="s">
        <v>689</v>
      </c>
      <c r="NH20" s="402"/>
      <c r="NI20" s="394" t="s">
        <v>687</v>
      </c>
      <c r="NJ20" s="402"/>
      <c r="NK20" s="249" t="s">
        <v>690</v>
      </c>
      <c r="NL20" s="265"/>
      <c r="NM20" s="319" t="s">
        <v>692</v>
      </c>
      <c r="NN20" s="394" t="s">
        <v>689</v>
      </c>
      <c r="NO20" s="402"/>
      <c r="NP20" s="394" t="s">
        <v>687</v>
      </c>
      <c r="NQ20" s="402"/>
      <c r="NR20" s="249" t="s">
        <v>690</v>
      </c>
      <c r="NS20" s="283"/>
    </row>
    <row r="21" spans="1:383" s="196" customFormat="1" ht="16.05" customHeight="1" x14ac:dyDescent="0.3">
      <c r="A21" s="294"/>
      <c r="B21" s="308"/>
      <c r="C21" s="422"/>
      <c r="D21" s="340"/>
      <c r="F21" s="322">
        <f>'Pilotage effectif EUP'!N43</f>
        <v>35</v>
      </c>
      <c r="G21" s="403">
        <f>G23/F23</f>
        <v>0</v>
      </c>
      <c r="H21" s="404"/>
      <c r="I21" s="405">
        <f>'Pilotage effectif EUP'!N43*35</f>
        <v>1225</v>
      </c>
      <c r="J21" s="406"/>
      <c r="K21" s="318">
        <f>IF(G21&lt;&gt;0,I21-G21,0)</f>
        <v>0</v>
      </c>
      <c r="L21" s="332">
        <f>K21/35</f>
        <v>0</v>
      </c>
      <c r="M21" s="322">
        <f>'Pilotage effectif EUP'!U43</f>
        <v>35</v>
      </c>
      <c r="N21" s="403">
        <f>N23/M23</f>
        <v>0</v>
      </c>
      <c r="O21" s="404"/>
      <c r="P21" s="405">
        <f>'Pilotage effectif EUP'!U43*35</f>
        <v>1225</v>
      </c>
      <c r="Q21" s="406"/>
      <c r="R21" s="318">
        <f>IF(N21&lt;&gt;0,P21-N21,0)</f>
        <v>0</v>
      </c>
      <c r="S21" s="332">
        <f>R21/35</f>
        <v>0</v>
      </c>
      <c r="T21" s="322">
        <f>'Pilotage effectif EUP'!AB43</f>
        <v>32</v>
      </c>
      <c r="U21" s="403">
        <f>U23/T23</f>
        <v>0</v>
      </c>
      <c r="V21" s="404"/>
      <c r="W21" s="405">
        <f>'Pilotage effectif EUP'!AB43*42</f>
        <v>1344</v>
      </c>
      <c r="X21" s="406"/>
      <c r="Y21" s="318">
        <f>IF(U21&lt;&gt;0,W21-U21,0)</f>
        <v>0</v>
      </c>
      <c r="Z21" s="332">
        <f>Y21/35</f>
        <v>0</v>
      </c>
      <c r="AA21" s="322">
        <f>'Pilotage effectif EUP'!AI43</f>
        <v>32</v>
      </c>
      <c r="AB21" s="403">
        <f>AB23/AA23</f>
        <v>704.22535211267609</v>
      </c>
      <c r="AC21" s="404"/>
      <c r="AD21" s="405">
        <f>'Pilotage effectif EUP'!AI43*35</f>
        <v>1120</v>
      </c>
      <c r="AE21" s="406"/>
      <c r="AF21" s="318">
        <f>IF(AB21&lt;&gt;0,AD21-AB21,0)</f>
        <v>415.77464788732391</v>
      </c>
      <c r="AG21" s="332">
        <f>AF21/35</f>
        <v>11.879275653923541</v>
      </c>
      <c r="AH21" s="322">
        <f>'Pilotage effectif EUP'!AP43</f>
        <v>30</v>
      </c>
      <c r="AI21" s="403">
        <f>IFERROR(AI23/AH23,0)</f>
        <v>816.90140845070425</v>
      </c>
      <c r="AJ21" s="404"/>
      <c r="AK21" s="405">
        <f>'Pilotage effectif EUP'!AP43*35</f>
        <v>1050</v>
      </c>
      <c r="AL21" s="406"/>
      <c r="AM21" s="318">
        <f>IF(AI21&lt;&gt;0,AK21-AI21,0)</f>
        <v>233.09859154929575</v>
      </c>
      <c r="AN21" s="332">
        <f>AM21/35</f>
        <v>6.6599597585513068</v>
      </c>
      <c r="AO21" s="322">
        <f>'Pilotage effectif EUP'!AW43</f>
        <v>30</v>
      </c>
      <c r="AP21" s="403">
        <f>IFERROR(AP23/AO23,0)</f>
        <v>873.23943661971828</v>
      </c>
      <c r="AQ21" s="404"/>
      <c r="AR21" s="405">
        <f>'Pilotage effectif EUP'!AW43*39</f>
        <v>1170</v>
      </c>
      <c r="AS21" s="406"/>
      <c r="AT21" s="318">
        <f>IF(AP21&lt;&gt;0,AR21-AP21,0)</f>
        <v>296.76056338028172</v>
      </c>
      <c r="AU21" s="332">
        <f>AT21/35</f>
        <v>8.47887323943662</v>
      </c>
      <c r="AV21" s="322">
        <f>'Pilotage effectif EUP'!BD43</f>
        <v>31</v>
      </c>
      <c r="AW21" s="403">
        <f>IFERROR(AW23/AV23,0)</f>
        <v>904.53834115805932</v>
      </c>
      <c r="AX21" s="404"/>
      <c r="AY21" s="405">
        <f>'Pilotage effectif EUP'!BD43*35</f>
        <v>1085</v>
      </c>
      <c r="AZ21" s="406"/>
      <c r="BA21" s="318">
        <f>IF(AW21&lt;&gt;0,AY21-AW21,0)</f>
        <v>180.46165884194068</v>
      </c>
      <c r="BB21" s="332">
        <f>BA21/35</f>
        <v>5.1560473954840189</v>
      </c>
      <c r="BC21" s="322">
        <f>'Pilotage effectif EUP'!BK43</f>
        <v>31</v>
      </c>
      <c r="BD21" s="403">
        <f>IFERROR(BD23/BC23,0)</f>
        <v>872.23340040241453</v>
      </c>
      <c r="BE21" s="404"/>
      <c r="BF21" s="405">
        <f>'Pilotage effectif EUP'!BK43*35</f>
        <v>1085</v>
      </c>
      <c r="BG21" s="406"/>
      <c r="BH21" s="318">
        <f>IF(BD21&lt;&gt;0,BF21-BD21,0)</f>
        <v>212.76659959758547</v>
      </c>
      <c r="BI21" s="332">
        <f>BH21/35</f>
        <v>6.0790457027881564</v>
      </c>
      <c r="BJ21" s="322">
        <f>'Pilotage effectif EUP'!BR43</f>
        <v>31</v>
      </c>
      <c r="BK21" s="403">
        <f>IFERROR(BK23/BJ23,0)</f>
        <v>903.125</v>
      </c>
      <c r="BL21" s="404"/>
      <c r="BM21" s="405">
        <f>'Pilotage effectif EUP'!BR43*35</f>
        <v>1085</v>
      </c>
      <c r="BN21" s="406"/>
      <c r="BO21" s="318">
        <f>IF(BK21&lt;&gt;0,BM21-BK21,0)</f>
        <v>181.875</v>
      </c>
      <c r="BP21" s="332">
        <f>BO21/35</f>
        <v>5.1964285714285712</v>
      </c>
      <c r="BQ21" s="342">
        <f>'Pilotage effectif EUP'!BY43</f>
        <v>32</v>
      </c>
      <c r="BR21" s="403">
        <f>IFERROR(BR23/BQ23,0)</f>
        <v>904.93827160493822</v>
      </c>
      <c r="BS21" s="404"/>
      <c r="BT21" s="405">
        <f>'Pilotage effectif EUP'!BY43*35</f>
        <v>1120</v>
      </c>
      <c r="BU21" s="406"/>
      <c r="BV21" s="318">
        <f>IF(BR21&lt;&gt;0,BT21-BR21,0)</f>
        <v>215.06172839506178</v>
      </c>
      <c r="BW21" s="332">
        <f>BV21/35</f>
        <v>6.1446208112874796</v>
      </c>
      <c r="BX21" s="322">
        <f>'Pilotage effectif EUP'!CH43</f>
        <v>28</v>
      </c>
      <c r="BY21" s="403">
        <f>IFERROR(BY23/BX23,0)</f>
        <v>967.63392857142867</v>
      </c>
      <c r="BZ21" s="404"/>
      <c r="CA21" s="405">
        <f>'Pilotage effectif EUP'!CF43*35</f>
        <v>1155</v>
      </c>
      <c r="CB21" s="406"/>
      <c r="CC21" s="318">
        <f>IF(BY21&lt;&gt;0,CA21-BY21,0)</f>
        <v>187.36607142857133</v>
      </c>
      <c r="CD21" s="332">
        <f>CC21/35</f>
        <v>5.3533163265306092</v>
      </c>
      <c r="CE21" s="322">
        <f>'Pilotage effectif EUP'!CM43</f>
        <v>28</v>
      </c>
      <c r="CF21" s="403">
        <f>IFERROR(CF23/CE23,0)</f>
        <v>872.72812499999998</v>
      </c>
      <c r="CG21" s="404"/>
      <c r="CH21" s="405">
        <f>'Pilotage effectif EUP'!CM43*35</f>
        <v>980</v>
      </c>
      <c r="CI21" s="406"/>
      <c r="CJ21" s="318">
        <f>IF(CF21&lt;&gt;0,CH21-CF21,0)</f>
        <v>107.27187500000002</v>
      </c>
      <c r="CK21" s="332">
        <f>CJ21/35</f>
        <v>3.0649107142857148</v>
      </c>
      <c r="CL21" s="342">
        <f>'Pilotage effectif EUP'!CT43</f>
        <v>28</v>
      </c>
      <c r="CM21" s="403">
        <f>IFERROR(CM23/CL23,0)</f>
        <v>860.54590570719608</v>
      </c>
      <c r="CN21" s="404"/>
      <c r="CO21" s="405">
        <f>'Pilotage effectif EUP'!CT43*35</f>
        <v>980</v>
      </c>
      <c r="CP21" s="406"/>
      <c r="CQ21" s="318">
        <f>IF(CM21&lt;&gt;0,CO21-CM21,0)</f>
        <v>119.45409429280392</v>
      </c>
      <c r="CR21" s="332">
        <f>CQ21/35</f>
        <v>3.4129741226515407</v>
      </c>
      <c r="CS21" s="342">
        <f>'Pilotage effectif EUP'!DA43</f>
        <v>28</v>
      </c>
      <c r="CT21" s="403">
        <f>IFERROR(CT23/CS23,0)</f>
        <v>903.125</v>
      </c>
      <c r="CU21" s="404"/>
      <c r="CV21" s="405">
        <f>'Pilotage effectif EUP'!DA43*35</f>
        <v>980</v>
      </c>
      <c r="CW21" s="406"/>
      <c r="CX21" s="318">
        <f>IF(CT21&lt;&gt;0,CV21-CT21,0)</f>
        <v>76.875</v>
      </c>
      <c r="CY21" s="332">
        <f>CX21/35</f>
        <v>2.1964285714285716</v>
      </c>
      <c r="CZ21" s="342">
        <f>'Pilotage effectif EUP'!DH43</f>
        <v>29.4</v>
      </c>
      <c r="DA21" s="403">
        <f>IFERROR(DA23/CZ23,0)</f>
        <v>934.26724137931035</v>
      </c>
      <c r="DB21" s="404"/>
      <c r="DC21" s="405">
        <f>'Pilotage effectif EUP'!DH43*35</f>
        <v>1029</v>
      </c>
      <c r="DD21" s="406"/>
      <c r="DE21" s="318">
        <f>IF(DA21&lt;&gt;0,DC21-DA21,0)</f>
        <v>94.732758620689651</v>
      </c>
      <c r="DF21" s="332">
        <f>DE21/35</f>
        <v>2.7066502463054185</v>
      </c>
      <c r="DG21" s="342">
        <f>'Pilotage effectif EUP'!DV43</f>
        <v>27</v>
      </c>
      <c r="DH21" s="403">
        <f>IFERROR(DH23/DG23,0)</f>
        <v>860.54590570719608</v>
      </c>
      <c r="DI21" s="404"/>
      <c r="DJ21" s="405">
        <f>'Pilotage effectif EUP'!DV43*35</f>
        <v>945</v>
      </c>
      <c r="DK21" s="406"/>
      <c r="DL21" s="318">
        <f>IF(DH21&lt;&gt;0,DJ21-DH21,0)</f>
        <v>84.454094292803916</v>
      </c>
      <c r="DM21" s="332">
        <f>DL21/35</f>
        <v>2.4129741226515407</v>
      </c>
      <c r="DN21" s="342">
        <f>'Pilotage effectif EUP'!DV43</f>
        <v>27</v>
      </c>
      <c r="DO21" s="403">
        <f>IFERROR(DO23/DN23,0)</f>
        <v>731.45245559038665</v>
      </c>
      <c r="DP21" s="404"/>
      <c r="DQ21" s="405">
        <f>'Pilotage effectif EUP'!DV43*35</f>
        <v>945</v>
      </c>
      <c r="DR21" s="406"/>
      <c r="DS21" s="318">
        <f>IF(DO21&lt;&gt;0,DQ21-DO21,0)</f>
        <v>213.54754440961335</v>
      </c>
      <c r="DT21" s="332">
        <f>DS21/35</f>
        <v>6.1013584117032389</v>
      </c>
      <c r="DU21" s="342">
        <f>'Pilotage effectif EUP'!EC43</f>
        <v>22.2</v>
      </c>
      <c r="DV21" s="403">
        <f>IFERROR(DV23/DU23,0)</f>
        <v>683.11195445920305</v>
      </c>
      <c r="DW21" s="404"/>
      <c r="DX21" s="405">
        <f>'Pilotage effectif EUP'!EC43*35</f>
        <v>777</v>
      </c>
      <c r="DY21" s="406"/>
      <c r="DZ21" s="318">
        <f>IF(DV21&lt;&gt;0,DX21-DV21,0)</f>
        <v>93.888045540796952</v>
      </c>
      <c r="EA21" s="332">
        <f>DZ21/35</f>
        <v>2.6825155868799131</v>
      </c>
      <c r="EB21" s="342">
        <f>'Pilotage effectif EUP'!EJ43</f>
        <v>24.6</v>
      </c>
      <c r="EC21" s="403">
        <f>IFERROR(EC23/EB23,0)</f>
        <v>928.35820895522386</v>
      </c>
      <c r="ED21" s="404"/>
      <c r="EE21" s="405">
        <f>'Pilotage effectif EUP'!EJ43*35</f>
        <v>861</v>
      </c>
      <c r="EF21" s="406"/>
      <c r="EG21" s="318">
        <f>IF(EC21&lt;&gt;0,EE21-EC21,0)</f>
        <v>-67.358208955223859</v>
      </c>
      <c r="EH21" s="332">
        <f>EG21/35</f>
        <v>-1.9245202558635388</v>
      </c>
      <c r="EI21" s="322">
        <f>'Pilotage effectif EUP'!EQ43</f>
        <v>27</v>
      </c>
      <c r="EJ21" s="403">
        <f>IFERROR(EJ23/EI23,0)</f>
        <v>889.23076923076928</v>
      </c>
      <c r="EK21" s="404"/>
      <c r="EL21" s="405">
        <f>'Pilotage effectif EUP'!EQ43*35</f>
        <v>945</v>
      </c>
      <c r="EM21" s="406"/>
      <c r="EN21" s="318">
        <f>IF(EJ21&lt;&gt;0,EL21-EJ21,0)</f>
        <v>55.769230769230717</v>
      </c>
      <c r="EO21" s="332">
        <f>EN21/35</f>
        <v>1.593406593406592</v>
      </c>
      <c r="EP21" s="322">
        <f>'Pilotage effectif EUP'!EX43</f>
        <v>30</v>
      </c>
      <c r="EQ21" s="403">
        <f>IFERROR(EQ23/EP23,0)</f>
        <v>1009.6418732782369</v>
      </c>
      <c r="ER21" s="404"/>
      <c r="ES21" s="405">
        <f>'Pilotage effectif EUP'!EX43*35</f>
        <v>1050</v>
      </c>
      <c r="ET21" s="406"/>
      <c r="EU21" s="318">
        <f>IF(EQ21&lt;&gt;0,ES21-EQ21,0)</f>
        <v>40.358126721763142</v>
      </c>
      <c r="EV21" s="332">
        <f>EU21/35</f>
        <v>1.1530893349075184</v>
      </c>
      <c r="EW21" s="322">
        <f>'Pilotage effectif EUP'!FE43</f>
        <v>27</v>
      </c>
      <c r="EX21" s="403">
        <f>IFERROR(EX23/EW23,0)</f>
        <v>875.75757575757575</v>
      </c>
      <c r="EY21" s="404"/>
      <c r="EZ21" s="405">
        <f>'Pilotage effectif EUP'!FE43*35</f>
        <v>945</v>
      </c>
      <c r="FA21" s="406"/>
      <c r="FB21" s="318">
        <f>IF(EX21&lt;&gt;0,EZ21-EX21,0)</f>
        <v>69.242424242424249</v>
      </c>
      <c r="FC21" s="332">
        <f>FB21/35</f>
        <v>1.9783549783549785</v>
      </c>
      <c r="FD21" s="322">
        <f>'Pilotage effectif EUP'!FL43</f>
        <v>28</v>
      </c>
      <c r="FE21" s="403">
        <f>IFERROR(FE23/FD23,0)</f>
        <v>909.09090909090912</v>
      </c>
      <c r="FF21" s="404"/>
      <c r="FG21" s="405">
        <f>'Pilotage effectif EUP'!FL43*35</f>
        <v>980</v>
      </c>
      <c r="FH21" s="406"/>
      <c r="FI21" s="318">
        <f>IF(FE21&lt;&gt;0,FG21-FE21,0)</f>
        <v>70.909090909090878</v>
      </c>
      <c r="FJ21" s="332">
        <f>FI21/35</f>
        <v>2.0259740259740249</v>
      </c>
      <c r="FK21" s="342">
        <f>'Pilotage effectif EUP'!FS43</f>
        <v>24.4</v>
      </c>
      <c r="FL21" s="403">
        <f>IFERROR(FL23/FK23,0)</f>
        <v>937.5</v>
      </c>
      <c r="FM21" s="404"/>
      <c r="FN21" s="405">
        <f>'Pilotage effectif EUP'!FS43*39</f>
        <v>951.59999999999991</v>
      </c>
      <c r="FO21" s="406"/>
      <c r="FP21" s="318">
        <f>IF(FL21&lt;&gt;0,FN21-FL21,0)</f>
        <v>14.099999999999909</v>
      </c>
      <c r="FQ21" s="332">
        <f>FP21/35</f>
        <v>0.40285714285714025</v>
      </c>
      <c r="FR21" s="322">
        <f>'Pilotage effectif EUP'!FZ43</f>
        <v>29</v>
      </c>
      <c r="FS21" s="403">
        <f>IFERROR(FS23/FR23,0)</f>
        <v>1010.10101010101</v>
      </c>
      <c r="FT21" s="404"/>
      <c r="FU21" s="405">
        <f>'Pilotage effectif EUP'!FZ43*35</f>
        <v>1015</v>
      </c>
      <c r="FV21" s="406"/>
      <c r="FW21" s="318">
        <f>IF(FS21&lt;&gt;0,FU21-FS21,0)</f>
        <v>4.898989898989953</v>
      </c>
      <c r="FX21" s="332">
        <f>FW21/35</f>
        <v>0.13997113997114152</v>
      </c>
      <c r="FY21" s="342">
        <f>'Pilotage effectif EUP'!GG43</f>
        <v>29.4</v>
      </c>
      <c r="FZ21" s="403">
        <f>IFERROR(FZ23/FY23,0)</f>
        <v>1041.6666666666665</v>
      </c>
      <c r="GA21" s="404"/>
      <c r="GB21" s="405">
        <f>'Pilotage effectif EUP'!GG43*35</f>
        <v>1029</v>
      </c>
      <c r="GC21" s="406"/>
      <c r="GD21" s="318">
        <f>IF(FZ21&lt;&gt;0,GB21-FZ21,0)</f>
        <v>-12.666666666666515</v>
      </c>
      <c r="GE21" s="332">
        <f>GD21/35</f>
        <v>-0.36190476190475757</v>
      </c>
      <c r="GF21" s="322">
        <f>'Pilotage effectif EUP'!GN43</f>
        <v>26</v>
      </c>
      <c r="GG21" s="403">
        <f>IFERROR(GG23/GF23,0)</f>
        <v>1041.6666666666665</v>
      </c>
      <c r="GH21" s="404"/>
      <c r="GI21" s="405">
        <f>'Pilotage effectif EUP'!GN43*35</f>
        <v>910</v>
      </c>
      <c r="GJ21" s="406"/>
      <c r="GK21" s="318">
        <f>IF(GG21&lt;&gt;0,GI21-GG21,0)</f>
        <v>-131.66666666666652</v>
      </c>
      <c r="GL21" s="332">
        <f>GK21/35</f>
        <v>-3.7619047619047574</v>
      </c>
      <c r="GM21" s="322">
        <f>'Pilotage effectif EUP'!GU43</f>
        <v>27</v>
      </c>
      <c r="GN21" s="403">
        <f>IFERROR(GN23/GM23,0)</f>
        <v>1041.6666666666665</v>
      </c>
      <c r="GO21" s="404"/>
      <c r="GP21" s="405">
        <f>'Pilotage effectif EUP'!GU43*35</f>
        <v>945</v>
      </c>
      <c r="GQ21" s="406"/>
      <c r="GR21" s="318">
        <f>IF(GN21&lt;&gt;0,GP21-GN21,0)</f>
        <v>-96.666666666666515</v>
      </c>
      <c r="GS21" s="332">
        <f>GR21/35</f>
        <v>-2.7619047619047574</v>
      </c>
      <c r="GT21" s="342">
        <f>'Pilotage effectif EUP'!HB43</f>
        <v>22</v>
      </c>
      <c r="GU21" s="403">
        <f>IFERROR(GU23/GT23,0)</f>
        <v>903.125</v>
      </c>
      <c r="GV21" s="404"/>
      <c r="GW21" s="405">
        <f>'Pilotage effectif EUP'!HB43*35</f>
        <v>770</v>
      </c>
      <c r="GX21" s="406"/>
      <c r="GY21" s="318">
        <f>IF(GU21&lt;&gt;0,GW21-GU21,0)</f>
        <v>-133.125</v>
      </c>
      <c r="GZ21" s="332">
        <f>GY21/35</f>
        <v>-3.8035714285714284</v>
      </c>
      <c r="HA21" s="322">
        <f>'Pilotage effectif EUP'!HI43</f>
        <v>21</v>
      </c>
      <c r="HB21" s="403">
        <f>IFERROR(HB23/HA23,0)</f>
        <v>906.25</v>
      </c>
      <c r="HC21" s="404"/>
      <c r="HD21" s="405">
        <f>'Pilotage effectif EUP'!HI43*35</f>
        <v>735</v>
      </c>
      <c r="HE21" s="406"/>
      <c r="HF21" s="318">
        <f>IF(HB21&lt;&gt;0,HD21-HB21,0)</f>
        <v>-171.25</v>
      </c>
      <c r="HG21" s="332">
        <f>HF21/35</f>
        <v>-4.8928571428571432</v>
      </c>
      <c r="HH21" s="322">
        <f>'Pilotage effectif EUP'!HP43</f>
        <v>22</v>
      </c>
      <c r="HI21" s="403">
        <f>IFERROR(HI23/HH23,0)</f>
        <v>968.75</v>
      </c>
      <c r="HJ21" s="404"/>
      <c r="HK21" s="405">
        <f>'Pilotage effectif EUP'!HP43*39</f>
        <v>858</v>
      </c>
      <c r="HL21" s="406"/>
      <c r="HM21" s="318">
        <f>IF(HI21&lt;&gt;0,HK21-HI21,0)</f>
        <v>-110.75</v>
      </c>
      <c r="HN21" s="332">
        <f>HM21/35</f>
        <v>-3.1642857142857141</v>
      </c>
      <c r="HO21" s="322">
        <f>'Pilotage effectif EUP'!HW43</f>
        <v>25</v>
      </c>
      <c r="HP21" s="403">
        <f>IFERROR(HP23/HO23,0)</f>
        <v>1041.6666666666665</v>
      </c>
      <c r="HQ21" s="404"/>
      <c r="HR21" s="405">
        <f>'Pilotage effectif EUP'!HW43*35</f>
        <v>875</v>
      </c>
      <c r="HS21" s="406"/>
      <c r="HT21" s="318">
        <f>IF(HP21&lt;&gt;0,HR21-HP21,0)</f>
        <v>-166.66666666666652</v>
      </c>
      <c r="HU21" s="332">
        <f>HT21/35</f>
        <v>-4.7619047619047574</v>
      </c>
      <c r="HV21" s="322">
        <f>'Pilotage effectif EUP'!ID43</f>
        <v>26</v>
      </c>
      <c r="HW21" s="403">
        <f>IFERROR(HW23/HV23,0)</f>
        <v>1041.6666666666665</v>
      </c>
      <c r="HX21" s="404"/>
      <c r="HY21" s="405">
        <f>'Pilotage effectif EUP'!ID43*35</f>
        <v>910</v>
      </c>
      <c r="HZ21" s="406"/>
      <c r="IA21" s="318">
        <f>IF(HW21&lt;&gt;0,HY21-HW21,0)</f>
        <v>-131.66666666666652</v>
      </c>
      <c r="IB21" s="332">
        <f>IA21/35</f>
        <v>-3.7619047619047574</v>
      </c>
      <c r="IC21" s="322">
        <f>'Pilotage effectif EUP'!IK43</f>
        <v>24</v>
      </c>
      <c r="ID21" s="403">
        <f>IFERROR(ID23/IC23,0)</f>
        <v>1041.6666666666665</v>
      </c>
      <c r="IE21" s="404"/>
      <c r="IF21" s="405">
        <f>'Pilotage effectif EUP'!IK43*35</f>
        <v>840</v>
      </c>
      <c r="IG21" s="406"/>
      <c r="IH21" s="318">
        <f>IF(ID21&lt;&gt;0,IF21-ID21,0)</f>
        <v>-201.66666666666652</v>
      </c>
      <c r="II21" s="332">
        <f>IH21/35</f>
        <v>-5.7619047619047574</v>
      </c>
      <c r="IJ21" s="342">
        <f>'Pilotage effectif EUP'!IR43</f>
        <v>26</v>
      </c>
      <c r="IK21" s="403">
        <f>IFERROR(IK23/IJ23,0)</f>
        <v>814.44444444444446</v>
      </c>
      <c r="IL21" s="404"/>
      <c r="IM21" s="405">
        <f>'Pilotage effectif EUP'!IR43*35</f>
        <v>910</v>
      </c>
      <c r="IN21" s="406"/>
      <c r="IO21" s="318">
        <f>IF(IK21&lt;&gt;0,IM21-IK21,0)</f>
        <v>95.555555555555543</v>
      </c>
      <c r="IP21" s="332">
        <f>IO21/35</f>
        <v>2.7301587301587298</v>
      </c>
      <c r="IQ21" s="322">
        <f>'Pilotage effectif EUP'!JA43</f>
        <v>30</v>
      </c>
      <c r="IR21" s="403">
        <f>IFERROR(IR23/IQ23,0)</f>
        <v>903.125</v>
      </c>
      <c r="IS21" s="404"/>
      <c r="IT21" s="405">
        <f>'Pilotage effectif EUP'!IY43*35</f>
        <v>910</v>
      </c>
      <c r="IU21" s="406"/>
      <c r="IV21" s="318">
        <f>IF(IR21&lt;&gt;0,IT21-IR21,0)</f>
        <v>6.875</v>
      </c>
      <c r="IW21" s="332">
        <f>IV21/35</f>
        <v>0.19642857142857142</v>
      </c>
      <c r="IX21" s="322">
        <f>'Pilotage effectif EUP'!JF43</f>
        <v>30</v>
      </c>
      <c r="IY21" s="403">
        <f>IFERROR(IY23/IX23,0)</f>
        <v>872.72812499999998</v>
      </c>
      <c r="IZ21" s="404"/>
      <c r="JA21" s="405">
        <f>'Pilotage effectif EUP'!JF43*35</f>
        <v>1050</v>
      </c>
      <c r="JB21" s="406"/>
      <c r="JC21" s="318">
        <f>IF(IY21&lt;&gt;0,JA21-IY21,0)</f>
        <v>177.27187500000002</v>
      </c>
      <c r="JD21" s="332">
        <f>JC21/35</f>
        <v>5.0649107142857153</v>
      </c>
      <c r="JE21" s="342">
        <f>'Pilotage effectif EUP'!JM43</f>
        <v>32</v>
      </c>
      <c r="JF21" s="403">
        <f>IFERROR(JF23/JE23,0)</f>
        <v>860.54590570719608</v>
      </c>
      <c r="JG21" s="404"/>
      <c r="JH21" s="405">
        <f>'Pilotage effectif EUP'!JM43*35</f>
        <v>1120</v>
      </c>
      <c r="JI21" s="406"/>
      <c r="JJ21" s="318">
        <f>IF(JF21&lt;&gt;0,JH21-JF21,0)</f>
        <v>259.45409429280392</v>
      </c>
      <c r="JK21" s="332">
        <f>JJ21/35</f>
        <v>7.4129741226515407</v>
      </c>
      <c r="JL21" s="342">
        <f>'Pilotage effectif EUP'!JT43</f>
        <v>34</v>
      </c>
      <c r="JM21" s="403">
        <f>IFERROR(JM23/JL23,0)</f>
        <v>903.125</v>
      </c>
      <c r="JN21" s="404"/>
      <c r="JO21" s="405">
        <f>'Pilotage effectif EUP'!JT43*35</f>
        <v>1190</v>
      </c>
      <c r="JP21" s="406"/>
      <c r="JQ21" s="318">
        <f>IF(JM21&lt;&gt;0,JO21-JM21,0)</f>
        <v>286.875</v>
      </c>
      <c r="JR21" s="332">
        <f>JQ21/35</f>
        <v>8.1964285714285712</v>
      </c>
      <c r="JS21" s="342">
        <f>'Pilotage effectif EUP'!KA43</f>
        <v>35</v>
      </c>
      <c r="JT21" s="403">
        <f>IFERROR(JT23/JS23,0)</f>
        <v>934.26724137931035</v>
      </c>
      <c r="JU21" s="404"/>
      <c r="JV21" s="405">
        <f>'Pilotage effectif EUP'!KA43*35</f>
        <v>1225</v>
      </c>
      <c r="JW21" s="406"/>
      <c r="JX21" s="318">
        <f>IF(JT21&lt;&gt;0,JV21-JT21,0)</f>
        <v>290.73275862068965</v>
      </c>
      <c r="JY21" s="332">
        <f>JX21/35</f>
        <v>8.3066502463054182</v>
      </c>
      <c r="JZ21" s="342">
        <f>'Pilotage effectif EUP'!KO43</f>
        <v>35</v>
      </c>
      <c r="KA21" s="403">
        <f>IFERROR(KA23/JZ23,0)</f>
        <v>860.54590570719608</v>
      </c>
      <c r="KB21" s="404"/>
      <c r="KC21" s="405">
        <f>'Pilotage effectif EUP'!KO43*35</f>
        <v>1225</v>
      </c>
      <c r="KD21" s="406"/>
      <c r="KE21" s="318">
        <f>IF(KA21&lt;&gt;0,KC21-KA21,0)</f>
        <v>364.45409429280392</v>
      </c>
      <c r="KF21" s="332">
        <f>KE21/35</f>
        <v>10.412974122651541</v>
      </c>
      <c r="KG21" s="342">
        <f>'Pilotage effectif EUP'!KO43</f>
        <v>35</v>
      </c>
      <c r="KH21" s="403">
        <f>IFERROR(KH23/KG23,0)</f>
        <v>731.45245559038665</v>
      </c>
      <c r="KI21" s="404"/>
      <c r="KJ21" s="405">
        <f>'Pilotage effectif EUP'!KO43*35</f>
        <v>1225</v>
      </c>
      <c r="KK21" s="406"/>
      <c r="KL21" s="318">
        <f>IF(KH21&lt;&gt;0,KJ21-KH21,0)</f>
        <v>493.54754440961335</v>
      </c>
      <c r="KM21" s="332">
        <f>KL21/35</f>
        <v>14.101358411703238</v>
      </c>
      <c r="KN21" s="342">
        <f>'Pilotage effectif EUP'!KV43</f>
        <v>35</v>
      </c>
      <c r="KO21" s="403">
        <f>IFERROR(KO23/KN23,0)</f>
        <v>683.11195445920305</v>
      </c>
      <c r="KP21" s="404"/>
      <c r="KQ21" s="405">
        <f>'Pilotage effectif EUP'!KV43*35</f>
        <v>1225</v>
      </c>
      <c r="KR21" s="406"/>
      <c r="KS21" s="318">
        <f>IF(KO21&lt;&gt;0,KQ21-KO21,0)</f>
        <v>541.88804554079695</v>
      </c>
      <c r="KT21" s="332">
        <f>KS21/35</f>
        <v>15.482515586879913</v>
      </c>
      <c r="KU21" s="342">
        <f>'Pilotage effectif EUP'!LC43</f>
        <v>35</v>
      </c>
      <c r="KV21" s="403">
        <f>IFERROR(KV23/KU23,0)</f>
        <v>928.35820895522386</v>
      </c>
      <c r="KW21" s="404"/>
      <c r="KX21" s="405">
        <f>'Pilotage effectif EUP'!LC43*35</f>
        <v>1225</v>
      </c>
      <c r="KY21" s="406"/>
      <c r="KZ21" s="318">
        <f>IF(KV21&lt;&gt;0,KX21-KV21,0)</f>
        <v>296.64179104477614</v>
      </c>
      <c r="LA21" s="332">
        <f>KZ21/35</f>
        <v>8.4754797441364609</v>
      </c>
      <c r="LB21" s="322">
        <f>'Pilotage effectif EUP'!LJ43</f>
        <v>35</v>
      </c>
      <c r="LC21" s="403">
        <f>IFERROR(LC23/LB23,0)</f>
        <v>889.23076923076928</v>
      </c>
      <c r="LD21" s="404"/>
      <c r="LE21" s="405">
        <f>'Pilotage effectif EUP'!LJ43*35</f>
        <v>1225</v>
      </c>
      <c r="LF21" s="406"/>
      <c r="LG21" s="318">
        <f>IF(LC21&lt;&gt;0,LE21-LC21,0)</f>
        <v>335.76923076923072</v>
      </c>
      <c r="LH21" s="332">
        <f>LG21/35</f>
        <v>9.5934065934065913</v>
      </c>
      <c r="LI21" s="322">
        <f>'Pilotage effectif EUP'!LQ43</f>
        <v>35</v>
      </c>
      <c r="LJ21" s="403">
        <f>IFERROR(LJ23/LI23,0)</f>
        <v>1009.6418732782369</v>
      </c>
      <c r="LK21" s="404"/>
      <c r="LL21" s="405">
        <f>'Pilotage effectif EUP'!LQ43*35</f>
        <v>1225</v>
      </c>
      <c r="LM21" s="406"/>
      <c r="LN21" s="318">
        <f>IF(LJ21&lt;&gt;0,LL21-LJ21,0)</f>
        <v>215.35812672176314</v>
      </c>
      <c r="LO21" s="332">
        <f>LN21/35</f>
        <v>6.1530893349075182</v>
      </c>
      <c r="LP21" s="322">
        <f>'Pilotage effectif EUP'!LX43</f>
        <v>35</v>
      </c>
      <c r="LQ21" s="403">
        <f>IFERROR(LQ23/LP23,0)</f>
        <v>875.75757575757575</v>
      </c>
      <c r="LR21" s="404"/>
      <c r="LS21" s="405">
        <f>'Pilotage effectif EUP'!LX43*35</f>
        <v>1225</v>
      </c>
      <c r="LT21" s="406"/>
      <c r="LU21" s="318">
        <f>IF(LQ21&lt;&gt;0,LS21-LQ21,0)</f>
        <v>349.24242424242425</v>
      </c>
      <c r="LV21" s="332">
        <f>LU21/35</f>
        <v>9.9783549783549788</v>
      </c>
      <c r="LW21" s="322">
        <f>'Pilotage effectif EUP'!ME43</f>
        <v>35</v>
      </c>
      <c r="LX21" s="403">
        <f>IFERROR(LX23/LW23,0)</f>
        <v>825.71428571428567</v>
      </c>
      <c r="LY21" s="404"/>
      <c r="LZ21" s="405">
        <f>'Pilotage effectif EUP'!ME43*35</f>
        <v>1225</v>
      </c>
      <c r="MA21" s="406"/>
      <c r="MB21" s="318">
        <f>IF(LX21&lt;&gt;0,LZ21-LX21,0)</f>
        <v>399.28571428571433</v>
      </c>
      <c r="MC21" s="332">
        <f>MB21/35</f>
        <v>11.408163265306124</v>
      </c>
      <c r="MD21" s="322">
        <f>'Pilotage effectif EUP'!ML43</f>
        <v>35</v>
      </c>
      <c r="ME21" s="403">
        <f>IFERROR(ME23/MD23,0)</f>
        <v>825.71428571428567</v>
      </c>
      <c r="MF21" s="404"/>
      <c r="MG21" s="405">
        <f>'Pilotage effectif EUP'!ML43*35</f>
        <v>1225</v>
      </c>
      <c r="MH21" s="406"/>
      <c r="MI21" s="318">
        <f>IF(ME21&lt;&gt;0,MG21-ME21,0)</f>
        <v>399.28571428571433</v>
      </c>
      <c r="MJ21" s="332">
        <f>MI21/35</f>
        <v>11.408163265306124</v>
      </c>
      <c r="MK21" s="322">
        <f>'Pilotage effectif EUP'!MS43</f>
        <v>35</v>
      </c>
      <c r="ML21" s="403">
        <f>IFERROR(ML23/MK23,0)</f>
        <v>825.71428571428567</v>
      </c>
      <c r="MM21" s="404"/>
      <c r="MN21" s="405">
        <f>'Pilotage effectif EUP'!MS43*35</f>
        <v>1225</v>
      </c>
      <c r="MO21" s="406"/>
      <c r="MP21" s="318">
        <f>IF(ML21&lt;&gt;0,MN21-ML21,0)</f>
        <v>399.28571428571433</v>
      </c>
      <c r="MQ21" s="332">
        <f>MP21/35</f>
        <v>11.408163265306124</v>
      </c>
      <c r="MR21" s="322">
        <f>'Pilotage effectif EUP'!MZ43</f>
        <v>35</v>
      </c>
      <c r="MS21" s="403">
        <f>IFERROR(MS23/MR23,0)</f>
        <v>825.71428571428567</v>
      </c>
      <c r="MT21" s="404"/>
      <c r="MU21" s="405">
        <f>'Pilotage effectif EUP'!MZ43*35</f>
        <v>1225</v>
      </c>
      <c r="MV21" s="406"/>
      <c r="MW21" s="318">
        <f>IF(MS21&lt;&gt;0,MU21-MS21,0)</f>
        <v>399.28571428571433</v>
      </c>
      <c r="MX21" s="332">
        <f>MW21/35</f>
        <v>11.408163265306124</v>
      </c>
      <c r="MY21" s="322">
        <f>'Pilotage effectif EUP'!NG43</f>
        <v>35</v>
      </c>
      <c r="MZ21" s="403">
        <f>IFERROR(MZ23/MY23,0)</f>
        <v>825.71428571428567</v>
      </c>
      <c r="NA21" s="404"/>
      <c r="NB21" s="405">
        <f>'Pilotage effectif EUP'!NG43*35</f>
        <v>1225</v>
      </c>
      <c r="NC21" s="406"/>
      <c r="ND21" s="318">
        <f>IF(MZ21&lt;&gt;0,NB21-MZ21,0)</f>
        <v>399.28571428571433</v>
      </c>
      <c r="NE21" s="332">
        <f>ND21/35</f>
        <v>11.408163265306124</v>
      </c>
      <c r="NF21" s="322">
        <f>'Pilotage effectif EUP'!NN43</f>
        <v>35</v>
      </c>
      <c r="NG21" s="403">
        <f>IFERROR(NG23/NF23,0)</f>
        <v>825.71428571428567</v>
      </c>
      <c r="NH21" s="404"/>
      <c r="NI21" s="405">
        <f>'Pilotage effectif EUP'!NN43*35</f>
        <v>1225</v>
      </c>
      <c r="NJ21" s="406"/>
      <c r="NK21" s="318">
        <f>IF(NG21&lt;&gt;0,NI21-NG21,0)</f>
        <v>399.28571428571433</v>
      </c>
      <c r="NL21" s="332">
        <f>NK21/35</f>
        <v>11.408163265306124</v>
      </c>
      <c r="NM21" s="322">
        <f>'Pilotage effectif EUP'!NU43</f>
        <v>35</v>
      </c>
      <c r="NN21" s="403">
        <f>IFERROR(NN23/NM23,0)</f>
        <v>825.71428571428567</v>
      </c>
      <c r="NO21" s="404"/>
      <c r="NP21" s="405">
        <f>'Pilotage effectif EUP'!NU43*35</f>
        <v>1225</v>
      </c>
      <c r="NQ21" s="406"/>
      <c r="NR21" s="318">
        <f>IF(NN21&lt;&gt;0,NP21-NN21,0)</f>
        <v>399.28571428571433</v>
      </c>
      <c r="NS21" s="332">
        <f>NR21/35</f>
        <v>11.408163265306124</v>
      </c>
    </row>
    <row r="22" spans="1:383" s="196" customFormat="1" ht="16.05" customHeight="1" x14ac:dyDescent="0.3">
      <c r="A22" s="294"/>
      <c r="B22" s="308"/>
      <c r="C22" s="422"/>
      <c r="D22" s="340"/>
      <c r="F22" s="323" t="s">
        <v>688</v>
      </c>
      <c r="G22" s="416" t="s">
        <v>691</v>
      </c>
      <c r="H22" s="416"/>
      <c r="I22" s="416" t="s">
        <v>412</v>
      </c>
      <c r="J22" s="416"/>
      <c r="K22" s="252" t="s">
        <v>690</v>
      </c>
      <c r="L22" s="265"/>
      <c r="M22" s="323" t="s">
        <v>688</v>
      </c>
      <c r="N22" s="416" t="s">
        <v>691</v>
      </c>
      <c r="O22" s="416"/>
      <c r="P22" s="416" t="s">
        <v>412</v>
      </c>
      <c r="Q22" s="416"/>
      <c r="R22" s="252" t="s">
        <v>690</v>
      </c>
      <c r="S22" s="265"/>
      <c r="T22" s="323" t="s">
        <v>688</v>
      </c>
      <c r="U22" s="400" t="s">
        <v>691</v>
      </c>
      <c r="V22" s="401"/>
      <c r="W22" s="400" t="s">
        <v>412</v>
      </c>
      <c r="X22" s="401"/>
      <c r="Y22" s="252" t="s">
        <v>690</v>
      </c>
      <c r="Z22" s="265"/>
      <c r="AA22" s="323" t="s">
        <v>688</v>
      </c>
      <c r="AB22" s="400" t="s">
        <v>691</v>
      </c>
      <c r="AC22" s="401"/>
      <c r="AD22" s="400" t="s">
        <v>412</v>
      </c>
      <c r="AE22" s="401"/>
      <c r="AF22" s="252" t="s">
        <v>690</v>
      </c>
      <c r="AG22" s="265"/>
      <c r="AH22" s="323" t="s">
        <v>688</v>
      </c>
      <c r="AI22" s="400" t="s">
        <v>691</v>
      </c>
      <c r="AJ22" s="401"/>
      <c r="AK22" s="400" t="s">
        <v>412</v>
      </c>
      <c r="AL22" s="401"/>
      <c r="AM22" s="252" t="s">
        <v>690</v>
      </c>
      <c r="AN22" s="265"/>
      <c r="AO22" s="323" t="s">
        <v>688</v>
      </c>
      <c r="AP22" s="400" t="s">
        <v>691</v>
      </c>
      <c r="AQ22" s="401"/>
      <c r="AR22" s="400" t="s">
        <v>412</v>
      </c>
      <c r="AS22" s="401"/>
      <c r="AT22" s="252" t="s">
        <v>690</v>
      </c>
      <c r="AU22" s="265"/>
      <c r="AV22" s="323" t="s">
        <v>688</v>
      </c>
      <c r="AW22" s="400" t="s">
        <v>691</v>
      </c>
      <c r="AX22" s="401"/>
      <c r="AY22" s="400" t="s">
        <v>412</v>
      </c>
      <c r="AZ22" s="401"/>
      <c r="BA22" s="252" t="s">
        <v>690</v>
      </c>
      <c r="BB22" s="265"/>
      <c r="BC22" s="323" t="s">
        <v>688</v>
      </c>
      <c r="BD22" s="400" t="s">
        <v>691</v>
      </c>
      <c r="BE22" s="401"/>
      <c r="BF22" s="400" t="s">
        <v>412</v>
      </c>
      <c r="BG22" s="401"/>
      <c r="BH22" s="252" t="s">
        <v>690</v>
      </c>
      <c r="BI22" s="265"/>
      <c r="BJ22" s="323" t="s">
        <v>688</v>
      </c>
      <c r="BK22" s="400" t="s">
        <v>691</v>
      </c>
      <c r="BL22" s="401"/>
      <c r="BM22" s="400" t="s">
        <v>412</v>
      </c>
      <c r="BN22" s="401"/>
      <c r="BO22" s="252" t="s">
        <v>690</v>
      </c>
      <c r="BP22" s="265"/>
      <c r="BQ22" s="323" t="s">
        <v>688</v>
      </c>
      <c r="BR22" s="400" t="s">
        <v>691</v>
      </c>
      <c r="BS22" s="401"/>
      <c r="BT22" s="400" t="s">
        <v>412</v>
      </c>
      <c r="BU22" s="401"/>
      <c r="BV22" s="252" t="s">
        <v>690</v>
      </c>
      <c r="BW22" s="265"/>
      <c r="BX22" s="323" t="s">
        <v>688</v>
      </c>
      <c r="BY22" s="400" t="s">
        <v>691</v>
      </c>
      <c r="BZ22" s="401"/>
      <c r="CA22" s="400" t="s">
        <v>412</v>
      </c>
      <c r="CB22" s="401"/>
      <c r="CC22" s="252" t="s">
        <v>690</v>
      </c>
      <c r="CD22" s="265"/>
      <c r="CE22" s="323" t="s">
        <v>688</v>
      </c>
      <c r="CF22" s="400" t="s">
        <v>691</v>
      </c>
      <c r="CG22" s="401"/>
      <c r="CH22" s="400" t="s">
        <v>412</v>
      </c>
      <c r="CI22" s="401"/>
      <c r="CJ22" s="252" t="s">
        <v>690</v>
      </c>
      <c r="CK22" s="265"/>
      <c r="CL22" s="323" t="s">
        <v>688</v>
      </c>
      <c r="CM22" s="400" t="s">
        <v>691</v>
      </c>
      <c r="CN22" s="401"/>
      <c r="CO22" s="400" t="s">
        <v>412</v>
      </c>
      <c r="CP22" s="401"/>
      <c r="CQ22" s="252" t="s">
        <v>690</v>
      </c>
      <c r="CR22" s="265"/>
      <c r="CS22" s="323" t="s">
        <v>688</v>
      </c>
      <c r="CT22" s="400" t="s">
        <v>691</v>
      </c>
      <c r="CU22" s="401"/>
      <c r="CV22" s="400" t="s">
        <v>412</v>
      </c>
      <c r="CW22" s="401"/>
      <c r="CX22" s="252" t="s">
        <v>690</v>
      </c>
      <c r="CY22" s="265"/>
      <c r="CZ22" s="323" t="s">
        <v>688</v>
      </c>
      <c r="DA22" s="400" t="s">
        <v>691</v>
      </c>
      <c r="DB22" s="401"/>
      <c r="DC22" s="400" t="s">
        <v>412</v>
      </c>
      <c r="DD22" s="401"/>
      <c r="DE22" s="252" t="s">
        <v>690</v>
      </c>
      <c r="DF22" s="265"/>
      <c r="DG22" s="323" t="s">
        <v>688</v>
      </c>
      <c r="DH22" s="400" t="s">
        <v>691</v>
      </c>
      <c r="DI22" s="401"/>
      <c r="DJ22" s="400" t="s">
        <v>412</v>
      </c>
      <c r="DK22" s="401"/>
      <c r="DL22" s="252" t="s">
        <v>690</v>
      </c>
      <c r="DM22" s="265"/>
      <c r="DN22" s="323" t="s">
        <v>688</v>
      </c>
      <c r="DO22" s="400" t="s">
        <v>691</v>
      </c>
      <c r="DP22" s="401"/>
      <c r="DQ22" s="400" t="s">
        <v>412</v>
      </c>
      <c r="DR22" s="401"/>
      <c r="DS22" s="252" t="s">
        <v>690</v>
      </c>
      <c r="DT22" s="265"/>
      <c r="DU22" s="323" t="s">
        <v>688</v>
      </c>
      <c r="DV22" s="400" t="s">
        <v>691</v>
      </c>
      <c r="DW22" s="401"/>
      <c r="DX22" s="400" t="s">
        <v>412</v>
      </c>
      <c r="DY22" s="401"/>
      <c r="DZ22" s="252" t="s">
        <v>690</v>
      </c>
      <c r="EA22" s="265"/>
      <c r="EB22" s="323" t="s">
        <v>688</v>
      </c>
      <c r="EC22" s="400" t="s">
        <v>691</v>
      </c>
      <c r="ED22" s="401"/>
      <c r="EE22" s="400" t="s">
        <v>412</v>
      </c>
      <c r="EF22" s="401"/>
      <c r="EG22" s="252" t="s">
        <v>690</v>
      </c>
      <c r="EH22" s="265"/>
      <c r="EI22" s="323" t="s">
        <v>688</v>
      </c>
      <c r="EJ22" s="400" t="s">
        <v>691</v>
      </c>
      <c r="EK22" s="401"/>
      <c r="EL22" s="400" t="s">
        <v>412</v>
      </c>
      <c r="EM22" s="401"/>
      <c r="EN22" s="252" t="s">
        <v>690</v>
      </c>
      <c r="EO22" s="265"/>
      <c r="EP22" s="323" t="s">
        <v>688</v>
      </c>
      <c r="EQ22" s="400" t="s">
        <v>691</v>
      </c>
      <c r="ER22" s="401"/>
      <c r="ES22" s="400" t="s">
        <v>412</v>
      </c>
      <c r="ET22" s="401"/>
      <c r="EU22" s="252" t="s">
        <v>690</v>
      </c>
      <c r="EV22" s="265"/>
      <c r="EW22" s="323" t="s">
        <v>688</v>
      </c>
      <c r="EX22" s="400" t="s">
        <v>691</v>
      </c>
      <c r="EY22" s="401"/>
      <c r="EZ22" s="400" t="s">
        <v>412</v>
      </c>
      <c r="FA22" s="401"/>
      <c r="FB22" s="252" t="s">
        <v>690</v>
      </c>
      <c r="FC22" s="265"/>
      <c r="FD22" s="323" t="s">
        <v>688</v>
      </c>
      <c r="FE22" s="400" t="s">
        <v>691</v>
      </c>
      <c r="FF22" s="401"/>
      <c r="FG22" s="400" t="s">
        <v>412</v>
      </c>
      <c r="FH22" s="401"/>
      <c r="FI22" s="252" t="s">
        <v>690</v>
      </c>
      <c r="FJ22" s="265"/>
      <c r="FK22" s="323" t="s">
        <v>688</v>
      </c>
      <c r="FL22" s="400" t="s">
        <v>691</v>
      </c>
      <c r="FM22" s="401"/>
      <c r="FN22" s="400" t="s">
        <v>412</v>
      </c>
      <c r="FO22" s="401"/>
      <c r="FP22" s="252" t="s">
        <v>690</v>
      </c>
      <c r="FQ22" s="265"/>
      <c r="FR22" s="323" t="s">
        <v>688</v>
      </c>
      <c r="FS22" s="400" t="s">
        <v>691</v>
      </c>
      <c r="FT22" s="401"/>
      <c r="FU22" s="400" t="s">
        <v>412</v>
      </c>
      <c r="FV22" s="401"/>
      <c r="FW22" s="252" t="s">
        <v>690</v>
      </c>
      <c r="FX22" s="265"/>
      <c r="FY22" s="323" t="s">
        <v>688</v>
      </c>
      <c r="FZ22" s="400" t="s">
        <v>691</v>
      </c>
      <c r="GA22" s="401"/>
      <c r="GB22" s="400" t="s">
        <v>412</v>
      </c>
      <c r="GC22" s="401"/>
      <c r="GD22" s="252" t="s">
        <v>690</v>
      </c>
      <c r="GE22" s="265"/>
      <c r="GF22" s="323" t="s">
        <v>688</v>
      </c>
      <c r="GG22" s="400" t="s">
        <v>691</v>
      </c>
      <c r="GH22" s="401"/>
      <c r="GI22" s="400" t="s">
        <v>412</v>
      </c>
      <c r="GJ22" s="401"/>
      <c r="GK22" s="252" t="s">
        <v>690</v>
      </c>
      <c r="GL22" s="265"/>
      <c r="GM22" s="323" t="s">
        <v>688</v>
      </c>
      <c r="GN22" s="400" t="s">
        <v>691</v>
      </c>
      <c r="GO22" s="401"/>
      <c r="GP22" s="400" t="s">
        <v>412</v>
      </c>
      <c r="GQ22" s="401"/>
      <c r="GR22" s="252" t="s">
        <v>690</v>
      </c>
      <c r="GS22" s="265"/>
      <c r="GT22" s="323" t="s">
        <v>688</v>
      </c>
      <c r="GU22" s="400" t="s">
        <v>691</v>
      </c>
      <c r="GV22" s="401"/>
      <c r="GW22" s="400" t="s">
        <v>412</v>
      </c>
      <c r="GX22" s="401"/>
      <c r="GY22" s="252" t="s">
        <v>690</v>
      </c>
      <c r="GZ22" s="283"/>
      <c r="HA22" s="323" t="s">
        <v>688</v>
      </c>
      <c r="HB22" s="400" t="s">
        <v>691</v>
      </c>
      <c r="HC22" s="401"/>
      <c r="HD22" s="400" t="s">
        <v>412</v>
      </c>
      <c r="HE22" s="401"/>
      <c r="HF22" s="252" t="s">
        <v>690</v>
      </c>
      <c r="HG22" s="265"/>
      <c r="HH22" s="323" t="s">
        <v>688</v>
      </c>
      <c r="HI22" s="400" t="s">
        <v>691</v>
      </c>
      <c r="HJ22" s="401"/>
      <c r="HK22" s="400" t="s">
        <v>412</v>
      </c>
      <c r="HL22" s="401"/>
      <c r="HM22" s="252" t="s">
        <v>690</v>
      </c>
      <c r="HN22" s="265"/>
      <c r="HO22" s="323" t="s">
        <v>688</v>
      </c>
      <c r="HP22" s="400" t="s">
        <v>691</v>
      </c>
      <c r="HQ22" s="401"/>
      <c r="HR22" s="400" t="s">
        <v>412</v>
      </c>
      <c r="HS22" s="401"/>
      <c r="HT22" s="252" t="s">
        <v>690</v>
      </c>
      <c r="HU22" s="265"/>
      <c r="HV22" s="323" t="s">
        <v>688</v>
      </c>
      <c r="HW22" s="400" t="s">
        <v>691</v>
      </c>
      <c r="HX22" s="401"/>
      <c r="HY22" s="400" t="s">
        <v>412</v>
      </c>
      <c r="HZ22" s="401"/>
      <c r="IA22" s="252" t="s">
        <v>690</v>
      </c>
      <c r="IB22" s="265"/>
      <c r="IC22" s="323" t="s">
        <v>688</v>
      </c>
      <c r="ID22" s="400" t="s">
        <v>691</v>
      </c>
      <c r="IE22" s="401"/>
      <c r="IF22" s="400" t="s">
        <v>412</v>
      </c>
      <c r="IG22" s="401"/>
      <c r="IH22" s="252" t="s">
        <v>690</v>
      </c>
      <c r="II22" s="265"/>
      <c r="IJ22" s="323" t="s">
        <v>688</v>
      </c>
      <c r="IK22" s="400" t="s">
        <v>691</v>
      </c>
      <c r="IL22" s="401"/>
      <c r="IM22" s="400" t="s">
        <v>412</v>
      </c>
      <c r="IN22" s="401"/>
      <c r="IO22" s="252" t="s">
        <v>690</v>
      </c>
      <c r="IP22" s="265"/>
      <c r="IQ22" s="323" t="s">
        <v>688</v>
      </c>
      <c r="IR22" s="400" t="s">
        <v>691</v>
      </c>
      <c r="IS22" s="401"/>
      <c r="IT22" s="400" t="s">
        <v>412</v>
      </c>
      <c r="IU22" s="401"/>
      <c r="IV22" s="252" t="s">
        <v>690</v>
      </c>
      <c r="IW22" s="265"/>
      <c r="IX22" s="323" t="s">
        <v>688</v>
      </c>
      <c r="IY22" s="400" t="s">
        <v>691</v>
      </c>
      <c r="IZ22" s="401"/>
      <c r="JA22" s="400" t="s">
        <v>412</v>
      </c>
      <c r="JB22" s="401"/>
      <c r="JC22" s="252" t="s">
        <v>690</v>
      </c>
      <c r="JD22" s="265"/>
      <c r="JE22" s="323" t="s">
        <v>688</v>
      </c>
      <c r="JF22" s="400" t="s">
        <v>691</v>
      </c>
      <c r="JG22" s="401"/>
      <c r="JH22" s="400" t="s">
        <v>412</v>
      </c>
      <c r="JI22" s="401"/>
      <c r="JJ22" s="252" t="s">
        <v>690</v>
      </c>
      <c r="JK22" s="265"/>
      <c r="JL22" s="323" t="s">
        <v>688</v>
      </c>
      <c r="JM22" s="400" t="s">
        <v>691</v>
      </c>
      <c r="JN22" s="401"/>
      <c r="JO22" s="400" t="s">
        <v>412</v>
      </c>
      <c r="JP22" s="401"/>
      <c r="JQ22" s="252" t="s">
        <v>690</v>
      </c>
      <c r="JR22" s="265"/>
      <c r="JS22" s="323" t="s">
        <v>688</v>
      </c>
      <c r="JT22" s="400" t="s">
        <v>691</v>
      </c>
      <c r="JU22" s="401"/>
      <c r="JV22" s="400" t="s">
        <v>412</v>
      </c>
      <c r="JW22" s="401"/>
      <c r="JX22" s="252" t="s">
        <v>690</v>
      </c>
      <c r="JY22" s="265"/>
      <c r="JZ22" s="323" t="s">
        <v>688</v>
      </c>
      <c r="KA22" s="400" t="s">
        <v>691</v>
      </c>
      <c r="KB22" s="401"/>
      <c r="KC22" s="400" t="s">
        <v>412</v>
      </c>
      <c r="KD22" s="401"/>
      <c r="KE22" s="252" t="s">
        <v>690</v>
      </c>
      <c r="KF22" s="265"/>
      <c r="KG22" s="323" t="s">
        <v>688</v>
      </c>
      <c r="KH22" s="400" t="s">
        <v>691</v>
      </c>
      <c r="KI22" s="401"/>
      <c r="KJ22" s="400" t="s">
        <v>412</v>
      </c>
      <c r="KK22" s="401"/>
      <c r="KL22" s="252" t="s">
        <v>690</v>
      </c>
      <c r="KM22" s="265"/>
      <c r="KN22" s="323" t="s">
        <v>688</v>
      </c>
      <c r="KO22" s="400" t="s">
        <v>691</v>
      </c>
      <c r="KP22" s="401"/>
      <c r="KQ22" s="400" t="s">
        <v>412</v>
      </c>
      <c r="KR22" s="401"/>
      <c r="KS22" s="252" t="s">
        <v>690</v>
      </c>
      <c r="KT22" s="265"/>
      <c r="KU22" s="323" t="s">
        <v>688</v>
      </c>
      <c r="KV22" s="400" t="s">
        <v>691</v>
      </c>
      <c r="KW22" s="401"/>
      <c r="KX22" s="400" t="s">
        <v>412</v>
      </c>
      <c r="KY22" s="401"/>
      <c r="KZ22" s="252" t="s">
        <v>690</v>
      </c>
      <c r="LA22" s="265"/>
      <c r="LB22" s="323" t="s">
        <v>688</v>
      </c>
      <c r="LC22" s="400" t="s">
        <v>691</v>
      </c>
      <c r="LD22" s="401"/>
      <c r="LE22" s="400" t="s">
        <v>412</v>
      </c>
      <c r="LF22" s="401"/>
      <c r="LG22" s="252" t="s">
        <v>690</v>
      </c>
      <c r="LH22" s="265"/>
      <c r="LI22" s="323" t="s">
        <v>688</v>
      </c>
      <c r="LJ22" s="400" t="s">
        <v>691</v>
      </c>
      <c r="LK22" s="401"/>
      <c r="LL22" s="400" t="s">
        <v>412</v>
      </c>
      <c r="LM22" s="401"/>
      <c r="LN22" s="252" t="s">
        <v>690</v>
      </c>
      <c r="LO22" s="265"/>
      <c r="LP22" s="323" t="s">
        <v>688</v>
      </c>
      <c r="LQ22" s="400" t="s">
        <v>691</v>
      </c>
      <c r="LR22" s="401"/>
      <c r="LS22" s="400" t="s">
        <v>412</v>
      </c>
      <c r="LT22" s="401"/>
      <c r="LU22" s="252" t="s">
        <v>690</v>
      </c>
      <c r="LV22" s="265"/>
      <c r="LW22" s="323" t="s">
        <v>688</v>
      </c>
      <c r="LX22" s="400" t="s">
        <v>691</v>
      </c>
      <c r="LY22" s="401"/>
      <c r="LZ22" s="400" t="s">
        <v>412</v>
      </c>
      <c r="MA22" s="401"/>
      <c r="MB22" s="252" t="s">
        <v>690</v>
      </c>
      <c r="MC22" s="265"/>
      <c r="MD22" s="323" t="s">
        <v>688</v>
      </c>
      <c r="ME22" s="400" t="s">
        <v>691</v>
      </c>
      <c r="MF22" s="401"/>
      <c r="MG22" s="400" t="s">
        <v>412</v>
      </c>
      <c r="MH22" s="401"/>
      <c r="MI22" s="252" t="s">
        <v>690</v>
      </c>
      <c r="MJ22" s="265"/>
      <c r="MK22" s="323" t="s">
        <v>688</v>
      </c>
      <c r="ML22" s="400" t="s">
        <v>691</v>
      </c>
      <c r="MM22" s="401"/>
      <c r="MN22" s="400" t="s">
        <v>412</v>
      </c>
      <c r="MO22" s="401"/>
      <c r="MP22" s="252" t="s">
        <v>690</v>
      </c>
      <c r="MQ22" s="265"/>
      <c r="MR22" s="323" t="s">
        <v>688</v>
      </c>
      <c r="MS22" s="400" t="s">
        <v>691</v>
      </c>
      <c r="MT22" s="401"/>
      <c r="MU22" s="400" t="s">
        <v>412</v>
      </c>
      <c r="MV22" s="401"/>
      <c r="MW22" s="252" t="s">
        <v>690</v>
      </c>
      <c r="MX22" s="265"/>
      <c r="MY22" s="323" t="s">
        <v>688</v>
      </c>
      <c r="MZ22" s="400" t="s">
        <v>691</v>
      </c>
      <c r="NA22" s="401"/>
      <c r="NB22" s="400" t="s">
        <v>412</v>
      </c>
      <c r="NC22" s="401"/>
      <c r="ND22" s="252" t="s">
        <v>690</v>
      </c>
      <c r="NE22" s="265"/>
      <c r="NF22" s="323" t="s">
        <v>688</v>
      </c>
      <c r="NG22" s="400" t="s">
        <v>691</v>
      </c>
      <c r="NH22" s="401"/>
      <c r="NI22" s="400" t="s">
        <v>412</v>
      </c>
      <c r="NJ22" s="401"/>
      <c r="NK22" s="252" t="s">
        <v>690</v>
      </c>
      <c r="NL22" s="265"/>
      <c r="NM22" s="323" t="s">
        <v>688</v>
      </c>
      <c r="NN22" s="400" t="s">
        <v>691</v>
      </c>
      <c r="NO22" s="401"/>
      <c r="NP22" s="400" t="s">
        <v>412</v>
      </c>
      <c r="NQ22" s="401"/>
      <c r="NR22" s="252" t="s">
        <v>690</v>
      </c>
      <c r="NS22" s="283"/>
    </row>
    <row r="23" spans="1:383" s="196" customFormat="1" ht="16.05" customHeight="1" thickBot="1" x14ac:dyDescent="0.35">
      <c r="A23" s="294"/>
      <c r="B23" s="308"/>
      <c r="C23" s="423"/>
      <c r="D23" s="340"/>
      <c r="F23" s="324">
        <v>330</v>
      </c>
      <c r="G23" s="414"/>
      <c r="H23" s="414"/>
      <c r="I23" s="415">
        <f>I21*F23</f>
        <v>404250</v>
      </c>
      <c r="J23" s="415"/>
      <c r="K23" s="321">
        <f>IF(G23&lt;&gt;0,I23-G23,0)</f>
        <v>0</v>
      </c>
      <c r="L23" s="265"/>
      <c r="M23" s="324">
        <v>350</v>
      </c>
      <c r="N23" s="414"/>
      <c r="O23" s="414"/>
      <c r="P23" s="415">
        <f>P21*M23</f>
        <v>428750</v>
      </c>
      <c r="Q23" s="415"/>
      <c r="R23" s="321">
        <f>IF(N23&lt;&gt;0,P23-N23,0)</f>
        <v>0</v>
      </c>
      <c r="S23" s="265"/>
      <c r="T23" s="324">
        <v>355</v>
      </c>
      <c r="U23" s="396"/>
      <c r="V23" s="397"/>
      <c r="W23" s="398">
        <f>W21*T23</f>
        <v>477120</v>
      </c>
      <c r="X23" s="399"/>
      <c r="Y23" s="321">
        <f>IF(U23&lt;&gt;0,W23-U23,0)</f>
        <v>0</v>
      </c>
      <c r="Z23" s="265"/>
      <c r="AA23" s="324">
        <v>355</v>
      </c>
      <c r="AB23" s="396">
        <v>250000</v>
      </c>
      <c r="AC23" s="397"/>
      <c r="AD23" s="398">
        <f>AD21*AA23</f>
        <v>397600</v>
      </c>
      <c r="AE23" s="399"/>
      <c r="AF23" s="321">
        <f>IF(AB23&lt;&gt;0,AD23-AB23,0)</f>
        <v>147600</v>
      </c>
      <c r="AG23" s="265"/>
      <c r="AH23" s="324">
        <v>355</v>
      </c>
      <c r="AI23" s="396">
        <v>290000</v>
      </c>
      <c r="AJ23" s="397"/>
      <c r="AK23" s="398">
        <f>AK21*AH23</f>
        <v>372750</v>
      </c>
      <c r="AL23" s="399"/>
      <c r="AM23" s="321">
        <f>IF(AI23&lt;&gt;0,AK23-AI23,0)</f>
        <v>82750</v>
      </c>
      <c r="AN23" s="265"/>
      <c r="AO23" s="324">
        <v>355</v>
      </c>
      <c r="AP23" s="396">
        <v>310000</v>
      </c>
      <c r="AQ23" s="397"/>
      <c r="AR23" s="398">
        <f>AR21*AO23</f>
        <v>415350</v>
      </c>
      <c r="AS23" s="399"/>
      <c r="AT23" s="321">
        <f>IF(AP23&lt;&gt;0,AR23-AP23,0)</f>
        <v>105350</v>
      </c>
      <c r="AU23" s="265"/>
      <c r="AV23" s="324">
        <v>355</v>
      </c>
      <c r="AW23" s="396">
        <f>AW19/AZ5</f>
        <v>321111.11111111107</v>
      </c>
      <c r="AX23" s="397"/>
      <c r="AY23" s="398">
        <f>AY21*AV23</f>
        <v>385175</v>
      </c>
      <c r="AZ23" s="399"/>
      <c r="BA23" s="321">
        <f>IF(AW23&lt;&gt;0,AY23-AW23,0)</f>
        <v>64063.888888888934</v>
      </c>
      <c r="BB23" s="265"/>
      <c r="BC23" s="324">
        <v>355</v>
      </c>
      <c r="BD23" s="396">
        <f>BD19/BG5</f>
        <v>309642.85714285716</v>
      </c>
      <c r="BE23" s="397"/>
      <c r="BF23" s="398">
        <f>BF21*BC23</f>
        <v>385175</v>
      </c>
      <c r="BG23" s="399"/>
      <c r="BH23" s="321">
        <f>IF(BD23&lt;&gt;0,BF23-BD23,0)</f>
        <v>75532.142857142841</v>
      </c>
      <c r="BI23" s="265"/>
      <c r="BJ23" s="324">
        <v>300</v>
      </c>
      <c r="BK23" s="396">
        <f>BK19/BN5</f>
        <v>270937.5</v>
      </c>
      <c r="BL23" s="397"/>
      <c r="BM23" s="398">
        <f>BM21*BJ23</f>
        <v>325500</v>
      </c>
      <c r="BN23" s="399"/>
      <c r="BO23" s="321">
        <f>IF(BK23&lt;&gt;0,BM23-BK23,0)</f>
        <v>54562.5</v>
      </c>
      <c r="BP23" s="265"/>
      <c r="BQ23" s="324">
        <v>300</v>
      </c>
      <c r="BR23" s="396">
        <f>BR19/BU5</f>
        <v>271481.48148148146</v>
      </c>
      <c r="BS23" s="397"/>
      <c r="BT23" s="398">
        <f>BT21*BQ23</f>
        <v>336000</v>
      </c>
      <c r="BU23" s="399"/>
      <c r="BV23" s="321">
        <f>IF(BR23&lt;&gt;0,BT23-BR23,0)</f>
        <v>64518.51851851854</v>
      </c>
      <c r="BW23" s="265"/>
      <c r="BX23" s="324">
        <v>320</v>
      </c>
      <c r="BY23" s="396">
        <f>BY19/CB5</f>
        <v>309642.85714285716</v>
      </c>
      <c r="BZ23" s="397"/>
      <c r="CA23" s="398">
        <f>CA21*BX23</f>
        <v>369600</v>
      </c>
      <c r="CB23" s="399"/>
      <c r="CC23" s="321">
        <f>IF(BY23&lt;&gt;0,CA23-BY23,0)</f>
        <v>59957.142857142841</v>
      </c>
      <c r="CD23" s="265"/>
      <c r="CE23" s="324">
        <v>320</v>
      </c>
      <c r="CF23" s="396">
        <v>279273</v>
      </c>
      <c r="CG23" s="397"/>
      <c r="CH23" s="398">
        <f>CH21*CE23</f>
        <v>313600</v>
      </c>
      <c r="CI23" s="399"/>
      <c r="CJ23" s="321">
        <f>IF(CF23&lt;&gt;0,CH23-CF23,0)</f>
        <v>34327</v>
      </c>
      <c r="CK23" s="265"/>
      <c r="CL23" s="324">
        <v>325</v>
      </c>
      <c r="CM23" s="396">
        <f>CM19/CP5</f>
        <v>279677.41935483873</v>
      </c>
      <c r="CN23" s="397"/>
      <c r="CO23" s="398">
        <f>CO21*CL23</f>
        <v>318500</v>
      </c>
      <c r="CP23" s="399"/>
      <c r="CQ23" s="321">
        <f>IF(CM23&lt;&gt;0,CO23-CM23,0)</f>
        <v>38822.580645161273</v>
      </c>
      <c r="CR23" s="265"/>
      <c r="CS23" s="324">
        <v>320</v>
      </c>
      <c r="CT23" s="396">
        <f>CT19/CW5</f>
        <v>289000</v>
      </c>
      <c r="CU23" s="397"/>
      <c r="CV23" s="398">
        <f>CV21*CS23</f>
        <v>313600</v>
      </c>
      <c r="CW23" s="399"/>
      <c r="CX23" s="321">
        <f>IF(CT23&lt;&gt;0,CV23-CT23,0)</f>
        <v>24600</v>
      </c>
      <c r="CY23" s="265"/>
      <c r="CZ23" s="324">
        <v>320</v>
      </c>
      <c r="DA23" s="396">
        <f>DA19/DD5</f>
        <v>298965.5172413793</v>
      </c>
      <c r="DB23" s="397"/>
      <c r="DC23" s="398">
        <f>DC21*CZ23</f>
        <v>329280</v>
      </c>
      <c r="DD23" s="399"/>
      <c r="DE23" s="321">
        <f>IF(DA23&lt;&gt;0,DC23-DA23,0)</f>
        <v>30314.482758620696</v>
      </c>
      <c r="DF23" s="265"/>
      <c r="DG23" s="324">
        <v>325</v>
      </c>
      <c r="DH23" s="396">
        <f>DH19/DK5</f>
        <v>279677.41935483873</v>
      </c>
      <c r="DI23" s="397"/>
      <c r="DJ23" s="398">
        <f>DJ21*DG23</f>
        <v>307125</v>
      </c>
      <c r="DK23" s="399"/>
      <c r="DL23" s="321">
        <f>IF(DH23&lt;&gt;0,DJ23-DH23,0)</f>
        <v>27447.580645161273</v>
      </c>
      <c r="DM23" s="265"/>
      <c r="DN23" s="324">
        <v>330</v>
      </c>
      <c r="DO23" s="396">
        <f>DO19/DR5</f>
        <v>241379.31034482759</v>
      </c>
      <c r="DP23" s="397"/>
      <c r="DQ23" s="398">
        <f>DQ21*DN23</f>
        <v>311850</v>
      </c>
      <c r="DR23" s="399"/>
      <c r="DS23" s="321">
        <f>IF(DO23&lt;&gt;0,DQ23-DO23,0)</f>
        <v>70470.689655172406</v>
      </c>
      <c r="DT23" s="265"/>
      <c r="DU23" s="324">
        <v>340</v>
      </c>
      <c r="DV23" s="396">
        <f>DV19/DY5</f>
        <v>232258.06451612903</v>
      </c>
      <c r="DW23" s="397"/>
      <c r="DX23" s="398">
        <f>DX21*DU23</f>
        <v>264180</v>
      </c>
      <c r="DY23" s="399"/>
      <c r="DZ23" s="321">
        <f>IF(DV23&lt;&gt;0,DX23-DV23,0)</f>
        <v>31921.93548387097</v>
      </c>
      <c r="EA23" s="265"/>
      <c r="EB23" s="324">
        <v>335</v>
      </c>
      <c r="EC23" s="396">
        <f>EC19/EF5</f>
        <v>311000</v>
      </c>
      <c r="ED23" s="397"/>
      <c r="EE23" s="398">
        <f>EE21*EB23</f>
        <v>288435</v>
      </c>
      <c r="EF23" s="399"/>
      <c r="EG23" s="321">
        <f>IF(EC23&lt;&gt;0,EE23-EC23,0)</f>
        <v>-22565</v>
      </c>
      <c r="EH23" s="265"/>
      <c r="EI23" s="324">
        <v>325</v>
      </c>
      <c r="EJ23" s="396">
        <f>EJ19/EM5</f>
        <v>289000</v>
      </c>
      <c r="EK23" s="397"/>
      <c r="EL23" s="398">
        <f>EL21*EI23</f>
        <v>307125</v>
      </c>
      <c r="EM23" s="399"/>
      <c r="EN23" s="321">
        <f>IF(EJ23&lt;&gt;0,EL23-EJ23,0)</f>
        <v>18125</v>
      </c>
      <c r="EO23" s="265"/>
      <c r="EP23" s="324">
        <v>330</v>
      </c>
      <c r="EQ23" s="396">
        <f>EQ19/ET5</f>
        <v>333181.81818181818</v>
      </c>
      <c r="ER23" s="397"/>
      <c r="ES23" s="398">
        <f>ES21*EP23</f>
        <v>346500</v>
      </c>
      <c r="ET23" s="399"/>
      <c r="EU23" s="321">
        <f>IF(EQ23&lt;&gt;0,ES23-EQ23,0)</f>
        <v>13318.181818181823</v>
      </c>
      <c r="EV23" s="265"/>
      <c r="EW23" s="324">
        <v>330</v>
      </c>
      <c r="EX23" s="396">
        <f>EX19/FA5</f>
        <v>289000</v>
      </c>
      <c r="EY23" s="397"/>
      <c r="EZ23" s="398">
        <f>EZ21*EW23</f>
        <v>311850</v>
      </c>
      <c r="FA23" s="399"/>
      <c r="FB23" s="321">
        <f>IF(EX23&lt;&gt;0,EZ23-EX23,0)</f>
        <v>22850</v>
      </c>
      <c r="FC23" s="265"/>
      <c r="FD23" s="324">
        <v>330</v>
      </c>
      <c r="FE23" s="396">
        <v>300000</v>
      </c>
      <c r="FF23" s="397"/>
      <c r="FG23" s="398">
        <f>FG21*FD23</f>
        <v>323400</v>
      </c>
      <c r="FH23" s="399"/>
      <c r="FI23" s="321">
        <f>IF(FE23&lt;&gt;0,FG23-FE23,0)</f>
        <v>23400</v>
      </c>
      <c r="FJ23" s="265"/>
      <c r="FK23" s="324">
        <v>320</v>
      </c>
      <c r="FL23" s="396">
        <v>300000</v>
      </c>
      <c r="FM23" s="397"/>
      <c r="FN23" s="398">
        <f>FN21*FK23</f>
        <v>304512</v>
      </c>
      <c r="FO23" s="399"/>
      <c r="FP23" s="321">
        <f>IF(FL23&lt;&gt;0,FN23-FL23,0)</f>
        <v>4512</v>
      </c>
      <c r="FQ23" s="265"/>
      <c r="FR23" s="324">
        <v>330</v>
      </c>
      <c r="FS23" s="396">
        <f>FS19/FV5</f>
        <v>333333.33333333331</v>
      </c>
      <c r="FT23" s="397"/>
      <c r="FU23" s="398">
        <f>FU21*FR23</f>
        <v>334950</v>
      </c>
      <c r="FV23" s="399"/>
      <c r="FW23" s="321">
        <f>IF(FS23&lt;&gt;0,FU23-FS23,0)</f>
        <v>1616.6666666666861</v>
      </c>
      <c r="FX23" s="265"/>
      <c r="FY23" s="324">
        <v>320</v>
      </c>
      <c r="FZ23" s="396">
        <f>FZ19/GC5</f>
        <v>333333.33333333331</v>
      </c>
      <c r="GA23" s="397"/>
      <c r="GB23" s="398">
        <f>GB21*FY23</f>
        <v>329280</v>
      </c>
      <c r="GC23" s="399"/>
      <c r="GD23" s="321">
        <f>IF(FZ23&lt;&gt;0,GB23-FZ23,0)</f>
        <v>-4053.3333333333139</v>
      </c>
      <c r="GE23" s="265"/>
      <c r="GF23" s="324">
        <v>320</v>
      </c>
      <c r="GG23" s="396">
        <f>GG19/GJ5</f>
        <v>333333.33333333331</v>
      </c>
      <c r="GH23" s="397"/>
      <c r="GI23" s="398">
        <f>GI21*GF23</f>
        <v>291200</v>
      </c>
      <c r="GJ23" s="399"/>
      <c r="GK23" s="321">
        <f>IF(GG23&lt;&gt;0,GI23-GG23,0)</f>
        <v>-42133.333333333314</v>
      </c>
      <c r="GL23" s="265"/>
      <c r="GM23" s="324">
        <v>320</v>
      </c>
      <c r="GN23" s="396">
        <f>GN19/GQ5</f>
        <v>333333.33333333331</v>
      </c>
      <c r="GO23" s="397"/>
      <c r="GP23" s="398">
        <f>GP21*GM23</f>
        <v>302400</v>
      </c>
      <c r="GQ23" s="399"/>
      <c r="GR23" s="321">
        <f>IF(GN23&lt;&gt;0,GP23-GN23,0)</f>
        <v>-30933.333333333314</v>
      </c>
      <c r="GS23" s="265"/>
      <c r="GT23" s="324">
        <v>320</v>
      </c>
      <c r="GU23" s="396">
        <f>GU19/GX5</f>
        <v>289000</v>
      </c>
      <c r="GV23" s="397"/>
      <c r="GW23" s="398">
        <f>GW21*GT23</f>
        <v>246400</v>
      </c>
      <c r="GX23" s="399"/>
      <c r="GY23" s="321">
        <f>IF(GU23&lt;&gt;0,GW23-GU23,0)</f>
        <v>-42600</v>
      </c>
      <c r="GZ23" s="283"/>
      <c r="HA23" s="324">
        <v>320</v>
      </c>
      <c r="HB23" s="396">
        <v>290000</v>
      </c>
      <c r="HC23" s="397"/>
      <c r="HD23" s="398">
        <f>HD21*HA23</f>
        <v>235200</v>
      </c>
      <c r="HE23" s="399"/>
      <c r="HF23" s="321">
        <f>IF(HB23&lt;&gt;0,HD23-HB23,0)</f>
        <v>-54800</v>
      </c>
      <c r="HG23" s="265"/>
      <c r="HH23" s="324">
        <v>320</v>
      </c>
      <c r="HI23" s="396">
        <v>310000</v>
      </c>
      <c r="HJ23" s="397"/>
      <c r="HK23" s="398">
        <f>HK21*HH23</f>
        <v>274560</v>
      </c>
      <c r="HL23" s="399"/>
      <c r="HM23" s="321">
        <f>IF(HI23&lt;&gt;0,HK23-HI23,0)</f>
        <v>-35440</v>
      </c>
      <c r="HN23" s="265"/>
      <c r="HO23" s="324">
        <v>320</v>
      </c>
      <c r="HP23" s="396">
        <f>HP19/HS5</f>
        <v>333333.33333333331</v>
      </c>
      <c r="HQ23" s="397"/>
      <c r="HR23" s="398">
        <f>HR21*HO23</f>
        <v>280000</v>
      </c>
      <c r="HS23" s="399"/>
      <c r="HT23" s="321">
        <f>IF(HP23&lt;&gt;0,HR23-HP23,0)</f>
        <v>-53333.333333333314</v>
      </c>
      <c r="HU23" s="265"/>
      <c r="HV23" s="324">
        <v>320</v>
      </c>
      <c r="HW23" s="396">
        <f>HW19/HZ5</f>
        <v>333333.33333333331</v>
      </c>
      <c r="HX23" s="397"/>
      <c r="HY23" s="398">
        <f>HY21*HV23</f>
        <v>291200</v>
      </c>
      <c r="HZ23" s="399"/>
      <c r="IA23" s="321">
        <f>IF(HW23&lt;&gt;0,HY23-HW23,0)</f>
        <v>-42133.333333333314</v>
      </c>
      <c r="IB23" s="265"/>
      <c r="IC23" s="324">
        <v>320</v>
      </c>
      <c r="ID23" s="396">
        <f>ID19/IG5</f>
        <v>333333.33333333331</v>
      </c>
      <c r="IE23" s="397"/>
      <c r="IF23" s="398">
        <f>IF21*IC23</f>
        <v>268800</v>
      </c>
      <c r="IG23" s="399"/>
      <c r="IH23" s="321">
        <f>IF(ID23&lt;&gt;0,IF23-ID23,0)</f>
        <v>-64533.333333333314</v>
      </c>
      <c r="II23" s="265"/>
      <c r="IJ23" s="324">
        <v>300</v>
      </c>
      <c r="IK23" s="396">
        <f>IK19/IN5</f>
        <v>244333.33333333334</v>
      </c>
      <c r="IL23" s="397"/>
      <c r="IM23" s="398">
        <f>IM21*IJ23</f>
        <v>273000</v>
      </c>
      <c r="IN23" s="399"/>
      <c r="IO23" s="321">
        <f>IF(IK23&lt;&gt;0,IM23-IK23,0)</f>
        <v>28666.666666666657</v>
      </c>
      <c r="IP23" s="265"/>
      <c r="IQ23" s="324">
        <v>320</v>
      </c>
      <c r="IR23" s="396">
        <f>IR19/IU5</f>
        <v>289000</v>
      </c>
      <c r="IS23" s="397"/>
      <c r="IT23" s="398">
        <f>IT21*IQ23</f>
        <v>291200</v>
      </c>
      <c r="IU23" s="399"/>
      <c r="IV23" s="321">
        <f>IF(IR23&lt;&gt;0,IT23-IR23,0)</f>
        <v>2200</v>
      </c>
      <c r="IW23" s="265"/>
      <c r="IX23" s="324">
        <v>320</v>
      </c>
      <c r="IY23" s="396">
        <v>279273</v>
      </c>
      <c r="IZ23" s="397"/>
      <c r="JA23" s="398">
        <f>JA21*IX23</f>
        <v>336000</v>
      </c>
      <c r="JB23" s="399"/>
      <c r="JC23" s="321">
        <f>IF(IY23&lt;&gt;0,JA23-IY23,0)</f>
        <v>56727</v>
      </c>
      <c r="JD23" s="265"/>
      <c r="JE23" s="324">
        <v>325</v>
      </c>
      <c r="JF23" s="396">
        <f>JF19/JI5</f>
        <v>279677.41935483873</v>
      </c>
      <c r="JG23" s="397"/>
      <c r="JH23" s="398">
        <f>JH21*JE23</f>
        <v>364000</v>
      </c>
      <c r="JI23" s="399"/>
      <c r="JJ23" s="321">
        <f>IF(JF23&lt;&gt;0,JH23-JF23,0)</f>
        <v>84322.580645161273</v>
      </c>
      <c r="JK23" s="265"/>
      <c r="JL23" s="324">
        <v>320</v>
      </c>
      <c r="JM23" s="396">
        <f>JM19/JP5</f>
        <v>289000</v>
      </c>
      <c r="JN23" s="397"/>
      <c r="JO23" s="398">
        <f>JO21*JL23</f>
        <v>380800</v>
      </c>
      <c r="JP23" s="399"/>
      <c r="JQ23" s="321">
        <f>IF(JM23&lt;&gt;0,JO23-JM23,0)</f>
        <v>91800</v>
      </c>
      <c r="JR23" s="265"/>
      <c r="JS23" s="324">
        <v>320</v>
      </c>
      <c r="JT23" s="396">
        <f>JT19/JW5</f>
        <v>298965.5172413793</v>
      </c>
      <c r="JU23" s="397"/>
      <c r="JV23" s="398">
        <f>JV21*JS23</f>
        <v>392000</v>
      </c>
      <c r="JW23" s="399"/>
      <c r="JX23" s="321">
        <f>IF(JT23&lt;&gt;0,JV23-JT23,0)</f>
        <v>93034.482758620696</v>
      </c>
      <c r="JY23" s="265"/>
      <c r="JZ23" s="324">
        <v>325</v>
      </c>
      <c r="KA23" s="396">
        <f>KA19/KD5</f>
        <v>279677.41935483873</v>
      </c>
      <c r="KB23" s="397"/>
      <c r="KC23" s="398">
        <f>KC21*JZ23</f>
        <v>398125</v>
      </c>
      <c r="KD23" s="399"/>
      <c r="KE23" s="321">
        <f>IF(KA23&lt;&gt;0,KC23-KA23,0)</f>
        <v>118447.58064516127</v>
      </c>
      <c r="KF23" s="265"/>
      <c r="KG23" s="324">
        <v>330</v>
      </c>
      <c r="KH23" s="396">
        <f>KH19/KK5</f>
        <v>241379.31034482759</v>
      </c>
      <c r="KI23" s="397"/>
      <c r="KJ23" s="398">
        <f>KJ21*KG23</f>
        <v>404250</v>
      </c>
      <c r="KK23" s="399"/>
      <c r="KL23" s="321">
        <f>IF(KH23&lt;&gt;0,KJ23-KH23,0)</f>
        <v>162870.68965517241</v>
      </c>
      <c r="KM23" s="265"/>
      <c r="KN23" s="324">
        <v>340</v>
      </c>
      <c r="KO23" s="396">
        <f>KO19/KR5</f>
        <v>232258.06451612903</v>
      </c>
      <c r="KP23" s="397"/>
      <c r="KQ23" s="398">
        <f>KQ21*KN23</f>
        <v>416500</v>
      </c>
      <c r="KR23" s="399"/>
      <c r="KS23" s="321">
        <f>IF(KO23&lt;&gt;0,KQ23-KO23,0)</f>
        <v>184241.93548387097</v>
      </c>
      <c r="KT23" s="265"/>
      <c r="KU23" s="324">
        <v>335</v>
      </c>
      <c r="KV23" s="396">
        <f>KV19/KY5</f>
        <v>311000</v>
      </c>
      <c r="KW23" s="397"/>
      <c r="KX23" s="398">
        <f>KX21*KU23</f>
        <v>410375</v>
      </c>
      <c r="KY23" s="399"/>
      <c r="KZ23" s="321">
        <f>IF(KV23&lt;&gt;0,KX23-KV23,0)</f>
        <v>99375</v>
      </c>
      <c r="LA23" s="265"/>
      <c r="LB23" s="324">
        <v>325</v>
      </c>
      <c r="LC23" s="396">
        <f>LC19/LF5</f>
        <v>289000</v>
      </c>
      <c r="LD23" s="397"/>
      <c r="LE23" s="398">
        <f>LE21*LB23</f>
        <v>398125</v>
      </c>
      <c r="LF23" s="399"/>
      <c r="LG23" s="321">
        <f>IF(LC23&lt;&gt;0,LE23-LC23,0)</f>
        <v>109125</v>
      </c>
      <c r="LH23" s="265"/>
      <c r="LI23" s="324">
        <v>330</v>
      </c>
      <c r="LJ23" s="396">
        <f>LJ19/LM5</f>
        <v>333181.81818181818</v>
      </c>
      <c r="LK23" s="397"/>
      <c r="LL23" s="398">
        <f>LL21*LI23</f>
        <v>404250</v>
      </c>
      <c r="LM23" s="399"/>
      <c r="LN23" s="321">
        <f>IF(LJ23&lt;&gt;0,LL23-LJ23,0)</f>
        <v>71068.181818181823</v>
      </c>
      <c r="LO23" s="265"/>
      <c r="LP23" s="324">
        <v>330</v>
      </c>
      <c r="LQ23" s="396">
        <f>LQ19/LT5</f>
        <v>289000</v>
      </c>
      <c r="LR23" s="397"/>
      <c r="LS23" s="398">
        <f>LS21*LP23</f>
        <v>404250</v>
      </c>
      <c r="LT23" s="399"/>
      <c r="LU23" s="321">
        <f>IF(LQ23&lt;&gt;0,LS23-LQ23,0)</f>
        <v>115250</v>
      </c>
      <c r="LV23" s="265"/>
      <c r="LW23" s="324">
        <v>300</v>
      </c>
      <c r="LX23" s="396">
        <f>LX19/MA5</f>
        <v>247714.28571428571</v>
      </c>
      <c r="LY23" s="397"/>
      <c r="LZ23" s="398">
        <f>LZ21*LW23</f>
        <v>367500</v>
      </c>
      <c r="MA23" s="399"/>
      <c r="MB23" s="321">
        <f>IF(LX23&lt;&gt;0,LZ23-LX23,0)</f>
        <v>119785.71428571429</v>
      </c>
      <c r="MC23" s="265"/>
      <c r="MD23" s="324">
        <v>300</v>
      </c>
      <c r="ME23" s="396">
        <f>ME19/MH5</f>
        <v>247714.28571428571</v>
      </c>
      <c r="MF23" s="397"/>
      <c r="MG23" s="398">
        <f>MG21*MD23</f>
        <v>367500</v>
      </c>
      <c r="MH23" s="399"/>
      <c r="MI23" s="321">
        <f>IF(ME23&lt;&gt;0,MG23-ME23,0)</f>
        <v>119785.71428571429</v>
      </c>
      <c r="MJ23" s="265"/>
      <c r="MK23" s="324">
        <v>300</v>
      </c>
      <c r="ML23" s="396">
        <f>ML19/MO5</f>
        <v>247714.28571428571</v>
      </c>
      <c r="MM23" s="397"/>
      <c r="MN23" s="398">
        <f>MN21*MK23</f>
        <v>367500</v>
      </c>
      <c r="MO23" s="399"/>
      <c r="MP23" s="321">
        <f>IF(ML23&lt;&gt;0,MN23-ML23,0)</f>
        <v>119785.71428571429</v>
      </c>
      <c r="MQ23" s="265"/>
      <c r="MR23" s="324">
        <v>300</v>
      </c>
      <c r="MS23" s="396">
        <f>MS19/MV5</f>
        <v>247714.28571428571</v>
      </c>
      <c r="MT23" s="397"/>
      <c r="MU23" s="398">
        <f>MU21*MR23</f>
        <v>367500</v>
      </c>
      <c r="MV23" s="399"/>
      <c r="MW23" s="321">
        <f>IF(MS23&lt;&gt;0,MU23-MS23,0)</f>
        <v>119785.71428571429</v>
      </c>
      <c r="MX23" s="265"/>
      <c r="MY23" s="324">
        <v>300</v>
      </c>
      <c r="MZ23" s="396">
        <f>MZ19/NC5</f>
        <v>247714.28571428571</v>
      </c>
      <c r="NA23" s="397"/>
      <c r="NB23" s="398">
        <f>NB21*MY23</f>
        <v>367500</v>
      </c>
      <c r="NC23" s="399"/>
      <c r="ND23" s="321">
        <f>IF(MZ23&lt;&gt;0,NB23-MZ23,0)</f>
        <v>119785.71428571429</v>
      </c>
      <c r="NE23" s="265"/>
      <c r="NF23" s="324">
        <v>300</v>
      </c>
      <c r="NG23" s="396">
        <f>NG19/NJ5</f>
        <v>247714.28571428571</v>
      </c>
      <c r="NH23" s="397"/>
      <c r="NI23" s="398">
        <f>NI21*NF23</f>
        <v>367500</v>
      </c>
      <c r="NJ23" s="399"/>
      <c r="NK23" s="321">
        <f>IF(NG23&lt;&gt;0,NI23-NG23,0)</f>
        <v>119785.71428571429</v>
      </c>
      <c r="NL23" s="265"/>
      <c r="NM23" s="324">
        <v>300</v>
      </c>
      <c r="NN23" s="396">
        <f>NN19/NQ5</f>
        <v>247714.28571428571</v>
      </c>
      <c r="NO23" s="397"/>
      <c r="NP23" s="398">
        <f>NP21*NM23</f>
        <v>367500</v>
      </c>
      <c r="NQ23" s="399"/>
      <c r="NR23" s="321">
        <f>IF(NN23&lt;&gt;0,NP23-NN23,0)</f>
        <v>119785.71428571429</v>
      </c>
      <c r="NS23" s="283"/>
    </row>
    <row r="24" spans="1:383" s="110" customFormat="1" ht="16.05" customHeight="1" thickBot="1" x14ac:dyDescent="0.35">
      <c r="A24" s="294"/>
      <c r="B24" s="306"/>
      <c r="C24" s="307"/>
      <c r="D24" s="314"/>
      <c r="E24" s="196"/>
      <c r="F24" s="255"/>
      <c r="G24" s="256"/>
      <c r="H24" s="256"/>
      <c r="I24" s="317"/>
      <c r="J24" s="317"/>
      <c r="K24" s="317"/>
      <c r="L24" s="263"/>
      <c r="M24" s="255"/>
      <c r="N24" s="256"/>
      <c r="O24" s="256"/>
      <c r="P24" s="317"/>
      <c r="Q24" s="317"/>
      <c r="R24" s="317"/>
      <c r="S24" s="263"/>
      <c r="T24" s="255"/>
      <c r="U24" s="256"/>
      <c r="V24" s="256"/>
      <c r="W24" s="317"/>
      <c r="X24" s="317"/>
      <c r="Y24" s="317"/>
      <c r="Z24" s="263"/>
      <c r="AA24" s="255"/>
      <c r="AB24" s="256"/>
      <c r="AC24" s="256"/>
      <c r="AD24" s="317"/>
      <c r="AE24" s="317"/>
      <c r="AF24" s="317"/>
      <c r="AG24" s="263"/>
      <c r="AH24" s="255"/>
      <c r="AI24" s="256"/>
      <c r="AJ24" s="256"/>
      <c r="AK24" s="317"/>
      <c r="AL24" s="317"/>
      <c r="AM24" s="317"/>
      <c r="AN24" s="263"/>
      <c r="AO24" s="255"/>
      <c r="AP24" s="256"/>
      <c r="AQ24" s="256"/>
      <c r="AR24" s="317"/>
      <c r="AS24" s="317"/>
      <c r="AT24" s="317"/>
      <c r="AU24" s="263"/>
      <c r="AV24" s="255"/>
      <c r="AW24" s="256"/>
      <c r="AX24" s="256"/>
      <c r="AY24" s="317"/>
      <c r="AZ24" s="317"/>
      <c r="BA24" s="317"/>
      <c r="BB24" s="263"/>
      <c r="BC24" s="255"/>
      <c r="BD24" s="256"/>
      <c r="BE24" s="256"/>
      <c r="BF24" s="317"/>
      <c r="BG24" s="317"/>
      <c r="BH24" s="317"/>
      <c r="BI24" s="263"/>
      <c r="BJ24" s="255"/>
      <c r="BK24" s="256"/>
      <c r="BL24" s="256"/>
      <c r="BM24" s="317"/>
      <c r="BN24" s="317"/>
      <c r="BO24" s="317"/>
      <c r="BP24" s="263"/>
      <c r="BQ24" s="255"/>
      <c r="BR24" s="256"/>
      <c r="BS24" s="256"/>
      <c r="BT24" s="317"/>
      <c r="BU24" s="317"/>
      <c r="BV24" s="317"/>
      <c r="BW24" s="263"/>
      <c r="BX24" s="255"/>
      <c r="BY24" s="256"/>
      <c r="BZ24" s="256"/>
      <c r="CA24" s="317"/>
      <c r="CB24" s="317"/>
      <c r="CC24" s="317"/>
      <c r="CD24" s="263"/>
      <c r="CE24" s="255"/>
      <c r="CF24" s="256"/>
      <c r="CG24" s="256"/>
      <c r="CH24" s="317"/>
      <c r="CI24" s="317"/>
      <c r="CJ24" s="317"/>
      <c r="CK24" s="263"/>
      <c r="CL24" s="255"/>
      <c r="CM24" s="256"/>
      <c r="CN24" s="256"/>
      <c r="CO24" s="317"/>
      <c r="CP24" s="317"/>
      <c r="CQ24" s="317"/>
      <c r="CR24" s="263"/>
      <c r="CS24" s="255"/>
      <c r="CT24" s="256"/>
      <c r="CU24" s="256"/>
      <c r="CV24" s="317"/>
      <c r="CW24" s="317"/>
      <c r="CX24" s="317"/>
      <c r="CY24" s="263"/>
      <c r="CZ24" s="255"/>
      <c r="DA24" s="256"/>
      <c r="DB24" s="256"/>
      <c r="DC24" s="317"/>
      <c r="DD24" s="317"/>
      <c r="DE24" s="317"/>
      <c r="DF24" s="263"/>
      <c r="DG24" s="255"/>
      <c r="DH24" s="256"/>
      <c r="DI24" s="256"/>
      <c r="DJ24" s="317"/>
      <c r="DK24" s="317"/>
      <c r="DL24" s="317"/>
      <c r="DM24" s="263"/>
      <c r="DN24" s="255"/>
      <c r="DO24" s="256"/>
      <c r="DP24" s="256"/>
      <c r="DQ24" s="317"/>
      <c r="DR24" s="317"/>
      <c r="DS24" s="317"/>
      <c r="DT24" s="263"/>
      <c r="DU24" s="255">
        <v>340</v>
      </c>
      <c r="DV24" s="256"/>
      <c r="DW24" s="256"/>
      <c r="DX24" s="317"/>
      <c r="DY24" s="317"/>
      <c r="DZ24" s="317"/>
      <c r="EA24" s="263"/>
      <c r="EB24" s="255"/>
      <c r="EC24" s="256"/>
      <c r="ED24" s="256"/>
      <c r="EE24" s="317"/>
      <c r="EF24" s="317"/>
      <c r="EG24" s="317"/>
      <c r="EH24" s="263"/>
      <c r="EI24" s="255"/>
      <c r="EJ24" s="256"/>
      <c r="EK24" s="256"/>
      <c r="EL24" s="317"/>
      <c r="EM24" s="317"/>
      <c r="EN24" s="317"/>
      <c r="EO24" s="263"/>
      <c r="EP24" s="255"/>
      <c r="EQ24" s="256"/>
      <c r="ER24" s="256"/>
      <c r="ES24" s="317"/>
      <c r="ET24" s="317"/>
      <c r="EU24" s="317"/>
      <c r="EV24" s="263"/>
      <c r="EW24" s="255"/>
      <c r="EX24" s="256"/>
      <c r="EY24" s="256"/>
      <c r="EZ24" s="317"/>
      <c r="FA24" s="317"/>
      <c r="FB24" s="317"/>
      <c r="FC24" s="263"/>
      <c r="FD24" s="255"/>
      <c r="FE24" s="256"/>
      <c r="FF24" s="256"/>
      <c r="FG24" s="317"/>
      <c r="FH24" s="317"/>
      <c r="FI24" s="317"/>
      <c r="FJ24" s="263"/>
      <c r="FK24" s="255"/>
      <c r="FL24" s="256"/>
      <c r="FM24" s="256"/>
      <c r="FN24" s="317"/>
      <c r="FO24" s="317"/>
      <c r="FP24" s="317"/>
      <c r="FQ24" s="263"/>
      <c r="FR24" s="255"/>
      <c r="FS24" s="256"/>
      <c r="FT24" s="256"/>
      <c r="FU24" s="317"/>
      <c r="FV24" s="317"/>
      <c r="FW24" s="317"/>
      <c r="FX24" s="263"/>
      <c r="FY24" s="255"/>
      <c r="FZ24" s="256"/>
      <c r="GA24" s="256"/>
      <c r="GB24" s="317"/>
      <c r="GC24" s="317"/>
      <c r="GD24" s="317"/>
      <c r="GE24" s="263"/>
      <c r="GF24" s="255"/>
      <c r="GG24" s="256"/>
      <c r="GH24" s="256"/>
      <c r="GI24" s="317"/>
      <c r="GJ24" s="317"/>
      <c r="GK24" s="317"/>
      <c r="GL24" s="263"/>
      <c r="GM24" s="255"/>
      <c r="GN24" s="256"/>
      <c r="GO24" s="256"/>
      <c r="GP24" s="317"/>
      <c r="GQ24" s="317"/>
      <c r="GR24" s="317"/>
      <c r="GS24" s="263"/>
      <c r="GT24" s="255"/>
      <c r="GU24" s="256"/>
      <c r="GV24" s="256"/>
      <c r="GW24" s="317"/>
      <c r="GX24" s="317"/>
      <c r="GY24" s="317"/>
      <c r="GZ24" s="263"/>
      <c r="HA24" s="255"/>
      <c r="HB24" s="256"/>
      <c r="HC24" s="256"/>
      <c r="HD24" s="317"/>
      <c r="HE24" s="317"/>
      <c r="HF24" s="317"/>
      <c r="HG24" s="263"/>
      <c r="HH24" s="255"/>
      <c r="HI24" s="256"/>
      <c r="HJ24" s="256"/>
      <c r="HK24" s="317"/>
      <c r="HL24" s="317"/>
      <c r="HM24" s="317"/>
      <c r="HN24" s="263"/>
      <c r="HO24" s="255"/>
      <c r="HP24" s="256"/>
      <c r="HQ24" s="256"/>
      <c r="HR24" s="317"/>
      <c r="HS24" s="317"/>
      <c r="HT24" s="317"/>
      <c r="HU24" s="263"/>
      <c r="HV24" s="255"/>
      <c r="HW24" s="256"/>
      <c r="HX24" s="256"/>
      <c r="HY24" s="317"/>
      <c r="HZ24" s="317"/>
      <c r="IA24" s="317"/>
      <c r="IB24" s="263"/>
      <c r="IC24" s="255"/>
      <c r="ID24" s="256"/>
      <c r="IE24" s="256"/>
      <c r="IF24" s="317"/>
      <c r="IG24" s="317"/>
      <c r="IH24" s="317"/>
      <c r="II24" s="263"/>
      <c r="IJ24" s="255"/>
      <c r="IK24" s="256"/>
      <c r="IL24" s="256"/>
      <c r="IM24" s="317"/>
      <c r="IN24" s="317"/>
      <c r="IO24" s="317"/>
      <c r="IP24" s="263"/>
      <c r="IQ24" s="255"/>
      <c r="IR24" s="256"/>
      <c r="IS24" s="256"/>
      <c r="IT24" s="317"/>
      <c r="IU24" s="317"/>
      <c r="IV24" s="317"/>
      <c r="IW24" s="263"/>
      <c r="IX24" s="255"/>
      <c r="IY24" s="256"/>
      <c r="IZ24" s="256"/>
      <c r="JA24" s="317"/>
      <c r="JB24" s="317"/>
      <c r="JC24" s="317"/>
      <c r="JD24" s="263"/>
      <c r="JE24" s="255"/>
      <c r="JF24" s="256"/>
      <c r="JG24" s="256"/>
      <c r="JH24" s="317"/>
      <c r="JI24" s="317"/>
      <c r="JJ24" s="317"/>
      <c r="JK24" s="263"/>
      <c r="JL24" s="255"/>
      <c r="JM24" s="256"/>
      <c r="JN24" s="256"/>
      <c r="JO24" s="317"/>
      <c r="JP24" s="317"/>
      <c r="JQ24" s="317"/>
      <c r="JR24" s="263"/>
      <c r="JS24" s="255"/>
      <c r="JT24" s="256"/>
      <c r="JU24" s="256"/>
      <c r="JV24" s="317"/>
      <c r="JW24" s="317"/>
      <c r="JX24" s="317"/>
      <c r="JY24" s="263"/>
      <c r="JZ24" s="255"/>
      <c r="KA24" s="256"/>
      <c r="KB24" s="256"/>
      <c r="KC24" s="317"/>
      <c r="KD24" s="317"/>
      <c r="KE24" s="317"/>
      <c r="KF24" s="263"/>
      <c r="KG24" s="255"/>
      <c r="KH24" s="256"/>
      <c r="KI24" s="256"/>
      <c r="KJ24" s="317"/>
      <c r="KK24" s="317"/>
      <c r="KL24" s="317"/>
      <c r="KM24" s="263"/>
      <c r="KN24" s="255">
        <v>340</v>
      </c>
      <c r="KO24" s="256"/>
      <c r="KP24" s="256"/>
      <c r="KQ24" s="317"/>
      <c r="KR24" s="317"/>
      <c r="KS24" s="317"/>
      <c r="KT24" s="263"/>
      <c r="KU24" s="255"/>
      <c r="KV24" s="256"/>
      <c r="KW24" s="256"/>
      <c r="KX24" s="317"/>
      <c r="KY24" s="317"/>
      <c r="KZ24" s="317"/>
      <c r="LA24" s="263"/>
      <c r="LB24" s="255"/>
      <c r="LC24" s="256"/>
      <c r="LD24" s="256"/>
      <c r="LE24" s="317"/>
      <c r="LF24" s="317"/>
      <c r="LG24" s="317"/>
      <c r="LH24" s="263"/>
      <c r="LI24" s="255"/>
      <c r="LJ24" s="256"/>
      <c r="LK24" s="256"/>
      <c r="LL24" s="317"/>
      <c r="LM24" s="317"/>
      <c r="LN24" s="317"/>
      <c r="LO24" s="263"/>
      <c r="LP24" s="255"/>
      <c r="LQ24" s="256"/>
      <c r="LR24" s="256"/>
      <c r="LS24" s="317"/>
      <c r="LT24" s="317"/>
      <c r="LU24" s="317"/>
      <c r="LV24" s="263"/>
      <c r="LW24" s="255"/>
      <c r="LX24" s="256"/>
      <c r="LY24" s="256"/>
      <c r="LZ24" s="317"/>
      <c r="MA24" s="317"/>
      <c r="MB24" s="317"/>
      <c r="MC24" s="263"/>
      <c r="MD24" s="255"/>
      <c r="ME24" s="256"/>
      <c r="MF24" s="256"/>
      <c r="MG24" s="317"/>
      <c r="MH24" s="317"/>
      <c r="MI24" s="317"/>
      <c r="MJ24" s="263"/>
      <c r="MK24" s="255"/>
      <c r="ML24" s="256"/>
      <c r="MM24" s="256"/>
      <c r="MN24" s="317"/>
      <c r="MO24" s="317"/>
      <c r="MP24" s="317"/>
      <c r="MQ24" s="263"/>
      <c r="MR24" s="255"/>
      <c r="MS24" s="256"/>
      <c r="MT24" s="256"/>
      <c r="MU24" s="317"/>
      <c r="MV24" s="317"/>
      <c r="MW24" s="317"/>
      <c r="MX24" s="263"/>
      <c r="MY24" s="255"/>
      <c r="MZ24" s="256"/>
      <c r="NA24" s="256"/>
      <c r="NB24" s="317"/>
      <c r="NC24" s="317"/>
      <c r="ND24" s="317"/>
      <c r="NE24" s="263"/>
      <c r="NF24" s="255"/>
      <c r="NG24" s="256"/>
      <c r="NH24" s="256"/>
      <c r="NI24" s="317"/>
      <c r="NJ24" s="317"/>
      <c r="NK24" s="317"/>
      <c r="NL24" s="263"/>
      <c r="NM24" s="255"/>
      <c r="NN24" s="256"/>
      <c r="NO24" s="256"/>
      <c r="NP24" s="317"/>
      <c r="NQ24" s="317"/>
      <c r="NR24" s="317"/>
      <c r="NS24" s="263"/>
    </row>
    <row r="25" spans="1:383" x14ac:dyDescent="0.3">
      <c r="C25" s="306"/>
      <c r="D25" s="306"/>
      <c r="E25" s="196"/>
      <c r="F25" s="248" t="s">
        <v>701</v>
      </c>
      <c r="G25" s="394" t="s">
        <v>702</v>
      </c>
      <c r="H25" s="395"/>
      <c r="I25"/>
      <c r="J25"/>
      <c r="K25"/>
      <c r="L25"/>
      <c r="M25" s="248" t="s">
        <v>701</v>
      </c>
      <c r="N25" s="394" t="s">
        <v>702</v>
      </c>
      <c r="O25" s="395"/>
      <c r="P25"/>
      <c r="Q25"/>
      <c r="R25"/>
      <c r="T25" s="248" t="s">
        <v>701</v>
      </c>
      <c r="U25" s="394" t="s">
        <v>702</v>
      </c>
      <c r="V25" s="395"/>
      <c r="AA25" s="248" t="s">
        <v>701</v>
      </c>
      <c r="AB25" s="394" t="s">
        <v>702</v>
      </c>
      <c r="AC25" s="395"/>
      <c r="AH25" s="248" t="s">
        <v>701</v>
      </c>
      <c r="AI25" s="394" t="s">
        <v>702</v>
      </c>
      <c r="AJ25" s="395"/>
      <c r="AO25" s="248" t="s">
        <v>701</v>
      </c>
      <c r="AP25" s="394" t="s">
        <v>702</v>
      </c>
      <c r="AQ25" s="395"/>
      <c r="AV25" s="248" t="s">
        <v>701</v>
      </c>
      <c r="AW25" s="394" t="s">
        <v>702</v>
      </c>
      <c r="AX25" s="395"/>
      <c r="BC25" s="248" t="s">
        <v>701</v>
      </c>
      <c r="BD25" s="394" t="s">
        <v>702</v>
      </c>
      <c r="BE25" s="395"/>
      <c r="BJ25" s="248" t="s">
        <v>701</v>
      </c>
      <c r="BK25" s="394" t="s">
        <v>702</v>
      </c>
      <c r="BL25" s="395"/>
      <c r="BQ25" s="248" t="s">
        <v>701</v>
      </c>
      <c r="BR25" s="394" t="s">
        <v>702</v>
      </c>
      <c r="BS25" s="395"/>
      <c r="BX25" s="248" t="s">
        <v>701</v>
      </c>
      <c r="BY25" s="394" t="s">
        <v>702</v>
      </c>
      <c r="BZ25" s="395"/>
      <c r="CE25" s="248" t="s">
        <v>701</v>
      </c>
      <c r="CF25" s="394" t="s">
        <v>702</v>
      </c>
      <c r="CG25" s="395"/>
      <c r="CL25" s="248" t="s">
        <v>701</v>
      </c>
      <c r="CM25" s="394" t="s">
        <v>702</v>
      </c>
      <c r="CN25" s="395"/>
      <c r="CS25" s="248" t="s">
        <v>701</v>
      </c>
      <c r="CT25" s="394" t="s">
        <v>702</v>
      </c>
      <c r="CU25" s="395"/>
      <c r="CZ25" s="248" t="s">
        <v>701</v>
      </c>
      <c r="DA25" s="394" t="s">
        <v>702</v>
      </c>
      <c r="DB25" s="395"/>
      <c r="DG25" s="248" t="s">
        <v>701</v>
      </c>
      <c r="DH25" s="394" t="s">
        <v>702</v>
      </c>
      <c r="DI25" s="395"/>
      <c r="DN25" s="248" t="s">
        <v>701</v>
      </c>
      <c r="DO25" s="394" t="s">
        <v>702</v>
      </c>
      <c r="DP25" s="395"/>
      <c r="DU25" s="248" t="s">
        <v>701</v>
      </c>
      <c r="DV25" s="394" t="s">
        <v>702</v>
      </c>
      <c r="DW25" s="395"/>
      <c r="EB25" s="248" t="s">
        <v>701</v>
      </c>
      <c r="EC25" s="394" t="s">
        <v>702</v>
      </c>
      <c r="ED25" s="395"/>
      <c r="EI25" s="248" t="s">
        <v>701</v>
      </c>
      <c r="EJ25" s="394" t="s">
        <v>702</v>
      </c>
      <c r="EK25" s="395"/>
      <c r="EP25" s="248" t="s">
        <v>701</v>
      </c>
      <c r="EQ25" s="394" t="s">
        <v>702</v>
      </c>
      <c r="ER25" s="395"/>
      <c r="EW25" s="248" t="s">
        <v>701</v>
      </c>
      <c r="EX25" s="394" t="s">
        <v>702</v>
      </c>
      <c r="EY25" s="395"/>
      <c r="FD25" s="248" t="s">
        <v>701</v>
      </c>
      <c r="FE25" s="394" t="s">
        <v>702</v>
      </c>
      <c r="FF25" s="395"/>
      <c r="FK25" s="248" t="s">
        <v>701</v>
      </c>
      <c r="FL25" s="394" t="s">
        <v>702</v>
      </c>
      <c r="FM25" s="395"/>
      <c r="FR25" s="248" t="s">
        <v>701</v>
      </c>
      <c r="FS25" s="394" t="s">
        <v>702</v>
      </c>
      <c r="FT25" s="395"/>
      <c r="FY25" s="248" t="s">
        <v>701</v>
      </c>
      <c r="FZ25" s="394" t="s">
        <v>702</v>
      </c>
      <c r="GA25" s="395"/>
      <c r="GF25" s="248" t="s">
        <v>701</v>
      </c>
      <c r="GG25" s="394" t="s">
        <v>702</v>
      </c>
      <c r="GH25" s="395"/>
      <c r="GM25" s="248" t="s">
        <v>701</v>
      </c>
      <c r="GN25" s="394" t="s">
        <v>702</v>
      </c>
      <c r="GO25" s="395"/>
      <c r="GT25" s="248" t="s">
        <v>701</v>
      </c>
      <c r="GU25" s="394" t="s">
        <v>702</v>
      </c>
      <c r="GV25" s="395"/>
      <c r="HA25" s="248" t="s">
        <v>701</v>
      </c>
      <c r="HB25" s="394" t="s">
        <v>702</v>
      </c>
      <c r="HC25" s="395"/>
      <c r="HH25" s="248" t="s">
        <v>701</v>
      </c>
      <c r="HI25" s="394" t="s">
        <v>702</v>
      </c>
      <c r="HJ25" s="395"/>
      <c r="HO25" s="248" t="s">
        <v>701</v>
      </c>
      <c r="HP25" s="394" t="s">
        <v>702</v>
      </c>
      <c r="HQ25" s="395"/>
      <c r="HV25" s="248" t="s">
        <v>701</v>
      </c>
      <c r="HW25" s="394" t="s">
        <v>702</v>
      </c>
      <c r="HX25" s="395"/>
      <c r="IC25" s="248" t="s">
        <v>701</v>
      </c>
      <c r="ID25" s="394" t="s">
        <v>702</v>
      </c>
      <c r="IE25" s="395"/>
      <c r="IJ25" s="248" t="s">
        <v>701</v>
      </c>
      <c r="IK25" s="394" t="s">
        <v>702</v>
      </c>
      <c r="IL25" s="395"/>
      <c r="IQ25" s="248" t="s">
        <v>701</v>
      </c>
      <c r="IR25" s="394" t="s">
        <v>702</v>
      </c>
      <c r="IS25" s="395"/>
      <c r="IX25" s="248" t="s">
        <v>701</v>
      </c>
      <c r="IY25" s="394" t="s">
        <v>702</v>
      </c>
      <c r="IZ25" s="395"/>
      <c r="JE25" s="248" t="s">
        <v>701</v>
      </c>
      <c r="JF25" s="394" t="s">
        <v>702</v>
      </c>
      <c r="JG25" s="395"/>
      <c r="JL25" s="248" t="s">
        <v>701</v>
      </c>
      <c r="JM25" s="394" t="s">
        <v>702</v>
      </c>
      <c r="JN25" s="395"/>
      <c r="JS25" s="248" t="s">
        <v>701</v>
      </c>
      <c r="JT25" s="394" t="s">
        <v>702</v>
      </c>
      <c r="JU25" s="395"/>
      <c r="JZ25" s="248" t="s">
        <v>701</v>
      </c>
      <c r="KA25" s="394" t="s">
        <v>702</v>
      </c>
      <c r="KB25" s="395"/>
      <c r="KG25" s="248" t="s">
        <v>701</v>
      </c>
      <c r="KH25" s="394" t="s">
        <v>702</v>
      </c>
      <c r="KI25" s="395"/>
      <c r="KN25" s="248" t="s">
        <v>701</v>
      </c>
      <c r="KO25" s="394" t="s">
        <v>702</v>
      </c>
      <c r="KP25" s="395"/>
      <c r="KU25" s="248" t="s">
        <v>701</v>
      </c>
      <c r="KV25" s="394" t="s">
        <v>702</v>
      </c>
      <c r="KW25" s="395"/>
      <c r="LB25" s="248" t="s">
        <v>701</v>
      </c>
      <c r="LC25" s="394" t="s">
        <v>702</v>
      </c>
      <c r="LD25" s="395"/>
      <c r="LI25" s="248" t="s">
        <v>701</v>
      </c>
      <c r="LJ25" s="394" t="s">
        <v>702</v>
      </c>
      <c r="LK25" s="395"/>
      <c r="LP25" s="248" t="s">
        <v>701</v>
      </c>
      <c r="LQ25" s="394" t="s">
        <v>702</v>
      </c>
      <c r="LR25" s="395"/>
      <c r="LW25" s="248" t="s">
        <v>701</v>
      </c>
      <c r="LX25" s="394" t="s">
        <v>702</v>
      </c>
      <c r="LY25" s="395"/>
      <c r="MD25" s="248" t="s">
        <v>701</v>
      </c>
      <c r="ME25" s="394" t="s">
        <v>702</v>
      </c>
      <c r="MF25" s="395"/>
      <c r="MK25" s="248" t="s">
        <v>701</v>
      </c>
      <c r="ML25" s="394" t="s">
        <v>702</v>
      </c>
      <c r="MM25" s="395"/>
      <c r="MR25" s="248" t="s">
        <v>701</v>
      </c>
      <c r="MS25" s="394" t="s">
        <v>702</v>
      </c>
      <c r="MT25" s="395"/>
      <c r="MY25" s="248" t="s">
        <v>701</v>
      </c>
      <c r="MZ25" s="394" t="s">
        <v>702</v>
      </c>
      <c r="NA25" s="395"/>
      <c r="NF25" s="248" t="s">
        <v>701</v>
      </c>
      <c r="NG25" s="394" t="s">
        <v>702</v>
      </c>
      <c r="NH25" s="395"/>
      <c r="NM25" s="248" t="s">
        <v>701</v>
      </c>
      <c r="NN25" s="394" t="s">
        <v>702</v>
      </c>
      <c r="NO25" s="395"/>
    </row>
    <row r="26" spans="1:383" ht="15" thickBot="1" x14ac:dyDescent="0.35">
      <c r="D26" s="306"/>
      <c r="E26" s="196"/>
      <c r="F26" s="313">
        <v>600</v>
      </c>
      <c r="G26" s="388">
        <f>ROUND(G$5/3,-3)</f>
        <v>867000</v>
      </c>
      <c r="H26" s="389"/>
      <c r="I26"/>
      <c r="J26"/>
      <c r="K26"/>
      <c r="L26"/>
      <c r="M26" s="313">
        <v>600</v>
      </c>
      <c r="N26" s="388">
        <f>ROUND(N$5/3,-3)</f>
        <v>867000</v>
      </c>
      <c r="O26" s="389"/>
      <c r="P26"/>
      <c r="Q26"/>
      <c r="R26"/>
      <c r="T26" s="313">
        <v>600</v>
      </c>
      <c r="U26" s="388">
        <f>ROUND(U$5/3,-3)</f>
        <v>1000000</v>
      </c>
      <c r="V26" s="389"/>
      <c r="AA26" s="313">
        <v>600</v>
      </c>
      <c r="AB26" s="388">
        <f>ROUND(AB$5/3,-3)</f>
        <v>867000</v>
      </c>
      <c r="AC26" s="389"/>
      <c r="AH26" s="313">
        <v>600</v>
      </c>
      <c r="AI26" s="388">
        <f>ROUND(AI$5/3,-3)</f>
        <v>867000</v>
      </c>
      <c r="AJ26" s="389"/>
      <c r="AO26" s="313">
        <v>600</v>
      </c>
      <c r="AP26" s="388">
        <f>ROUND(AP$5/3,-3)</f>
        <v>867000</v>
      </c>
      <c r="AQ26" s="389"/>
      <c r="AV26" s="313">
        <v>600</v>
      </c>
      <c r="AW26" s="388">
        <f>ROUND(AW$5/3,-3)</f>
        <v>867000</v>
      </c>
      <c r="AX26" s="389"/>
      <c r="BC26" s="313">
        <v>600</v>
      </c>
      <c r="BD26" s="388">
        <f>ROUND(BD$5/3,-3)</f>
        <v>867000</v>
      </c>
      <c r="BE26" s="389"/>
      <c r="BJ26" s="313">
        <v>600</v>
      </c>
      <c r="BK26" s="388">
        <f>ROUND(BK$5/3,-3)</f>
        <v>867000</v>
      </c>
      <c r="BL26" s="389"/>
      <c r="BQ26" s="313">
        <v>600</v>
      </c>
      <c r="BR26" s="388">
        <f>ROUND(BR$5/3,-3)</f>
        <v>733000</v>
      </c>
      <c r="BS26" s="389"/>
      <c r="BX26" s="313">
        <v>600</v>
      </c>
      <c r="BY26" s="388">
        <f>ROUND(BY$5/3,-3)</f>
        <v>867000</v>
      </c>
      <c r="BZ26" s="389"/>
      <c r="CE26" s="313">
        <v>600</v>
      </c>
      <c r="CF26" s="388">
        <f>ROUND(CF$5/3,-3)</f>
        <v>867000</v>
      </c>
      <c r="CG26" s="389"/>
      <c r="CL26" s="313">
        <v>600</v>
      </c>
      <c r="CM26" s="388">
        <f>ROUND(CM$5/3,-3)</f>
        <v>867000</v>
      </c>
      <c r="CN26" s="389"/>
      <c r="CS26" s="313">
        <v>600</v>
      </c>
      <c r="CT26" s="388">
        <f>ROUND(CT$5/3,-3)</f>
        <v>867000</v>
      </c>
      <c r="CU26" s="389"/>
      <c r="CZ26" s="313">
        <v>600</v>
      </c>
      <c r="DA26" s="388">
        <f>ROUND(DA$5/3,-3)</f>
        <v>867000</v>
      </c>
      <c r="DB26" s="389"/>
      <c r="DG26" s="313">
        <v>600</v>
      </c>
      <c r="DH26" s="388">
        <f>ROUND(DH$5/3,-3)</f>
        <v>867000</v>
      </c>
      <c r="DI26" s="389"/>
      <c r="DN26" s="313">
        <v>600</v>
      </c>
      <c r="DO26" s="388">
        <f>ROUND(DO$5/3,-3)</f>
        <v>700000</v>
      </c>
      <c r="DP26" s="389"/>
      <c r="DU26" s="313">
        <v>600</v>
      </c>
      <c r="DV26" s="388">
        <f>ROUND(DV$5/3,-3)</f>
        <v>720000</v>
      </c>
      <c r="DW26" s="389"/>
      <c r="EB26" s="313">
        <v>600</v>
      </c>
      <c r="EC26" s="388">
        <f>ROUND(EC$5/3,-3)</f>
        <v>933000</v>
      </c>
      <c r="ED26" s="389"/>
      <c r="EI26" s="313">
        <v>600</v>
      </c>
      <c r="EJ26" s="388">
        <f>ROUND(EJ$5/3,-3)</f>
        <v>867000</v>
      </c>
      <c r="EK26" s="389"/>
      <c r="EP26" s="313">
        <v>600</v>
      </c>
      <c r="EQ26" s="388">
        <f>ROUND(EQ$5/3,-3)</f>
        <v>733000</v>
      </c>
      <c r="ER26" s="389"/>
      <c r="EW26" s="313">
        <v>600</v>
      </c>
      <c r="EX26" s="388">
        <f>ROUND(EX$5/3,-3)</f>
        <v>867000</v>
      </c>
      <c r="EY26" s="389"/>
      <c r="FD26" s="313">
        <v>600</v>
      </c>
      <c r="FE26" s="388">
        <f>ROUND(FE$5/3,-3)</f>
        <v>867000</v>
      </c>
      <c r="FF26" s="389"/>
      <c r="FK26" s="313">
        <v>600</v>
      </c>
      <c r="FL26" s="388">
        <f>ROUND(FL$5/3,-3)</f>
        <v>867000</v>
      </c>
      <c r="FM26" s="389"/>
      <c r="FR26" s="313">
        <v>600</v>
      </c>
      <c r="FS26" s="388">
        <f>ROUND(FS$5/3,-3)</f>
        <v>1000000</v>
      </c>
      <c r="FT26" s="389"/>
      <c r="FY26" s="313">
        <v>600</v>
      </c>
      <c r="FZ26" s="388">
        <f>ROUND(FZ$5/3,-3)</f>
        <v>1000000</v>
      </c>
      <c r="GA26" s="389"/>
      <c r="GF26" s="313">
        <v>600</v>
      </c>
      <c r="GG26" s="388">
        <f>ROUND(GG$5/3,-3)</f>
        <v>1000000</v>
      </c>
      <c r="GH26" s="389"/>
      <c r="GM26" s="313">
        <v>600</v>
      </c>
      <c r="GN26" s="388">
        <f>ROUND(GN$5/3,-3)</f>
        <v>1000000</v>
      </c>
      <c r="GO26" s="389"/>
      <c r="GT26" s="313">
        <v>600</v>
      </c>
      <c r="GU26" s="388">
        <f>ROUND(GU$5/3,-3)</f>
        <v>867000</v>
      </c>
      <c r="GV26" s="389"/>
      <c r="HA26" s="313">
        <v>600</v>
      </c>
      <c r="HB26" s="388">
        <f>ROUND(HB$5/3,-3)</f>
        <v>1000000</v>
      </c>
      <c r="HC26" s="389"/>
      <c r="HH26" s="313">
        <v>600</v>
      </c>
      <c r="HI26" s="388">
        <f>ROUND(HI$5/3,-3)</f>
        <v>1000000</v>
      </c>
      <c r="HJ26" s="389"/>
      <c r="HO26" s="313">
        <v>600</v>
      </c>
      <c r="HP26" s="388">
        <f>ROUND(HP$5/3,-3)</f>
        <v>1000000</v>
      </c>
      <c r="HQ26" s="389"/>
      <c r="HV26" s="313">
        <v>600</v>
      </c>
      <c r="HW26" s="388">
        <f>ROUND(HW$5/3,-3)</f>
        <v>1000000</v>
      </c>
      <c r="HX26" s="389"/>
      <c r="IC26" s="313">
        <v>600</v>
      </c>
      <c r="ID26" s="388">
        <f>ROUND(ID$5/3,-3)</f>
        <v>1000000</v>
      </c>
      <c r="IE26" s="389"/>
      <c r="IJ26" s="313">
        <v>600</v>
      </c>
      <c r="IK26" s="388">
        <f>ROUND(IK$5/3,-3)</f>
        <v>733000</v>
      </c>
      <c r="IL26" s="389"/>
      <c r="IQ26" s="313">
        <v>600</v>
      </c>
      <c r="IR26" s="388">
        <f>ROUND(IR$5/3,-3)</f>
        <v>867000</v>
      </c>
      <c r="IS26" s="389"/>
      <c r="IX26" s="313">
        <v>600</v>
      </c>
      <c r="IY26" s="388">
        <f>ROUND(IY$5/3,-3)</f>
        <v>867000</v>
      </c>
      <c r="IZ26" s="389"/>
      <c r="JE26" s="313">
        <v>600</v>
      </c>
      <c r="JF26" s="388">
        <f>ROUND(JF$5/3,-3)</f>
        <v>867000</v>
      </c>
      <c r="JG26" s="389"/>
      <c r="JL26" s="313">
        <v>600</v>
      </c>
      <c r="JM26" s="388">
        <f>ROUND(JM$5/3,-3)</f>
        <v>867000</v>
      </c>
      <c r="JN26" s="389"/>
      <c r="JS26" s="313">
        <v>600</v>
      </c>
      <c r="JT26" s="388">
        <f>ROUND(JT$5/3,-3)</f>
        <v>867000</v>
      </c>
      <c r="JU26" s="389"/>
      <c r="JZ26" s="313">
        <v>600</v>
      </c>
      <c r="KA26" s="388">
        <f>ROUND(KA$5/3,-3)</f>
        <v>867000</v>
      </c>
      <c r="KB26" s="389"/>
      <c r="KG26" s="313">
        <v>600</v>
      </c>
      <c r="KH26" s="388">
        <f>ROUND(KH$5/3,-3)</f>
        <v>700000</v>
      </c>
      <c r="KI26" s="389"/>
      <c r="KN26" s="313">
        <v>600</v>
      </c>
      <c r="KO26" s="388">
        <f>ROUND(KO$5/3,-3)</f>
        <v>720000</v>
      </c>
      <c r="KP26" s="389"/>
      <c r="KU26" s="313">
        <v>600</v>
      </c>
      <c r="KV26" s="388">
        <f>ROUND(KV$5/3,-3)</f>
        <v>933000</v>
      </c>
      <c r="KW26" s="389"/>
      <c r="LB26" s="313">
        <v>600</v>
      </c>
      <c r="LC26" s="388">
        <f>ROUND(LC$5/3,-3)</f>
        <v>867000</v>
      </c>
      <c r="LD26" s="389"/>
      <c r="LI26" s="313">
        <v>600</v>
      </c>
      <c r="LJ26" s="388">
        <f>ROUND(LJ$5/3,-3)</f>
        <v>733000</v>
      </c>
      <c r="LK26" s="389"/>
      <c r="LP26" s="313">
        <v>600</v>
      </c>
      <c r="LQ26" s="388">
        <f>ROUND(LQ$5/3,-3)</f>
        <v>867000</v>
      </c>
      <c r="LR26" s="389"/>
      <c r="LW26" s="313">
        <v>600</v>
      </c>
      <c r="LX26" s="388">
        <f>ROUND(LX$5/3,-3)</f>
        <v>867000</v>
      </c>
      <c r="LY26" s="389"/>
      <c r="MD26" s="313">
        <v>600</v>
      </c>
      <c r="ME26" s="388">
        <f>ROUND(ME$5/3,-3)</f>
        <v>867000</v>
      </c>
      <c r="MF26" s="389"/>
      <c r="MK26" s="313">
        <v>600</v>
      </c>
      <c r="ML26" s="388">
        <f>ROUND(ML$5/3,-3)</f>
        <v>867000</v>
      </c>
      <c r="MM26" s="389"/>
      <c r="MR26" s="313">
        <v>600</v>
      </c>
      <c r="MS26" s="388">
        <f>ROUND(MS$5/3,-3)</f>
        <v>867000</v>
      </c>
      <c r="MT26" s="389"/>
      <c r="MY26" s="313">
        <v>600</v>
      </c>
      <c r="MZ26" s="388">
        <f>ROUND(MZ$5/3,-3)</f>
        <v>867000</v>
      </c>
      <c r="NA26" s="389"/>
      <c r="NF26" s="313">
        <v>600</v>
      </c>
      <c r="NG26" s="388">
        <f>ROUND(NG$5/3,-3)</f>
        <v>867000</v>
      </c>
      <c r="NH26" s="389"/>
      <c r="NM26" s="313">
        <v>600</v>
      </c>
      <c r="NN26" s="388">
        <f>ROUND(NN$5/3,-3)</f>
        <v>867000</v>
      </c>
      <c r="NO26" s="389"/>
    </row>
    <row r="27" spans="1:383" s="196" customFormat="1" ht="16.05" customHeight="1" x14ac:dyDescent="0.3">
      <c r="A27" s="294"/>
      <c r="B27" s="308"/>
      <c r="C27" s="417" t="s">
        <v>12</v>
      </c>
      <c r="D27" s="340"/>
      <c r="F27" s="319" t="s">
        <v>692</v>
      </c>
      <c r="G27" s="420" t="s">
        <v>689</v>
      </c>
      <c r="H27" s="420"/>
      <c r="I27" s="420" t="s">
        <v>687</v>
      </c>
      <c r="J27" s="420"/>
      <c r="K27" s="249" t="s">
        <v>690</v>
      </c>
      <c r="M27" s="319" t="s">
        <v>692</v>
      </c>
      <c r="N27" s="420" t="s">
        <v>689</v>
      </c>
      <c r="O27" s="420"/>
      <c r="P27" s="420" t="s">
        <v>687</v>
      </c>
      <c r="Q27" s="420"/>
      <c r="R27" s="249" t="s">
        <v>690</v>
      </c>
      <c r="S27" s="265"/>
      <c r="T27" s="319" t="s">
        <v>692</v>
      </c>
      <c r="U27" s="394" t="s">
        <v>689</v>
      </c>
      <c r="V27" s="402"/>
      <c r="W27" s="394" t="s">
        <v>687</v>
      </c>
      <c r="X27" s="402"/>
      <c r="Y27" s="249" t="s">
        <v>690</v>
      </c>
      <c r="Z27" s="265"/>
      <c r="AA27" s="319" t="s">
        <v>692</v>
      </c>
      <c r="AB27" s="394" t="s">
        <v>689</v>
      </c>
      <c r="AC27" s="402"/>
      <c r="AD27" s="394" t="s">
        <v>687</v>
      </c>
      <c r="AE27" s="402"/>
      <c r="AF27" s="249" t="s">
        <v>690</v>
      </c>
      <c r="AG27" s="265"/>
      <c r="AH27" s="319" t="s">
        <v>692</v>
      </c>
      <c r="AI27" s="394" t="s">
        <v>689</v>
      </c>
      <c r="AJ27" s="402"/>
      <c r="AK27" s="394" t="s">
        <v>687</v>
      </c>
      <c r="AL27" s="402"/>
      <c r="AM27" s="249" t="s">
        <v>690</v>
      </c>
      <c r="AN27" s="265"/>
      <c r="AO27" s="319" t="s">
        <v>692</v>
      </c>
      <c r="AP27" s="394" t="s">
        <v>689</v>
      </c>
      <c r="AQ27" s="402"/>
      <c r="AR27" s="394" t="s">
        <v>687</v>
      </c>
      <c r="AS27" s="402"/>
      <c r="AT27" s="249" t="s">
        <v>690</v>
      </c>
      <c r="AU27" s="265"/>
      <c r="AV27" s="319" t="s">
        <v>692</v>
      </c>
      <c r="AW27" s="394" t="s">
        <v>689</v>
      </c>
      <c r="AX27" s="402"/>
      <c r="AY27" s="394" t="s">
        <v>687</v>
      </c>
      <c r="AZ27" s="402"/>
      <c r="BA27" s="249" t="s">
        <v>690</v>
      </c>
      <c r="BB27" s="265"/>
      <c r="BC27" s="319" t="s">
        <v>692</v>
      </c>
      <c r="BD27" s="394" t="s">
        <v>689</v>
      </c>
      <c r="BE27" s="402"/>
      <c r="BF27" s="394" t="s">
        <v>687</v>
      </c>
      <c r="BG27" s="402"/>
      <c r="BH27" s="249" t="s">
        <v>690</v>
      </c>
      <c r="BI27" s="265"/>
      <c r="BJ27" s="319" t="s">
        <v>692</v>
      </c>
      <c r="BK27" s="394" t="s">
        <v>689</v>
      </c>
      <c r="BL27" s="402"/>
      <c r="BM27" s="394" t="s">
        <v>687</v>
      </c>
      <c r="BN27" s="402"/>
      <c r="BO27" s="249" t="s">
        <v>690</v>
      </c>
      <c r="BP27" s="265"/>
      <c r="BQ27" s="319" t="s">
        <v>692</v>
      </c>
      <c r="BR27" s="394" t="s">
        <v>689</v>
      </c>
      <c r="BS27" s="402"/>
      <c r="BT27" s="394" t="s">
        <v>687</v>
      </c>
      <c r="BU27" s="402"/>
      <c r="BV27" s="249" t="s">
        <v>690</v>
      </c>
      <c r="BW27" s="265"/>
      <c r="BX27" s="319" t="s">
        <v>692</v>
      </c>
      <c r="BY27" s="394" t="s">
        <v>689</v>
      </c>
      <c r="BZ27" s="402"/>
      <c r="CA27" s="394" t="s">
        <v>687</v>
      </c>
      <c r="CB27" s="402"/>
      <c r="CC27" s="249" t="s">
        <v>690</v>
      </c>
      <c r="CD27" s="265"/>
      <c r="CE27" s="319" t="s">
        <v>692</v>
      </c>
      <c r="CF27" s="394" t="s">
        <v>689</v>
      </c>
      <c r="CG27" s="402"/>
      <c r="CH27" s="394" t="s">
        <v>687</v>
      </c>
      <c r="CI27" s="402"/>
      <c r="CJ27" s="249" t="s">
        <v>690</v>
      </c>
      <c r="CK27" s="265"/>
      <c r="CL27" s="319" t="s">
        <v>692</v>
      </c>
      <c r="CM27" s="394" t="s">
        <v>689</v>
      </c>
      <c r="CN27" s="402"/>
      <c r="CO27" s="394" t="s">
        <v>687</v>
      </c>
      <c r="CP27" s="402"/>
      <c r="CQ27" s="249" t="s">
        <v>690</v>
      </c>
      <c r="CR27" s="265"/>
      <c r="CS27" s="319" t="s">
        <v>692</v>
      </c>
      <c r="CT27" s="394" t="s">
        <v>689</v>
      </c>
      <c r="CU27" s="402"/>
      <c r="CV27" s="394" t="s">
        <v>687</v>
      </c>
      <c r="CW27" s="402"/>
      <c r="CX27" s="249" t="s">
        <v>690</v>
      </c>
      <c r="CY27" s="265"/>
      <c r="CZ27" s="319" t="s">
        <v>692</v>
      </c>
      <c r="DA27" s="394" t="s">
        <v>689</v>
      </c>
      <c r="DB27" s="402"/>
      <c r="DC27" s="394" t="s">
        <v>687</v>
      </c>
      <c r="DD27" s="402"/>
      <c r="DE27" s="249" t="s">
        <v>690</v>
      </c>
      <c r="DF27" s="265"/>
      <c r="DG27" s="319" t="s">
        <v>692</v>
      </c>
      <c r="DH27" s="394" t="s">
        <v>689</v>
      </c>
      <c r="DI27" s="402"/>
      <c r="DJ27" s="394" t="s">
        <v>687</v>
      </c>
      <c r="DK27" s="402"/>
      <c r="DL27" s="249" t="s">
        <v>690</v>
      </c>
      <c r="DM27" s="265"/>
      <c r="DN27" s="319" t="s">
        <v>692</v>
      </c>
      <c r="DO27" s="394" t="s">
        <v>689</v>
      </c>
      <c r="DP27" s="402"/>
      <c r="DQ27" s="394" t="s">
        <v>687</v>
      </c>
      <c r="DR27" s="402"/>
      <c r="DS27" s="249" t="s">
        <v>690</v>
      </c>
      <c r="DT27" s="265"/>
      <c r="DU27" s="319" t="s">
        <v>692</v>
      </c>
      <c r="DV27" s="394" t="s">
        <v>689</v>
      </c>
      <c r="DW27" s="402"/>
      <c r="DX27" s="394" t="s">
        <v>687</v>
      </c>
      <c r="DY27" s="402"/>
      <c r="DZ27" s="249" t="s">
        <v>690</v>
      </c>
      <c r="EA27" s="265"/>
      <c r="EB27" s="319" t="s">
        <v>692</v>
      </c>
      <c r="EC27" s="394" t="s">
        <v>689</v>
      </c>
      <c r="ED27" s="402"/>
      <c r="EE27" s="394" t="s">
        <v>687</v>
      </c>
      <c r="EF27" s="402"/>
      <c r="EG27" s="249" t="s">
        <v>690</v>
      </c>
      <c r="EH27" s="265"/>
      <c r="EI27" s="319" t="s">
        <v>692</v>
      </c>
      <c r="EJ27" s="394" t="s">
        <v>689</v>
      </c>
      <c r="EK27" s="402"/>
      <c r="EL27" s="394" t="s">
        <v>687</v>
      </c>
      <c r="EM27" s="402"/>
      <c r="EN27" s="249" t="s">
        <v>690</v>
      </c>
      <c r="EO27" s="265"/>
      <c r="EP27" s="319" t="s">
        <v>692</v>
      </c>
      <c r="EQ27" s="394" t="s">
        <v>689</v>
      </c>
      <c r="ER27" s="402"/>
      <c r="ES27" s="394" t="s">
        <v>687</v>
      </c>
      <c r="ET27" s="402"/>
      <c r="EU27" s="249" t="s">
        <v>690</v>
      </c>
      <c r="EV27" s="265"/>
      <c r="EW27" s="319" t="s">
        <v>692</v>
      </c>
      <c r="EX27" s="394" t="s">
        <v>689</v>
      </c>
      <c r="EY27" s="402"/>
      <c r="EZ27" s="394" t="s">
        <v>687</v>
      </c>
      <c r="FA27" s="402"/>
      <c r="FB27" s="249" t="s">
        <v>690</v>
      </c>
      <c r="FC27" s="265"/>
      <c r="FD27" s="319" t="s">
        <v>692</v>
      </c>
      <c r="FE27" s="394" t="s">
        <v>689</v>
      </c>
      <c r="FF27" s="402"/>
      <c r="FG27" s="394" t="s">
        <v>687</v>
      </c>
      <c r="FH27" s="402"/>
      <c r="FI27" s="249" t="s">
        <v>690</v>
      </c>
      <c r="FJ27" s="265"/>
      <c r="FK27" s="319" t="s">
        <v>692</v>
      </c>
      <c r="FL27" s="394" t="s">
        <v>689</v>
      </c>
      <c r="FM27" s="402"/>
      <c r="FN27" s="394" t="s">
        <v>687</v>
      </c>
      <c r="FO27" s="402"/>
      <c r="FP27" s="249" t="s">
        <v>690</v>
      </c>
      <c r="FQ27" s="265"/>
      <c r="FR27" s="319" t="s">
        <v>692</v>
      </c>
      <c r="FS27" s="394" t="s">
        <v>689</v>
      </c>
      <c r="FT27" s="402"/>
      <c r="FU27" s="394" t="s">
        <v>687</v>
      </c>
      <c r="FV27" s="402"/>
      <c r="FW27" s="249" t="s">
        <v>690</v>
      </c>
      <c r="FX27" s="265"/>
      <c r="FY27" s="319" t="s">
        <v>692</v>
      </c>
      <c r="FZ27" s="394" t="s">
        <v>689</v>
      </c>
      <c r="GA27" s="402"/>
      <c r="GB27" s="394" t="s">
        <v>687</v>
      </c>
      <c r="GC27" s="402"/>
      <c r="GD27" s="249" t="s">
        <v>690</v>
      </c>
      <c r="GE27" s="265"/>
      <c r="GF27" s="319" t="s">
        <v>692</v>
      </c>
      <c r="GG27" s="394" t="s">
        <v>689</v>
      </c>
      <c r="GH27" s="402"/>
      <c r="GI27" s="394" t="s">
        <v>687</v>
      </c>
      <c r="GJ27" s="402"/>
      <c r="GK27" s="249" t="s">
        <v>690</v>
      </c>
      <c r="GL27" s="265"/>
      <c r="GM27" s="319" t="s">
        <v>692</v>
      </c>
      <c r="GN27" s="394" t="s">
        <v>689</v>
      </c>
      <c r="GO27" s="402"/>
      <c r="GP27" s="394" t="s">
        <v>687</v>
      </c>
      <c r="GQ27" s="402"/>
      <c r="GR27" s="249" t="s">
        <v>690</v>
      </c>
      <c r="GS27" s="265"/>
      <c r="GT27" s="319" t="s">
        <v>692</v>
      </c>
      <c r="GU27" s="394" t="s">
        <v>689</v>
      </c>
      <c r="GV27" s="402"/>
      <c r="GW27" s="394" t="s">
        <v>687</v>
      </c>
      <c r="GX27" s="402"/>
      <c r="GY27" s="249" t="s">
        <v>690</v>
      </c>
      <c r="GZ27" s="283"/>
      <c r="HA27" s="319" t="s">
        <v>692</v>
      </c>
      <c r="HB27" s="394" t="s">
        <v>689</v>
      </c>
      <c r="HC27" s="402"/>
      <c r="HD27" s="394" t="s">
        <v>687</v>
      </c>
      <c r="HE27" s="402"/>
      <c r="HF27" s="249" t="s">
        <v>690</v>
      </c>
      <c r="HG27" s="265"/>
      <c r="HH27" s="319" t="s">
        <v>692</v>
      </c>
      <c r="HI27" s="394" t="s">
        <v>689</v>
      </c>
      <c r="HJ27" s="402"/>
      <c r="HK27" s="394" t="s">
        <v>687</v>
      </c>
      <c r="HL27" s="402"/>
      <c r="HM27" s="249" t="s">
        <v>690</v>
      </c>
      <c r="HN27" s="265"/>
      <c r="HO27" s="319" t="s">
        <v>692</v>
      </c>
      <c r="HP27" s="394" t="s">
        <v>689</v>
      </c>
      <c r="HQ27" s="402"/>
      <c r="HR27" s="394" t="s">
        <v>687</v>
      </c>
      <c r="HS27" s="402"/>
      <c r="HT27" s="249" t="s">
        <v>690</v>
      </c>
      <c r="HU27" s="265"/>
      <c r="HV27" s="319" t="s">
        <v>692</v>
      </c>
      <c r="HW27" s="394" t="s">
        <v>689</v>
      </c>
      <c r="HX27" s="402"/>
      <c r="HY27" s="394" t="s">
        <v>687</v>
      </c>
      <c r="HZ27" s="402"/>
      <c r="IA27" s="249" t="s">
        <v>690</v>
      </c>
      <c r="IB27" s="265"/>
      <c r="IC27" s="319" t="s">
        <v>692</v>
      </c>
      <c r="ID27" s="394" t="s">
        <v>689</v>
      </c>
      <c r="IE27" s="402"/>
      <c r="IF27" s="394" t="s">
        <v>687</v>
      </c>
      <c r="IG27" s="402"/>
      <c r="IH27" s="249" t="s">
        <v>690</v>
      </c>
      <c r="II27" s="265"/>
      <c r="IJ27" s="319" t="s">
        <v>692</v>
      </c>
      <c r="IK27" s="394" t="s">
        <v>689</v>
      </c>
      <c r="IL27" s="402"/>
      <c r="IM27" s="394" t="s">
        <v>687</v>
      </c>
      <c r="IN27" s="402"/>
      <c r="IO27" s="249" t="s">
        <v>690</v>
      </c>
      <c r="IP27" s="265"/>
      <c r="IQ27" s="319" t="s">
        <v>692</v>
      </c>
      <c r="IR27" s="394" t="s">
        <v>689</v>
      </c>
      <c r="IS27" s="402"/>
      <c r="IT27" s="394" t="s">
        <v>687</v>
      </c>
      <c r="IU27" s="402"/>
      <c r="IV27" s="249" t="s">
        <v>690</v>
      </c>
      <c r="IW27" s="265"/>
      <c r="IX27" s="319" t="s">
        <v>692</v>
      </c>
      <c r="IY27" s="394" t="s">
        <v>689</v>
      </c>
      <c r="IZ27" s="402"/>
      <c r="JA27" s="394" t="s">
        <v>687</v>
      </c>
      <c r="JB27" s="402"/>
      <c r="JC27" s="249" t="s">
        <v>690</v>
      </c>
      <c r="JD27" s="265"/>
      <c r="JE27" s="319" t="s">
        <v>692</v>
      </c>
      <c r="JF27" s="394" t="s">
        <v>689</v>
      </c>
      <c r="JG27" s="402"/>
      <c r="JH27" s="394" t="s">
        <v>687</v>
      </c>
      <c r="JI27" s="402"/>
      <c r="JJ27" s="249" t="s">
        <v>690</v>
      </c>
      <c r="JK27" s="265"/>
      <c r="JL27" s="319" t="s">
        <v>692</v>
      </c>
      <c r="JM27" s="394" t="s">
        <v>689</v>
      </c>
      <c r="JN27" s="402"/>
      <c r="JO27" s="394" t="s">
        <v>687</v>
      </c>
      <c r="JP27" s="402"/>
      <c r="JQ27" s="249" t="s">
        <v>690</v>
      </c>
      <c r="JR27" s="265"/>
      <c r="JS27" s="319" t="s">
        <v>692</v>
      </c>
      <c r="JT27" s="394" t="s">
        <v>689</v>
      </c>
      <c r="JU27" s="402"/>
      <c r="JV27" s="394" t="s">
        <v>687</v>
      </c>
      <c r="JW27" s="402"/>
      <c r="JX27" s="249" t="s">
        <v>690</v>
      </c>
      <c r="JY27" s="265"/>
      <c r="JZ27" s="319" t="s">
        <v>692</v>
      </c>
      <c r="KA27" s="394" t="s">
        <v>689</v>
      </c>
      <c r="KB27" s="402"/>
      <c r="KC27" s="394" t="s">
        <v>687</v>
      </c>
      <c r="KD27" s="402"/>
      <c r="KE27" s="249" t="s">
        <v>690</v>
      </c>
      <c r="KF27" s="265"/>
      <c r="KG27" s="319" t="s">
        <v>692</v>
      </c>
      <c r="KH27" s="394" t="s">
        <v>689</v>
      </c>
      <c r="KI27" s="402"/>
      <c r="KJ27" s="394" t="s">
        <v>687</v>
      </c>
      <c r="KK27" s="402"/>
      <c r="KL27" s="249" t="s">
        <v>690</v>
      </c>
      <c r="KM27" s="265"/>
      <c r="KN27" s="319" t="s">
        <v>692</v>
      </c>
      <c r="KO27" s="394" t="s">
        <v>689</v>
      </c>
      <c r="KP27" s="402"/>
      <c r="KQ27" s="394" t="s">
        <v>687</v>
      </c>
      <c r="KR27" s="402"/>
      <c r="KS27" s="249" t="s">
        <v>690</v>
      </c>
      <c r="KT27" s="265"/>
      <c r="KU27" s="319" t="s">
        <v>692</v>
      </c>
      <c r="KV27" s="394" t="s">
        <v>689</v>
      </c>
      <c r="KW27" s="402"/>
      <c r="KX27" s="394" t="s">
        <v>687</v>
      </c>
      <c r="KY27" s="402"/>
      <c r="KZ27" s="249" t="s">
        <v>690</v>
      </c>
      <c r="LA27" s="265"/>
      <c r="LB27" s="319" t="s">
        <v>692</v>
      </c>
      <c r="LC27" s="394" t="s">
        <v>689</v>
      </c>
      <c r="LD27" s="402"/>
      <c r="LE27" s="394" t="s">
        <v>687</v>
      </c>
      <c r="LF27" s="402"/>
      <c r="LG27" s="249" t="s">
        <v>690</v>
      </c>
      <c r="LH27" s="265"/>
      <c r="LI27" s="319" t="s">
        <v>692</v>
      </c>
      <c r="LJ27" s="394" t="s">
        <v>689</v>
      </c>
      <c r="LK27" s="402"/>
      <c r="LL27" s="394" t="s">
        <v>687</v>
      </c>
      <c r="LM27" s="402"/>
      <c r="LN27" s="249" t="s">
        <v>690</v>
      </c>
      <c r="LO27" s="265"/>
      <c r="LP27" s="319" t="s">
        <v>692</v>
      </c>
      <c r="LQ27" s="394" t="s">
        <v>689</v>
      </c>
      <c r="LR27" s="402"/>
      <c r="LS27" s="394" t="s">
        <v>687</v>
      </c>
      <c r="LT27" s="402"/>
      <c r="LU27" s="249" t="s">
        <v>690</v>
      </c>
      <c r="LV27" s="265"/>
      <c r="LW27" s="319" t="s">
        <v>692</v>
      </c>
      <c r="LX27" s="394" t="s">
        <v>689</v>
      </c>
      <c r="LY27" s="402"/>
      <c r="LZ27" s="394" t="s">
        <v>687</v>
      </c>
      <c r="MA27" s="402"/>
      <c r="MB27" s="249" t="s">
        <v>690</v>
      </c>
      <c r="MC27" s="265"/>
      <c r="MD27" s="319" t="s">
        <v>692</v>
      </c>
      <c r="ME27" s="394" t="s">
        <v>689</v>
      </c>
      <c r="MF27" s="402"/>
      <c r="MG27" s="394" t="s">
        <v>687</v>
      </c>
      <c r="MH27" s="402"/>
      <c r="MI27" s="249" t="s">
        <v>690</v>
      </c>
      <c r="MJ27" s="265"/>
      <c r="MK27" s="319" t="s">
        <v>692</v>
      </c>
      <c r="ML27" s="394" t="s">
        <v>689</v>
      </c>
      <c r="MM27" s="402"/>
      <c r="MN27" s="394" t="s">
        <v>687</v>
      </c>
      <c r="MO27" s="402"/>
      <c r="MP27" s="249" t="s">
        <v>690</v>
      </c>
      <c r="MQ27" s="265"/>
      <c r="MR27" s="319" t="s">
        <v>692</v>
      </c>
      <c r="MS27" s="394" t="s">
        <v>689</v>
      </c>
      <c r="MT27" s="402"/>
      <c r="MU27" s="394" t="s">
        <v>687</v>
      </c>
      <c r="MV27" s="402"/>
      <c r="MW27" s="249" t="s">
        <v>690</v>
      </c>
      <c r="MX27" s="265"/>
      <c r="MY27" s="319" t="s">
        <v>692</v>
      </c>
      <c r="MZ27" s="394" t="s">
        <v>689</v>
      </c>
      <c r="NA27" s="402"/>
      <c r="NB27" s="394" t="s">
        <v>687</v>
      </c>
      <c r="NC27" s="402"/>
      <c r="ND27" s="249" t="s">
        <v>690</v>
      </c>
      <c r="NE27" s="265"/>
      <c r="NF27" s="319" t="s">
        <v>692</v>
      </c>
      <c r="NG27" s="394" t="s">
        <v>689</v>
      </c>
      <c r="NH27" s="402"/>
      <c r="NI27" s="394" t="s">
        <v>687</v>
      </c>
      <c r="NJ27" s="402"/>
      <c r="NK27" s="249" t="s">
        <v>690</v>
      </c>
      <c r="NL27" s="265"/>
      <c r="NM27" s="319" t="s">
        <v>692</v>
      </c>
      <c r="NN27" s="394" t="s">
        <v>689</v>
      </c>
      <c r="NO27" s="402"/>
      <c r="NP27" s="394" t="s">
        <v>687</v>
      </c>
      <c r="NQ27" s="402"/>
      <c r="NR27" s="249" t="s">
        <v>690</v>
      </c>
      <c r="NS27" s="283"/>
    </row>
    <row r="28" spans="1:383" s="196" customFormat="1" ht="16.05" customHeight="1" x14ac:dyDescent="0.3">
      <c r="A28" s="294"/>
      <c r="B28" s="308"/>
      <c r="C28" s="418"/>
      <c r="D28" s="340"/>
      <c r="F28" s="322">
        <f>'Pilotage effectif CFP'!N43</f>
        <v>35</v>
      </c>
      <c r="G28" s="403">
        <f>G30/F30</f>
        <v>0</v>
      </c>
      <c r="H28" s="404"/>
      <c r="I28" s="405">
        <f>'Pilotage effectif CFP'!N43*35</f>
        <v>1225</v>
      </c>
      <c r="J28" s="406"/>
      <c r="K28" s="318">
        <f>IF(G28&lt;&gt;0,I28-G28,0)</f>
        <v>0</v>
      </c>
      <c r="L28" s="332">
        <f>K28/35</f>
        <v>0</v>
      </c>
      <c r="M28" s="322">
        <f>'Pilotage effectif CFP'!U43</f>
        <v>33.6</v>
      </c>
      <c r="N28" s="403">
        <f>N30/M30</f>
        <v>0</v>
      </c>
      <c r="O28" s="404"/>
      <c r="P28" s="405">
        <f>'Pilotage effectif CFP'!U43*35</f>
        <v>1176</v>
      </c>
      <c r="Q28" s="406"/>
      <c r="R28" s="318">
        <f>IF(N28&lt;&gt;0,P28-N28,0)</f>
        <v>0</v>
      </c>
      <c r="S28" s="332">
        <f>R28/35</f>
        <v>0</v>
      </c>
      <c r="T28" s="322">
        <f>'Pilotage effectif CFP'!AB43</f>
        <v>30</v>
      </c>
      <c r="U28" s="403">
        <f>U30/T30</f>
        <v>0</v>
      </c>
      <c r="V28" s="404"/>
      <c r="W28" s="405">
        <f>'Pilotage effectif CFP'!AB43*42</f>
        <v>1260</v>
      </c>
      <c r="X28" s="406"/>
      <c r="Y28" s="318">
        <f>IF(U28&lt;&gt;0,W28-U28,0)</f>
        <v>0</v>
      </c>
      <c r="Z28" s="332">
        <f>Y28/35</f>
        <v>0</v>
      </c>
      <c r="AA28" s="322">
        <f>'Pilotage effectif CFP'!AI43</f>
        <v>28</v>
      </c>
      <c r="AB28" s="403">
        <f>AB30/AA30</f>
        <v>563.38028169014081</v>
      </c>
      <c r="AC28" s="404"/>
      <c r="AD28" s="405">
        <f>'Pilotage effectif CFP'!AI43*35</f>
        <v>980</v>
      </c>
      <c r="AE28" s="406"/>
      <c r="AF28" s="318">
        <f>IF(AB28&lt;&gt;0,AD28-AB28,0)</f>
        <v>416.61971830985919</v>
      </c>
      <c r="AG28" s="332">
        <f>AF28/35</f>
        <v>11.903420523138834</v>
      </c>
      <c r="AH28" s="322">
        <f>'Pilotage effectif CFP'!AP43</f>
        <v>28</v>
      </c>
      <c r="AI28" s="403">
        <f>IFERROR(AI30/AH30,0)</f>
        <v>816.90140845070425</v>
      </c>
      <c r="AJ28" s="404"/>
      <c r="AK28" s="405">
        <f>'Pilotage effectif CFP'!AP43*35</f>
        <v>980</v>
      </c>
      <c r="AL28" s="406"/>
      <c r="AM28" s="318">
        <f>IF(AI28&lt;&gt;0,AK28-AI28,0)</f>
        <v>163.09859154929575</v>
      </c>
      <c r="AN28" s="332">
        <f>AM28/35</f>
        <v>4.6599597585513068</v>
      </c>
      <c r="AO28" s="342">
        <f>'Pilotage effectif CFP'!AW43</f>
        <v>30</v>
      </c>
      <c r="AP28" s="403">
        <f>IFERROR(AP30/AO30,0)</f>
        <v>909.85915492957747</v>
      </c>
      <c r="AQ28" s="404"/>
      <c r="AR28" s="405">
        <f>'Pilotage effectif CFP'!AW43*39</f>
        <v>1170</v>
      </c>
      <c r="AS28" s="406"/>
      <c r="AT28" s="318">
        <f>IF(AP28&lt;&gt;0,AR28-AP28,0)</f>
        <v>260.14084507042253</v>
      </c>
      <c r="AU28" s="332">
        <f>AT28/35</f>
        <v>7.4325955734406435</v>
      </c>
      <c r="AV28" s="342">
        <f>'Pilotage effectif CFP'!BD43</f>
        <v>29</v>
      </c>
      <c r="AW28" s="403">
        <f>IFERROR(AW30/AV30,0)</f>
        <v>904.53834115805932</v>
      </c>
      <c r="AX28" s="404"/>
      <c r="AY28" s="405">
        <f>'Pilotage effectif CFP'!BD43*35</f>
        <v>1015</v>
      </c>
      <c r="AZ28" s="406"/>
      <c r="BA28" s="318">
        <f>IF(AW28&lt;&gt;0,AY28-AW28,0)</f>
        <v>110.46165884194068</v>
      </c>
      <c r="BB28" s="332">
        <f>BA28/35</f>
        <v>3.1560473954840194</v>
      </c>
      <c r="BC28" s="342">
        <f>'Pilotage effectif CFP'!BK43</f>
        <v>28</v>
      </c>
      <c r="BD28" s="403">
        <f>IFERROR(BD30/BC30,0)</f>
        <v>872.23340040241453</v>
      </c>
      <c r="BE28" s="404"/>
      <c r="BF28" s="405">
        <f>'Pilotage effectif CFP'!BK43*35</f>
        <v>980</v>
      </c>
      <c r="BG28" s="406"/>
      <c r="BH28" s="318">
        <f>IF(BD28&lt;&gt;0,BF28-BD28,0)</f>
        <v>107.76659959758547</v>
      </c>
      <c r="BI28" s="332">
        <f>BH28/35</f>
        <v>3.0790457027881564</v>
      </c>
      <c r="BJ28" s="342">
        <f>'Pilotage effectif CFP'!BR43</f>
        <v>32</v>
      </c>
      <c r="BK28" s="403">
        <f>IFERROR(BK30/BJ30,0)</f>
        <v>903.125</v>
      </c>
      <c r="BL28" s="404"/>
      <c r="BM28" s="405">
        <f>'Pilotage effectif CFP'!BR43*35</f>
        <v>1120</v>
      </c>
      <c r="BN28" s="406"/>
      <c r="BO28" s="318">
        <f>IF(BK28&lt;&gt;0,BM28-BK28,0)</f>
        <v>216.875</v>
      </c>
      <c r="BP28" s="332">
        <f>BO28/35</f>
        <v>6.1964285714285712</v>
      </c>
      <c r="BQ28" s="342">
        <f>'Pilotage effectif CFP'!BY43</f>
        <v>32</v>
      </c>
      <c r="BR28" s="403">
        <f>IFERROR(BR30/BQ30,0)</f>
        <v>904.93827160493822</v>
      </c>
      <c r="BS28" s="404"/>
      <c r="BT28" s="405">
        <f>'Pilotage effectif CFP'!BY43*35</f>
        <v>1120</v>
      </c>
      <c r="BU28" s="406"/>
      <c r="BV28" s="318">
        <f>IF(BR28&lt;&gt;0,BT28-BR28,0)</f>
        <v>215.06172839506178</v>
      </c>
      <c r="BW28" s="332">
        <f>BV28/35</f>
        <v>6.1446208112874796</v>
      </c>
      <c r="BX28" s="322">
        <f>'Pilotage effectif CFP'!CF43</f>
        <v>30</v>
      </c>
      <c r="BY28" s="403">
        <f>IFERROR(BY30/BX30,0)</f>
        <v>967.63392857142867</v>
      </c>
      <c r="BZ28" s="404"/>
      <c r="CA28" s="405">
        <f>'Pilotage effectif CFP'!CF43*35</f>
        <v>1050</v>
      </c>
      <c r="CB28" s="406"/>
      <c r="CC28" s="318">
        <f>IF(BY28&lt;&gt;0,CA28-BY28,0)</f>
        <v>82.366071428571331</v>
      </c>
      <c r="CD28" s="332">
        <f>CC28/35</f>
        <v>2.3533163265306096</v>
      </c>
      <c r="CE28" s="322">
        <f>'Pilotage effectif CFP'!CM43</f>
        <v>28</v>
      </c>
      <c r="CF28" s="403">
        <f>IFERROR(CF30/CE30,0)</f>
        <v>545.19375000000002</v>
      </c>
      <c r="CG28" s="404"/>
      <c r="CH28" s="405">
        <f>'Pilotage effectif CFP'!CM43*35</f>
        <v>980</v>
      </c>
      <c r="CI28" s="406"/>
      <c r="CJ28" s="318">
        <f>IF(CF28&lt;&gt;0,CH28-CF28,0)</f>
        <v>434.80624999999998</v>
      </c>
      <c r="CK28" s="332">
        <f>CJ28/35</f>
        <v>12.423035714285714</v>
      </c>
      <c r="CL28" s="342">
        <f>'Pilotage effectif CFP'!CT43</f>
        <v>31</v>
      </c>
      <c r="CM28" s="403">
        <f>IFERROR(CM30/CL30,0)</f>
        <v>860.54590570719608</v>
      </c>
      <c r="CN28" s="404"/>
      <c r="CO28" s="405">
        <f>'Pilotage effectif CFP'!CT43*35</f>
        <v>1085</v>
      </c>
      <c r="CP28" s="406"/>
      <c r="CQ28" s="318">
        <f>IF(CM28&lt;&gt;0,CO28-CM28,0)</f>
        <v>224.45409429280392</v>
      </c>
      <c r="CR28" s="332">
        <f>CQ28/35</f>
        <v>6.4129741226515407</v>
      </c>
      <c r="CS28" s="342">
        <f>'Pilotage effectif CFP'!DA43</f>
        <v>32</v>
      </c>
      <c r="CT28" s="403">
        <f>IFERROR(CT30/CS30,0)</f>
        <v>903.125</v>
      </c>
      <c r="CU28" s="404"/>
      <c r="CV28" s="405">
        <f>'Pilotage effectif CFP'!DA43*35</f>
        <v>1120</v>
      </c>
      <c r="CW28" s="406"/>
      <c r="CX28" s="318">
        <f>IF(CT28&lt;&gt;0,CV28-CT28,0)</f>
        <v>216.875</v>
      </c>
      <c r="CY28" s="332">
        <f>CX28/35</f>
        <v>6.1964285714285712</v>
      </c>
      <c r="CZ28" s="342">
        <f>'Pilotage effectif CFP'!DH43</f>
        <v>29</v>
      </c>
      <c r="DA28" s="403">
        <f>IFERROR(DA30/CZ30,0)</f>
        <v>934.26724137931035</v>
      </c>
      <c r="DB28" s="404"/>
      <c r="DC28" s="405">
        <f>'Pilotage effectif CFP'!DH43*35</f>
        <v>1015</v>
      </c>
      <c r="DD28" s="406"/>
      <c r="DE28" s="318">
        <f>IF(DA28&lt;&gt;0,DC28-DA28,0)</f>
        <v>80.732758620689651</v>
      </c>
      <c r="DF28" s="332">
        <f>DE28/35</f>
        <v>2.3066502463054186</v>
      </c>
      <c r="DG28" s="342">
        <f>'Pilotage effectif CFP'!DO43</f>
        <v>23</v>
      </c>
      <c r="DH28" s="403">
        <f>IFERROR(DH30/DG30,0)</f>
        <v>860.54590570719608</v>
      </c>
      <c r="DI28" s="404"/>
      <c r="DJ28" s="405">
        <f>'Pilotage effectif CFP'!DO43*35</f>
        <v>805</v>
      </c>
      <c r="DK28" s="406"/>
      <c r="DL28" s="318">
        <f>IF(DH28&lt;&gt;0,DJ28-DH28,0)</f>
        <v>-55.545905707196084</v>
      </c>
      <c r="DM28" s="332">
        <f>DL28/35</f>
        <v>-1.5870258773484596</v>
      </c>
      <c r="DN28" s="342">
        <f>'Pilotage effectif CFP'!DV43</f>
        <v>24.8</v>
      </c>
      <c r="DO28" s="403">
        <f>IFERROR(DO30/DN30,0)</f>
        <v>731.45245559038665</v>
      </c>
      <c r="DP28" s="404"/>
      <c r="DQ28" s="405">
        <f>'Pilotage effectif CFP'!DV43*35</f>
        <v>868</v>
      </c>
      <c r="DR28" s="406"/>
      <c r="DS28" s="318">
        <f>IF(DO28&lt;&gt;0,DQ28-DO28,0)</f>
        <v>136.54754440961335</v>
      </c>
      <c r="DT28" s="332">
        <f>DS28/35</f>
        <v>3.9013584117032387</v>
      </c>
      <c r="DU28" s="342">
        <f>'Pilotage effectif CFP'!EC43</f>
        <v>24.8</v>
      </c>
      <c r="DV28" s="403">
        <f>IFERROR(DV30/DU30,0)</f>
        <v>683.11195445920305</v>
      </c>
      <c r="DW28" s="404"/>
      <c r="DX28" s="405">
        <f>'Pilotage effectif CFP'!EC43*35</f>
        <v>868</v>
      </c>
      <c r="DY28" s="406"/>
      <c r="DZ28" s="318">
        <f>IF(DV28&lt;&gt;0,DX28-DV28,0)</f>
        <v>184.88804554079695</v>
      </c>
      <c r="EA28" s="332">
        <f>DZ28/35</f>
        <v>5.2825155868799127</v>
      </c>
      <c r="EB28" s="342">
        <f>'Pilotage effectif CFP'!EJ43</f>
        <v>28</v>
      </c>
      <c r="EC28" s="403">
        <f>IFERROR(EC30/EB30,0)</f>
        <v>928.35820895522386</v>
      </c>
      <c r="ED28" s="404"/>
      <c r="EE28" s="405">
        <f>'Pilotage effectif CFP'!EJ43*35</f>
        <v>980</v>
      </c>
      <c r="EF28" s="406"/>
      <c r="EG28" s="318">
        <f>IF(EC28&lt;&gt;0,EE28-EC28,0)</f>
        <v>51.641791044776141</v>
      </c>
      <c r="EH28" s="332">
        <f>EG28/35</f>
        <v>1.4754797441364611</v>
      </c>
      <c r="EI28" s="342">
        <f>'Pilotage effectif CFP'!EQ43</f>
        <v>29</v>
      </c>
      <c r="EJ28" s="403">
        <f>IFERROR(EJ30/EI30,0)</f>
        <v>889.23076923076928</v>
      </c>
      <c r="EK28" s="404"/>
      <c r="EL28" s="405">
        <f>'Pilotage effectif CFP'!EQ43*35</f>
        <v>1015</v>
      </c>
      <c r="EM28" s="406"/>
      <c r="EN28" s="318">
        <f>IF(EJ28&lt;&gt;0,EL28-EJ28,0)</f>
        <v>125.76923076923072</v>
      </c>
      <c r="EO28" s="332">
        <f>EN28/35</f>
        <v>3.5934065934065917</v>
      </c>
      <c r="EP28" s="342">
        <f>'Pilotage effectif CFP'!EX43</f>
        <v>30</v>
      </c>
      <c r="EQ28" s="403">
        <f>IFERROR(EQ30/EP30,0)</f>
        <v>1009.6418732782369</v>
      </c>
      <c r="ER28" s="404"/>
      <c r="ES28" s="405">
        <f>'Pilotage effectif CFP'!EX43*35</f>
        <v>1050</v>
      </c>
      <c r="ET28" s="406"/>
      <c r="EU28" s="318">
        <f>IF(EQ28&lt;&gt;0,ES28-EQ28,0)</f>
        <v>40.358126721763142</v>
      </c>
      <c r="EV28" s="332">
        <f>EU28/35</f>
        <v>1.1530893349075184</v>
      </c>
      <c r="EW28" s="342">
        <f>'Pilotage effectif CFP'!FE43</f>
        <v>29</v>
      </c>
      <c r="EX28" s="403">
        <f>IFERROR(EX30/EW30,0)</f>
        <v>875.75757575757575</v>
      </c>
      <c r="EY28" s="404"/>
      <c r="EZ28" s="405">
        <f>'Pilotage effectif CFP'!FE43*35</f>
        <v>1015</v>
      </c>
      <c r="FA28" s="406"/>
      <c r="FB28" s="318">
        <f>IF(EX28&lt;&gt;0,EZ28-EX28,0)</f>
        <v>139.24242424242425</v>
      </c>
      <c r="FC28" s="332">
        <f>FB28/35</f>
        <v>3.9783549783549788</v>
      </c>
      <c r="FD28" s="342">
        <f>'Pilotage effectif CFP'!FL43</f>
        <v>29</v>
      </c>
      <c r="FE28" s="403">
        <f>IFERROR(FE30/FD30,0)</f>
        <v>909.09090909090912</v>
      </c>
      <c r="FF28" s="404"/>
      <c r="FG28" s="405">
        <f>'Pilotage effectif CFP'!FL43*35</f>
        <v>1015</v>
      </c>
      <c r="FH28" s="406"/>
      <c r="FI28" s="318">
        <f>IF(FE28&lt;&gt;0,FG28-FE28,0)</f>
        <v>105.90909090909088</v>
      </c>
      <c r="FJ28" s="332">
        <f>FI28/35</f>
        <v>3.0259740259740249</v>
      </c>
      <c r="FK28" s="342">
        <f>'Pilotage effectif CFP'!FS43</f>
        <v>24.8</v>
      </c>
      <c r="FL28" s="403">
        <f>IFERROR(FL30/FK30,0)</f>
        <v>937.5</v>
      </c>
      <c r="FM28" s="404"/>
      <c r="FN28" s="405">
        <f>'Pilotage effectif CFP'!FS43*39</f>
        <v>967.2</v>
      </c>
      <c r="FO28" s="406"/>
      <c r="FP28" s="318">
        <f>IF(FL28&lt;&gt;0,FN28-FL28,0)</f>
        <v>29.700000000000045</v>
      </c>
      <c r="FQ28" s="332">
        <f>FP28/35</f>
        <v>0.84857142857142986</v>
      </c>
      <c r="FR28" s="322">
        <f>'Pilotage effectif CFP'!FZ43</f>
        <v>29</v>
      </c>
      <c r="FS28" s="403">
        <f>IFERROR(FS30/FR30,0)</f>
        <v>1010.10101010101</v>
      </c>
      <c r="FT28" s="404"/>
      <c r="FU28" s="405">
        <f>'Pilotage effectif CFP'!FZ43*35</f>
        <v>1015</v>
      </c>
      <c r="FV28" s="406"/>
      <c r="FW28" s="318">
        <f>IF(FS28&lt;&gt;0,FU28-FS28,0)</f>
        <v>4.898989898989953</v>
      </c>
      <c r="FX28" s="332">
        <f>FW28/35</f>
        <v>0.13997113997114152</v>
      </c>
      <c r="FY28" s="322">
        <f>'Pilotage effectif CFP'!GG43</f>
        <v>29</v>
      </c>
      <c r="FZ28" s="403">
        <f>IFERROR(FZ30/FY30,0)</f>
        <v>1041.6666666666665</v>
      </c>
      <c r="GA28" s="404"/>
      <c r="GB28" s="405">
        <f>'Pilotage effectif CFP'!GG43*35</f>
        <v>1015</v>
      </c>
      <c r="GC28" s="406"/>
      <c r="GD28" s="318">
        <f>IF(FZ28&lt;&gt;0,GB28-FZ28,0)</f>
        <v>-26.666666666666515</v>
      </c>
      <c r="GE28" s="332">
        <f>GD28/35</f>
        <v>-0.76190476190475753</v>
      </c>
      <c r="GF28" s="322">
        <f>'Pilotage effectif CFP'!GN43</f>
        <v>29</v>
      </c>
      <c r="GG28" s="403">
        <f>IFERROR(GG30/GF30,0)</f>
        <v>1041.6666666666665</v>
      </c>
      <c r="GH28" s="404"/>
      <c r="GI28" s="405">
        <f>'Pilotage effectif CFP'!GN43*35</f>
        <v>1015</v>
      </c>
      <c r="GJ28" s="406"/>
      <c r="GK28" s="318">
        <f>IF(GG28&lt;&gt;0,GI28-GG28,0)</f>
        <v>-26.666666666666515</v>
      </c>
      <c r="GL28" s="332">
        <f>GK28/35</f>
        <v>-0.76190476190475753</v>
      </c>
      <c r="GM28" s="322">
        <f>'Pilotage effectif CFP'!GU43</f>
        <v>27</v>
      </c>
      <c r="GN28" s="403">
        <f>IFERROR(GN30/GM30,0)</f>
        <v>1041.6666666666665</v>
      </c>
      <c r="GO28" s="404"/>
      <c r="GP28" s="405">
        <f>'Pilotage effectif CFP'!GU43*35</f>
        <v>945</v>
      </c>
      <c r="GQ28" s="406"/>
      <c r="GR28" s="318">
        <f>IF(GN28&lt;&gt;0,GP28-GN28,0)</f>
        <v>-96.666666666666515</v>
      </c>
      <c r="GS28" s="332">
        <f>GR28/35</f>
        <v>-2.7619047619047574</v>
      </c>
      <c r="GT28" s="342">
        <f>'Pilotage effectif CFP'!HB43</f>
        <v>19.2</v>
      </c>
      <c r="GU28" s="403">
        <f>IFERROR(GU30/GT30,0)</f>
        <v>903.125</v>
      </c>
      <c r="GV28" s="404"/>
      <c r="GW28" s="405">
        <f>'Pilotage effectif CFP'!HB43*35</f>
        <v>672</v>
      </c>
      <c r="GX28" s="406"/>
      <c r="GY28" s="318">
        <f>IF(GU28&lt;&gt;0,GW28-GU28,0)</f>
        <v>-231.125</v>
      </c>
      <c r="GZ28" s="332">
        <f>GY28/35</f>
        <v>-6.6035714285714286</v>
      </c>
      <c r="HA28" s="322">
        <f>'Pilotage effectif CFP'!HI43</f>
        <v>25</v>
      </c>
      <c r="HB28" s="403">
        <f>IFERROR(HB30/HA30,0)</f>
        <v>906.25</v>
      </c>
      <c r="HC28" s="404"/>
      <c r="HD28" s="405">
        <f>'Pilotage effectif CFP'!HI43*35</f>
        <v>875</v>
      </c>
      <c r="HE28" s="406"/>
      <c r="HF28" s="318">
        <f>IF(HB28&lt;&gt;0,HD28-HB28,0)</f>
        <v>-31.25</v>
      </c>
      <c r="HG28" s="332">
        <f>HF28/35</f>
        <v>-0.8928571428571429</v>
      </c>
      <c r="HH28" s="342">
        <f>'Pilotage effectif CFP'!HP43</f>
        <v>23</v>
      </c>
      <c r="HI28" s="403">
        <f>IFERROR(HI30/HH30,0)</f>
        <v>1009.375</v>
      </c>
      <c r="HJ28" s="404"/>
      <c r="HK28" s="405">
        <f>'Pilotage effectif CFP'!HP43*39</f>
        <v>897</v>
      </c>
      <c r="HL28" s="406"/>
      <c r="HM28" s="318">
        <f>IF(HI28&lt;&gt;0,HK28-HI28,0)</f>
        <v>-112.375</v>
      </c>
      <c r="HN28" s="332">
        <f>HM28/35</f>
        <v>-3.2107142857142859</v>
      </c>
      <c r="HO28" s="342">
        <f>'Pilotage effectif CFP'!HW43</f>
        <v>22</v>
      </c>
      <c r="HP28" s="403">
        <f>IFERROR(HP30/HO30,0)</f>
        <v>1041.6666666666665</v>
      </c>
      <c r="HQ28" s="404"/>
      <c r="HR28" s="405">
        <f>'Pilotage effectif CFP'!HW43*35</f>
        <v>770</v>
      </c>
      <c r="HS28" s="406"/>
      <c r="HT28" s="318">
        <f>IF(HP28&lt;&gt;0,HR28-HP28,0)</f>
        <v>-271.66666666666652</v>
      </c>
      <c r="HU28" s="332">
        <f>HT28/35</f>
        <v>-7.7619047619047574</v>
      </c>
      <c r="HV28" s="342">
        <f>'Pilotage effectif CFP'!ID43</f>
        <v>22</v>
      </c>
      <c r="HW28" s="403">
        <f>IFERROR(HW30/HV30,0)</f>
        <v>1041.6666666666665</v>
      </c>
      <c r="HX28" s="404"/>
      <c r="HY28" s="405">
        <f>'Pilotage effectif CFP'!ID43*35</f>
        <v>770</v>
      </c>
      <c r="HZ28" s="406"/>
      <c r="IA28" s="318">
        <f>IF(HW28&lt;&gt;0,HY28-HW28,0)</f>
        <v>-271.66666666666652</v>
      </c>
      <c r="IB28" s="332">
        <f>IA28/35</f>
        <v>-7.7619047619047574</v>
      </c>
      <c r="IC28" s="342">
        <f>'Pilotage effectif CFP'!IK43</f>
        <v>26</v>
      </c>
      <c r="ID28" s="403">
        <f>IFERROR(ID30/IC30,0)</f>
        <v>1041.6666666666665</v>
      </c>
      <c r="IE28" s="404"/>
      <c r="IF28" s="405">
        <f>'Pilotage effectif CFP'!IK43*35</f>
        <v>910</v>
      </c>
      <c r="IG28" s="406"/>
      <c r="IH28" s="318">
        <f>IF(ID28&lt;&gt;0,IF28-ID28,0)</f>
        <v>-131.66666666666652</v>
      </c>
      <c r="II28" s="332">
        <f>IH28/35</f>
        <v>-3.7619047619047574</v>
      </c>
      <c r="IJ28" s="342">
        <f>'Pilotage effectif CFP'!IR43</f>
        <v>29</v>
      </c>
      <c r="IK28" s="403">
        <f>IFERROR(IK30/IJ30,0)</f>
        <v>814.44444444444446</v>
      </c>
      <c r="IL28" s="404"/>
      <c r="IM28" s="405">
        <f>'Pilotage effectif CFP'!IR43*35</f>
        <v>1015</v>
      </c>
      <c r="IN28" s="406"/>
      <c r="IO28" s="318">
        <f>IF(IK28&lt;&gt;0,IM28-IK28,0)</f>
        <v>200.55555555555554</v>
      </c>
      <c r="IP28" s="332">
        <f>IO28/35</f>
        <v>5.7301587301587302</v>
      </c>
      <c r="IQ28" s="322">
        <f>'Pilotage effectif CFP'!IY43</f>
        <v>30</v>
      </c>
      <c r="IR28" s="403">
        <f>IFERROR(IR30/IQ30,0)</f>
        <v>903.125</v>
      </c>
      <c r="IS28" s="404"/>
      <c r="IT28" s="405">
        <f>'Pilotage effectif CFP'!IY43*35</f>
        <v>1050</v>
      </c>
      <c r="IU28" s="406"/>
      <c r="IV28" s="318">
        <f>IF(IR28&lt;&gt;0,IT28-IR28,0)</f>
        <v>146.875</v>
      </c>
      <c r="IW28" s="332">
        <f>IV28/35</f>
        <v>4.1964285714285712</v>
      </c>
      <c r="IX28" s="322">
        <f>'Pilotage effectif CFP'!JF43</f>
        <v>28</v>
      </c>
      <c r="IY28" s="403">
        <f>IFERROR(IY30/IX30,0)</f>
        <v>545.19375000000002</v>
      </c>
      <c r="IZ28" s="404"/>
      <c r="JA28" s="405">
        <f>'Pilotage effectif CFP'!JF43*35</f>
        <v>980</v>
      </c>
      <c r="JB28" s="406"/>
      <c r="JC28" s="318">
        <f>IF(IY28&lt;&gt;0,JA28-IY28,0)</f>
        <v>434.80624999999998</v>
      </c>
      <c r="JD28" s="332">
        <f>JC28/35</f>
        <v>12.423035714285714</v>
      </c>
      <c r="JE28" s="342">
        <f>'Pilotage effectif CFP'!JM43</f>
        <v>32</v>
      </c>
      <c r="JF28" s="403">
        <f>IFERROR(JF30/JE30,0)</f>
        <v>860.54590570719608</v>
      </c>
      <c r="JG28" s="404"/>
      <c r="JH28" s="405">
        <f>'Pilotage effectif CFP'!JM43*35</f>
        <v>1120</v>
      </c>
      <c r="JI28" s="406"/>
      <c r="JJ28" s="318">
        <f>IF(JF28&lt;&gt;0,JH28-JF28,0)</f>
        <v>259.45409429280392</v>
      </c>
      <c r="JK28" s="332">
        <f>JJ28/35</f>
        <v>7.4129741226515407</v>
      </c>
      <c r="JL28" s="342">
        <f>'Pilotage effectif CFP'!JT43</f>
        <v>34</v>
      </c>
      <c r="JM28" s="403">
        <f>IFERROR(JM30/JL30,0)</f>
        <v>903.125</v>
      </c>
      <c r="JN28" s="404"/>
      <c r="JO28" s="405">
        <f>'Pilotage effectif CFP'!JT43*35</f>
        <v>1190</v>
      </c>
      <c r="JP28" s="406"/>
      <c r="JQ28" s="318">
        <f>IF(JM28&lt;&gt;0,JO28-JM28,0)</f>
        <v>286.875</v>
      </c>
      <c r="JR28" s="332">
        <f>JQ28/35</f>
        <v>8.1964285714285712</v>
      </c>
      <c r="JS28" s="342">
        <f>'Pilotage effectif CFP'!KA43</f>
        <v>35</v>
      </c>
      <c r="JT28" s="403">
        <f>IFERROR(JT30/JS30,0)</f>
        <v>934.26724137931035</v>
      </c>
      <c r="JU28" s="404"/>
      <c r="JV28" s="405">
        <f>'Pilotage effectif CFP'!KA43*35</f>
        <v>1225</v>
      </c>
      <c r="JW28" s="406"/>
      <c r="JX28" s="318">
        <f>IF(JT28&lt;&gt;0,JV28-JT28,0)</f>
        <v>290.73275862068965</v>
      </c>
      <c r="JY28" s="332">
        <f>JX28/35</f>
        <v>8.3066502463054182</v>
      </c>
      <c r="JZ28" s="342">
        <f>'Pilotage effectif CFP'!KH43</f>
        <v>35</v>
      </c>
      <c r="KA28" s="403">
        <f>IFERROR(KA30/JZ30,0)</f>
        <v>860.54590570719608</v>
      </c>
      <c r="KB28" s="404"/>
      <c r="KC28" s="405">
        <f>'Pilotage effectif CFP'!KH43*35</f>
        <v>1225</v>
      </c>
      <c r="KD28" s="406"/>
      <c r="KE28" s="318">
        <f>IF(KA28&lt;&gt;0,KC28-KA28,0)</f>
        <v>364.45409429280392</v>
      </c>
      <c r="KF28" s="332">
        <f>KE28/35</f>
        <v>10.412974122651541</v>
      </c>
      <c r="KG28" s="342">
        <f>'Pilotage effectif CFP'!KO43</f>
        <v>35</v>
      </c>
      <c r="KH28" s="403">
        <f>IFERROR(KH30/KG30,0)</f>
        <v>731.45245559038665</v>
      </c>
      <c r="KI28" s="404"/>
      <c r="KJ28" s="405">
        <f>'Pilotage effectif CFP'!KO43*35</f>
        <v>1225</v>
      </c>
      <c r="KK28" s="406"/>
      <c r="KL28" s="318">
        <f>IF(KH28&lt;&gt;0,KJ28-KH28,0)</f>
        <v>493.54754440961335</v>
      </c>
      <c r="KM28" s="332">
        <f>KL28/35</f>
        <v>14.101358411703238</v>
      </c>
      <c r="KN28" s="342">
        <f>'Pilotage effectif CFP'!KV43</f>
        <v>35</v>
      </c>
      <c r="KO28" s="403">
        <f>IFERROR(KO30/KN30,0)</f>
        <v>683.11195445920305</v>
      </c>
      <c r="KP28" s="404"/>
      <c r="KQ28" s="405">
        <f>'Pilotage effectif CFP'!KV43*35</f>
        <v>1225</v>
      </c>
      <c r="KR28" s="406"/>
      <c r="KS28" s="318">
        <f>IF(KO28&lt;&gt;0,KQ28-KO28,0)</f>
        <v>541.88804554079695</v>
      </c>
      <c r="KT28" s="332">
        <f>KS28/35</f>
        <v>15.482515586879913</v>
      </c>
      <c r="KU28" s="342">
        <f>'Pilotage effectif CFP'!LC43</f>
        <v>35</v>
      </c>
      <c r="KV28" s="403">
        <f>IFERROR(KV30/KU30,0)</f>
        <v>928.35820895522386</v>
      </c>
      <c r="KW28" s="404"/>
      <c r="KX28" s="405">
        <f>'Pilotage effectif CFP'!LC43*35</f>
        <v>1225</v>
      </c>
      <c r="KY28" s="406"/>
      <c r="KZ28" s="318">
        <f>IF(KV28&lt;&gt;0,KX28-KV28,0)</f>
        <v>296.64179104477614</v>
      </c>
      <c r="LA28" s="332">
        <f>KZ28/35</f>
        <v>8.4754797441364609</v>
      </c>
      <c r="LB28" s="342">
        <f>'Pilotage effectif CFP'!LJ43</f>
        <v>35</v>
      </c>
      <c r="LC28" s="403">
        <f>IFERROR(LC30/LB30,0)</f>
        <v>889.23076923076928</v>
      </c>
      <c r="LD28" s="404"/>
      <c r="LE28" s="405">
        <f>'Pilotage effectif CFP'!LJ43*35</f>
        <v>1225</v>
      </c>
      <c r="LF28" s="406"/>
      <c r="LG28" s="318">
        <f>IF(LC28&lt;&gt;0,LE28-LC28,0)</f>
        <v>335.76923076923072</v>
      </c>
      <c r="LH28" s="332">
        <f>LG28/35</f>
        <v>9.5934065934065913</v>
      </c>
      <c r="LI28" s="342">
        <f>'Pilotage effectif CFP'!LQ43</f>
        <v>35</v>
      </c>
      <c r="LJ28" s="403">
        <f>IFERROR(LJ30/LI30,0)</f>
        <v>1009.6418732782369</v>
      </c>
      <c r="LK28" s="404"/>
      <c r="LL28" s="405">
        <f>'Pilotage effectif CFP'!LQ43*35</f>
        <v>1225</v>
      </c>
      <c r="LM28" s="406"/>
      <c r="LN28" s="318">
        <f>IF(LJ28&lt;&gt;0,LL28-LJ28,0)</f>
        <v>215.35812672176314</v>
      </c>
      <c r="LO28" s="332">
        <f>LN28/35</f>
        <v>6.1530893349075182</v>
      </c>
      <c r="LP28" s="342">
        <f>'Pilotage effectif CFP'!LX43</f>
        <v>35</v>
      </c>
      <c r="LQ28" s="403">
        <f>IFERROR(LQ30/LP30,0)</f>
        <v>875.75757575757575</v>
      </c>
      <c r="LR28" s="404"/>
      <c r="LS28" s="405">
        <f>'Pilotage effectif CFP'!LX43*35</f>
        <v>1225</v>
      </c>
      <c r="LT28" s="406"/>
      <c r="LU28" s="318">
        <f>IF(LQ28&lt;&gt;0,LS28-LQ28,0)</f>
        <v>349.24242424242425</v>
      </c>
      <c r="LV28" s="332">
        <f>LU28/35</f>
        <v>9.9783549783549788</v>
      </c>
      <c r="LW28" s="342">
        <f>'Pilotage effectif CFP'!ME43</f>
        <v>35</v>
      </c>
      <c r="LX28" s="403">
        <f>IFERROR(LX30/LW30,0)</f>
        <v>825.71428571428567</v>
      </c>
      <c r="LY28" s="404"/>
      <c r="LZ28" s="405">
        <f>'Pilotage effectif CFP'!ME43*35</f>
        <v>1225</v>
      </c>
      <c r="MA28" s="406"/>
      <c r="MB28" s="318">
        <f>IF(LX28&lt;&gt;0,LZ28-LX28,0)</f>
        <v>399.28571428571433</v>
      </c>
      <c r="MC28" s="332">
        <f>MB28/35</f>
        <v>11.408163265306124</v>
      </c>
      <c r="MD28" s="342">
        <f>'Pilotage effectif CFP'!ML43</f>
        <v>35</v>
      </c>
      <c r="ME28" s="403">
        <f>IFERROR(ME30/MD30,0)</f>
        <v>825.71428571428567</v>
      </c>
      <c r="MF28" s="404"/>
      <c r="MG28" s="405">
        <f>'Pilotage effectif CFP'!ML43*35</f>
        <v>1225</v>
      </c>
      <c r="MH28" s="406"/>
      <c r="MI28" s="318">
        <f>IF(ME28&lt;&gt;0,MG28-ME28,0)</f>
        <v>399.28571428571433</v>
      </c>
      <c r="MJ28" s="332">
        <f>MI28/35</f>
        <v>11.408163265306124</v>
      </c>
      <c r="MK28" s="322">
        <f>'Pilotage effectif CFP'!MS43</f>
        <v>35</v>
      </c>
      <c r="ML28" s="403">
        <f>IFERROR(ML30/MK30,0)</f>
        <v>825.71428571428567</v>
      </c>
      <c r="MM28" s="404"/>
      <c r="MN28" s="405">
        <f>'Pilotage effectif CFP'!MS43*35</f>
        <v>1225</v>
      </c>
      <c r="MO28" s="406"/>
      <c r="MP28" s="318">
        <f>IF(ML28&lt;&gt;0,MN28-ML28,0)</f>
        <v>399.28571428571433</v>
      </c>
      <c r="MQ28" s="332">
        <f>MP28/35</f>
        <v>11.408163265306124</v>
      </c>
      <c r="MR28" s="322">
        <f>'Pilotage effectif CFP'!MZ43</f>
        <v>35</v>
      </c>
      <c r="MS28" s="403">
        <f>IFERROR(MS30/MR30,0)</f>
        <v>825.71428571428567</v>
      </c>
      <c r="MT28" s="404"/>
      <c r="MU28" s="405">
        <f>'Pilotage effectif CFP'!MZ43*35</f>
        <v>1225</v>
      </c>
      <c r="MV28" s="406"/>
      <c r="MW28" s="318">
        <f>IF(MS28&lt;&gt;0,MU28-MS28,0)</f>
        <v>399.28571428571433</v>
      </c>
      <c r="MX28" s="332">
        <f>MW28/35</f>
        <v>11.408163265306124</v>
      </c>
      <c r="MY28" s="322">
        <f>'Pilotage effectif CFP'!NG43</f>
        <v>35</v>
      </c>
      <c r="MZ28" s="403">
        <f>IFERROR(MZ30/MY30,0)</f>
        <v>825.71428571428567</v>
      </c>
      <c r="NA28" s="404"/>
      <c r="NB28" s="405">
        <f>'Pilotage effectif CFP'!NG43*35</f>
        <v>1225</v>
      </c>
      <c r="NC28" s="406"/>
      <c r="ND28" s="318">
        <f>IF(MZ28&lt;&gt;0,NB28-MZ28,0)</f>
        <v>399.28571428571433</v>
      </c>
      <c r="NE28" s="332">
        <f>ND28/35</f>
        <v>11.408163265306124</v>
      </c>
      <c r="NF28" s="322">
        <f>'Pilotage effectif CFP'!NN43</f>
        <v>35</v>
      </c>
      <c r="NG28" s="403">
        <f>IFERROR(NG30/NF30,0)</f>
        <v>825.71428571428567</v>
      </c>
      <c r="NH28" s="404"/>
      <c r="NI28" s="405">
        <f>'Pilotage effectif CFP'!NN43*35</f>
        <v>1225</v>
      </c>
      <c r="NJ28" s="406"/>
      <c r="NK28" s="318">
        <f>IF(NG28&lt;&gt;0,NI28-NG28,0)</f>
        <v>399.28571428571433</v>
      </c>
      <c r="NL28" s="332">
        <f>NK28/35</f>
        <v>11.408163265306124</v>
      </c>
      <c r="NM28" s="322">
        <f>'Pilotage effectif CFP'!NU43</f>
        <v>35</v>
      </c>
      <c r="NN28" s="403">
        <f>IFERROR(NN30/NM30,0)</f>
        <v>825.71428571428567</v>
      </c>
      <c r="NO28" s="404"/>
      <c r="NP28" s="405">
        <f>'Pilotage effectif CFP'!NU43*35</f>
        <v>1225</v>
      </c>
      <c r="NQ28" s="406"/>
      <c r="NR28" s="318">
        <f>IF(NN28&lt;&gt;0,NP28-NN28,0)</f>
        <v>399.28571428571433</v>
      </c>
      <c r="NS28" s="332">
        <f>NR28/35</f>
        <v>11.408163265306124</v>
      </c>
    </row>
    <row r="29" spans="1:383" s="196" customFormat="1" ht="16.05" customHeight="1" x14ac:dyDescent="0.3">
      <c r="A29" s="294"/>
      <c r="B29" s="308"/>
      <c r="C29" s="418"/>
      <c r="D29" s="340"/>
      <c r="F29" s="323" t="s">
        <v>688</v>
      </c>
      <c r="G29" s="416" t="s">
        <v>691</v>
      </c>
      <c r="H29" s="416"/>
      <c r="I29" s="416" t="s">
        <v>412</v>
      </c>
      <c r="J29" s="416"/>
      <c r="K29" s="252" t="s">
        <v>690</v>
      </c>
      <c r="L29" s="265"/>
      <c r="M29" s="323" t="s">
        <v>688</v>
      </c>
      <c r="N29" s="416" t="s">
        <v>691</v>
      </c>
      <c r="O29" s="416"/>
      <c r="P29" s="416" t="s">
        <v>412</v>
      </c>
      <c r="Q29" s="416"/>
      <c r="R29" s="252" t="s">
        <v>690</v>
      </c>
      <c r="S29" s="265"/>
      <c r="T29" s="323" t="s">
        <v>688</v>
      </c>
      <c r="U29" s="400" t="s">
        <v>691</v>
      </c>
      <c r="V29" s="401"/>
      <c r="W29" s="400" t="s">
        <v>412</v>
      </c>
      <c r="X29" s="401"/>
      <c r="Y29" s="252" t="s">
        <v>690</v>
      </c>
      <c r="Z29" s="265"/>
      <c r="AA29" s="323" t="s">
        <v>688</v>
      </c>
      <c r="AB29" s="400" t="s">
        <v>691</v>
      </c>
      <c r="AC29" s="401"/>
      <c r="AD29" s="400" t="s">
        <v>412</v>
      </c>
      <c r="AE29" s="401"/>
      <c r="AF29" s="252" t="s">
        <v>690</v>
      </c>
      <c r="AG29" s="265"/>
      <c r="AH29" s="323" t="s">
        <v>688</v>
      </c>
      <c r="AI29" s="400" t="s">
        <v>691</v>
      </c>
      <c r="AJ29" s="401"/>
      <c r="AK29" s="400" t="s">
        <v>412</v>
      </c>
      <c r="AL29" s="401"/>
      <c r="AM29" s="252" t="s">
        <v>690</v>
      </c>
      <c r="AN29" s="265"/>
      <c r="AO29" s="323" t="s">
        <v>688</v>
      </c>
      <c r="AP29" s="400" t="s">
        <v>691</v>
      </c>
      <c r="AQ29" s="401"/>
      <c r="AR29" s="400" t="s">
        <v>412</v>
      </c>
      <c r="AS29" s="401"/>
      <c r="AT29" s="252" t="s">
        <v>690</v>
      </c>
      <c r="AU29" s="265"/>
      <c r="AV29" s="323" t="s">
        <v>688</v>
      </c>
      <c r="AW29" s="400" t="s">
        <v>691</v>
      </c>
      <c r="AX29" s="401"/>
      <c r="AY29" s="400" t="s">
        <v>412</v>
      </c>
      <c r="AZ29" s="401"/>
      <c r="BA29" s="252" t="s">
        <v>690</v>
      </c>
      <c r="BB29" s="265"/>
      <c r="BC29" s="323" t="s">
        <v>688</v>
      </c>
      <c r="BD29" s="400" t="s">
        <v>691</v>
      </c>
      <c r="BE29" s="401"/>
      <c r="BF29" s="400" t="s">
        <v>412</v>
      </c>
      <c r="BG29" s="401"/>
      <c r="BH29" s="252" t="s">
        <v>690</v>
      </c>
      <c r="BI29" s="265"/>
      <c r="BJ29" s="323" t="s">
        <v>688</v>
      </c>
      <c r="BK29" s="400" t="s">
        <v>691</v>
      </c>
      <c r="BL29" s="401"/>
      <c r="BM29" s="400" t="s">
        <v>412</v>
      </c>
      <c r="BN29" s="401"/>
      <c r="BO29" s="252" t="s">
        <v>690</v>
      </c>
      <c r="BP29" s="265"/>
      <c r="BQ29" s="323" t="s">
        <v>688</v>
      </c>
      <c r="BR29" s="400" t="s">
        <v>691</v>
      </c>
      <c r="BS29" s="401"/>
      <c r="BT29" s="400" t="s">
        <v>412</v>
      </c>
      <c r="BU29" s="401"/>
      <c r="BV29" s="252" t="s">
        <v>690</v>
      </c>
      <c r="BW29" s="265"/>
      <c r="BX29" s="323" t="s">
        <v>688</v>
      </c>
      <c r="BY29" s="400" t="s">
        <v>691</v>
      </c>
      <c r="BZ29" s="401"/>
      <c r="CA29" s="400" t="s">
        <v>412</v>
      </c>
      <c r="CB29" s="401"/>
      <c r="CC29" s="252" t="s">
        <v>690</v>
      </c>
      <c r="CD29" s="265"/>
      <c r="CE29" s="323" t="s">
        <v>688</v>
      </c>
      <c r="CF29" s="400" t="s">
        <v>691</v>
      </c>
      <c r="CG29" s="401"/>
      <c r="CH29" s="400" t="s">
        <v>412</v>
      </c>
      <c r="CI29" s="401"/>
      <c r="CJ29" s="252" t="s">
        <v>690</v>
      </c>
      <c r="CK29" s="265"/>
      <c r="CL29" s="323" t="s">
        <v>688</v>
      </c>
      <c r="CM29" s="400" t="s">
        <v>691</v>
      </c>
      <c r="CN29" s="401"/>
      <c r="CO29" s="400" t="s">
        <v>412</v>
      </c>
      <c r="CP29" s="401"/>
      <c r="CQ29" s="252" t="s">
        <v>690</v>
      </c>
      <c r="CR29" s="265"/>
      <c r="CS29" s="323" t="s">
        <v>688</v>
      </c>
      <c r="CT29" s="400" t="s">
        <v>691</v>
      </c>
      <c r="CU29" s="401"/>
      <c r="CV29" s="400" t="s">
        <v>412</v>
      </c>
      <c r="CW29" s="401"/>
      <c r="CX29" s="252" t="s">
        <v>690</v>
      </c>
      <c r="CY29" s="265"/>
      <c r="CZ29" s="323" t="s">
        <v>688</v>
      </c>
      <c r="DA29" s="400" t="s">
        <v>691</v>
      </c>
      <c r="DB29" s="401"/>
      <c r="DC29" s="400" t="s">
        <v>412</v>
      </c>
      <c r="DD29" s="401"/>
      <c r="DE29" s="252" t="s">
        <v>690</v>
      </c>
      <c r="DF29" s="265"/>
      <c r="DG29" s="323" t="s">
        <v>688</v>
      </c>
      <c r="DH29" s="400" t="s">
        <v>691</v>
      </c>
      <c r="DI29" s="401"/>
      <c r="DJ29" s="400" t="s">
        <v>412</v>
      </c>
      <c r="DK29" s="401"/>
      <c r="DL29" s="252" t="s">
        <v>690</v>
      </c>
      <c r="DM29" s="265"/>
      <c r="DN29" s="323" t="s">
        <v>688</v>
      </c>
      <c r="DO29" s="400" t="s">
        <v>691</v>
      </c>
      <c r="DP29" s="401"/>
      <c r="DQ29" s="400" t="s">
        <v>412</v>
      </c>
      <c r="DR29" s="401"/>
      <c r="DS29" s="252" t="s">
        <v>690</v>
      </c>
      <c r="DT29" s="265"/>
      <c r="DU29" s="323" t="s">
        <v>688</v>
      </c>
      <c r="DV29" s="400" t="s">
        <v>691</v>
      </c>
      <c r="DW29" s="401"/>
      <c r="DX29" s="400" t="s">
        <v>412</v>
      </c>
      <c r="DY29" s="401"/>
      <c r="DZ29" s="252" t="s">
        <v>690</v>
      </c>
      <c r="EA29" s="265"/>
      <c r="EB29" s="323" t="s">
        <v>688</v>
      </c>
      <c r="EC29" s="400" t="s">
        <v>691</v>
      </c>
      <c r="ED29" s="401"/>
      <c r="EE29" s="400" t="s">
        <v>412</v>
      </c>
      <c r="EF29" s="401"/>
      <c r="EG29" s="252" t="s">
        <v>690</v>
      </c>
      <c r="EH29" s="265"/>
      <c r="EI29" s="323" t="s">
        <v>688</v>
      </c>
      <c r="EJ29" s="400" t="s">
        <v>691</v>
      </c>
      <c r="EK29" s="401"/>
      <c r="EL29" s="400" t="s">
        <v>412</v>
      </c>
      <c r="EM29" s="401"/>
      <c r="EN29" s="252" t="s">
        <v>690</v>
      </c>
      <c r="EO29" s="265"/>
      <c r="EP29" s="323" t="s">
        <v>688</v>
      </c>
      <c r="EQ29" s="400" t="s">
        <v>691</v>
      </c>
      <c r="ER29" s="401"/>
      <c r="ES29" s="400" t="s">
        <v>412</v>
      </c>
      <c r="ET29" s="401"/>
      <c r="EU29" s="252" t="s">
        <v>690</v>
      </c>
      <c r="EV29" s="265"/>
      <c r="EW29" s="323" t="s">
        <v>688</v>
      </c>
      <c r="EX29" s="400" t="s">
        <v>691</v>
      </c>
      <c r="EY29" s="401"/>
      <c r="EZ29" s="400" t="s">
        <v>412</v>
      </c>
      <c r="FA29" s="401"/>
      <c r="FB29" s="252" t="s">
        <v>690</v>
      </c>
      <c r="FC29" s="265"/>
      <c r="FD29" s="323" t="s">
        <v>688</v>
      </c>
      <c r="FE29" s="400" t="s">
        <v>691</v>
      </c>
      <c r="FF29" s="401"/>
      <c r="FG29" s="400" t="s">
        <v>412</v>
      </c>
      <c r="FH29" s="401"/>
      <c r="FI29" s="252" t="s">
        <v>690</v>
      </c>
      <c r="FJ29" s="265"/>
      <c r="FK29" s="323" t="s">
        <v>688</v>
      </c>
      <c r="FL29" s="400" t="s">
        <v>691</v>
      </c>
      <c r="FM29" s="401"/>
      <c r="FN29" s="400" t="s">
        <v>412</v>
      </c>
      <c r="FO29" s="401"/>
      <c r="FP29" s="252" t="s">
        <v>690</v>
      </c>
      <c r="FQ29" s="265"/>
      <c r="FR29" s="323" t="s">
        <v>688</v>
      </c>
      <c r="FS29" s="400" t="s">
        <v>691</v>
      </c>
      <c r="FT29" s="401"/>
      <c r="FU29" s="400" t="s">
        <v>412</v>
      </c>
      <c r="FV29" s="401"/>
      <c r="FW29" s="252" t="s">
        <v>690</v>
      </c>
      <c r="FX29" s="265"/>
      <c r="FY29" s="323" t="s">
        <v>688</v>
      </c>
      <c r="FZ29" s="400" t="s">
        <v>691</v>
      </c>
      <c r="GA29" s="401"/>
      <c r="GB29" s="400" t="s">
        <v>412</v>
      </c>
      <c r="GC29" s="401"/>
      <c r="GD29" s="252" t="s">
        <v>690</v>
      </c>
      <c r="GE29" s="265"/>
      <c r="GF29" s="323" t="s">
        <v>688</v>
      </c>
      <c r="GG29" s="400" t="s">
        <v>691</v>
      </c>
      <c r="GH29" s="401"/>
      <c r="GI29" s="400" t="s">
        <v>412</v>
      </c>
      <c r="GJ29" s="401"/>
      <c r="GK29" s="252" t="s">
        <v>690</v>
      </c>
      <c r="GL29" s="265"/>
      <c r="GM29" s="323" t="s">
        <v>688</v>
      </c>
      <c r="GN29" s="400" t="s">
        <v>691</v>
      </c>
      <c r="GO29" s="401"/>
      <c r="GP29" s="400" t="s">
        <v>412</v>
      </c>
      <c r="GQ29" s="401"/>
      <c r="GR29" s="252" t="s">
        <v>690</v>
      </c>
      <c r="GS29" s="265"/>
      <c r="GT29" s="323" t="s">
        <v>688</v>
      </c>
      <c r="GU29" s="400" t="s">
        <v>691</v>
      </c>
      <c r="GV29" s="401"/>
      <c r="GW29" s="400" t="s">
        <v>412</v>
      </c>
      <c r="GX29" s="401"/>
      <c r="GY29" s="252" t="s">
        <v>690</v>
      </c>
      <c r="GZ29" s="283"/>
      <c r="HA29" s="323" t="s">
        <v>688</v>
      </c>
      <c r="HB29" s="400" t="s">
        <v>691</v>
      </c>
      <c r="HC29" s="401"/>
      <c r="HD29" s="400" t="s">
        <v>412</v>
      </c>
      <c r="HE29" s="401"/>
      <c r="HF29" s="252" t="s">
        <v>690</v>
      </c>
      <c r="HG29" s="265"/>
      <c r="HH29" s="323" t="s">
        <v>688</v>
      </c>
      <c r="HI29" s="400" t="s">
        <v>691</v>
      </c>
      <c r="HJ29" s="401"/>
      <c r="HK29" s="400" t="s">
        <v>412</v>
      </c>
      <c r="HL29" s="401"/>
      <c r="HM29" s="252" t="s">
        <v>690</v>
      </c>
      <c r="HN29" s="265"/>
      <c r="HO29" s="323" t="s">
        <v>688</v>
      </c>
      <c r="HP29" s="400" t="s">
        <v>691</v>
      </c>
      <c r="HQ29" s="401"/>
      <c r="HR29" s="400" t="s">
        <v>412</v>
      </c>
      <c r="HS29" s="401"/>
      <c r="HT29" s="252" t="s">
        <v>690</v>
      </c>
      <c r="HU29" s="265"/>
      <c r="HV29" s="323" t="s">
        <v>688</v>
      </c>
      <c r="HW29" s="400" t="s">
        <v>691</v>
      </c>
      <c r="HX29" s="401"/>
      <c r="HY29" s="400" t="s">
        <v>412</v>
      </c>
      <c r="HZ29" s="401"/>
      <c r="IA29" s="252" t="s">
        <v>690</v>
      </c>
      <c r="IB29" s="265"/>
      <c r="IC29" s="323" t="s">
        <v>688</v>
      </c>
      <c r="ID29" s="400" t="s">
        <v>691</v>
      </c>
      <c r="IE29" s="401"/>
      <c r="IF29" s="400" t="s">
        <v>412</v>
      </c>
      <c r="IG29" s="401"/>
      <c r="IH29" s="252" t="s">
        <v>690</v>
      </c>
      <c r="II29" s="265"/>
      <c r="IJ29" s="323" t="s">
        <v>688</v>
      </c>
      <c r="IK29" s="400" t="s">
        <v>691</v>
      </c>
      <c r="IL29" s="401"/>
      <c r="IM29" s="400" t="s">
        <v>412</v>
      </c>
      <c r="IN29" s="401"/>
      <c r="IO29" s="252" t="s">
        <v>690</v>
      </c>
      <c r="IP29" s="265"/>
      <c r="IQ29" s="323" t="s">
        <v>688</v>
      </c>
      <c r="IR29" s="400" t="s">
        <v>691</v>
      </c>
      <c r="IS29" s="401"/>
      <c r="IT29" s="400" t="s">
        <v>412</v>
      </c>
      <c r="IU29" s="401"/>
      <c r="IV29" s="252" t="s">
        <v>690</v>
      </c>
      <c r="IW29" s="265"/>
      <c r="IX29" s="323" t="s">
        <v>688</v>
      </c>
      <c r="IY29" s="400" t="s">
        <v>691</v>
      </c>
      <c r="IZ29" s="401"/>
      <c r="JA29" s="400" t="s">
        <v>412</v>
      </c>
      <c r="JB29" s="401"/>
      <c r="JC29" s="252" t="s">
        <v>690</v>
      </c>
      <c r="JD29" s="265"/>
      <c r="JE29" s="323" t="s">
        <v>688</v>
      </c>
      <c r="JF29" s="400" t="s">
        <v>691</v>
      </c>
      <c r="JG29" s="401"/>
      <c r="JH29" s="400" t="s">
        <v>412</v>
      </c>
      <c r="JI29" s="401"/>
      <c r="JJ29" s="252" t="s">
        <v>690</v>
      </c>
      <c r="JK29" s="265"/>
      <c r="JL29" s="323" t="s">
        <v>688</v>
      </c>
      <c r="JM29" s="400" t="s">
        <v>691</v>
      </c>
      <c r="JN29" s="401"/>
      <c r="JO29" s="400" t="s">
        <v>412</v>
      </c>
      <c r="JP29" s="401"/>
      <c r="JQ29" s="252" t="s">
        <v>690</v>
      </c>
      <c r="JR29" s="265"/>
      <c r="JS29" s="323" t="s">
        <v>688</v>
      </c>
      <c r="JT29" s="400" t="s">
        <v>691</v>
      </c>
      <c r="JU29" s="401"/>
      <c r="JV29" s="400" t="s">
        <v>412</v>
      </c>
      <c r="JW29" s="401"/>
      <c r="JX29" s="252" t="s">
        <v>690</v>
      </c>
      <c r="JY29" s="265"/>
      <c r="JZ29" s="323" t="s">
        <v>688</v>
      </c>
      <c r="KA29" s="400" t="s">
        <v>691</v>
      </c>
      <c r="KB29" s="401"/>
      <c r="KC29" s="400" t="s">
        <v>412</v>
      </c>
      <c r="KD29" s="401"/>
      <c r="KE29" s="252" t="s">
        <v>690</v>
      </c>
      <c r="KF29" s="265"/>
      <c r="KG29" s="323" t="s">
        <v>688</v>
      </c>
      <c r="KH29" s="400" t="s">
        <v>691</v>
      </c>
      <c r="KI29" s="401"/>
      <c r="KJ29" s="400" t="s">
        <v>412</v>
      </c>
      <c r="KK29" s="401"/>
      <c r="KL29" s="252" t="s">
        <v>690</v>
      </c>
      <c r="KM29" s="265"/>
      <c r="KN29" s="323" t="s">
        <v>688</v>
      </c>
      <c r="KO29" s="400" t="s">
        <v>691</v>
      </c>
      <c r="KP29" s="401"/>
      <c r="KQ29" s="400" t="s">
        <v>412</v>
      </c>
      <c r="KR29" s="401"/>
      <c r="KS29" s="252" t="s">
        <v>690</v>
      </c>
      <c r="KT29" s="265"/>
      <c r="KU29" s="323" t="s">
        <v>688</v>
      </c>
      <c r="KV29" s="400" t="s">
        <v>691</v>
      </c>
      <c r="KW29" s="401"/>
      <c r="KX29" s="400" t="s">
        <v>412</v>
      </c>
      <c r="KY29" s="401"/>
      <c r="KZ29" s="252" t="s">
        <v>690</v>
      </c>
      <c r="LA29" s="265"/>
      <c r="LB29" s="323" t="s">
        <v>688</v>
      </c>
      <c r="LC29" s="400" t="s">
        <v>691</v>
      </c>
      <c r="LD29" s="401"/>
      <c r="LE29" s="400" t="s">
        <v>412</v>
      </c>
      <c r="LF29" s="401"/>
      <c r="LG29" s="252" t="s">
        <v>690</v>
      </c>
      <c r="LH29" s="265"/>
      <c r="LI29" s="323" t="s">
        <v>688</v>
      </c>
      <c r="LJ29" s="400" t="s">
        <v>691</v>
      </c>
      <c r="LK29" s="401"/>
      <c r="LL29" s="400" t="s">
        <v>412</v>
      </c>
      <c r="LM29" s="401"/>
      <c r="LN29" s="252" t="s">
        <v>690</v>
      </c>
      <c r="LO29" s="265"/>
      <c r="LP29" s="323" t="s">
        <v>688</v>
      </c>
      <c r="LQ29" s="400" t="s">
        <v>691</v>
      </c>
      <c r="LR29" s="401"/>
      <c r="LS29" s="400" t="s">
        <v>412</v>
      </c>
      <c r="LT29" s="401"/>
      <c r="LU29" s="252" t="s">
        <v>690</v>
      </c>
      <c r="LV29" s="265"/>
      <c r="LW29" s="323" t="s">
        <v>688</v>
      </c>
      <c r="LX29" s="400" t="s">
        <v>691</v>
      </c>
      <c r="LY29" s="401"/>
      <c r="LZ29" s="400" t="s">
        <v>412</v>
      </c>
      <c r="MA29" s="401"/>
      <c r="MB29" s="252" t="s">
        <v>690</v>
      </c>
      <c r="MC29" s="265"/>
      <c r="MD29" s="323" t="s">
        <v>688</v>
      </c>
      <c r="ME29" s="400" t="s">
        <v>691</v>
      </c>
      <c r="MF29" s="401"/>
      <c r="MG29" s="400" t="s">
        <v>412</v>
      </c>
      <c r="MH29" s="401"/>
      <c r="MI29" s="252" t="s">
        <v>690</v>
      </c>
      <c r="MJ29" s="265"/>
      <c r="MK29" s="323" t="s">
        <v>688</v>
      </c>
      <c r="ML29" s="400" t="s">
        <v>691</v>
      </c>
      <c r="MM29" s="401"/>
      <c r="MN29" s="400" t="s">
        <v>412</v>
      </c>
      <c r="MO29" s="401"/>
      <c r="MP29" s="252" t="s">
        <v>690</v>
      </c>
      <c r="MQ29" s="265"/>
      <c r="MR29" s="323" t="s">
        <v>688</v>
      </c>
      <c r="MS29" s="400" t="s">
        <v>691</v>
      </c>
      <c r="MT29" s="401"/>
      <c r="MU29" s="400" t="s">
        <v>412</v>
      </c>
      <c r="MV29" s="401"/>
      <c r="MW29" s="252" t="s">
        <v>690</v>
      </c>
      <c r="MX29" s="265"/>
      <c r="MY29" s="323" t="s">
        <v>688</v>
      </c>
      <c r="MZ29" s="400" t="s">
        <v>691</v>
      </c>
      <c r="NA29" s="401"/>
      <c r="NB29" s="400" t="s">
        <v>412</v>
      </c>
      <c r="NC29" s="401"/>
      <c r="ND29" s="252" t="s">
        <v>690</v>
      </c>
      <c r="NE29" s="265"/>
      <c r="NF29" s="323" t="s">
        <v>688</v>
      </c>
      <c r="NG29" s="400" t="s">
        <v>691</v>
      </c>
      <c r="NH29" s="401"/>
      <c r="NI29" s="400" t="s">
        <v>412</v>
      </c>
      <c r="NJ29" s="401"/>
      <c r="NK29" s="252" t="s">
        <v>690</v>
      </c>
      <c r="NL29" s="265"/>
      <c r="NM29" s="323" t="s">
        <v>688</v>
      </c>
      <c r="NN29" s="400" t="s">
        <v>691</v>
      </c>
      <c r="NO29" s="401"/>
      <c r="NP29" s="400" t="s">
        <v>412</v>
      </c>
      <c r="NQ29" s="401"/>
      <c r="NR29" s="252" t="s">
        <v>690</v>
      </c>
      <c r="NS29" s="283"/>
    </row>
    <row r="30" spans="1:383" s="196" customFormat="1" ht="16.05" customHeight="1" thickBot="1" x14ac:dyDescent="0.35">
      <c r="A30" s="294"/>
      <c r="B30" s="308"/>
      <c r="C30" s="419"/>
      <c r="D30" s="340"/>
      <c r="F30" s="324">
        <v>330</v>
      </c>
      <c r="G30" s="414"/>
      <c r="H30" s="414"/>
      <c r="I30" s="415">
        <f>I28*F30</f>
        <v>404250</v>
      </c>
      <c r="J30" s="415"/>
      <c r="K30" s="321">
        <f>IF(G30&lt;&gt;0,I30-G30,0)</f>
        <v>0</v>
      </c>
      <c r="L30" s="265"/>
      <c r="M30" s="324">
        <v>350</v>
      </c>
      <c r="N30" s="414"/>
      <c r="O30" s="414"/>
      <c r="P30" s="415">
        <f>P28*M30</f>
        <v>411600</v>
      </c>
      <c r="Q30" s="415"/>
      <c r="R30" s="321">
        <f>IF(N30&lt;&gt;0,P30-N30,0)</f>
        <v>0</v>
      </c>
      <c r="S30" s="265"/>
      <c r="T30" s="324">
        <v>355</v>
      </c>
      <c r="U30" s="396"/>
      <c r="V30" s="397"/>
      <c r="W30" s="398">
        <f>W28*T30</f>
        <v>447300</v>
      </c>
      <c r="X30" s="399"/>
      <c r="Y30" s="321">
        <f>IF(U30&lt;&gt;0,W30-U30,0)</f>
        <v>0</v>
      </c>
      <c r="Z30" s="265"/>
      <c r="AA30" s="324">
        <v>355</v>
      </c>
      <c r="AB30" s="396">
        <v>200000</v>
      </c>
      <c r="AC30" s="397"/>
      <c r="AD30" s="398">
        <f>AD28*AA30</f>
        <v>347900</v>
      </c>
      <c r="AE30" s="399"/>
      <c r="AF30" s="321">
        <f>IF(AB30&lt;&gt;0,AD30-AB30,0)</f>
        <v>147900</v>
      </c>
      <c r="AG30" s="265"/>
      <c r="AH30" s="324">
        <v>355</v>
      </c>
      <c r="AI30" s="396">
        <v>290000</v>
      </c>
      <c r="AJ30" s="397"/>
      <c r="AK30" s="398">
        <f>AK28*AH30</f>
        <v>347900</v>
      </c>
      <c r="AL30" s="399"/>
      <c r="AM30" s="321">
        <f>IF(AI30&lt;&gt;0,AK30-AI30,0)</f>
        <v>57900</v>
      </c>
      <c r="AN30" s="265"/>
      <c r="AO30" s="324">
        <v>355</v>
      </c>
      <c r="AP30" s="396">
        <v>323000</v>
      </c>
      <c r="AQ30" s="397"/>
      <c r="AR30" s="398">
        <f>AR28*AO30</f>
        <v>415350</v>
      </c>
      <c r="AS30" s="399"/>
      <c r="AT30" s="321">
        <f>IF(AP30&lt;&gt;0,AR30-AP30,0)</f>
        <v>92350</v>
      </c>
      <c r="AU30" s="265"/>
      <c r="AV30" s="324">
        <v>355</v>
      </c>
      <c r="AW30" s="396">
        <f>AW26/AZ5</f>
        <v>321111.11111111107</v>
      </c>
      <c r="AX30" s="397"/>
      <c r="AY30" s="398">
        <f>AY28*AV30</f>
        <v>360325</v>
      </c>
      <c r="AZ30" s="399"/>
      <c r="BA30" s="321">
        <f>IF(AW30&lt;&gt;0,AY30-AW30,0)</f>
        <v>39213.888888888934</v>
      </c>
      <c r="BB30" s="265"/>
      <c r="BC30" s="324">
        <v>355</v>
      </c>
      <c r="BD30" s="396">
        <f>BD26/BG5</f>
        <v>309642.85714285716</v>
      </c>
      <c r="BE30" s="397"/>
      <c r="BF30" s="398">
        <f>BF28*BC30</f>
        <v>347900</v>
      </c>
      <c r="BG30" s="399"/>
      <c r="BH30" s="321">
        <f>IF(BD30&lt;&gt;0,BF30-BD30,0)</f>
        <v>38257.142857142841</v>
      </c>
      <c r="BI30" s="265"/>
      <c r="BJ30" s="324">
        <v>300</v>
      </c>
      <c r="BK30" s="396">
        <f>BK26/BN5</f>
        <v>270937.5</v>
      </c>
      <c r="BL30" s="397"/>
      <c r="BM30" s="398">
        <f>BM28*BJ30</f>
        <v>336000</v>
      </c>
      <c r="BN30" s="399"/>
      <c r="BO30" s="321">
        <f>IF(BK30&lt;&gt;0,BM30-BK30,0)</f>
        <v>65062.5</v>
      </c>
      <c r="BP30" s="265"/>
      <c r="BQ30" s="324">
        <v>300</v>
      </c>
      <c r="BR30" s="396">
        <f>BR26/BU5</f>
        <v>271481.48148148146</v>
      </c>
      <c r="BS30" s="397"/>
      <c r="BT30" s="398">
        <f>BT28*BQ30</f>
        <v>336000</v>
      </c>
      <c r="BU30" s="399"/>
      <c r="BV30" s="321">
        <f>IF(BR30&lt;&gt;0,BT30-BR30,0)</f>
        <v>64518.51851851854</v>
      </c>
      <c r="BW30" s="265"/>
      <c r="BX30" s="324">
        <v>320</v>
      </c>
      <c r="BY30" s="396">
        <f>BY26/CB5</f>
        <v>309642.85714285716</v>
      </c>
      <c r="BZ30" s="397"/>
      <c r="CA30" s="398">
        <f>CA28*BX30</f>
        <v>336000</v>
      </c>
      <c r="CB30" s="399"/>
      <c r="CC30" s="321">
        <f>IF(BY30&lt;&gt;0,CA30-BY30,0)</f>
        <v>26357.142857142841</v>
      </c>
      <c r="CD30" s="265"/>
      <c r="CE30" s="324">
        <v>320</v>
      </c>
      <c r="CF30" s="396">
        <v>174462</v>
      </c>
      <c r="CG30" s="397"/>
      <c r="CH30" s="398">
        <f>CH28*CE30</f>
        <v>313600</v>
      </c>
      <c r="CI30" s="399"/>
      <c r="CJ30" s="321">
        <f>IF(CF30&lt;&gt;0,CH30-CF30,0)</f>
        <v>139138</v>
      </c>
      <c r="CK30" s="265"/>
      <c r="CL30" s="324">
        <v>325</v>
      </c>
      <c r="CM30" s="396">
        <f>CM26/CP5</f>
        <v>279677.41935483873</v>
      </c>
      <c r="CN30" s="397"/>
      <c r="CO30" s="398">
        <f>CO28*CL30</f>
        <v>352625</v>
      </c>
      <c r="CP30" s="399"/>
      <c r="CQ30" s="321">
        <f>IF(CM30&lt;&gt;0,CO30-CM30,0)</f>
        <v>72947.580645161273</v>
      </c>
      <c r="CR30" s="265"/>
      <c r="CS30" s="324">
        <v>320</v>
      </c>
      <c r="CT30" s="396">
        <f>CT26/CW5</f>
        <v>289000</v>
      </c>
      <c r="CU30" s="397"/>
      <c r="CV30" s="398">
        <f>CV28*CS30</f>
        <v>358400</v>
      </c>
      <c r="CW30" s="399"/>
      <c r="CX30" s="321">
        <f>IF(CT30&lt;&gt;0,CV30-CT30,0)</f>
        <v>69400</v>
      </c>
      <c r="CY30" s="265"/>
      <c r="CZ30" s="324">
        <v>320</v>
      </c>
      <c r="DA30" s="396">
        <f>DA26/DD5</f>
        <v>298965.5172413793</v>
      </c>
      <c r="DB30" s="397"/>
      <c r="DC30" s="398">
        <f>DC28*CZ30</f>
        <v>324800</v>
      </c>
      <c r="DD30" s="399"/>
      <c r="DE30" s="321">
        <f>IF(DA30&lt;&gt;0,DC30-DA30,0)</f>
        <v>25834.482758620696</v>
      </c>
      <c r="DF30" s="265"/>
      <c r="DG30" s="324">
        <v>325</v>
      </c>
      <c r="DH30" s="396">
        <f>DH26/DK5</f>
        <v>279677.41935483873</v>
      </c>
      <c r="DI30" s="397"/>
      <c r="DJ30" s="398">
        <f>DJ28*DG30</f>
        <v>261625</v>
      </c>
      <c r="DK30" s="399"/>
      <c r="DL30" s="321">
        <f>IF(DH30&lt;&gt;0,DJ30-DH30,0)</f>
        <v>-18052.419354838727</v>
      </c>
      <c r="DM30" s="265"/>
      <c r="DN30" s="324">
        <v>330</v>
      </c>
      <c r="DO30" s="396">
        <f>DO26/DR5</f>
        <v>241379.31034482759</v>
      </c>
      <c r="DP30" s="397"/>
      <c r="DQ30" s="398">
        <f>DQ28*DN30</f>
        <v>286440</v>
      </c>
      <c r="DR30" s="399"/>
      <c r="DS30" s="321">
        <f>IF(DO30&lt;&gt;0,DQ30-DO30,0)</f>
        <v>45060.689655172406</v>
      </c>
      <c r="DT30" s="265"/>
      <c r="DU30" s="324">
        <v>340</v>
      </c>
      <c r="DV30" s="396">
        <f>DV26/DY5</f>
        <v>232258.06451612903</v>
      </c>
      <c r="DW30" s="397"/>
      <c r="DX30" s="398">
        <f>DX28*DU30</f>
        <v>295120</v>
      </c>
      <c r="DY30" s="399"/>
      <c r="DZ30" s="321">
        <f>IF(DV30&lt;&gt;0,DX30-DV30,0)</f>
        <v>62861.93548387097</v>
      </c>
      <c r="EA30" s="265"/>
      <c r="EB30" s="324">
        <v>335</v>
      </c>
      <c r="EC30" s="396">
        <f>EC26/EF5</f>
        <v>311000</v>
      </c>
      <c r="ED30" s="397"/>
      <c r="EE30" s="398">
        <f>EE28*EB30</f>
        <v>328300</v>
      </c>
      <c r="EF30" s="399"/>
      <c r="EG30" s="321">
        <f>IF(EC30&lt;&gt;0,EE30-EC30,0)</f>
        <v>17300</v>
      </c>
      <c r="EH30" s="265"/>
      <c r="EI30" s="324">
        <v>325</v>
      </c>
      <c r="EJ30" s="396">
        <f>EJ26/EM5</f>
        <v>289000</v>
      </c>
      <c r="EK30" s="397"/>
      <c r="EL30" s="398">
        <f>EL28*EI30</f>
        <v>329875</v>
      </c>
      <c r="EM30" s="399"/>
      <c r="EN30" s="321">
        <f>IF(EJ30&lt;&gt;0,EL30-EJ30,0)</f>
        <v>40875</v>
      </c>
      <c r="EO30" s="265"/>
      <c r="EP30" s="324">
        <v>330</v>
      </c>
      <c r="EQ30" s="396">
        <f>EQ26/ET5</f>
        <v>333181.81818181818</v>
      </c>
      <c r="ER30" s="397"/>
      <c r="ES30" s="398">
        <f>ES28*EP30</f>
        <v>346500</v>
      </c>
      <c r="ET30" s="399"/>
      <c r="EU30" s="321">
        <f>IF(EQ30&lt;&gt;0,ES30-EQ30,0)</f>
        <v>13318.181818181823</v>
      </c>
      <c r="EV30" s="265"/>
      <c r="EW30" s="324">
        <v>330</v>
      </c>
      <c r="EX30" s="396">
        <f>EX26/FA5</f>
        <v>289000</v>
      </c>
      <c r="EY30" s="397"/>
      <c r="EZ30" s="398">
        <f>EZ28*EW30</f>
        <v>334950</v>
      </c>
      <c r="FA30" s="399"/>
      <c r="FB30" s="321">
        <f>IF(EX30&lt;&gt;0,EZ30-EX30,0)</f>
        <v>45950</v>
      </c>
      <c r="FC30" s="265"/>
      <c r="FD30" s="324">
        <v>330</v>
      </c>
      <c r="FE30" s="396">
        <v>300000</v>
      </c>
      <c r="FF30" s="397"/>
      <c r="FG30" s="398">
        <f>FG28*FD30</f>
        <v>334950</v>
      </c>
      <c r="FH30" s="399"/>
      <c r="FI30" s="321">
        <f>IF(FE30&lt;&gt;0,FG30-FE30,0)</f>
        <v>34950</v>
      </c>
      <c r="FJ30" s="265"/>
      <c r="FK30" s="324">
        <v>320</v>
      </c>
      <c r="FL30" s="396">
        <v>300000</v>
      </c>
      <c r="FM30" s="397"/>
      <c r="FN30" s="398">
        <f>FN28*FK30</f>
        <v>309504</v>
      </c>
      <c r="FO30" s="399"/>
      <c r="FP30" s="321">
        <f>IF(FL30&lt;&gt;0,FN30-FL30,0)</f>
        <v>9504</v>
      </c>
      <c r="FQ30" s="265"/>
      <c r="FR30" s="324">
        <v>330</v>
      </c>
      <c r="FS30" s="396">
        <f>FS26/FV5</f>
        <v>333333.33333333331</v>
      </c>
      <c r="FT30" s="397"/>
      <c r="FU30" s="398">
        <f>FU28*FR30</f>
        <v>334950</v>
      </c>
      <c r="FV30" s="399"/>
      <c r="FW30" s="321">
        <f>IF(FS30&lt;&gt;0,FU30-FS30,0)</f>
        <v>1616.6666666666861</v>
      </c>
      <c r="FX30" s="265"/>
      <c r="FY30" s="324">
        <v>320</v>
      </c>
      <c r="FZ30" s="396">
        <f>FZ26/GC5</f>
        <v>333333.33333333331</v>
      </c>
      <c r="GA30" s="397"/>
      <c r="GB30" s="398">
        <f>GB28*FY30</f>
        <v>324800</v>
      </c>
      <c r="GC30" s="399"/>
      <c r="GD30" s="321">
        <f>IF(FZ30&lt;&gt;0,GB30-FZ30,0)</f>
        <v>-8533.3333333333139</v>
      </c>
      <c r="GE30" s="265"/>
      <c r="GF30" s="324">
        <v>320</v>
      </c>
      <c r="GG30" s="396">
        <f>GG26/GJ5</f>
        <v>333333.33333333331</v>
      </c>
      <c r="GH30" s="397"/>
      <c r="GI30" s="398">
        <f>GI28*GF30</f>
        <v>324800</v>
      </c>
      <c r="GJ30" s="399"/>
      <c r="GK30" s="321">
        <f>IF(GG30&lt;&gt;0,GI30-GG30,0)</f>
        <v>-8533.3333333333139</v>
      </c>
      <c r="GL30" s="265"/>
      <c r="GM30" s="324">
        <v>320</v>
      </c>
      <c r="GN30" s="396">
        <f>GN26/GQ5</f>
        <v>333333.33333333331</v>
      </c>
      <c r="GO30" s="397"/>
      <c r="GP30" s="398">
        <f>GP28*GM30</f>
        <v>302400</v>
      </c>
      <c r="GQ30" s="399"/>
      <c r="GR30" s="321">
        <f>IF(GN30&lt;&gt;0,GP30-GN30,0)</f>
        <v>-30933.333333333314</v>
      </c>
      <c r="GS30" s="265"/>
      <c r="GT30" s="324">
        <v>320</v>
      </c>
      <c r="GU30" s="396">
        <f>GU26/GX5</f>
        <v>289000</v>
      </c>
      <c r="GV30" s="397"/>
      <c r="GW30" s="398">
        <f>GW28*GT30</f>
        <v>215040</v>
      </c>
      <c r="GX30" s="399"/>
      <c r="GY30" s="321">
        <f>IF(GU30&lt;&gt;0,GW30-GU30,0)</f>
        <v>-73960</v>
      </c>
      <c r="GZ30" s="283"/>
      <c r="HA30" s="324">
        <v>320</v>
      </c>
      <c r="HB30" s="396">
        <v>290000</v>
      </c>
      <c r="HC30" s="397"/>
      <c r="HD30" s="398">
        <f>HD28*HA30</f>
        <v>280000</v>
      </c>
      <c r="HE30" s="399"/>
      <c r="HF30" s="321">
        <f>IF(HB30&lt;&gt;0,HD30-HB30,0)</f>
        <v>-10000</v>
      </c>
      <c r="HG30" s="265"/>
      <c r="HH30" s="324">
        <v>320</v>
      </c>
      <c r="HI30" s="396">
        <v>323000</v>
      </c>
      <c r="HJ30" s="397"/>
      <c r="HK30" s="398">
        <f>HK28*HH30</f>
        <v>287040</v>
      </c>
      <c r="HL30" s="399"/>
      <c r="HM30" s="321">
        <f>IF(HI30&lt;&gt;0,HK30-HI30,0)</f>
        <v>-35960</v>
      </c>
      <c r="HN30" s="265"/>
      <c r="HO30" s="324">
        <v>320</v>
      </c>
      <c r="HP30" s="396">
        <f>HP26/HS5</f>
        <v>333333.33333333331</v>
      </c>
      <c r="HQ30" s="397"/>
      <c r="HR30" s="398">
        <f>HR28*HO30</f>
        <v>246400</v>
      </c>
      <c r="HS30" s="399"/>
      <c r="HT30" s="321">
        <f>IF(HP30&lt;&gt;0,HR30-HP30,0)</f>
        <v>-86933.333333333314</v>
      </c>
      <c r="HU30" s="265"/>
      <c r="HV30" s="324">
        <v>320</v>
      </c>
      <c r="HW30" s="396">
        <f>HW26/HZ5</f>
        <v>333333.33333333331</v>
      </c>
      <c r="HX30" s="397"/>
      <c r="HY30" s="398">
        <f>HY28*HV30</f>
        <v>246400</v>
      </c>
      <c r="HZ30" s="399"/>
      <c r="IA30" s="321">
        <f>IF(HW30&lt;&gt;0,HY30-HW30,0)</f>
        <v>-86933.333333333314</v>
      </c>
      <c r="IB30" s="265"/>
      <c r="IC30" s="324">
        <v>320</v>
      </c>
      <c r="ID30" s="396">
        <f>ID26/IG5</f>
        <v>333333.33333333331</v>
      </c>
      <c r="IE30" s="397"/>
      <c r="IF30" s="398">
        <f>IF28*IC30</f>
        <v>291200</v>
      </c>
      <c r="IG30" s="399"/>
      <c r="IH30" s="321">
        <f>IF(ID30&lt;&gt;0,IF30-ID30,0)</f>
        <v>-42133.333333333314</v>
      </c>
      <c r="II30" s="265"/>
      <c r="IJ30" s="324">
        <v>300</v>
      </c>
      <c r="IK30" s="396">
        <f>IK26/IN5</f>
        <v>244333.33333333334</v>
      </c>
      <c r="IL30" s="397"/>
      <c r="IM30" s="398">
        <f>IM28*IJ30</f>
        <v>304500</v>
      </c>
      <c r="IN30" s="399"/>
      <c r="IO30" s="321">
        <f>IF(IK30&lt;&gt;0,IM30-IK30,0)</f>
        <v>60166.666666666657</v>
      </c>
      <c r="IP30" s="265"/>
      <c r="IQ30" s="324">
        <v>320</v>
      </c>
      <c r="IR30" s="396">
        <f>IR26/IU5</f>
        <v>289000</v>
      </c>
      <c r="IS30" s="397"/>
      <c r="IT30" s="398">
        <f>IT28*IQ30</f>
        <v>336000</v>
      </c>
      <c r="IU30" s="399"/>
      <c r="IV30" s="321">
        <f>IF(IR30&lt;&gt;0,IT30-IR30,0)</f>
        <v>47000</v>
      </c>
      <c r="IW30" s="265"/>
      <c r="IX30" s="324">
        <v>320</v>
      </c>
      <c r="IY30" s="396">
        <v>174462</v>
      </c>
      <c r="IZ30" s="397"/>
      <c r="JA30" s="398">
        <f>JA28*IX30</f>
        <v>313600</v>
      </c>
      <c r="JB30" s="399"/>
      <c r="JC30" s="321">
        <f>IF(IY30&lt;&gt;0,JA30-IY30,0)</f>
        <v>139138</v>
      </c>
      <c r="JD30" s="265"/>
      <c r="JE30" s="324">
        <v>325</v>
      </c>
      <c r="JF30" s="396">
        <f>JF26/JI5</f>
        <v>279677.41935483873</v>
      </c>
      <c r="JG30" s="397"/>
      <c r="JH30" s="398">
        <f>JH28*JE30</f>
        <v>364000</v>
      </c>
      <c r="JI30" s="399"/>
      <c r="JJ30" s="321">
        <f>IF(JF30&lt;&gt;0,JH30-JF30,0)</f>
        <v>84322.580645161273</v>
      </c>
      <c r="JK30" s="265"/>
      <c r="JL30" s="324">
        <v>320</v>
      </c>
      <c r="JM30" s="396">
        <f>JM26/JP5</f>
        <v>289000</v>
      </c>
      <c r="JN30" s="397"/>
      <c r="JO30" s="398">
        <f>JO28*JL30</f>
        <v>380800</v>
      </c>
      <c r="JP30" s="399"/>
      <c r="JQ30" s="321">
        <f>IF(JM30&lt;&gt;0,JO30-JM30,0)</f>
        <v>91800</v>
      </c>
      <c r="JR30" s="265"/>
      <c r="JS30" s="324">
        <v>320</v>
      </c>
      <c r="JT30" s="396">
        <f>JT26/JW5</f>
        <v>298965.5172413793</v>
      </c>
      <c r="JU30" s="397"/>
      <c r="JV30" s="398">
        <f>JV28*JS30</f>
        <v>392000</v>
      </c>
      <c r="JW30" s="399"/>
      <c r="JX30" s="321">
        <f>IF(JT30&lt;&gt;0,JV30-JT30,0)</f>
        <v>93034.482758620696</v>
      </c>
      <c r="JY30" s="265"/>
      <c r="JZ30" s="324">
        <v>325</v>
      </c>
      <c r="KA30" s="396">
        <f>KA26/KD5</f>
        <v>279677.41935483873</v>
      </c>
      <c r="KB30" s="397"/>
      <c r="KC30" s="398">
        <f>KC28*JZ30</f>
        <v>398125</v>
      </c>
      <c r="KD30" s="399"/>
      <c r="KE30" s="321">
        <f>IF(KA30&lt;&gt;0,KC30-KA30,0)</f>
        <v>118447.58064516127</v>
      </c>
      <c r="KF30" s="265"/>
      <c r="KG30" s="324">
        <v>330</v>
      </c>
      <c r="KH30" s="396">
        <f>KH26/KK5</f>
        <v>241379.31034482759</v>
      </c>
      <c r="KI30" s="397"/>
      <c r="KJ30" s="398">
        <f>KJ28*KG30</f>
        <v>404250</v>
      </c>
      <c r="KK30" s="399"/>
      <c r="KL30" s="321">
        <f>IF(KH30&lt;&gt;0,KJ30-KH30,0)</f>
        <v>162870.68965517241</v>
      </c>
      <c r="KM30" s="265"/>
      <c r="KN30" s="324">
        <v>340</v>
      </c>
      <c r="KO30" s="396">
        <f>KO26/KR5</f>
        <v>232258.06451612903</v>
      </c>
      <c r="KP30" s="397"/>
      <c r="KQ30" s="398">
        <f>KQ28*KN30</f>
        <v>416500</v>
      </c>
      <c r="KR30" s="399"/>
      <c r="KS30" s="321">
        <f>IF(KO30&lt;&gt;0,KQ30-KO30,0)</f>
        <v>184241.93548387097</v>
      </c>
      <c r="KT30" s="265"/>
      <c r="KU30" s="324">
        <v>335</v>
      </c>
      <c r="KV30" s="396">
        <f>KV26/KY5</f>
        <v>311000</v>
      </c>
      <c r="KW30" s="397"/>
      <c r="KX30" s="398">
        <f>KX28*KU30</f>
        <v>410375</v>
      </c>
      <c r="KY30" s="399"/>
      <c r="KZ30" s="321">
        <f>IF(KV30&lt;&gt;0,KX30-KV30,0)</f>
        <v>99375</v>
      </c>
      <c r="LA30" s="265"/>
      <c r="LB30" s="324">
        <v>325</v>
      </c>
      <c r="LC30" s="396">
        <f>LC26/LF5</f>
        <v>289000</v>
      </c>
      <c r="LD30" s="397"/>
      <c r="LE30" s="398">
        <f>LE28*LB30</f>
        <v>398125</v>
      </c>
      <c r="LF30" s="399"/>
      <c r="LG30" s="321">
        <f>IF(LC30&lt;&gt;0,LE30-LC30,0)</f>
        <v>109125</v>
      </c>
      <c r="LH30" s="265"/>
      <c r="LI30" s="324">
        <v>330</v>
      </c>
      <c r="LJ30" s="396">
        <f>LJ26/LM5</f>
        <v>333181.81818181818</v>
      </c>
      <c r="LK30" s="397"/>
      <c r="LL30" s="398">
        <f>LL28*LI30</f>
        <v>404250</v>
      </c>
      <c r="LM30" s="399"/>
      <c r="LN30" s="321">
        <f>IF(LJ30&lt;&gt;0,LL30-LJ30,0)</f>
        <v>71068.181818181823</v>
      </c>
      <c r="LO30" s="265"/>
      <c r="LP30" s="324">
        <v>330</v>
      </c>
      <c r="LQ30" s="396">
        <f>LQ26/LT5</f>
        <v>289000</v>
      </c>
      <c r="LR30" s="397"/>
      <c r="LS30" s="398">
        <f>LS28*LP30</f>
        <v>404250</v>
      </c>
      <c r="LT30" s="399"/>
      <c r="LU30" s="321">
        <f>IF(LQ30&lt;&gt;0,LS30-LQ30,0)</f>
        <v>115250</v>
      </c>
      <c r="LV30" s="265"/>
      <c r="LW30" s="324">
        <v>300</v>
      </c>
      <c r="LX30" s="396">
        <f>LX26/MA5</f>
        <v>247714.28571428571</v>
      </c>
      <c r="LY30" s="397"/>
      <c r="LZ30" s="398">
        <f>LZ28*LW30</f>
        <v>367500</v>
      </c>
      <c r="MA30" s="399"/>
      <c r="MB30" s="321">
        <f>IF(LX30&lt;&gt;0,LZ30-LX30,0)</f>
        <v>119785.71428571429</v>
      </c>
      <c r="MC30" s="265"/>
      <c r="MD30" s="324">
        <v>300</v>
      </c>
      <c r="ME30" s="396">
        <f>ME26/MH5</f>
        <v>247714.28571428571</v>
      </c>
      <c r="MF30" s="397"/>
      <c r="MG30" s="398">
        <f>MG28*MD30</f>
        <v>367500</v>
      </c>
      <c r="MH30" s="399"/>
      <c r="MI30" s="321">
        <f>IF(ME30&lt;&gt;0,MG30-ME30,0)</f>
        <v>119785.71428571429</v>
      </c>
      <c r="MJ30" s="265"/>
      <c r="MK30" s="324">
        <v>300</v>
      </c>
      <c r="ML30" s="396">
        <f>ML26/MO5</f>
        <v>247714.28571428571</v>
      </c>
      <c r="MM30" s="397"/>
      <c r="MN30" s="398">
        <f>MN28*MK30</f>
        <v>367500</v>
      </c>
      <c r="MO30" s="399"/>
      <c r="MP30" s="321">
        <f>IF(ML30&lt;&gt;0,MN30-ML30,0)</f>
        <v>119785.71428571429</v>
      </c>
      <c r="MQ30" s="265"/>
      <c r="MR30" s="324">
        <v>300</v>
      </c>
      <c r="MS30" s="396">
        <f>MS26/MV5</f>
        <v>247714.28571428571</v>
      </c>
      <c r="MT30" s="397"/>
      <c r="MU30" s="398">
        <f>MU28*MR30</f>
        <v>367500</v>
      </c>
      <c r="MV30" s="399"/>
      <c r="MW30" s="321">
        <f>IF(MS30&lt;&gt;0,MU30-MS30,0)</f>
        <v>119785.71428571429</v>
      </c>
      <c r="MX30" s="265"/>
      <c r="MY30" s="324">
        <v>300</v>
      </c>
      <c r="MZ30" s="396">
        <f>MZ26/NC5</f>
        <v>247714.28571428571</v>
      </c>
      <c r="NA30" s="397"/>
      <c r="NB30" s="398">
        <f>NB28*MY30</f>
        <v>367500</v>
      </c>
      <c r="NC30" s="399"/>
      <c r="ND30" s="321">
        <f>IF(MZ30&lt;&gt;0,NB30-MZ30,0)</f>
        <v>119785.71428571429</v>
      </c>
      <c r="NE30" s="265"/>
      <c r="NF30" s="324">
        <v>300</v>
      </c>
      <c r="NG30" s="396">
        <f>NG26/NJ5</f>
        <v>247714.28571428571</v>
      </c>
      <c r="NH30" s="397"/>
      <c r="NI30" s="398">
        <f>NI28*NF30</f>
        <v>367500</v>
      </c>
      <c r="NJ30" s="399"/>
      <c r="NK30" s="321">
        <f>IF(NG30&lt;&gt;0,NI30-NG30,0)</f>
        <v>119785.71428571429</v>
      </c>
      <c r="NL30" s="265"/>
      <c r="NM30" s="324">
        <v>300</v>
      </c>
      <c r="NN30" s="396">
        <f>NN26/NQ5</f>
        <v>247714.28571428571</v>
      </c>
      <c r="NO30" s="397"/>
      <c r="NP30" s="398">
        <f>NP28*NM30</f>
        <v>367500</v>
      </c>
      <c r="NQ30" s="399"/>
      <c r="NR30" s="321">
        <f>IF(NN30&lt;&gt;0,NP30-NN30,0)</f>
        <v>119785.71428571429</v>
      </c>
      <c r="NS30" s="283"/>
    </row>
    <row r="31" spans="1:383" s="110" customFormat="1" ht="35.4" customHeight="1" thickBot="1" x14ac:dyDescent="0.35">
      <c r="A31" s="294"/>
      <c r="B31" s="306"/>
      <c r="C31" s="307"/>
      <c r="D31" s="314"/>
      <c r="E31"/>
      <c r="F31" s="255"/>
      <c r="G31" s="256"/>
      <c r="H31" s="256"/>
      <c r="I31" s="256"/>
      <c r="J31" s="256"/>
      <c r="K31" s="256"/>
      <c r="L31" s="263"/>
      <c r="M31" s="257"/>
      <c r="N31" s="257"/>
      <c r="O31" s="257"/>
      <c r="P31" s="257"/>
      <c r="Q31" s="257"/>
      <c r="R31" s="255"/>
      <c r="S31" s="281"/>
      <c r="T31" s="254"/>
      <c r="U31" s="254"/>
      <c r="V31" s="254"/>
      <c r="W31" s="254"/>
      <c r="X31" s="254"/>
      <c r="Y31" s="254"/>
      <c r="AA31" s="254"/>
      <c r="AB31" s="254"/>
      <c r="AC31" s="254"/>
      <c r="AD31" s="254"/>
      <c r="AE31" s="254"/>
      <c r="AF31" s="254"/>
      <c r="AH31" s="254"/>
      <c r="AI31" s="254"/>
      <c r="AJ31" s="254"/>
      <c r="AK31" s="254"/>
      <c r="AL31" s="254"/>
      <c r="AM31" s="254"/>
      <c r="AO31" s="254"/>
      <c r="AP31" s="254"/>
      <c r="AQ31" s="254"/>
      <c r="AR31" s="254"/>
      <c r="AS31" s="254"/>
      <c r="AT31" s="254"/>
      <c r="AV31" s="254"/>
      <c r="AW31" s="254"/>
      <c r="AX31" s="254"/>
      <c r="AY31" s="254"/>
      <c r="AZ31" s="254"/>
      <c r="BA31" s="254"/>
      <c r="BC31" s="254"/>
      <c r="BD31" s="254"/>
      <c r="BE31" s="254"/>
      <c r="BF31" s="254"/>
      <c r="BG31" s="254"/>
      <c r="BH31" s="254"/>
      <c r="BJ31" s="254"/>
      <c r="BK31" s="254"/>
      <c r="BL31" s="254"/>
      <c r="BM31" s="254"/>
      <c r="BN31" s="254"/>
      <c r="BO31" s="254"/>
      <c r="BQ31" s="254"/>
      <c r="BR31" s="254"/>
      <c r="BS31" s="254"/>
      <c r="BT31" s="254"/>
      <c r="BU31" s="254"/>
      <c r="BV31" s="254"/>
      <c r="BX31" s="254"/>
      <c r="BY31" s="254"/>
      <c r="BZ31" s="254"/>
      <c r="CA31" s="254"/>
      <c r="CB31" s="254"/>
      <c r="CC31" s="254"/>
      <c r="CE31" s="254"/>
      <c r="CF31" s="254"/>
      <c r="CG31" s="254"/>
      <c r="CH31" s="254"/>
      <c r="CI31" s="254"/>
      <c r="CJ31" s="254"/>
      <c r="CL31" s="254"/>
      <c r="CM31" s="254"/>
      <c r="CN31" s="254"/>
      <c r="CO31" s="254"/>
      <c r="CP31" s="254"/>
      <c r="CQ31" s="254"/>
      <c r="CS31" s="254"/>
      <c r="CT31" s="254"/>
      <c r="CU31" s="254"/>
      <c r="CV31" s="254"/>
      <c r="CW31" s="254"/>
      <c r="CX31" s="254"/>
      <c r="CZ31" s="254"/>
      <c r="DA31" s="254"/>
      <c r="DB31" s="254"/>
      <c r="DC31" s="254"/>
      <c r="DD31" s="254"/>
      <c r="DE31" s="254"/>
      <c r="DG31" s="254"/>
      <c r="DH31" s="254"/>
      <c r="DI31" s="254"/>
      <c r="DJ31" s="254"/>
      <c r="DK31" s="254"/>
      <c r="DL31" s="254"/>
      <c r="DN31" s="254"/>
      <c r="DO31" s="254"/>
      <c r="DP31" s="254"/>
      <c r="DQ31" s="254"/>
      <c r="DR31" s="254"/>
      <c r="DS31" s="254"/>
      <c r="DU31" s="254"/>
      <c r="DV31" s="254"/>
      <c r="DW31" s="254"/>
      <c r="DX31" s="254"/>
      <c r="DY31" s="254"/>
      <c r="DZ31" s="254"/>
      <c r="EB31" s="254"/>
      <c r="EC31" s="254"/>
      <c r="ED31" s="254"/>
      <c r="EE31" s="254"/>
      <c r="EF31" s="254"/>
      <c r="EG31" s="254"/>
      <c r="EI31" s="254"/>
      <c r="EJ31" s="254"/>
      <c r="EK31" s="254"/>
      <c r="EL31" s="254"/>
      <c r="EM31" s="254"/>
      <c r="EN31" s="254"/>
      <c r="EP31" s="254"/>
      <c r="EQ31" s="254"/>
      <c r="ER31" s="254"/>
      <c r="ES31" s="254"/>
      <c r="ET31" s="254"/>
      <c r="EU31" s="254"/>
      <c r="EW31" s="254"/>
      <c r="EX31" s="254"/>
      <c r="EY31" s="254"/>
      <c r="EZ31" s="254"/>
      <c r="FA31" s="254"/>
      <c r="FB31" s="254"/>
      <c r="FD31" s="254"/>
      <c r="FE31" s="254"/>
      <c r="FF31" s="254"/>
      <c r="FG31" s="254"/>
      <c r="FH31" s="254"/>
      <c r="FI31" s="254"/>
      <c r="FK31" s="254"/>
      <c r="FL31" s="254"/>
      <c r="FM31" s="254"/>
      <c r="FN31" s="254"/>
      <c r="FO31" s="254"/>
      <c r="FP31" s="254"/>
      <c r="FR31" s="254"/>
      <c r="FS31" s="254"/>
      <c r="FT31" s="254"/>
      <c r="FU31" s="254"/>
      <c r="FV31" s="254"/>
      <c r="FW31" s="254"/>
      <c r="FY31" s="254"/>
      <c r="FZ31" s="254"/>
      <c r="GA31" s="254"/>
      <c r="GB31" s="254"/>
      <c r="GC31" s="254"/>
      <c r="GD31" s="254"/>
      <c r="GF31" s="254"/>
      <c r="GG31" s="254"/>
      <c r="GH31" s="254"/>
      <c r="GI31" s="254"/>
      <c r="GJ31" s="254"/>
      <c r="GK31" s="254"/>
      <c r="GM31" s="254"/>
      <c r="GN31" s="254"/>
      <c r="GO31" s="254"/>
      <c r="GP31" s="254"/>
      <c r="GQ31" s="254"/>
      <c r="GR31" s="254"/>
      <c r="GT31" s="254"/>
      <c r="GU31" s="254"/>
      <c r="GV31" s="254"/>
      <c r="GW31" s="254"/>
      <c r="GX31" s="254"/>
      <c r="GY31" s="254"/>
      <c r="HA31" s="254"/>
      <c r="HB31" s="254"/>
      <c r="HC31" s="254"/>
      <c r="HD31" s="254"/>
      <c r="HE31" s="254"/>
      <c r="HF31" s="254"/>
      <c r="HH31" s="254"/>
      <c r="HI31" s="254"/>
      <c r="HJ31" s="254"/>
      <c r="HK31" s="254"/>
      <c r="HL31" s="254"/>
      <c r="HM31" s="254"/>
      <c r="HO31" s="254"/>
      <c r="HP31" s="254"/>
      <c r="HQ31" s="254"/>
      <c r="HR31" s="254"/>
      <c r="HS31" s="254"/>
      <c r="HT31" s="254"/>
      <c r="HV31" s="254"/>
      <c r="HW31" s="254"/>
      <c r="HX31" s="254"/>
      <c r="HY31" s="254"/>
      <c r="HZ31" s="254"/>
      <c r="IA31" s="254"/>
      <c r="IC31" s="254"/>
      <c r="ID31" s="254"/>
      <c r="IE31" s="254"/>
      <c r="IF31" s="254"/>
      <c r="IG31" s="254"/>
      <c r="IH31" s="254"/>
      <c r="IJ31" s="254"/>
      <c r="IK31" s="254"/>
      <c r="IL31" s="254"/>
      <c r="IM31" s="254"/>
      <c r="IN31" s="254"/>
      <c r="IO31" s="254"/>
      <c r="IQ31" s="254"/>
      <c r="IR31" s="254"/>
      <c r="IS31" s="254"/>
      <c r="IT31" s="254"/>
      <c r="IU31" s="254"/>
      <c r="IV31" s="254"/>
      <c r="IX31" s="254"/>
      <c r="IY31" s="254"/>
      <c r="IZ31" s="254"/>
      <c r="JA31" s="254"/>
      <c r="JB31" s="254"/>
      <c r="JC31" s="254"/>
      <c r="JE31" s="254"/>
      <c r="JF31" s="254"/>
      <c r="JG31" s="254"/>
      <c r="JH31" s="254"/>
      <c r="JI31" s="254"/>
      <c r="JJ31" s="254"/>
      <c r="JL31" s="254"/>
      <c r="JM31" s="254"/>
      <c r="JN31" s="254"/>
      <c r="JO31" s="254"/>
      <c r="JP31" s="254"/>
      <c r="JQ31" s="254"/>
      <c r="JS31" s="254"/>
      <c r="JT31" s="254"/>
      <c r="JU31" s="254"/>
      <c r="JV31" s="254"/>
      <c r="JW31" s="254"/>
      <c r="JX31" s="254"/>
      <c r="JZ31" s="254"/>
      <c r="KA31" s="254"/>
      <c r="KB31" s="254"/>
      <c r="KC31" s="254"/>
      <c r="KD31" s="254"/>
      <c r="KE31" s="254"/>
      <c r="KG31" s="254"/>
      <c r="KH31" s="254"/>
      <c r="KI31" s="254"/>
      <c r="KJ31" s="254"/>
      <c r="KK31" s="254"/>
      <c r="KL31" s="254"/>
      <c r="KN31" s="254"/>
      <c r="KO31" s="254"/>
      <c r="KP31" s="254"/>
      <c r="KQ31" s="254"/>
      <c r="KR31" s="254"/>
      <c r="KS31" s="254"/>
      <c r="KU31" s="254"/>
      <c r="KV31" s="254"/>
      <c r="KW31" s="254"/>
      <c r="KX31" s="254"/>
      <c r="KY31" s="254"/>
      <c r="KZ31" s="254"/>
      <c r="LB31" s="254"/>
      <c r="LC31" s="254"/>
      <c r="LD31" s="254"/>
      <c r="LE31" s="254"/>
      <c r="LF31" s="254"/>
      <c r="LG31" s="254"/>
      <c r="LI31" s="254"/>
      <c r="LJ31" s="254"/>
      <c r="LK31" s="254"/>
      <c r="LL31" s="254"/>
      <c r="LM31" s="254"/>
      <c r="LN31" s="254"/>
      <c r="LP31" s="254"/>
      <c r="LQ31" s="254"/>
      <c r="LR31" s="254"/>
      <c r="LS31" s="254"/>
      <c r="LT31" s="254"/>
      <c r="LU31" s="254"/>
      <c r="LW31" s="254"/>
      <c r="LX31" s="254"/>
      <c r="LY31" s="254"/>
      <c r="LZ31" s="254"/>
      <c r="MA31" s="254"/>
      <c r="MB31" s="254"/>
      <c r="MD31" s="254"/>
      <c r="ME31" s="254"/>
      <c r="MF31" s="254"/>
      <c r="MG31" s="254"/>
      <c r="MH31" s="254"/>
      <c r="MI31" s="254"/>
      <c r="MK31" s="254"/>
      <c r="ML31" s="254"/>
      <c r="MM31" s="254"/>
      <c r="MN31" s="254"/>
      <c r="MO31" s="254"/>
      <c r="MP31" s="254"/>
      <c r="MR31" s="254"/>
      <c r="MS31" s="254"/>
      <c r="MT31" s="254"/>
      <c r="MU31" s="254"/>
      <c r="MV31" s="254"/>
      <c r="MW31" s="254"/>
      <c r="MY31" s="254"/>
      <c r="MZ31" s="254"/>
      <c r="NA31" s="254"/>
      <c r="NB31" s="254"/>
      <c r="NC31" s="254"/>
      <c r="ND31" s="254"/>
      <c r="NF31" s="254"/>
      <c r="NG31" s="254"/>
      <c r="NH31" s="254"/>
      <c r="NI31" s="254"/>
      <c r="NJ31" s="254"/>
      <c r="NK31" s="254"/>
      <c r="NM31" s="254"/>
      <c r="NN31" s="254"/>
      <c r="NO31" s="254"/>
      <c r="NP31" s="254"/>
      <c r="NQ31" s="254"/>
      <c r="NR31" s="254"/>
    </row>
    <row r="32" spans="1:383" s="196" customFormat="1" x14ac:dyDescent="0.3">
      <c r="A32" s="294"/>
      <c r="B32" s="306"/>
      <c r="C32" s="306"/>
      <c r="D32" s="305"/>
      <c r="E32"/>
      <c r="F32" s="383" t="s">
        <v>889</v>
      </c>
      <c r="G32" s="384"/>
      <c r="H32" s="384"/>
      <c r="I32" s="384"/>
      <c r="J32" s="384"/>
      <c r="K32" s="385"/>
      <c r="L32" s="265"/>
      <c r="M32" s="383" t="str">
        <f>"S"&amp;WEEKNUM(M33)</f>
        <v>S2</v>
      </c>
      <c r="N32" s="384"/>
      <c r="O32" s="384"/>
      <c r="P32" s="384"/>
      <c r="Q32" s="384"/>
      <c r="R32" s="385"/>
      <c r="S32" s="265"/>
      <c r="T32" s="383" t="str">
        <f>"S"&amp;WEEKNUM(T33)</f>
        <v>S3</v>
      </c>
      <c r="U32" s="384"/>
      <c r="V32" s="384"/>
      <c r="W32" s="384"/>
      <c r="X32" s="384"/>
      <c r="Y32" s="385"/>
      <c r="Z32" s="265"/>
      <c r="AA32" s="383" t="str">
        <f>"S"&amp;WEEKNUM(AA33)</f>
        <v>S4</v>
      </c>
      <c r="AB32" s="384"/>
      <c r="AC32" s="384"/>
      <c r="AD32" s="384"/>
      <c r="AE32" s="384"/>
      <c r="AF32" s="385"/>
      <c r="AG32" s="265"/>
      <c r="AH32" s="383" t="str">
        <f>"S"&amp;WEEKNUM(AH33)</f>
        <v>S5</v>
      </c>
      <c r="AI32" s="384"/>
      <c r="AJ32" s="384"/>
      <c r="AK32" s="384"/>
      <c r="AL32" s="384"/>
      <c r="AM32" s="385"/>
      <c r="AN32" s="265"/>
      <c r="AO32" s="383" t="str">
        <f>"S"&amp;WEEKNUM(AO33)</f>
        <v>S6</v>
      </c>
      <c r="AP32" s="384"/>
      <c r="AQ32" s="384"/>
      <c r="AR32" s="384"/>
      <c r="AS32" s="384"/>
      <c r="AT32" s="385"/>
      <c r="AU32" s="265"/>
      <c r="AV32" s="383" t="str">
        <f>"S"&amp;WEEKNUM(AV33)</f>
        <v>S7</v>
      </c>
      <c r="AW32" s="384"/>
      <c r="AX32" s="384"/>
      <c r="AY32" s="384"/>
      <c r="AZ32" s="384"/>
      <c r="BA32" s="385"/>
      <c r="BB32" s="265"/>
      <c r="BC32" s="383" t="str">
        <f>"S"&amp;WEEKNUM(BC33)</f>
        <v>S8</v>
      </c>
      <c r="BD32" s="384"/>
      <c r="BE32" s="384"/>
      <c r="BF32" s="384"/>
      <c r="BG32" s="384"/>
      <c r="BH32" s="385"/>
      <c r="BI32" s="265"/>
      <c r="BJ32" s="383" t="str">
        <f>"S"&amp;WEEKNUM(BJ33)</f>
        <v>S9</v>
      </c>
      <c r="BK32" s="384"/>
      <c r="BL32" s="384"/>
      <c r="BM32" s="384"/>
      <c r="BN32" s="384"/>
      <c r="BO32" s="385"/>
      <c r="BP32" s="265"/>
      <c r="BQ32" s="383" t="str">
        <f>"S"&amp;WEEKNUM(BQ33)</f>
        <v>S10</v>
      </c>
      <c r="BR32" s="384"/>
      <c r="BS32" s="384"/>
      <c r="BT32" s="384"/>
      <c r="BU32" s="384"/>
      <c r="BV32" s="385"/>
      <c r="BW32" s="265"/>
      <c r="BX32" s="383" t="str">
        <f>"S"&amp;WEEKNUM(BX33)</f>
        <v>S11</v>
      </c>
      <c r="BY32" s="384"/>
      <c r="BZ32" s="384"/>
      <c r="CA32" s="384"/>
      <c r="CB32" s="384"/>
      <c r="CC32" s="385"/>
      <c r="CD32" s="265"/>
      <c r="CE32" s="383" t="str">
        <f>"S"&amp;WEEKNUM(CE33)</f>
        <v>S12</v>
      </c>
      <c r="CF32" s="384"/>
      <c r="CG32" s="384"/>
      <c r="CH32" s="384"/>
      <c r="CI32" s="384"/>
      <c r="CJ32" s="385"/>
      <c r="CK32" s="265"/>
      <c r="CL32" s="383" t="str">
        <f>"S"&amp;WEEKNUM(CL33)</f>
        <v>S13</v>
      </c>
      <c r="CM32" s="384"/>
      <c r="CN32" s="384"/>
      <c r="CO32" s="384"/>
      <c r="CP32" s="384"/>
      <c r="CQ32" s="385"/>
      <c r="CR32" s="265"/>
      <c r="CS32" s="383" t="str">
        <f>"S"&amp;WEEKNUM(CS33)</f>
        <v>S14</v>
      </c>
      <c r="CT32" s="384"/>
      <c r="CU32" s="384"/>
      <c r="CV32" s="384"/>
      <c r="CW32" s="384"/>
      <c r="CX32" s="385"/>
      <c r="CY32" s="265"/>
      <c r="CZ32" s="383" t="str">
        <f>"S"&amp;WEEKNUM(CZ33)</f>
        <v>S15</v>
      </c>
      <c r="DA32" s="384"/>
      <c r="DB32" s="384"/>
      <c r="DC32" s="384"/>
      <c r="DD32" s="384"/>
      <c r="DE32" s="385"/>
      <c r="DF32" s="265"/>
      <c r="DG32" s="383" t="str">
        <f>"S"&amp;WEEKNUM(DG33)</f>
        <v>S16</v>
      </c>
      <c r="DH32" s="384"/>
      <c r="DI32" s="384"/>
      <c r="DJ32" s="384"/>
      <c r="DK32" s="384"/>
      <c r="DL32" s="385"/>
      <c r="DM32" s="265"/>
      <c r="DN32" s="383" t="str">
        <f>"S"&amp;WEEKNUM(DN33)</f>
        <v>S17</v>
      </c>
      <c r="DO32" s="384"/>
      <c r="DP32" s="384"/>
      <c r="DQ32" s="384"/>
      <c r="DR32" s="384"/>
      <c r="DS32" s="385"/>
      <c r="DT32" s="265"/>
      <c r="DU32" s="383" t="str">
        <f>"S"&amp;WEEKNUM(DU33)</f>
        <v>S18</v>
      </c>
      <c r="DV32" s="384"/>
      <c r="DW32" s="384"/>
      <c r="DX32" s="384"/>
      <c r="DY32" s="384"/>
      <c r="DZ32" s="385"/>
      <c r="EA32" s="265"/>
      <c r="EB32" s="383" t="str">
        <f>"S"&amp;WEEKNUM(EB33)</f>
        <v>S19</v>
      </c>
      <c r="EC32" s="384"/>
      <c r="ED32" s="384"/>
      <c r="EE32" s="384"/>
      <c r="EF32" s="384"/>
      <c r="EG32" s="385"/>
      <c r="EH32" s="265"/>
      <c r="EI32" s="383" t="str">
        <f>"S"&amp;WEEKNUM(EI33)</f>
        <v>S20</v>
      </c>
      <c r="EJ32" s="384"/>
      <c r="EK32" s="384"/>
      <c r="EL32" s="384"/>
      <c r="EM32" s="384"/>
      <c r="EN32" s="385"/>
      <c r="EO32" s="265"/>
      <c r="EP32" s="383" t="str">
        <f>"S"&amp;WEEKNUM(EP33)</f>
        <v>S21</v>
      </c>
      <c r="EQ32" s="384"/>
      <c r="ER32" s="384"/>
      <c r="ES32" s="384"/>
      <c r="ET32" s="384"/>
      <c r="EU32" s="385"/>
      <c r="EV32" s="265"/>
      <c r="EW32" s="383" t="str">
        <f>"S"&amp;WEEKNUM(EW33)</f>
        <v>S22</v>
      </c>
      <c r="EX32" s="384"/>
      <c r="EY32" s="384"/>
      <c r="EZ32" s="384"/>
      <c r="FA32" s="384"/>
      <c r="FB32" s="385"/>
      <c r="FC32" s="265"/>
      <c r="FD32" s="383" t="str">
        <f>"S"&amp;WEEKNUM(FD33)</f>
        <v>S23</v>
      </c>
      <c r="FE32" s="384"/>
      <c r="FF32" s="384"/>
      <c r="FG32" s="384"/>
      <c r="FH32" s="384"/>
      <c r="FI32" s="385"/>
      <c r="FJ32" s="265"/>
      <c r="FK32" s="383" t="str">
        <f>"S"&amp;WEEKNUM(FK33)</f>
        <v>S24</v>
      </c>
      <c r="FL32" s="384"/>
      <c r="FM32" s="384"/>
      <c r="FN32" s="384"/>
      <c r="FO32" s="384"/>
      <c r="FP32" s="385"/>
      <c r="FQ32" s="265"/>
      <c r="FR32" s="383" t="str">
        <f>"S"&amp;WEEKNUM(FR33)</f>
        <v>S25</v>
      </c>
      <c r="FS32" s="384"/>
      <c r="FT32" s="384"/>
      <c r="FU32" s="384"/>
      <c r="FV32" s="384"/>
      <c r="FW32" s="385"/>
      <c r="FX32" s="265"/>
      <c r="FY32" s="383" t="str">
        <f>"S"&amp;WEEKNUM(FY33)</f>
        <v>S26</v>
      </c>
      <c r="FZ32" s="384"/>
      <c r="GA32" s="384"/>
      <c r="GB32" s="384"/>
      <c r="GC32" s="384"/>
      <c r="GD32" s="385"/>
      <c r="GE32" s="265"/>
      <c r="GF32" s="383" t="str">
        <f>"S"&amp;WEEKNUM(GF33)</f>
        <v>S27</v>
      </c>
      <c r="GG32" s="384"/>
      <c r="GH32" s="384"/>
      <c r="GI32" s="384"/>
      <c r="GJ32" s="384"/>
      <c r="GK32" s="385"/>
      <c r="GL32" s="265"/>
      <c r="GM32" s="383" t="str">
        <f>"S"&amp;WEEKNUM(GM33)</f>
        <v>S28</v>
      </c>
      <c r="GN32" s="384"/>
      <c r="GO32" s="384"/>
      <c r="GP32" s="384"/>
      <c r="GQ32" s="384"/>
      <c r="GR32" s="385"/>
      <c r="GS32" s="265"/>
      <c r="GT32" s="383" t="str">
        <f>"S"&amp;WEEKNUM(GT33)</f>
        <v>S29</v>
      </c>
      <c r="GU32" s="384"/>
      <c r="GV32" s="384"/>
      <c r="GW32" s="384"/>
      <c r="GX32" s="384"/>
      <c r="GY32" s="385"/>
      <c r="GZ32" s="283"/>
      <c r="HA32" s="383" t="str">
        <f>"S"&amp;WEEKNUM(HA33)</f>
        <v>S30</v>
      </c>
      <c r="HB32" s="384"/>
      <c r="HC32" s="384"/>
      <c r="HD32" s="384"/>
      <c r="HE32" s="384"/>
      <c r="HF32" s="385"/>
      <c r="HG32" s="265"/>
      <c r="HH32" s="383" t="str">
        <f>"S"&amp;WEEKNUM(HH33)</f>
        <v>S31</v>
      </c>
      <c r="HI32" s="384"/>
      <c r="HJ32" s="384"/>
      <c r="HK32" s="384"/>
      <c r="HL32" s="384"/>
      <c r="HM32" s="385"/>
      <c r="HN32" s="265"/>
      <c r="HO32" s="383" t="str">
        <f>"S"&amp;WEEKNUM(HO33)</f>
        <v>S32</v>
      </c>
      <c r="HP32" s="384"/>
      <c r="HQ32" s="384"/>
      <c r="HR32" s="384"/>
      <c r="HS32" s="384"/>
      <c r="HT32" s="385"/>
      <c r="HU32" s="265"/>
      <c r="HV32" s="383" t="str">
        <f>"S"&amp;WEEKNUM(HV33)</f>
        <v>S33</v>
      </c>
      <c r="HW32" s="384"/>
      <c r="HX32" s="384"/>
      <c r="HY32" s="384"/>
      <c r="HZ32" s="384"/>
      <c r="IA32" s="385"/>
      <c r="IB32" s="265"/>
      <c r="IC32" s="383" t="str">
        <f>"S"&amp;WEEKNUM(IC33)</f>
        <v>S34</v>
      </c>
      <c r="ID32" s="384"/>
      <c r="IE32" s="384"/>
      <c r="IF32" s="384"/>
      <c r="IG32" s="384"/>
      <c r="IH32" s="385"/>
      <c r="II32" s="265"/>
      <c r="IJ32" s="383" t="str">
        <f>"S"&amp;WEEKNUM(IJ33)</f>
        <v>S35</v>
      </c>
      <c r="IK32" s="384"/>
      <c r="IL32" s="384"/>
      <c r="IM32" s="384"/>
      <c r="IN32" s="384"/>
      <c r="IO32" s="385"/>
      <c r="IP32" s="265"/>
      <c r="IQ32" s="383" t="str">
        <f>"S"&amp;WEEKNUM(IQ33)</f>
        <v>S36</v>
      </c>
      <c r="IR32" s="384"/>
      <c r="IS32" s="384"/>
      <c r="IT32" s="384"/>
      <c r="IU32" s="384"/>
      <c r="IV32" s="385"/>
      <c r="IW32" s="265"/>
      <c r="IX32" s="383" t="str">
        <f>"S"&amp;WEEKNUM(IX33)</f>
        <v>S37</v>
      </c>
      <c r="IY32" s="384"/>
      <c r="IZ32" s="384"/>
      <c r="JA32" s="384"/>
      <c r="JB32" s="384"/>
      <c r="JC32" s="385"/>
      <c r="JD32" s="265"/>
      <c r="JE32" s="383" t="str">
        <f>"S"&amp;WEEKNUM(JE33)</f>
        <v>S38</v>
      </c>
      <c r="JF32" s="384"/>
      <c r="JG32" s="384"/>
      <c r="JH32" s="384"/>
      <c r="JI32" s="384"/>
      <c r="JJ32" s="385"/>
      <c r="JK32" s="265"/>
      <c r="JL32" s="383" t="str">
        <f>"S"&amp;WEEKNUM(JL33)</f>
        <v>S39</v>
      </c>
      <c r="JM32" s="384"/>
      <c r="JN32" s="384"/>
      <c r="JO32" s="384"/>
      <c r="JP32" s="384"/>
      <c r="JQ32" s="385"/>
      <c r="JR32" s="265"/>
      <c r="JS32" s="383" t="str">
        <f>"S"&amp;WEEKNUM(JS33)</f>
        <v>S40</v>
      </c>
      <c r="JT32" s="384"/>
      <c r="JU32" s="384"/>
      <c r="JV32" s="384"/>
      <c r="JW32" s="384"/>
      <c r="JX32" s="385"/>
      <c r="JY32" s="265"/>
      <c r="JZ32" s="383" t="str">
        <f>"S"&amp;WEEKNUM(JZ33)</f>
        <v>S41</v>
      </c>
      <c r="KA32" s="384"/>
      <c r="KB32" s="384"/>
      <c r="KC32" s="384"/>
      <c r="KD32" s="384"/>
      <c r="KE32" s="385"/>
      <c r="KF32" s="265"/>
      <c r="KG32" s="383" t="str">
        <f>"S"&amp;WEEKNUM(KG33)</f>
        <v>S42</v>
      </c>
      <c r="KH32" s="384"/>
      <c r="KI32" s="384"/>
      <c r="KJ32" s="384"/>
      <c r="KK32" s="384"/>
      <c r="KL32" s="385"/>
      <c r="KM32" s="265"/>
      <c r="KN32" s="383" t="str">
        <f>"S"&amp;WEEKNUM(KN33)</f>
        <v>S43</v>
      </c>
      <c r="KO32" s="384"/>
      <c r="KP32" s="384"/>
      <c r="KQ32" s="384"/>
      <c r="KR32" s="384"/>
      <c r="KS32" s="385"/>
      <c r="KT32" s="265"/>
      <c r="KU32" s="383" t="str">
        <f>"S"&amp;WEEKNUM(KU33)</f>
        <v>S44</v>
      </c>
      <c r="KV32" s="384"/>
      <c r="KW32" s="384"/>
      <c r="KX32" s="384"/>
      <c r="KY32" s="384"/>
      <c r="KZ32" s="385"/>
      <c r="LA32" s="265"/>
      <c r="LB32" s="383" t="str">
        <f>"S"&amp;WEEKNUM(LB33)</f>
        <v>S45</v>
      </c>
      <c r="LC32" s="384"/>
      <c r="LD32" s="384"/>
      <c r="LE32" s="384"/>
      <c r="LF32" s="384"/>
      <c r="LG32" s="385"/>
      <c r="LH32" s="265"/>
      <c r="LI32" s="383" t="str">
        <f>"S"&amp;WEEKNUM(LI33)</f>
        <v>S46</v>
      </c>
      <c r="LJ32" s="384"/>
      <c r="LK32" s="384"/>
      <c r="LL32" s="384"/>
      <c r="LM32" s="384"/>
      <c r="LN32" s="385"/>
      <c r="LO32" s="265"/>
      <c r="LP32" s="383" t="str">
        <f>"S"&amp;WEEKNUM(LP33)</f>
        <v>S47</v>
      </c>
      <c r="LQ32" s="384"/>
      <c r="LR32" s="384"/>
      <c r="LS32" s="384"/>
      <c r="LT32" s="384"/>
      <c r="LU32" s="385"/>
      <c r="LV32" s="265"/>
      <c r="LW32" s="383" t="str">
        <f>"S"&amp;WEEKNUM(LW33)</f>
        <v>S48</v>
      </c>
      <c r="LX32" s="384"/>
      <c r="LY32" s="384"/>
      <c r="LZ32" s="384"/>
      <c r="MA32" s="384"/>
      <c r="MB32" s="385"/>
      <c r="MC32" s="265"/>
      <c r="MD32" s="383" t="str">
        <f>"S"&amp;WEEKNUM(MD33)</f>
        <v>S49</v>
      </c>
      <c r="ME32" s="384"/>
      <c r="MF32" s="384"/>
      <c r="MG32" s="384"/>
      <c r="MH32" s="384"/>
      <c r="MI32" s="385"/>
      <c r="MJ32" s="265"/>
      <c r="MK32" s="383" t="str">
        <f>"S"&amp;WEEKNUM(MK33)</f>
        <v>S50</v>
      </c>
      <c r="ML32" s="384"/>
      <c r="MM32" s="384"/>
      <c r="MN32" s="384"/>
      <c r="MO32" s="384"/>
      <c r="MP32" s="385"/>
      <c r="MQ32" s="265"/>
      <c r="MR32" s="383" t="str">
        <f>"S"&amp;WEEKNUM(MR33)</f>
        <v>S51</v>
      </c>
      <c r="MS32" s="384"/>
      <c r="MT32" s="384"/>
      <c r="MU32" s="384"/>
      <c r="MV32" s="384"/>
      <c r="MW32" s="385"/>
      <c r="MX32" s="265"/>
      <c r="MY32" s="383" t="str">
        <f>"S"&amp;WEEKNUM(MY33)</f>
        <v>S52</v>
      </c>
      <c r="MZ32" s="384"/>
      <c r="NA32" s="384"/>
      <c r="NB32" s="384"/>
      <c r="NC32" s="384"/>
      <c r="ND32" s="385"/>
      <c r="NE32" s="265"/>
      <c r="NF32" s="383" t="str">
        <f>"S"&amp;WEEKNUM(NF33)</f>
        <v>S53</v>
      </c>
      <c r="NG32" s="384"/>
      <c r="NH32" s="384"/>
      <c r="NI32" s="384"/>
      <c r="NJ32" s="384"/>
      <c r="NK32" s="385"/>
      <c r="NL32" s="265"/>
      <c r="NM32" s="383" t="str">
        <f>"S"&amp;WEEKNUM(NM33)</f>
        <v>S2</v>
      </c>
      <c r="NN32" s="384"/>
      <c r="NO32" s="384"/>
      <c r="NP32" s="384"/>
      <c r="NQ32" s="384"/>
      <c r="NR32" s="385"/>
      <c r="NS32" s="283"/>
    </row>
    <row r="33" spans="1:383" s="196" customFormat="1" x14ac:dyDescent="0.3">
      <c r="A33" s="294"/>
      <c r="B33" s="305"/>
      <c r="C33" s="305"/>
      <c r="D33" s="305"/>
      <c r="E33"/>
      <c r="F33" s="130">
        <v>45656</v>
      </c>
      <c r="G33" s="131">
        <v>45657</v>
      </c>
      <c r="H33" s="131">
        <v>45658</v>
      </c>
      <c r="I33" s="131">
        <v>45659</v>
      </c>
      <c r="J33" s="131">
        <v>45660</v>
      </c>
      <c r="K33" s="132">
        <v>45661</v>
      </c>
      <c r="L33" s="265"/>
      <c r="M33" s="130">
        <v>45663</v>
      </c>
      <c r="N33" s="130">
        <v>45664</v>
      </c>
      <c r="O33" s="130">
        <v>45665</v>
      </c>
      <c r="P33" s="130">
        <v>45666</v>
      </c>
      <c r="Q33" s="130">
        <v>45667</v>
      </c>
      <c r="R33" s="130">
        <v>45668</v>
      </c>
      <c r="S33" s="265"/>
      <c r="T33" s="130">
        <v>45670</v>
      </c>
      <c r="U33" s="130">
        <v>45671</v>
      </c>
      <c r="V33" s="130">
        <v>45672</v>
      </c>
      <c r="W33" s="130">
        <v>45673</v>
      </c>
      <c r="X33" s="130">
        <v>45674</v>
      </c>
      <c r="Y33" s="130">
        <v>45675</v>
      </c>
      <c r="Z33" s="265"/>
      <c r="AA33" s="130">
        <v>45677</v>
      </c>
      <c r="AB33" s="130">
        <v>45678</v>
      </c>
      <c r="AC33" s="130">
        <v>45679</v>
      </c>
      <c r="AD33" s="130">
        <v>45680</v>
      </c>
      <c r="AE33" s="130">
        <v>45681</v>
      </c>
      <c r="AF33" s="131"/>
      <c r="AG33" s="265"/>
      <c r="AH33" s="130">
        <v>45684</v>
      </c>
      <c r="AI33" s="130">
        <v>45685</v>
      </c>
      <c r="AJ33" s="130">
        <v>45686</v>
      </c>
      <c r="AK33" s="130">
        <v>45687</v>
      </c>
      <c r="AL33" s="130">
        <v>45688</v>
      </c>
      <c r="AM33" s="130"/>
      <c r="AN33" s="265"/>
      <c r="AO33" s="130">
        <v>45691</v>
      </c>
      <c r="AP33" s="130">
        <v>45692</v>
      </c>
      <c r="AQ33" s="130">
        <v>45693</v>
      </c>
      <c r="AR33" s="130">
        <v>45694</v>
      </c>
      <c r="AS33" s="130">
        <v>45695</v>
      </c>
      <c r="AT33" s="130"/>
      <c r="AU33" s="265"/>
      <c r="AV33" s="130">
        <v>45698</v>
      </c>
      <c r="AW33" s="130">
        <v>45699</v>
      </c>
      <c r="AX33" s="130">
        <v>45700</v>
      </c>
      <c r="AY33" s="130">
        <v>45701</v>
      </c>
      <c r="AZ33" s="130">
        <v>45702</v>
      </c>
      <c r="BA33" s="130"/>
      <c r="BB33" s="265"/>
      <c r="BC33" s="130">
        <v>45705</v>
      </c>
      <c r="BD33" s="130">
        <v>45706</v>
      </c>
      <c r="BE33" s="130">
        <v>45707</v>
      </c>
      <c r="BF33" s="130">
        <v>45708</v>
      </c>
      <c r="BG33" s="130">
        <v>45709</v>
      </c>
      <c r="BH33" s="130"/>
      <c r="BI33" s="265"/>
      <c r="BJ33" s="130">
        <v>45712</v>
      </c>
      <c r="BK33" s="130">
        <v>45713</v>
      </c>
      <c r="BL33" s="130">
        <v>45714</v>
      </c>
      <c r="BM33" s="130">
        <v>45715</v>
      </c>
      <c r="BN33" s="130">
        <v>45716</v>
      </c>
      <c r="BO33" s="130"/>
      <c r="BP33" s="265"/>
      <c r="BQ33" s="130">
        <v>45719</v>
      </c>
      <c r="BR33" s="130">
        <v>45720</v>
      </c>
      <c r="BS33" s="130">
        <v>45721</v>
      </c>
      <c r="BT33" s="130">
        <v>45722</v>
      </c>
      <c r="BU33" s="130">
        <v>45723</v>
      </c>
      <c r="BV33" s="130"/>
      <c r="BW33" s="265"/>
      <c r="BX33" s="130">
        <v>45726</v>
      </c>
      <c r="BY33" s="130">
        <v>45727</v>
      </c>
      <c r="BZ33" s="130">
        <v>45728</v>
      </c>
      <c r="CA33" s="130">
        <v>45729</v>
      </c>
      <c r="CB33" s="130">
        <v>45730</v>
      </c>
      <c r="CC33" s="130"/>
      <c r="CD33" s="265"/>
      <c r="CE33" s="130">
        <v>45733</v>
      </c>
      <c r="CF33" s="130">
        <v>45734</v>
      </c>
      <c r="CG33" s="130">
        <v>45735</v>
      </c>
      <c r="CH33" s="130">
        <v>45736</v>
      </c>
      <c r="CI33" s="130">
        <v>45737</v>
      </c>
      <c r="CJ33" s="130"/>
      <c r="CK33" s="265"/>
      <c r="CL33" s="130">
        <v>45740</v>
      </c>
      <c r="CM33" s="130">
        <v>45741</v>
      </c>
      <c r="CN33" s="130">
        <v>45742</v>
      </c>
      <c r="CO33" s="130">
        <v>45743</v>
      </c>
      <c r="CP33" s="130">
        <v>45744</v>
      </c>
      <c r="CQ33" s="130"/>
      <c r="CR33" s="265"/>
      <c r="CS33" s="130">
        <v>45747</v>
      </c>
      <c r="CT33" s="130">
        <v>45748</v>
      </c>
      <c r="CU33" s="130">
        <v>45749</v>
      </c>
      <c r="CV33" s="130">
        <v>45750</v>
      </c>
      <c r="CW33" s="130">
        <v>45751</v>
      </c>
      <c r="CX33" s="130"/>
      <c r="CY33" s="265"/>
      <c r="CZ33" s="130">
        <v>45754</v>
      </c>
      <c r="DA33" s="130">
        <v>45755</v>
      </c>
      <c r="DB33" s="130">
        <v>45756</v>
      </c>
      <c r="DC33" s="130">
        <v>45757</v>
      </c>
      <c r="DD33" s="130">
        <v>45758</v>
      </c>
      <c r="DE33" s="130"/>
      <c r="DF33" s="265"/>
      <c r="DG33" s="130">
        <v>45761</v>
      </c>
      <c r="DH33" s="130">
        <v>45762</v>
      </c>
      <c r="DI33" s="130">
        <v>45763</v>
      </c>
      <c r="DJ33" s="130">
        <v>45764</v>
      </c>
      <c r="DK33" s="130">
        <v>45765</v>
      </c>
      <c r="DL33" s="130"/>
      <c r="DM33" s="265"/>
      <c r="DN33" s="130">
        <v>45768</v>
      </c>
      <c r="DO33" s="130">
        <v>45769</v>
      </c>
      <c r="DP33" s="130">
        <v>45770</v>
      </c>
      <c r="DQ33" s="130">
        <v>45771</v>
      </c>
      <c r="DR33" s="130">
        <v>45772</v>
      </c>
      <c r="DS33" s="130"/>
      <c r="DT33" s="265"/>
      <c r="DU33" s="130">
        <v>45775</v>
      </c>
      <c r="DV33" s="130">
        <v>45776</v>
      </c>
      <c r="DW33" s="130">
        <v>45777</v>
      </c>
      <c r="DX33" s="130">
        <v>45778</v>
      </c>
      <c r="DY33" s="130">
        <v>45779</v>
      </c>
      <c r="DZ33" s="130"/>
      <c r="EA33" s="265"/>
      <c r="EB33" s="130">
        <v>45782</v>
      </c>
      <c r="EC33" s="130">
        <v>45783</v>
      </c>
      <c r="ED33" s="130">
        <v>45784</v>
      </c>
      <c r="EE33" s="130">
        <v>45785</v>
      </c>
      <c r="EF33" s="130">
        <v>45786</v>
      </c>
      <c r="EG33" s="130"/>
      <c r="EH33" s="265"/>
      <c r="EI33" s="130">
        <v>45789</v>
      </c>
      <c r="EJ33" s="130">
        <v>45790</v>
      </c>
      <c r="EK33" s="130">
        <v>45791</v>
      </c>
      <c r="EL33" s="130">
        <v>45792</v>
      </c>
      <c r="EM33" s="130">
        <v>45793</v>
      </c>
      <c r="EN33" s="130"/>
      <c r="EO33" s="265"/>
      <c r="EP33" s="130">
        <v>45796</v>
      </c>
      <c r="EQ33" s="130">
        <v>45797</v>
      </c>
      <c r="ER33" s="130">
        <v>45798</v>
      </c>
      <c r="ES33" s="130">
        <v>45799</v>
      </c>
      <c r="ET33" s="130">
        <v>45800</v>
      </c>
      <c r="EU33" s="130"/>
      <c r="EV33" s="265"/>
      <c r="EW33" s="130">
        <v>45803</v>
      </c>
      <c r="EX33" s="130">
        <v>45804</v>
      </c>
      <c r="EY33" s="130">
        <v>45805</v>
      </c>
      <c r="EZ33" s="130">
        <v>45806</v>
      </c>
      <c r="FA33" s="130">
        <v>45807</v>
      </c>
      <c r="FB33" s="130"/>
      <c r="FC33" s="265"/>
      <c r="FD33" s="130">
        <v>45810</v>
      </c>
      <c r="FE33" s="130">
        <v>45811</v>
      </c>
      <c r="FF33" s="130">
        <v>45812</v>
      </c>
      <c r="FG33" s="130">
        <v>45813</v>
      </c>
      <c r="FH33" s="130">
        <v>45814</v>
      </c>
      <c r="FI33" s="130"/>
      <c r="FJ33" s="265"/>
      <c r="FK33" s="130">
        <v>45817</v>
      </c>
      <c r="FL33" s="130">
        <v>45818</v>
      </c>
      <c r="FM33" s="130">
        <v>45819</v>
      </c>
      <c r="FN33" s="130">
        <v>45820</v>
      </c>
      <c r="FO33" s="130">
        <v>45821</v>
      </c>
      <c r="FP33" s="130"/>
      <c r="FQ33" s="265"/>
      <c r="FR33" s="130">
        <v>45824</v>
      </c>
      <c r="FS33" s="130">
        <v>45825</v>
      </c>
      <c r="FT33" s="130">
        <v>45826</v>
      </c>
      <c r="FU33" s="130">
        <v>45827</v>
      </c>
      <c r="FV33" s="130">
        <v>45828</v>
      </c>
      <c r="FW33" s="130"/>
      <c r="FX33" s="265"/>
      <c r="FY33" s="130">
        <v>45831</v>
      </c>
      <c r="FZ33" s="130">
        <v>45832</v>
      </c>
      <c r="GA33" s="130">
        <v>45833</v>
      </c>
      <c r="GB33" s="130">
        <v>45834</v>
      </c>
      <c r="GC33" s="130">
        <v>45835</v>
      </c>
      <c r="GD33" s="130"/>
      <c r="GE33" s="265"/>
      <c r="GF33" s="130">
        <v>45838</v>
      </c>
      <c r="GG33" s="130">
        <v>45839</v>
      </c>
      <c r="GH33" s="130">
        <v>45840</v>
      </c>
      <c r="GI33" s="130">
        <v>45841</v>
      </c>
      <c r="GJ33" s="130">
        <v>45842</v>
      </c>
      <c r="GK33" s="130">
        <v>45843</v>
      </c>
      <c r="GL33" s="265"/>
      <c r="GM33" s="130">
        <v>45846</v>
      </c>
      <c r="GN33" s="130">
        <v>45847</v>
      </c>
      <c r="GO33" s="130">
        <v>45848</v>
      </c>
      <c r="GP33" s="130">
        <v>45849</v>
      </c>
      <c r="GQ33" s="130">
        <v>45850</v>
      </c>
      <c r="GR33" s="130"/>
      <c r="GS33" s="265"/>
      <c r="GT33" s="130">
        <v>45853</v>
      </c>
      <c r="GU33" s="130">
        <v>45854</v>
      </c>
      <c r="GV33" s="130">
        <v>45855</v>
      </c>
      <c r="GW33" s="130">
        <v>45856</v>
      </c>
      <c r="GX33" s="130">
        <v>45857</v>
      </c>
      <c r="GY33" s="130">
        <v>45858</v>
      </c>
      <c r="GZ33" s="130">
        <v>45859</v>
      </c>
      <c r="HA33" s="130">
        <v>45860</v>
      </c>
      <c r="HB33" s="130">
        <v>45861</v>
      </c>
      <c r="HC33" s="130">
        <v>45862</v>
      </c>
      <c r="HD33" s="130">
        <v>45863</v>
      </c>
      <c r="HE33" s="130">
        <v>45864</v>
      </c>
      <c r="HF33" s="130">
        <v>45865</v>
      </c>
      <c r="HG33" s="130">
        <v>45866</v>
      </c>
      <c r="HH33" s="130">
        <v>45867</v>
      </c>
      <c r="HI33" s="130">
        <v>45868</v>
      </c>
      <c r="HJ33" s="130">
        <v>45869</v>
      </c>
      <c r="HK33" s="130">
        <v>45870</v>
      </c>
      <c r="HL33" s="130">
        <v>45871</v>
      </c>
      <c r="HM33" s="130">
        <v>45872</v>
      </c>
      <c r="HN33" s="130">
        <v>45873</v>
      </c>
      <c r="HO33" s="130">
        <v>45874</v>
      </c>
      <c r="HP33" s="130">
        <v>45875</v>
      </c>
      <c r="HQ33" s="130">
        <v>45876</v>
      </c>
      <c r="HR33" s="130">
        <v>45877</v>
      </c>
      <c r="HS33" s="130">
        <v>45878</v>
      </c>
      <c r="HT33" s="130">
        <v>45879</v>
      </c>
      <c r="HU33" s="130">
        <v>45880</v>
      </c>
      <c r="HV33" s="130">
        <v>45881</v>
      </c>
      <c r="HW33" s="130">
        <v>45882</v>
      </c>
      <c r="HX33" s="130">
        <v>45883</v>
      </c>
      <c r="HY33" s="130">
        <v>45884</v>
      </c>
      <c r="HZ33" s="130">
        <v>45885</v>
      </c>
      <c r="IA33" s="130">
        <v>45886</v>
      </c>
      <c r="IB33" s="130">
        <v>45887</v>
      </c>
      <c r="IC33" s="130">
        <v>45888</v>
      </c>
      <c r="ID33" s="130">
        <v>45889</v>
      </c>
      <c r="IE33" s="130">
        <v>45890</v>
      </c>
      <c r="IF33" s="130">
        <v>45891</v>
      </c>
      <c r="IG33" s="130">
        <v>45892</v>
      </c>
      <c r="IH33" s="130">
        <v>45893</v>
      </c>
      <c r="II33" s="130">
        <v>45894</v>
      </c>
      <c r="IJ33" s="130">
        <v>45895</v>
      </c>
      <c r="IK33" s="130">
        <v>45896</v>
      </c>
      <c r="IL33" s="130">
        <v>45897</v>
      </c>
      <c r="IM33" s="130">
        <v>45898</v>
      </c>
      <c r="IN33" s="130">
        <v>45899</v>
      </c>
      <c r="IO33" s="130">
        <v>45900</v>
      </c>
      <c r="IP33" s="130">
        <v>45901</v>
      </c>
      <c r="IQ33" s="130">
        <v>45902</v>
      </c>
      <c r="IR33" s="130">
        <v>45903</v>
      </c>
      <c r="IS33" s="130">
        <v>45904</v>
      </c>
      <c r="IT33" s="130">
        <v>45905</v>
      </c>
      <c r="IU33" s="130">
        <v>45906</v>
      </c>
      <c r="IV33" s="130">
        <v>45907</v>
      </c>
      <c r="IW33" s="130">
        <v>45908</v>
      </c>
      <c r="IX33" s="130">
        <v>45909</v>
      </c>
      <c r="IY33" s="130">
        <v>45910</v>
      </c>
      <c r="IZ33" s="130">
        <v>45911</v>
      </c>
      <c r="JA33" s="130">
        <v>45912</v>
      </c>
      <c r="JB33" s="130">
        <v>45913</v>
      </c>
      <c r="JC33" s="130">
        <v>45914</v>
      </c>
      <c r="JD33" s="130">
        <v>45915</v>
      </c>
      <c r="JE33" s="130">
        <v>45916</v>
      </c>
      <c r="JF33" s="130">
        <v>45917</v>
      </c>
      <c r="JG33" s="130">
        <v>45918</v>
      </c>
      <c r="JH33" s="130">
        <v>45919</v>
      </c>
      <c r="JI33" s="130">
        <v>45920</v>
      </c>
      <c r="JJ33" s="130">
        <v>45921</v>
      </c>
      <c r="JK33" s="130">
        <v>45922</v>
      </c>
      <c r="JL33" s="130">
        <v>45923</v>
      </c>
      <c r="JM33" s="130">
        <v>45924</v>
      </c>
      <c r="JN33" s="130">
        <v>45925</v>
      </c>
      <c r="JO33" s="130">
        <v>45926</v>
      </c>
      <c r="JP33" s="130">
        <v>45927</v>
      </c>
      <c r="JQ33" s="130">
        <v>45928</v>
      </c>
      <c r="JR33" s="130">
        <v>45929</v>
      </c>
      <c r="JS33" s="130">
        <v>45930</v>
      </c>
      <c r="JT33" s="130">
        <v>45931</v>
      </c>
      <c r="JU33" s="130">
        <v>45932</v>
      </c>
      <c r="JV33" s="130">
        <v>45933</v>
      </c>
      <c r="JW33" s="130">
        <v>45934</v>
      </c>
      <c r="JX33" s="130">
        <v>45935</v>
      </c>
      <c r="JY33" s="130">
        <v>45936</v>
      </c>
      <c r="JZ33" s="130">
        <v>45937</v>
      </c>
      <c r="KA33" s="130">
        <v>45938</v>
      </c>
      <c r="KB33" s="130">
        <v>45939</v>
      </c>
      <c r="KC33" s="130">
        <v>45940</v>
      </c>
      <c r="KD33" s="130">
        <v>45941</v>
      </c>
      <c r="KE33" s="130">
        <v>45942</v>
      </c>
      <c r="KF33" s="130">
        <v>45943</v>
      </c>
      <c r="KG33" s="130">
        <v>45944</v>
      </c>
      <c r="KH33" s="130">
        <v>45945</v>
      </c>
      <c r="KI33" s="130">
        <v>45946</v>
      </c>
      <c r="KJ33" s="130">
        <v>45947</v>
      </c>
      <c r="KK33" s="130">
        <v>45948</v>
      </c>
      <c r="KL33" s="130">
        <v>45949</v>
      </c>
      <c r="KM33" s="130">
        <v>45950</v>
      </c>
      <c r="KN33" s="130">
        <v>45951</v>
      </c>
      <c r="KO33" s="130">
        <v>45952</v>
      </c>
      <c r="KP33" s="130">
        <v>45953</v>
      </c>
      <c r="KQ33" s="130">
        <v>45954</v>
      </c>
      <c r="KR33" s="130">
        <v>45955</v>
      </c>
      <c r="KS33" s="130">
        <v>45956</v>
      </c>
      <c r="KT33" s="130">
        <v>45957</v>
      </c>
      <c r="KU33" s="130">
        <v>45958</v>
      </c>
      <c r="KV33" s="130">
        <v>45959</v>
      </c>
      <c r="KW33" s="130">
        <v>45960</v>
      </c>
      <c r="KX33" s="130">
        <v>45961</v>
      </c>
      <c r="KY33" s="130">
        <v>45962</v>
      </c>
      <c r="KZ33" s="130">
        <v>45963</v>
      </c>
      <c r="LA33" s="130">
        <v>45964</v>
      </c>
      <c r="LB33" s="130">
        <v>45965</v>
      </c>
      <c r="LC33" s="130">
        <v>45966</v>
      </c>
      <c r="LD33" s="130">
        <v>45967</v>
      </c>
      <c r="LE33" s="130">
        <v>45968</v>
      </c>
      <c r="LF33" s="130">
        <v>45969</v>
      </c>
      <c r="LG33" s="130">
        <v>45970</v>
      </c>
      <c r="LH33" s="130">
        <v>45971</v>
      </c>
      <c r="LI33" s="130">
        <v>45972</v>
      </c>
      <c r="LJ33" s="130">
        <v>45973</v>
      </c>
      <c r="LK33" s="130">
        <v>45974</v>
      </c>
      <c r="LL33" s="130">
        <v>45975</v>
      </c>
      <c r="LM33" s="130">
        <v>45976</v>
      </c>
      <c r="LN33" s="130">
        <v>45977</v>
      </c>
      <c r="LO33" s="130">
        <v>45978</v>
      </c>
      <c r="LP33" s="130">
        <v>45979</v>
      </c>
      <c r="LQ33" s="130">
        <v>45980</v>
      </c>
      <c r="LR33" s="130">
        <v>45981</v>
      </c>
      <c r="LS33" s="130">
        <v>45982</v>
      </c>
      <c r="LT33" s="130">
        <v>45983</v>
      </c>
      <c r="LU33" s="130">
        <v>45984</v>
      </c>
      <c r="LV33" s="130">
        <v>45985</v>
      </c>
      <c r="LW33" s="130">
        <v>45986</v>
      </c>
      <c r="LX33" s="130">
        <v>45987</v>
      </c>
      <c r="LY33" s="130">
        <v>45988</v>
      </c>
      <c r="LZ33" s="130">
        <v>45989</v>
      </c>
      <c r="MA33" s="130">
        <v>45990</v>
      </c>
      <c r="MB33" s="130">
        <v>45991</v>
      </c>
      <c r="MC33" s="130">
        <v>45992</v>
      </c>
      <c r="MD33" s="130">
        <v>45993</v>
      </c>
      <c r="ME33" s="130">
        <v>45994</v>
      </c>
      <c r="MF33" s="130">
        <v>45995</v>
      </c>
      <c r="MG33" s="130">
        <v>45996</v>
      </c>
      <c r="MH33" s="130">
        <v>45997</v>
      </c>
      <c r="MI33" s="130">
        <v>45998</v>
      </c>
      <c r="MJ33" s="130">
        <v>45999</v>
      </c>
      <c r="MK33" s="130">
        <v>46000</v>
      </c>
      <c r="ML33" s="130">
        <v>46001</v>
      </c>
      <c r="MM33" s="130">
        <v>46002</v>
      </c>
      <c r="MN33" s="130">
        <v>46003</v>
      </c>
      <c r="MO33" s="130">
        <v>46004</v>
      </c>
      <c r="MP33" s="130">
        <v>46005</v>
      </c>
      <c r="MQ33" s="130">
        <v>46006</v>
      </c>
      <c r="MR33" s="130">
        <v>46007</v>
      </c>
      <c r="MS33" s="130">
        <v>46008</v>
      </c>
      <c r="MT33" s="130">
        <v>46009</v>
      </c>
      <c r="MU33" s="130">
        <v>46010</v>
      </c>
      <c r="MV33" s="130">
        <v>46011</v>
      </c>
      <c r="MW33" s="130">
        <v>46012</v>
      </c>
      <c r="MX33" s="130">
        <v>46013</v>
      </c>
      <c r="MY33" s="130">
        <v>46014</v>
      </c>
      <c r="MZ33" s="130">
        <v>46015</v>
      </c>
      <c r="NA33" s="130">
        <v>46016</v>
      </c>
      <c r="NB33" s="130">
        <v>46017</v>
      </c>
      <c r="NC33" s="130">
        <v>46018</v>
      </c>
      <c r="ND33" s="130">
        <v>46019</v>
      </c>
      <c r="NE33" s="130">
        <v>46020</v>
      </c>
      <c r="NF33" s="130">
        <v>46021</v>
      </c>
      <c r="NG33" s="130">
        <v>46022</v>
      </c>
      <c r="NH33" s="130">
        <v>46023</v>
      </c>
      <c r="NI33" s="130">
        <v>46024</v>
      </c>
      <c r="NJ33" s="130">
        <v>46025</v>
      </c>
      <c r="NK33" s="130">
        <v>46026</v>
      </c>
      <c r="NL33" s="130">
        <v>46027</v>
      </c>
      <c r="NM33" s="130">
        <v>46028</v>
      </c>
      <c r="NN33" s="130">
        <v>46029</v>
      </c>
      <c r="NO33" s="130">
        <v>46030</v>
      </c>
      <c r="NP33" s="130">
        <v>46031</v>
      </c>
      <c r="NQ33" s="130">
        <v>46032</v>
      </c>
      <c r="NR33" s="130"/>
      <c r="NS33" s="283"/>
    </row>
    <row r="34" spans="1:383" s="196" customFormat="1" ht="15" thickBot="1" x14ac:dyDescent="0.35">
      <c r="A34" s="294"/>
      <c r="B34" s="306"/>
      <c r="C34" s="306"/>
      <c r="D34" s="306"/>
      <c r="E34"/>
      <c r="F34" s="237" t="str">
        <f>TEXT(F33,"jjj.")</f>
        <v>lun.</v>
      </c>
      <c r="G34" s="235" t="str">
        <f>TEXT(G33,"jjj.")</f>
        <v>mar.</v>
      </c>
      <c r="H34" s="235" t="str">
        <f>TEXT(H33,"jjj.")</f>
        <v>mer.</v>
      </c>
      <c r="I34" s="235" t="str">
        <f>TEXT(I33,"jjj.")</f>
        <v>jeu.</v>
      </c>
      <c r="J34" s="235" t="str">
        <f>TEXT(J33,"jjj.")</f>
        <v>ven.</v>
      </c>
      <c r="K34" s="236" t="s">
        <v>694</v>
      </c>
      <c r="L34" s="265"/>
      <c r="M34" s="237" t="str">
        <f>TEXT(M33,"jjj.")</f>
        <v>lun.</v>
      </c>
      <c r="N34" s="235" t="str">
        <f>TEXT(N33,"jjj.")</f>
        <v>mar.</v>
      </c>
      <c r="O34" s="235" t="str">
        <f>TEXT(O33,"jjj.")</f>
        <v>mer.</v>
      </c>
      <c r="P34" s="235" t="str">
        <f>TEXT(P33,"jjj.")</f>
        <v>jeu.</v>
      </c>
      <c r="Q34" s="235" t="str">
        <f>TEXT(Q33,"jjj.")</f>
        <v>ven.</v>
      </c>
      <c r="R34" s="236" t="s">
        <v>694</v>
      </c>
      <c r="S34" s="265"/>
      <c r="T34" s="237" t="str">
        <f>TEXT(T33,"jjj.")</f>
        <v>lun.</v>
      </c>
      <c r="U34" s="235" t="str">
        <f>TEXT(U33,"jjj.")</f>
        <v>mar.</v>
      </c>
      <c r="V34" s="235" t="str">
        <f>TEXT(V33,"jjj.")</f>
        <v>mer.</v>
      </c>
      <c r="W34" s="235" t="str">
        <f>TEXT(W33,"jjj.")</f>
        <v>jeu.</v>
      </c>
      <c r="X34" s="235" t="str">
        <f>TEXT(X33,"jjj.")</f>
        <v>ven.</v>
      </c>
      <c r="Y34" s="236" t="s">
        <v>694</v>
      </c>
      <c r="Z34" s="265"/>
      <c r="AA34" s="237" t="str">
        <f>TEXT(AA33,"jjj.")</f>
        <v>lun.</v>
      </c>
      <c r="AB34" s="235" t="str">
        <f>TEXT(AB33,"jjj.")</f>
        <v>mar.</v>
      </c>
      <c r="AC34" s="235" t="str">
        <f>TEXT(AC33,"jjj.")</f>
        <v>mer.</v>
      </c>
      <c r="AD34" s="235" t="str">
        <f>TEXT(AD33,"jjj.")</f>
        <v>jeu.</v>
      </c>
      <c r="AE34" s="235" t="str">
        <f>TEXT(AE33,"jjj.")</f>
        <v>ven.</v>
      </c>
      <c r="AF34" s="236" t="s">
        <v>694</v>
      </c>
      <c r="AG34" s="265"/>
      <c r="AH34" s="237" t="str">
        <f>TEXT(AH33,"jjj.")</f>
        <v>lun.</v>
      </c>
      <c r="AI34" s="235" t="str">
        <f>TEXT(AI33,"jjj.")</f>
        <v>mar.</v>
      </c>
      <c r="AJ34" s="235" t="str">
        <f>TEXT(AJ33,"jjj.")</f>
        <v>mer.</v>
      </c>
      <c r="AK34" s="235" t="str">
        <f>TEXT(AK33,"jjj.")</f>
        <v>jeu.</v>
      </c>
      <c r="AL34" s="235" t="str">
        <f>TEXT(AL33,"jjj.")</f>
        <v>ven.</v>
      </c>
      <c r="AM34" s="236" t="s">
        <v>694</v>
      </c>
      <c r="AN34" s="265"/>
      <c r="AO34" s="237" t="str">
        <f>TEXT(AO33,"jjj.")</f>
        <v>lun.</v>
      </c>
      <c r="AP34" s="235" t="str">
        <f>TEXT(AP33,"jjj.")</f>
        <v>mar.</v>
      </c>
      <c r="AQ34" s="235" t="str">
        <f>TEXT(AQ33,"jjj.")</f>
        <v>mer.</v>
      </c>
      <c r="AR34" s="235" t="str">
        <f>TEXT(AR33,"jjj.")</f>
        <v>jeu.</v>
      </c>
      <c r="AS34" s="235" t="str">
        <f>TEXT(AS33,"jjj.")</f>
        <v>ven.</v>
      </c>
      <c r="AT34" s="236" t="s">
        <v>694</v>
      </c>
      <c r="AU34" s="265"/>
      <c r="AV34" s="237" t="str">
        <f>TEXT(AV33,"jjj.")</f>
        <v>lun.</v>
      </c>
      <c r="AW34" s="235" t="str">
        <f>TEXT(AW33,"jjj.")</f>
        <v>mar.</v>
      </c>
      <c r="AX34" s="235" t="str">
        <f>TEXT(AX33,"jjj.")</f>
        <v>mer.</v>
      </c>
      <c r="AY34" s="235" t="str">
        <f>TEXT(AY33,"jjj.")</f>
        <v>jeu.</v>
      </c>
      <c r="AZ34" s="235" t="str">
        <f>TEXT(AZ33,"jjj.")</f>
        <v>ven.</v>
      </c>
      <c r="BA34" s="236" t="s">
        <v>694</v>
      </c>
      <c r="BB34" s="265"/>
      <c r="BC34" s="237" t="str">
        <f>TEXT(BC33,"jjj.")</f>
        <v>lun.</v>
      </c>
      <c r="BD34" s="235" t="str">
        <f>TEXT(BD33,"jjj.")</f>
        <v>mar.</v>
      </c>
      <c r="BE34" s="235" t="str">
        <f>TEXT(BE33,"jjj.")</f>
        <v>mer.</v>
      </c>
      <c r="BF34" s="235" t="str">
        <f>TEXT(BF33,"jjj.")</f>
        <v>jeu.</v>
      </c>
      <c r="BG34" s="235" t="str">
        <f>TEXT(BG33,"jjj.")</f>
        <v>ven.</v>
      </c>
      <c r="BH34" s="236" t="s">
        <v>694</v>
      </c>
      <c r="BI34" s="265"/>
      <c r="BJ34" s="237" t="str">
        <f>TEXT(BJ33,"jjj.")</f>
        <v>lun.</v>
      </c>
      <c r="BK34" s="235" t="str">
        <f>TEXT(BK33,"jjj.")</f>
        <v>mar.</v>
      </c>
      <c r="BL34" s="235" t="str">
        <f>TEXT(BL33,"jjj.")</f>
        <v>mer.</v>
      </c>
      <c r="BM34" s="235" t="str">
        <f>TEXT(BM33,"jjj.")</f>
        <v>jeu.</v>
      </c>
      <c r="BN34" s="235" t="str">
        <f>TEXT(BN33,"jjj.")</f>
        <v>ven.</v>
      </c>
      <c r="BO34" s="236" t="s">
        <v>694</v>
      </c>
      <c r="BP34" s="265"/>
      <c r="BQ34" s="237" t="str">
        <f>TEXT(BQ33,"jjj.")</f>
        <v>lun.</v>
      </c>
      <c r="BR34" s="235" t="str">
        <f>TEXT(BR33,"jjj.")</f>
        <v>mar.</v>
      </c>
      <c r="BS34" s="235" t="str">
        <f>TEXT(BS33,"jjj.")</f>
        <v>mer.</v>
      </c>
      <c r="BT34" s="235" t="str">
        <f>TEXT(BT33,"jjj.")</f>
        <v>jeu.</v>
      </c>
      <c r="BU34" s="235" t="str">
        <f>TEXT(BU33,"jjj.")</f>
        <v>ven.</v>
      </c>
      <c r="BV34" s="236" t="s">
        <v>694</v>
      </c>
      <c r="BW34" s="265"/>
      <c r="BX34" s="237" t="str">
        <f>TEXT(BX33,"jjj.")</f>
        <v>lun.</v>
      </c>
      <c r="BY34" s="235" t="str">
        <f>TEXT(BY33,"jjj.")</f>
        <v>mar.</v>
      </c>
      <c r="BZ34" s="235" t="str">
        <f>TEXT(BZ33,"jjj.")</f>
        <v>mer.</v>
      </c>
      <c r="CA34" s="235" t="str">
        <f>TEXT(CA33,"jjj.")</f>
        <v>jeu.</v>
      </c>
      <c r="CB34" s="235" t="str">
        <f>TEXT(CB33,"jjj.")</f>
        <v>ven.</v>
      </c>
      <c r="CC34" s="236" t="s">
        <v>694</v>
      </c>
      <c r="CD34" s="265"/>
      <c r="CE34" s="237" t="str">
        <f>TEXT(CE33,"jjj.")</f>
        <v>lun.</v>
      </c>
      <c r="CF34" s="235" t="str">
        <f>TEXT(CF33,"jjj.")</f>
        <v>mar.</v>
      </c>
      <c r="CG34" s="235" t="str">
        <f>TEXT(CG33,"jjj.")</f>
        <v>mer.</v>
      </c>
      <c r="CH34" s="235" t="str">
        <f>TEXT(CH33,"jjj.")</f>
        <v>jeu.</v>
      </c>
      <c r="CI34" s="235" t="str">
        <f>TEXT(CI33,"jjj.")</f>
        <v>ven.</v>
      </c>
      <c r="CJ34" s="236" t="s">
        <v>694</v>
      </c>
      <c r="CK34" s="265"/>
      <c r="CL34" s="237" t="str">
        <f>TEXT(CL33,"jjj.")</f>
        <v>lun.</v>
      </c>
      <c r="CM34" s="235" t="str">
        <f>TEXT(CM33,"jjj.")</f>
        <v>mar.</v>
      </c>
      <c r="CN34" s="235" t="str">
        <f>TEXT(CN33,"jjj.")</f>
        <v>mer.</v>
      </c>
      <c r="CO34" s="235" t="str">
        <f>TEXT(CO33,"jjj.")</f>
        <v>jeu.</v>
      </c>
      <c r="CP34" s="235" t="str">
        <f>TEXT(CP33,"jjj.")</f>
        <v>ven.</v>
      </c>
      <c r="CQ34" s="236" t="s">
        <v>694</v>
      </c>
      <c r="CR34" s="265"/>
      <c r="CS34" s="237" t="str">
        <f>TEXT(CS33,"jjj.")</f>
        <v>lun.</v>
      </c>
      <c r="CT34" s="235" t="str">
        <f>TEXT(CT33,"jjj.")</f>
        <v>mar.</v>
      </c>
      <c r="CU34" s="235" t="str">
        <f>TEXT(CU33,"jjj.")</f>
        <v>mer.</v>
      </c>
      <c r="CV34" s="235" t="str">
        <f>TEXT(CV33,"jjj.")</f>
        <v>jeu.</v>
      </c>
      <c r="CW34" s="235" t="str">
        <f>TEXT(CW33,"jjj.")</f>
        <v>ven.</v>
      </c>
      <c r="CX34" s="236" t="s">
        <v>694</v>
      </c>
      <c r="CY34" s="265"/>
      <c r="CZ34" s="237" t="str">
        <f>TEXT(CZ33,"jjj.")</f>
        <v>lun.</v>
      </c>
      <c r="DA34" s="235" t="str">
        <f>TEXT(DA33,"jjj.")</f>
        <v>mar.</v>
      </c>
      <c r="DB34" s="235" t="str">
        <f>TEXT(DB33,"jjj.")</f>
        <v>mer.</v>
      </c>
      <c r="DC34" s="235" t="str">
        <f>TEXT(DC33,"jjj.")</f>
        <v>jeu.</v>
      </c>
      <c r="DD34" s="235" t="str">
        <f>TEXT(DD33,"jjj.")</f>
        <v>ven.</v>
      </c>
      <c r="DE34" s="236" t="s">
        <v>694</v>
      </c>
      <c r="DF34" s="265"/>
      <c r="DG34" s="237" t="str">
        <f>TEXT(DG33,"jjj.")</f>
        <v>lun.</v>
      </c>
      <c r="DH34" s="235" t="str">
        <f>TEXT(DH33,"jjj.")</f>
        <v>mar.</v>
      </c>
      <c r="DI34" s="235" t="str">
        <f>TEXT(DI33,"jjj.")</f>
        <v>mer.</v>
      </c>
      <c r="DJ34" s="235" t="str">
        <f>TEXT(DJ33,"jjj.")</f>
        <v>jeu.</v>
      </c>
      <c r="DK34" s="235" t="str">
        <f>TEXT(DK33,"jjj.")</f>
        <v>ven.</v>
      </c>
      <c r="DL34" s="236" t="s">
        <v>694</v>
      </c>
      <c r="DM34" s="265"/>
      <c r="DN34" s="237" t="str">
        <f>TEXT(DN33,"jjj.")</f>
        <v>lun.</v>
      </c>
      <c r="DO34" s="235" t="str">
        <f>TEXT(DO33,"jjj.")</f>
        <v>mar.</v>
      </c>
      <c r="DP34" s="235" t="str">
        <f>TEXT(DP33,"jjj.")</f>
        <v>mer.</v>
      </c>
      <c r="DQ34" s="235" t="str">
        <f>TEXT(DQ33,"jjj.")</f>
        <v>jeu.</v>
      </c>
      <c r="DR34" s="235" t="str">
        <f>TEXT(DR33,"jjj.")</f>
        <v>ven.</v>
      </c>
      <c r="DS34" s="236" t="s">
        <v>694</v>
      </c>
      <c r="DT34" s="265"/>
      <c r="DU34" s="237" t="str">
        <f>TEXT(DU33,"jjj.")</f>
        <v>lun.</v>
      </c>
      <c r="DV34" s="235" t="str">
        <f>TEXT(DV33,"jjj.")</f>
        <v>mar.</v>
      </c>
      <c r="DW34" s="235" t="str">
        <f>TEXT(DW33,"jjj.")</f>
        <v>mer.</v>
      </c>
      <c r="DX34" s="235" t="str">
        <f>TEXT(DX33,"jjj.")</f>
        <v>jeu.</v>
      </c>
      <c r="DY34" s="235" t="str">
        <f>TEXT(DY33,"jjj.")</f>
        <v>ven.</v>
      </c>
      <c r="DZ34" s="236" t="s">
        <v>694</v>
      </c>
      <c r="EA34" s="265"/>
      <c r="EB34" s="237" t="str">
        <f>TEXT(EB33,"jjj.")</f>
        <v>lun.</v>
      </c>
      <c r="EC34" s="235" t="str">
        <f>TEXT(EC33,"jjj.")</f>
        <v>mar.</v>
      </c>
      <c r="ED34" s="235" t="str">
        <f>TEXT(ED33,"jjj.")</f>
        <v>mer.</v>
      </c>
      <c r="EE34" s="235" t="str">
        <f>TEXT(EE33,"jjj.")</f>
        <v>jeu.</v>
      </c>
      <c r="EF34" s="235" t="str">
        <f>TEXT(EF33,"jjj.")</f>
        <v>ven.</v>
      </c>
      <c r="EG34" s="236" t="s">
        <v>694</v>
      </c>
      <c r="EH34" s="265"/>
      <c r="EI34" s="237" t="str">
        <f>TEXT(EI33,"jjj.")</f>
        <v>lun.</v>
      </c>
      <c r="EJ34" s="235" t="str">
        <f>TEXT(EJ33,"jjj.")</f>
        <v>mar.</v>
      </c>
      <c r="EK34" s="235" t="str">
        <f>TEXT(EK33,"jjj.")</f>
        <v>mer.</v>
      </c>
      <c r="EL34" s="235" t="str">
        <f>TEXT(EL33,"jjj.")</f>
        <v>jeu.</v>
      </c>
      <c r="EM34" s="235" t="str">
        <f>TEXT(EM33,"jjj.")</f>
        <v>ven.</v>
      </c>
      <c r="EN34" s="236" t="s">
        <v>694</v>
      </c>
      <c r="EO34" s="265"/>
      <c r="EP34" s="237" t="str">
        <f>TEXT(EP33,"jjj.")</f>
        <v>lun.</v>
      </c>
      <c r="EQ34" s="235" t="str">
        <f>TEXT(EQ33,"jjj.")</f>
        <v>mar.</v>
      </c>
      <c r="ER34" s="235" t="str">
        <f>TEXT(ER33,"jjj.")</f>
        <v>mer.</v>
      </c>
      <c r="ES34" s="235" t="str">
        <f>TEXT(ES33,"jjj.")</f>
        <v>jeu.</v>
      </c>
      <c r="ET34" s="235" t="str">
        <f>TEXT(ET33,"jjj.")</f>
        <v>ven.</v>
      </c>
      <c r="EU34" s="236" t="s">
        <v>694</v>
      </c>
      <c r="EV34" s="265"/>
      <c r="EW34" s="237" t="str">
        <f>TEXT(EW33,"jjj.")</f>
        <v>lun.</v>
      </c>
      <c r="EX34" s="235" t="str">
        <f>TEXT(EX33,"jjj.")</f>
        <v>mar.</v>
      </c>
      <c r="EY34" s="235" t="str">
        <f>TEXT(EY33,"jjj.")</f>
        <v>mer.</v>
      </c>
      <c r="EZ34" s="235" t="str">
        <f>TEXT(EZ33,"jjj.")</f>
        <v>jeu.</v>
      </c>
      <c r="FA34" s="235" t="str">
        <f>TEXT(FA33,"jjj.")</f>
        <v>ven.</v>
      </c>
      <c r="FB34" s="236" t="s">
        <v>694</v>
      </c>
      <c r="FC34" s="265"/>
      <c r="FD34" s="237" t="str">
        <f>TEXT(FD33,"jjj.")</f>
        <v>lun.</v>
      </c>
      <c r="FE34" s="235" t="str">
        <f>TEXT(FE33,"jjj.")</f>
        <v>mar.</v>
      </c>
      <c r="FF34" s="235" t="str">
        <f>TEXT(FF33,"jjj.")</f>
        <v>mer.</v>
      </c>
      <c r="FG34" s="235" t="str">
        <f>TEXT(FG33,"jjj.")</f>
        <v>jeu.</v>
      </c>
      <c r="FH34" s="235" t="str">
        <f>TEXT(FH33,"jjj.")</f>
        <v>ven.</v>
      </c>
      <c r="FI34" s="236" t="s">
        <v>694</v>
      </c>
      <c r="FJ34" s="265"/>
      <c r="FK34" s="237" t="str">
        <f>TEXT(FK33,"jjj.")</f>
        <v>lun.</v>
      </c>
      <c r="FL34" s="235" t="str">
        <f>TEXT(FL33,"jjj.")</f>
        <v>mar.</v>
      </c>
      <c r="FM34" s="235" t="str">
        <f>TEXT(FM33,"jjj.")</f>
        <v>mer.</v>
      </c>
      <c r="FN34" s="235" t="str">
        <f>TEXT(FN33,"jjj.")</f>
        <v>jeu.</v>
      </c>
      <c r="FO34" s="235" t="str">
        <f>TEXT(FO33,"jjj.")</f>
        <v>ven.</v>
      </c>
      <c r="FP34" s="236" t="s">
        <v>694</v>
      </c>
      <c r="FQ34" s="265"/>
      <c r="FR34" s="237" t="str">
        <f>TEXT(FR33,"jjj.")</f>
        <v>lun.</v>
      </c>
      <c r="FS34" s="235" t="str">
        <f>TEXT(FS33,"jjj.")</f>
        <v>mar.</v>
      </c>
      <c r="FT34" s="235" t="str">
        <f>TEXT(FT33,"jjj.")</f>
        <v>mer.</v>
      </c>
      <c r="FU34" s="235" t="str">
        <f>TEXT(FU33,"jjj.")</f>
        <v>jeu.</v>
      </c>
      <c r="FV34" s="235" t="str">
        <f>TEXT(FV33,"jjj.")</f>
        <v>ven.</v>
      </c>
      <c r="FW34" s="236" t="s">
        <v>694</v>
      </c>
      <c r="FX34" s="265"/>
      <c r="FY34" s="237" t="str">
        <f>TEXT(FY33,"jjj.")</f>
        <v>lun.</v>
      </c>
      <c r="FZ34" s="235" t="str">
        <f>TEXT(FZ33,"jjj.")</f>
        <v>mar.</v>
      </c>
      <c r="GA34" s="235" t="str">
        <f>TEXT(GA33,"jjj.")</f>
        <v>mer.</v>
      </c>
      <c r="GB34" s="235" t="str">
        <f>TEXT(GB33,"jjj.")</f>
        <v>jeu.</v>
      </c>
      <c r="GC34" s="235" t="str">
        <f>TEXT(GC33,"jjj.")</f>
        <v>ven.</v>
      </c>
      <c r="GD34" s="236" t="s">
        <v>694</v>
      </c>
      <c r="GE34" s="265"/>
      <c r="GF34" s="237" t="str">
        <f>TEXT(GF33,"jjj.")</f>
        <v>lun.</v>
      </c>
      <c r="GG34" s="235" t="str">
        <f>TEXT(GG33,"jjj.")</f>
        <v>mar.</v>
      </c>
      <c r="GH34" s="235" t="str">
        <f>TEXT(GH33,"jjj.")</f>
        <v>mer.</v>
      </c>
      <c r="GI34" s="235" t="str">
        <f>TEXT(GI33,"jjj.")</f>
        <v>jeu.</v>
      </c>
      <c r="GJ34" s="235" t="str">
        <f>TEXT(GJ33,"jjj.")</f>
        <v>ven.</v>
      </c>
      <c r="GK34" s="236" t="s">
        <v>694</v>
      </c>
      <c r="GL34" s="265"/>
      <c r="GM34" s="237" t="str">
        <f>TEXT(GM33,"jjj.")</f>
        <v>mar.</v>
      </c>
      <c r="GN34" s="235" t="str">
        <f>TEXT(GN33,"jjj.")</f>
        <v>mer.</v>
      </c>
      <c r="GO34" s="235" t="str">
        <f>TEXT(GO33,"jjj.")</f>
        <v>jeu.</v>
      </c>
      <c r="GP34" s="235" t="str">
        <f>TEXT(GP33,"jjj.")</f>
        <v>ven.</v>
      </c>
      <c r="GQ34" s="235" t="str">
        <f>TEXT(GQ33,"jjj.")</f>
        <v>sam.</v>
      </c>
      <c r="GR34" s="236" t="s">
        <v>694</v>
      </c>
      <c r="GS34" s="265"/>
      <c r="GT34" s="237" t="str">
        <f>TEXT(GT33,"jjj.")</f>
        <v>mar.</v>
      </c>
      <c r="GU34" s="235" t="str">
        <f>TEXT(GU33,"jjj.")</f>
        <v>mer.</v>
      </c>
      <c r="GV34" s="235" t="str">
        <f>TEXT(GV33,"jjj.")</f>
        <v>jeu.</v>
      </c>
      <c r="GW34" s="235" t="str">
        <f>TEXT(GW33,"jjj.")</f>
        <v>ven.</v>
      </c>
      <c r="GX34" s="235" t="str">
        <f>TEXT(GX33,"jjj.")</f>
        <v>sam.</v>
      </c>
      <c r="GY34" s="236" t="s">
        <v>694</v>
      </c>
      <c r="GZ34" s="283"/>
      <c r="HA34" s="237" t="str">
        <f>TEXT(HA33,"jjj.")</f>
        <v>mar.</v>
      </c>
      <c r="HB34" s="235" t="str">
        <f>TEXT(HB33,"jjj.")</f>
        <v>mer.</v>
      </c>
      <c r="HC34" s="235" t="str">
        <f>TEXT(HC33,"jjj.")</f>
        <v>jeu.</v>
      </c>
      <c r="HD34" s="235" t="str">
        <f>TEXT(HD33,"jjj.")</f>
        <v>ven.</v>
      </c>
      <c r="HE34" s="235" t="str">
        <f>TEXT(HE33,"jjj.")</f>
        <v>sam.</v>
      </c>
      <c r="HF34" s="236" t="s">
        <v>694</v>
      </c>
      <c r="HG34" s="265"/>
      <c r="HH34" s="237" t="str">
        <f>TEXT(HH33,"jjj.")</f>
        <v>mar.</v>
      </c>
      <c r="HI34" s="235" t="str">
        <f>TEXT(HI33,"jjj.")</f>
        <v>mer.</v>
      </c>
      <c r="HJ34" s="235" t="str">
        <f>TEXT(HJ33,"jjj.")</f>
        <v>jeu.</v>
      </c>
      <c r="HK34" s="235" t="str">
        <f>TEXT(HK33,"jjj.")</f>
        <v>ven.</v>
      </c>
      <c r="HL34" s="235" t="str">
        <f>TEXT(HL33,"jjj.")</f>
        <v>sam.</v>
      </c>
      <c r="HM34" s="236" t="s">
        <v>694</v>
      </c>
      <c r="HN34" s="265"/>
      <c r="HO34" s="237" t="str">
        <f>TEXT(HO33,"jjj.")</f>
        <v>mar.</v>
      </c>
      <c r="HP34" s="235" t="str">
        <f>TEXT(HP33,"jjj.")</f>
        <v>mer.</v>
      </c>
      <c r="HQ34" s="235" t="str">
        <f>TEXT(HQ33,"jjj.")</f>
        <v>jeu.</v>
      </c>
      <c r="HR34" s="235" t="str">
        <f>TEXT(HR33,"jjj.")</f>
        <v>ven.</v>
      </c>
      <c r="HS34" s="235" t="str">
        <f>TEXT(HS33,"jjj.")</f>
        <v>sam.</v>
      </c>
      <c r="HT34" s="236" t="s">
        <v>694</v>
      </c>
      <c r="HU34" s="265"/>
      <c r="HV34" s="237" t="str">
        <f>TEXT(HV33,"jjj.")</f>
        <v>mar.</v>
      </c>
      <c r="HW34" s="235" t="str">
        <f>TEXT(HW33,"jjj.")</f>
        <v>mer.</v>
      </c>
      <c r="HX34" s="235" t="str">
        <f>TEXT(HX33,"jjj.")</f>
        <v>jeu.</v>
      </c>
      <c r="HY34" s="235" t="str">
        <f>TEXT(HY33,"jjj.")</f>
        <v>ven.</v>
      </c>
      <c r="HZ34" s="235" t="str">
        <f>TEXT(HZ33,"jjj.")</f>
        <v>sam.</v>
      </c>
      <c r="IA34" s="236" t="s">
        <v>694</v>
      </c>
      <c r="IB34" s="265"/>
      <c r="IC34" s="237" t="str">
        <f>TEXT(IC33,"jjj.")</f>
        <v>mar.</v>
      </c>
      <c r="ID34" s="235" t="str">
        <f>TEXT(ID33,"jjj.")</f>
        <v>mer.</v>
      </c>
      <c r="IE34" s="235" t="str">
        <f>TEXT(IE33,"jjj.")</f>
        <v>jeu.</v>
      </c>
      <c r="IF34" s="235" t="str">
        <f>TEXT(IF33,"jjj.")</f>
        <v>ven.</v>
      </c>
      <c r="IG34" s="235" t="str">
        <f>TEXT(IG33,"jjj.")</f>
        <v>sam.</v>
      </c>
      <c r="IH34" s="236" t="s">
        <v>694</v>
      </c>
      <c r="II34" s="265"/>
      <c r="IJ34" s="237" t="str">
        <f>TEXT(IJ33,"jjj.")</f>
        <v>mar.</v>
      </c>
      <c r="IK34" s="235" t="str">
        <f>TEXT(IK33,"jjj.")</f>
        <v>mer.</v>
      </c>
      <c r="IL34" s="235" t="str">
        <f>TEXT(IL33,"jjj.")</f>
        <v>jeu.</v>
      </c>
      <c r="IM34" s="235" t="str">
        <f>TEXT(IM33,"jjj.")</f>
        <v>ven.</v>
      </c>
      <c r="IN34" s="235" t="str">
        <f>TEXT(IN33,"jjj.")</f>
        <v>sam.</v>
      </c>
      <c r="IO34" s="236" t="s">
        <v>694</v>
      </c>
      <c r="IP34" s="265"/>
      <c r="IQ34" s="237" t="str">
        <f>TEXT(IQ33,"jjj.")</f>
        <v>mar.</v>
      </c>
      <c r="IR34" s="235" t="str">
        <f>TEXT(IR33,"jjj.")</f>
        <v>mer.</v>
      </c>
      <c r="IS34" s="235" t="str">
        <f>TEXT(IS33,"jjj.")</f>
        <v>jeu.</v>
      </c>
      <c r="IT34" s="235" t="str">
        <f>TEXT(IT33,"jjj.")</f>
        <v>ven.</v>
      </c>
      <c r="IU34" s="235" t="str">
        <f>TEXT(IU33,"jjj.")</f>
        <v>sam.</v>
      </c>
      <c r="IV34" s="236" t="s">
        <v>694</v>
      </c>
      <c r="IW34" s="265"/>
      <c r="IX34" s="237" t="str">
        <f>TEXT(IX33,"jjj.")</f>
        <v>mar.</v>
      </c>
      <c r="IY34" s="235" t="str">
        <f>TEXT(IY33,"jjj.")</f>
        <v>mer.</v>
      </c>
      <c r="IZ34" s="235" t="str">
        <f>TEXT(IZ33,"jjj.")</f>
        <v>jeu.</v>
      </c>
      <c r="JA34" s="235" t="str">
        <f>TEXT(JA33,"jjj.")</f>
        <v>ven.</v>
      </c>
      <c r="JB34" s="235" t="str">
        <f>TEXT(JB33,"jjj.")</f>
        <v>sam.</v>
      </c>
      <c r="JC34" s="236" t="s">
        <v>694</v>
      </c>
      <c r="JD34" s="265"/>
      <c r="JE34" s="237" t="str">
        <f>TEXT(JE33,"jjj.")</f>
        <v>mar.</v>
      </c>
      <c r="JF34" s="235" t="str">
        <f>TEXT(JF33,"jjj.")</f>
        <v>mer.</v>
      </c>
      <c r="JG34" s="235" t="str">
        <f>TEXT(JG33,"jjj.")</f>
        <v>jeu.</v>
      </c>
      <c r="JH34" s="235" t="str">
        <f>TEXT(JH33,"jjj.")</f>
        <v>ven.</v>
      </c>
      <c r="JI34" s="235" t="str">
        <f>TEXT(JI33,"jjj.")</f>
        <v>sam.</v>
      </c>
      <c r="JJ34" s="236" t="s">
        <v>694</v>
      </c>
      <c r="JK34" s="265"/>
      <c r="JL34" s="237" t="str">
        <f>TEXT(JL33,"jjj.")</f>
        <v>mar.</v>
      </c>
      <c r="JM34" s="235" t="str">
        <f>TEXT(JM33,"jjj.")</f>
        <v>mer.</v>
      </c>
      <c r="JN34" s="235" t="str">
        <f>TEXT(JN33,"jjj.")</f>
        <v>jeu.</v>
      </c>
      <c r="JO34" s="235" t="str">
        <f>TEXT(JO33,"jjj.")</f>
        <v>ven.</v>
      </c>
      <c r="JP34" s="235" t="str">
        <f>TEXT(JP33,"jjj.")</f>
        <v>sam.</v>
      </c>
      <c r="JQ34" s="236" t="s">
        <v>694</v>
      </c>
      <c r="JR34" s="265"/>
      <c r="JS34" s="237" t="str">
        <f>TEXT(JS33,"jjj.")</f>
        <v>mar.</v>
      </c>
      <c r="JT34" s="235" t="str">
        <f>TEXT(JT33,"jjj.")</f>
        <v>mer.</v>
      </c>
      <c r="JU34" s="235" t="str">
        <f>TEXT(JU33,"jjj.")</f>
        <v>jeu.</v>
      </c>
      <c r="JV34" s="235" t="str">
        <f>TEXT(JV33,"jjj.")</f>
        <v>ven.</v>
      </c>
      <c r="JW34" s="235" t="str">
        <f>TEXT(JW33,"jjj.")</f>
        <v>sam.</v>
      </c>
      <c r="JX34" s="236" t="s">
        <v>694</v>
      </c>
      <c r="JY34" s="265"/>
      <c r="JZ34" s="237" t="str">
        <f>TEXT(JZ33,"jjj.")</f>
        <v>mar.</v>
      </c>
      <c r="KA34" s="235" t="str">
        <f>TEXT(KA33,"jjj.")</f>
        <v>mer.</v>
      </c>
      <c r="KB34" s="235" t="str">
        <f>TEXT(KB33,"jjj.")</f>
        <v>jeu.</v>
      </c>
      <c r="KC34" s="235" t="str">
        <f>TEXT(KC33,"jjj.")</f>
        <v>ven.</v>
      </c>
      <c r="KD34" s="235" t="str">
        <f>TEXT(KD33,"jjj.")</f>
        <v>sam.</v>
      </c>
      <c r="KE34" s="236" t="s">
        <v>694</v>
      </c>
      <c r="KF34" s="265"/>
      <c r="KG34" s="237" t="str">
        <f>TEXT(KG33,"jjj.")</f>
        <v>mar.</v>
      </c>
      <c r="KH34" s="235" t="str">
        <f>TEXT(KH33,"jjj.")</f>
        <v>mer.</v>
      </c>
      <c r="KI34" s="235" t="str">
        <f>TEXT(KI33,"jjj.")</f>
        <v>jeu.</v>
      </c>
      <c r="KJ34" s="235" t="str">
        <f>TEXT(KJ33,"jjj.")</f>
        <v>ven.</v>
      </c>
      <c r="KK34" s="235" t="str">
        <f>TEXT(KK33,"jjj.")</f>
        <v>sam.</v>
      </c>
      <c r="KL34" s="236" t="s">
        <v>694</v>
      </c>
      <c r="KM34" s="265"/>
      <c r="KN34" s="237" t="str">
        <f>TEXT(KN33,"jjj.")</f>
        <v>mar.</v>
      </c>
      <c r="KO34" s="235" t="str">
        <f>TEXT(KO33,"jjj.")</f>
        <v>mer.</v>
      </c>
      <c r="KP34" s="235" t="str">
        <f>TEXT(KP33,"jjj.")</f>
        <v>jeu.</v>
      </c>
      <c r="KQ34" s="235" t="str">
        <f>TEXT(KQ33,"jjj.")</f>
        <v>ven.</v>
      </c>
      <c r="KR34" s="235" t="str">
        <f>TEXT(KR33,"jjj.")</f>
        <v>sam.</v>
      </c>
      <c r="KS34" s="236" t="s">
        <v>694</v>
      </c>
      <c r="KT34" s="265"/>
      <c r="KU34" s="237" t="str">
        <f>TEXT(KU33,"jjj.")</f>
        <v>mar.</v>
      </c>
      <c r="KV34" s="235" t="str">
        <f>TEXT(KV33,"jjj.")</f>
        <v>mer.</v>
      </c>
      <c r="KW34" s="235" t="str">
        <f>TEXT(KW33,"jjj.")</f>
        <v>jeu.</v>
      </c>
      <c r="KX34" s="235" t="str">
        <f>TEXT(KX33,"jjj.")</f>
        <v>ven.</v>
      </c>
      <c r="KY34" s="235" t="str">
        <f>TEXT(KY33,"jjj.")</f>
        <v>sam.</v>
      </c>
      <c r="KZ34" s="236" t="s">
        <v>694</v>
      </c>
      <c r="LA34" s="265"/>
      <c r="LB34" s="237" t="str">
        <f>TEXT(LB33,"jjj.")</f>
        <v>mar.</v>
      </c>
      <c r="LC34" s="235" t="str">
        <f>TEXT(LC33,"jjj.")</f>
        <v>mer.</v>
      </c>
      <c r="LD34" s="235" t="str">
        <f>TEXT(LD33,"jjj.")</f>
        <v>jeu.</v>
      </c>
      <c r="LE34" s="235" t="str">
        <f>TEXT(LE33,"jjj.")</f>
        <v>ven.</v>
      </c>
      <c r="LF34" s="235" t="str">
        <f>TEXT(LF33,"jjj.")</f>
        <v>sam.</v>
      </c>
      <c r="LG34" s="236" t="s">
        <v>694</v>
      </c>
      <c r="LH34" s="265"/>
      <c r="LI34" s="237" t="str">
        <f>TEXT(LI33,"jjj.")</f>
        <v>mar.</v>
      </c>
      <c r="LJ34" s="235" t="str">
        <f>TEXT(LJ33,"jjj.")</f>
        <v>mer.</v>
      </c>
      <c r="LK34" s="235" t="str">
        <f>TEXT(LK33,"jjj.")</f>
        <v>jeu.</v>
      </c>
      <c r="LL34" s="235" t="str">
        <f>TEXT(LL33,"jjj.")</f>
        <v>ven.</v>
      </c>
      <c r="LM34" s="235" t="str">
        <f>TEXT(LM33,"jjj.")</f>
        <v>sam.</v>
      </c>
      <c r="LN34" s="236" t="s">
        <v>694</v>
      </c>
      <c r="LO34" s="265"/>
      <c r="LP34" s="237" t="str">
        <f>TEXT(LP33,"jjj.")</f>
        <v>mar.</v>
      </c>
      <c r="LQ34" s="235" t="str">
        <f>TEXT(LQ33,"jjj.")</f>
        <v>mer.</v>
      </c>
      <c r="LR34" s="235" t="str">
        <f>TEXT(LR33,"jjj.")</f>
        <v>jeu.</v>
      </c>
      <c r="LS34" s="235" t="str">
        <f>TEXT(LS33,"jjj.")</f>
        <v>ven.</v>
      </c>
      <c r="LT34" s="235" t="str">
        <f>TEXT(LT33,"jjj.")</f>
        <v>sam.</v>
      </c>
      <c r="LU34" s="236" t="s">
        <v>694</v>
      </c>
      <c r="LV34" s="265"/>
      <c r="LW34" s="237" t="str">
        <f>TEXT(LW33,"jjj.")</f>
        <v>mar.</v>
      </c>
      <c r="LX34" s="235" t="str">
        <f>TEXT(LX33,"jjj.")</f>
        <v>mer.</v>
      </c>
      <c r="LY34" s="235" t="str">
        <f>TEXT(LY33,"jjj.")</f>
        <v>jeu.</v>
      </c>
      <c r="LZ34" s="235" t="str">
        <f>TEXT(LZ33,"jjj.")</f>
        <v>ven.</v>
      </c>
      <c r="MA34" s="235" t="str">
        <f>TEXT(MA33,"jjj.")</f>
        <v>sam.</v>
      </c>
      <c r="MB34" s="236" t="s">
        <v>694</v>
      </c>
      <c r="MC34" s="265"/>
      <c r="MD34" s="237" t="str">
        <f>TEXT(MD33,"jjj.")</f>
        <v>mar.</v>
      </c>
      <c r="ME34" s="235" t="str">
        <f>TEXT(ME33,"jjj.")</f>
        <v>mer.</v>
      </c>
      <c r="MF34" s="235" t="str">
        <f>TEXT(MF33,"jjj.")</f>
        <v>jeu.</v>
      </c>
      <c r="MG34" s="235" t="str">
        <f>TEXT(MG33,"jjj.")</f>
        <v>ven.</v>
      </c>
      <c r="MH34" s="235" t="str">
        <f>TEXT(MH33,"jjj.")</f>
        <v>sam.</v>
      </c>
      <c r="MI34" s="236" t="s">
        <v>694</v>
      </c>
      <c r="MJ34" s="265"/>
      <c r="MK34" s="237" t="str">
        <f>TEXT(MK33,"jjj.")</f>
        <v>mar.</v>
      </c>
      <c r="ML34" s="235" t="str">
        <f>TEXT(ML33,"jjj.")</f>
        <v>mer.</v>
      </c>
      <c r="MM34" s="235" t="str">
        <f>TEXT(MM33,"jjj.")</f>
        <v>jeu.</v>
      </c>
      <c r="MN34" s="235" t="str">
        <f>TEXT(MN33,"jjj.")</f>
        <v>ven.</v>
      </c>
      <c r="MO34" s="235" t="str">
        <f>TEXT(MO33,"jjj.")</f>
        <v>sam.</v>
      </c>
      <c r="MP34" s="236" t="s">
        <v>694</v>
      </c>
      <c r="MQ34" s="265"/>
      <c r="MR34" s="237" t="str">
        <f>TEXT(MR33,"jjj.")</f>
        <v>mar.</v>
      </c>
      <c r="MS34" s="235" t="str">
        <f>TEXT(MS33,"jjj.")</f>
        <v>mer.</v>
      </c>
      <c r="MT34" s="235" t="str">
        <f>TEXT(MT33,"jjj.")</f>
        <v>jeu.</v>
      </c>
      <c r="MU34" s="235" t="str">
        <f>TEXT(MU33,"jjj.")</f>
        <v>ven.</v>
      </c>
      <c r="MV34" s="235" t="str">
        <f>TEXT(MV33,"jjj.")</f>
        <v>sam.</v>
      </c>
      <c r="MW34" s="236" t="s">
        <v>694</v>
      </c>
      <c r="MX34" s="265"/>
      <c r="MY34" s="237" t="str">
        <f>TEXT(MY33,"jjj.")</f>
        <v>mar.</v>
      </c>
      <c r="MZ34" s="235" t="str">
        <f>TEXT(MZ33,"jjj.")</f>
        <v>mer.</v>
      </c>
      <c r="NA34" s="235" t="str">
        <f>TEXT(NA33,"jjj.")</f>
        <v>jeu.</v>
      </c>
      <c r="NB34" s="235" t="str">
        <f>TEXT(NB33,"jjj.")</f>
        <v>ven.</v>
      </c>
      <c r="NC34" s="235" t="str">
        <f>TEXT(NC33,"jjj.")</f>
        <v>sam.</v>
      </c>
      <c r="ND34" s="236" t="s">
        <v>694</v>
      </c>
      <c r="NE34" s="265"/>
      <c r="NF34" s="237" t="str">
        <f>TEXT(NF33,"jjj.")</f>
        <v>mar.</v>
      </c>
      <c r="NG34" s="235" t="str">
        <f>TEXT(NG33,"jjj.")</f>
        <v>mer.</v>
      </c>
      <c r="NH34" s="235" t="str">
        <f>TEXT(NH33,"jjj.")</f>
        <v>jeu.</v>
      </c>
      <c r="NI34" s="235" t="str">
        <f>TEXT(NI33,"jjj.")</f>
        <v>ven.</v>
      </c>
      <c r="NJ34" s="235" t="str">
        <f>TEXT(NJ33,"jjj.")</f>
        <v>sam.</v>
      </c>
      <c r="NK34" s="236" t="s">
        <v>694</v>
      </c>
      <c r="NL34" s="265"/>
      <c r="NM34" s="237" t="str">
        <f>TEXT(NM33,"jjj.")</f>
        <v>mar.</v>
      </c>
      <c r="NN34" s="235" t="str">
        <f>TEXT(NN33,"jjj.")</f>
        <v>mer.</v>
      </c>
      <c r="NO34" s="235" t="str">
        <f>TEXT(NO33,"jjj.")</f>
        <v>jeu.</v>
      </c>
      <c r="NP34" s="235" t="str">
        <f>TEXT(NP33,"jjj.")</f>
        <v>ven.</v>
      </c>
      <c r="NQ34" s="235" t="str">
        <f>TEXT(NQ33,"jjj.")</f>
        <v>sam.</v>
      </c>
      <c r="NR34" s="236" t="s">
        <v>694</v>
      </c>
      <c r="NS34" s="283"/>
    </row>
    <row r="35" spans="1:383" s="196" customFormat="1" ht="16.05" customHeight="1" x14ac:dyDescent="0.3">
      <c r="A35" s="294"/>
      <c r="B35" s="284" t="s">
        <v>386</v>
      </c>
      <c r="C35" s="285" t="s">
        <v>415</v>
      </c>
      <c r="D35" s="338"/>
      <c r="E35"/>
      <c r="F35" s="279">
        <v>9</v>
      </c>
      <c r="G35" s="280">
        <v>9</v>
      </c>
      <c r="H35" s="280"/>
      <c r="I35" s="280">
        <v>9</v>
      </c>
      <c r="J35" s="280">
        <v>9</v>
      </c>
      <c r="K35" s="302">
        <f>SUM(F35:J35)</f>
        <v>36</v>
      </c>
      <c r="L35" s="265"/>
      <c r="M35" s="279"/>
      <c r="N35" s="280"/>
      <c r="O35" s="280"/>
      <c r="P35" s="280"/>
      <c r="Q35" s="280"/>
      <c r="R35" s="302">
        <f>SUM(M35:Q35)</f>
        <v>0</v>
      </c>
      <c r="S35" s="265"/>
      <c r="T35" s="279">
        <v>12</v>
      </c>
      <c r="U35" s="280">
        <v>12</v>
      </c>
      <c r="V35" s="280">
        <v>12</v>
      </c>
      <c r="W35" s="280">
        <v>12</v>
      </c>
      <c r="X35" s="280">
        <v>12</v>
      </c>
      <c r="Y35" s="302">
        <f>SUM(T35:X35)</f>
        <v>60</v>
      </c>
      <c r="Z35" s="265"/>
      <c r="AA35" s="279">
        <v>12</v>
      </c>
      <c r="AB35" s="280">
        <v>12</v>
      </c>
      <c r="AC35" s="280">
        <v>12</v>
      </c>
      <c r="AD35" s="280">
        <v>12</v>
      </c>
      <c r="AE35" s="280">
        <v>12</v>
      </c>
      <c r="AF35" s="302">
        <f>SUM(AA35:AE35)</f>
        <v>60</v>
      </c>
      <c r="AG35" s="265"/>
      <c r="AH35" s="279">
        <v>12</v>
      </c>
      <c r="AI35" s="280">
        <v>12</v>
      </c>
      <c r="AJ35" s="280">
        <v>12</v>
      </c>
      <c r="AK35" s="280">
        <v>12</v>
      </c>
      <c r="AL35" s="280">
        <v>12</v>
      </c>
      <c r="AM35" s="302">
        <f>SUM(AH35:AL35)</f>
        <v>60</v>
      </c>
      <c r="AN35" s="265"/>
      <c r="AO35" s="279"/>
      <c r="AP35" s="280"/>
      <c r="AQ35" s="280"/>
      <c r="AR35" s="280"/>
      <c r="AS35" s="280"/>
      <c r="AT35" s="302">
        <f>SUM(AO35:AS35)</f>
        <v>0</v>
      </c>
      <c r="AU35" s="265"/>
      <c r="AV35" s="279"/>
      <c r="AW35" s="280"/>
      <c r="AX35" s="280"/>
      <c r="AY35" s="280"/>
      <c r="AZ35" s="280"/>
      <c r="BA35" s="302">
        <f>SUM(AV35:AZ35)</f>
        <v>0</v>
      </c>
      <c r="BB35" s="265"/>
      <c r="BC35" s="279"/>
      <c r="BD35" s="280"/>
      <c r="BE35" s="280"/>
      <c r="BF35" s="280"/>
      <c r="BG35" s="280"/>
      <c r="BH35" s="302">
        <f>SUM(BC35:BG35)</f>
        <v>0</v>
      </c>
      <c r="BI35" s="265"/>
      <c r="BJ35" s="279"/>
      <c r="BK35" s="280"/>
      <c r="BL35" s="280"/>
      <c r="BM35" s="280"/>
      <c r="BN35" s="280"/>
      <c r="BO35" s="302">
        <f>SUM(BJ35:BN35)</f>
        <v>0</v>
      </c>
      <c r="BP35" s="265"/>
      <c r="BQ35" s="279"/>
      <c r="BR35" s="280"/>
      <c r="BS35" s="280"/>
      <c r="BT35" s="280"/>
      <c r="BU35" s="280"/>
      <c r="BV35" s="302">
        <f>SUM(BQ35:BU35)</f>
        <v>0</v>
      </c>
      <c r="BW35" s="265"/>
      <c r="BX35" s="279"/>
      <c r="BY35" s="280"/>
      <c r="BZ35" s="280"/>
      <c r="CA35" s="280"/>
      <c r="CB35" s="280"/>
      <c r="CC35" s="302">
        <f>SUM(BX35:CB35)</f>
        <v>0</v>
      </c>
      <c r="CD35" s="265"/>
      <c r="CE35" s="279"/>
      <c r="CF35" s="280"/>
      <c r="CG35" s="280"/>
      <c r="CH35" s="280"/>
      <c r="CI35" s="280"/>
      <c r="CJ35" s="302">
        <f>SUM(CE35:CI35)</f>
        <v>0</v>
      </c>
      <c r="CK35" s="265"/>
      <c r="CL35" s="279"/>
      <c r="CM35" s="280"/>
      <c r="CN35" s="280"/>
      <c r="CO35" s="280"/>
      <c r="CP35" s="280"/>
      <c r="CQ35" s="302">
        <f>SUM(CL35:CP35)</f>
        <v>0</v>
      </c>
      <c r="CR35" s="265"/>
      <c r="CS35" s="279"/>
      <c r="CT35" s="280"/>
      <c r="CU35" s="280"/>
      <c r="CV35" s="280"/>
      <c r="CW35" s="280"/>
      <c r="CX35" s="302">
        <f>SUM(CS35:CW35)</f>
        <v>0</v>
      </c>
      <c r="CY35" s="265"/>
      <c r="CZ35" s="279"/>
      <c r="DA35" s="280"/>
      <c r="DB35" s="280"/>
      <c r="DC35" s="280"/>
      <c r="DD35" s="280"/>
      <c r="DE35" s="302">
        <f>SUM(CZ35:DD35)</f>
        <v>0</v>
      </c>
      <c r="DF35" s="265"/>
      <c r="DG35" s="279"/>
      <c r="DH35" s="280"/>
      <c r="DI35" s="280"/>
      <c r="DJ35" s="280"/>
      <c r="DK35" s="280"/>
      <c r="DL35" s="302">
        <f>SUM(DG35:DK35)</f>
        <v>0</v>
      </c>
      <c r="DM35" s="265"/>
      <c r="DN35" s="279"/>
      <c r="DO35" s="280"/>
      <c r="DP35" s="280"/>
      <c r="DQ35" s="280"/>
      <c r="DR35" s="280"/>
      <c r="DS35" s="302">
        <f>SUM(DN35:DR35)</f>
        <v>0</v>
      </c>
      <c r="DT35" s="265"/>
      <c r="DU35" s="279"/>
      <c r="DV35" s="280"/>
      <c r="DW35" s="280"/>
      <c r="DX35" s="280"/>
      <c r="DY35" s="280"/>
      <c r="DZ35" s="302">
        <f>SUM(DU35:DY35)</f>
        <v>0</v>
      </c>
      <c r="EA35" s="265"/>
      <c r="EB35" s="279"/>
      <c r="EC35" s="280"/>
      <c r="ED35" s="280"/>
      <c r="EE35" s="280"/>
      <c r="EF35" s="280"/>
      <c r="EG35" s="302">
        <f>SUM(EB35:EF35)</f>
        <v>0</v>
      </c>
      <c r="EH35" s="265"/>
      <c r="EI35" s="279"/>
      <c r="EJ35" s="280"/>
      <c r="EK35" s="280"/>
      <c r="EL35" s="280"/>
      <c r="EM35" s="280"/>
      <c r="EN35" s="302">
        <f>SUM(EI35:EM35)</f>
        <v>0</v>
      </c>
      <c r="EO35" s="265"/>
      <c r="EP35" s="279"/>
      <c r="EQ35" s="280"/>
      <c r="ER35" s="280"/>
      <c r="ES35" s="280"/>
      <c r="ET35" s="280"/>
      <c r="EU35" s="302">
        <f>SUM(EP35:ET35)</f>
        <v>0</v>
      </c>
      <c r="EV35" s="265"/>
      <c r="EW35" s="279"/>
      <c r="EX35" s="280"/>
      <c r="EY35" s="280"/>
      <c r="EZ35" s="280"/>
      <c r="FA35" s="280"/>
      <c r="FB35" s="302">
        <f>SUM(EW35:FA35)</f>
        <v>0</v>
      </c>
      <c r="FC35" s="265"/>
      <c r="FD35" s="279"/>
      <c r="FE35" s="280"/>
      <c r="FF35" s="280"/>
      <c r="FG35" s="280"/>
      <c r="FH35" s="280"/>
      <c r="FI35" s="302">
        <f>SUM(FD35:FH35)</f>
        <v>0</v>
      </c>
      <c r="FJ35" s="265"/>
      <c r="FK35" s="279"/>
      <c r="FL35" s="280"/>
      <c r="FM35" s="280"/>
      <c r="FN35" s="280"/>
      <c r="FO35" s="280"/>
      <c r="FP35" s="302">
        <f>SUM(FK35:FO35)</f>
        <v>0</v>
      </c>
      <c r="FQ35" s="265"/>
      <c r="FR35" s="279"/>
      <c r="FS35" s="280"/>
      <c r="FT35" s="280"/>
      <c r="FU35" s="280"/>
      <c r="FV35" s="280"/>
      <c r="FW35" s="302">
        <f>SUM(FR35:FV35)</f>
        <v>0</v>
      </c>
      <c r="FX35" s="265"/>
      <c r="FY35" s="279"/>
      <c r="FZ35" s="280"/>
      <c r="GA35" s="280"/>
      <c r="GB35" s="280"/>
      <c r="GC35" s="280"/>
      <c r="GD35" s="302">
        <f>SUM(FY35:GC35)</f>
        <v>0</v>
      </c>
      <c r="GE35" s="265"/>
      <c r="GF35" s="279"/>
      <c r="GG35" s="280"/>
      <c r="GH35" s="280"/>
      <c r="GI35" s="280"/>
      <c r="GJ35" s="280"/>
      <c r="GK35" s="302">
        <f>SUM(GF35:GJ35)</f>
        <v>0</v>
      </c>
      <c r="GL35" s="265"/>
      <c r="GM35" s="279"/>
      <c r="GN35" s="280"/>
      <c r="GO35" s="280"/>
      <c r="GP35" s="280"/>
      <c r="GQ35" s="280"/>
      <c r="GR35" s="302">
        <f>SUM(GM35:GQ35)</f>
        <v>0</v>
      </c>
      <c r="GS35" s="265"/>
      <c r="GT35" s="279"/>
      <c r="GU35" s="280"/>
      <c r="GV35" s="280"/>
      <c r="GW35" s="280"/>
      <c r="GX35" s="280"/>
      <c r="GY35" s="302">
        <f>SUM(GT35:GX35)</f>
        <v>0</v>
      </c>
      <c r="GZ35" s="283"/>
      <c r="HA35" s="370"/>
      <c r="HB35" s="371"/>
      <c r="HC35" s="371"/>
      <c r="HD35" s="371"/>
      <c r="HE35" s="371"/>
      <c r="HF35" s="302">
        <f>SUM(HA35:HE35)</f>
        <v>0</v>
      </c>
      <c r="HG35" s="265"/>
      <c r="HH35" s="370"/>
      <c r="HI35" s="371"/>
      <c r="HJ35" s="371"/>
      <c r="HK35" s="371"/>
      <c r="HL35" s="371"/>
      <c r="HM35" s="302">
        <f>SUM(HH35:HL35)</f>
        <v>0</v>
      </c>
      <c r="HN35" s="265"/>
      <c r="HO35" s="370"/>
      <c r="HP35" s="371"/>
      <c r="HQ35" s="371"/>
      <c r="HR35" s="371"/>
      <c r="HS35" s="371"/>
      <c r="HT35" s="302">
        <f>SUM(HO35:HS35)</f>
        <v>0</v>
      </c>
      <c r="HU35" s="265"/>
      <c r="HV35" s="370"/>
      <c r="HW35" s="371"/>
      <c r="HX35" s="371"/>
      <c r="HY35" s="371"/>
      <c r="HZ35" s="371"/>
      <c r="IA35" s="302">
        <f>SUM(HV35:HZ35)</f>
        <v>0</v>
      </c>
      <c r="IB35" s="265"/>
      <c r="IC35" s="370"/>
      <c r="ID35" s="371"/>
      <c r="IE35" s="371"/>
      <c r="IF35" s="371"/>
      <c r="IG35" s="371"/>
      <c r="IH35" s="302">
        <f>SUM(IC35:IG35)</f>
        <v>0</v>
      </c>
      <c r="II35" s="265"/>
      <c r="IJ35" s="370"/>
      <c r="IK35" s="371"/>
      <c r="IL35" s="371"/>
      <c r="IM35" s="371"/>
      <c r="IN35" s="371"/>
      <c r="IO35" s="302">
        <f>SUM(IJ35:IN35)</f>
        <v>0</v>
      </c>
      <c r="IP35" s="265"/>
      <c r="IQ35" s="370"/>
      <c r="IR35" s="371"/>
      <c r="IS35" s="371"/>
      <c r="IT35" s="371"/>
      <c r="IU35" s="371"/>
      <c r="IV35" s="302">
        <f>SUM(IQ35:IU35)</f>
        <v>0</v>
      </c>
      <c r="IW35" s="265"/>
      <c r="IX35" s="370"/>
      <c r="IY35" s="371"/>
      <c r="IZ35" s="371"/>
      <c r="JA35" s="371"/>
      <c r="JB35" s="371"/>
      <c r="JC35" s="302">
        <f>SUM(IX35:JB35)</f>
        <v>0</v>
      </c>
      <c r="JD35" s="265"/>
      <c r="JE35" s="370"/>
      <c r="JF35" s="371"/>
      <c r="JG35" s="371"/>
      <c r="JH35" s="371"/>
      <c r="JI35" s="371"/>
      <c r="JJ35" s="302">
        <f>SUM(JE35:JI35)</f>
        <v>0</v>
      </c>
      <c r="JK35" s="265"/>
      <c r="JL35" s="370"/>
      <c r="JM35" s="371"/>
      <c r="JN35" s="371"/>
      <c r="JO35" s="371"/>
      <c r="JP35" s="371"/>
      <c r="JQ35" s="302">
        <f>SUM(JL35:JP35)</f>
        <v>0</v>
      </c>
      <c r="JR35" s="265"/>
      <c r="JS35" s="370"/>
      <c r="JT35" s="371"/>
      <c r="JU35" s="371"/>
      <c r="JV35" s="371"/>
      <c r="JW35" s="371"/>
      <c r="JX35" s="302">
        <f>SUM(JS35:JW35)</f>
        <v>0</v>
      </c>
      <c r="JY35" s="265"/>
      <c r="JZ35" s="370"/>
      <c r="KA35" s="371"/>
      <c r="KB35" s="371"/>
      <c r="KC35" s="371"/>
      <c r="KD35" s="371"/>
      <c r="KE35" s="302">
        <f>SUM(JZ35:KD35)</f>
        <v>0</v>
      </c>
      <c r="KF35" s="265"/>
      <c r="KG35" s="370"/>
      <c r="KH35" s="371"/>
      <c r="KI35" s="371"/>
      <c r="KJ35" s="371"/>
      <c r="KK35" s="371"/>
      <c r="KL35" s="302">
        <f>SUM(KG35:KK35)</f>
        <v>0</v>
      </c>
      <c r="KM35" s="265"/>
      <c r="KN35" s="370"/>
      <c r="KO35" s="371"/>
      <c r="KP35" s="371"/>
      <c r="KQ35" s="371"/>
      <c r="KR35" s="371"/>
      <c r="KS35" s="302">
        <f>SUM(KN35:KR35)</f>
        <v>0</v>
      </c>
      <c r="KT35" s="265"/>
      <c r="KU35" s="370"/>
      <c r="KV35" s="371"/>
      <c r="KW35" s="371"/>
      <c r="KX35" s="371"/>
      <c r="KY35" s="371"/>
      <c r="KZ35" s="302">
        <f>SUM(KU35:KY35)</f>
        <v>0</v>
      </c>
      <c r="LA35" s="265"/>
      <c r="LB35" s="370"/>
      <c r="LC35" s="371"/>
      <c r="LD35" s="371"/>
      <c r="LE35" s="371"/>
      <c r="LF35" s="371"/>
      <c r="LG35" s="302">
        <f>SUM(LB35:LF35)</f>
        <v>0</v>
      </c>
      <c r="LH35" s="265"/>
      <c r="LI35" s="370"/>
      <c r="LJ35" s="371"/>
      <c r="LK35" s="371"/>
      <c r="LL35" s="371"/>
      <c r="LM35" s="371"/>
      <c r="LN35" s="302">
        <f>SUM(LI35:LM35)</f>
        <v>0</v>
      </c>
      <c r="LO35" s="265"/>
      <c r="LP35" s="370"/>
      <c r="LQ35" s="371"/>
      <c r="LR35" s="371"/>
      <c r="LS35" s="371"/>
      <c r="LT35" s="371"/>
      <c r="LU35" s="302">
        <f>SUM(LP35:LT35)</f>
        <v>0</v>
      </c>
      <c r="LV35" s="265"/>
      <c r="LW35" s="370"/>
      <c r="LX35" s="371"/>
      <c r="LY35" s="371"/>
      <c r="LZ35" s="371"/>
      <c r="MA35" s="371"/>
      <c r="MB35" s="302">
        <f>SUM(LW35:MA35)</f>
        <v>0</v>
      </c>
      <c r="MC35" s="265"/>
      <c r="MD35" s="370"/>
      <c r="ME35" s="371"/>
      <c r="MF35" s="371"/>
      <c r="MG35" s="371"/>
      <c r="MH35" s="371"/>
      <c r="MI35" s="302">
        <f>SUM(MD35:MH35)</f>
        <v>0</v>
      </c>
      <c r="MJ35" s="265"/>
      <c r="MK35" s="370"/>
      <c r="ML35" s="371"/>
      <c r="MM35" s="371"/>
      <c r="MN35" s="371"/>
      <c r="MO35" s="371"/>
      <c r="MP35" s="302">
        <f>SUM(MK35:MO35)</f>
        <v>0</v>
      </c>
      <c r="MQ35" s="265"/>
      <c r="MR35" s="370"/>
      <c r="MS35" s="371"/>
      <c r="MT35" s="371"/>
      <c r="MU35" s="371"/>
      <c r="MV35" s="371"/>
      <c r="MW35" s="302">
        <f>SUM(MR35:MV35)</f>
        <v>0</v>
      </c>
      <c r="MX35" s="265"/>
      <c r="MY35" s="370"/>
      <c r="MZ35" s="371"/>
      <c r="NA35" s="371"/>
      <c r="NB35" s="371"/>
      <c r="NC35" s="371"/>
      <c r="ND35" s="302">
        <f>SUM(MY35:NC35)</f>
        <v>0</v>
      </c>
      <c r="NE35" s="265"/>
      <c r="NF35" s="370"/>
      <c r="NG35" s="371"/>
      <c r="NH35" s="371"/>
      <c r="NI35" s="371"/>
      <c r="NJ35" s="371"/>
      <c r="NK35" s="302">
        <f>SUM(NF35:NJ35)</f>
        <v>0</v>
      </c>
      <c r="NL35" s="265"/>
      <c r="NM35" s="370"/>
      <c r="NN35" s="371"/>
      <c r="NO35" s="371"/>
      <c r="NP35" s="371"/>
      <c r="NQ35" s="371"/>
      <c r="NR35" s="302">
        <f>SUM(NM35:NQ35)</f>
        <v>0</v>
      </c>
      <c r="NS35" s="283"/>
    </row>
    <row r="36" spans="1:383" s="196" customFormat="1" ht="16.05" customHeight="1" x14ac:dyDescent="0.3">
      <c r="A36" s="294"/>
      <c r="B36" s="282"/>
      <c r="C36" s="286" t="s">
        <v>416</v>
      </c>
      <c r="D36" s="306"/>
      <c r="E36"/>
      <c r="F36" s="227">
        <f>'Pilotage effectif 27O'!I44</f>
        <v>7</v>
      </c>
      <c r="G36" s="228">
        <f>'Pilotage effectif 27O'!J44</f>
        <v>7</v>
      </c>
      <c r="H36" s="228">
        <f>'Pilotage effectif 27O'!K44</f>
        <v>0</v>
      </c>
      <c r="I36" s="228">
        <f>'Pilotage effectif 27O'!L44</f>
        <v>7</v>
      </c>
      <c r="J36" s="228">
        <f>'Pilotage effectif 27O'!M44</f>
        <v>7</v>
      </c>
      <c r="K36" s="303">
        <f>'Pilotage effectif 27O'!N44</f>
        <v>28</v>
      </c>
      <c r="L36" s="265"/>
      <c r="M36" s="227">
        <f>'Pilotage effectif 27O'!P44</f>
        <v>0</v>
      </c>
      <c r="N36" s="228">
        <f>'Pilotage effectif 27O'!Q44</f>
        <v>0</v>
      </c>
      <c r="O36" s="228">
        <f>'Pilotage effectif 27O'!R44</f>
        <v>0</v>
      </c>
      <c r="P36" s="228">
        <f>'Pilotage effectif 27O'!S44</f>
        <v>0</v>
      </c>
      <c r="Q36" s="228">
        <f>'Pilotage effectif 27O'!T44</f>
        <v>0</v>
      </c>
      <c r="R36" s="303">
        <f>'Pilotage effectif 27O'!U44</f>
        <v>0</v>
      </c>
      <c r="S36" s="265"/>
      <c r="T36" s="227">
        <f>'Pilotage effectif 27O'!W44</f>
        <v>0</v>
      </c>
      <c r="U36" s="228">
        <f>'Pilotage effectif 27O'!X44</f>
        <v>0</v>
      </c>
      <c r="V36" s="228">
        <f>'Pilotage effectif 27O'!Y44</f>
        <v>0</v>
      </c>
      <c r="W36" s="228">
        <f>'Pilotage effectif 27O'!Z44</f>
        <v>0</v>
      </c>
      <c r="X36" s="228">
        <f>'Pilotage effectif 27O'!AA44</f>
        <v>0</v>
      </c>
      <c r="Y36" s="303">
        <f>'Pilotage effectif 27O'!AB44</f>
        <v>0</v>
      </c>
      <c r="Z36" s="265"/>
      <c r="AA36" s="227">
        <f>'Pilotage effectif 27O'!AD44</f>
        <v>0</v>
      </c>
      <c r="AB36" s="228">
        <f>'Pilotage effectif 27O'!AE44</f>
        <v>0</v>
      </c>
      <c r="AC36" s="228">
        <f>'Pilotage effectif 27O'!AF44</f>
        <v>0</v>
      </c>
      <c r="AD36" s="228">
        <f>'Pilotage effectif 27O'!AG44</f>
        <v>0</v>
      </c>
      <c r="AE36" s="228">
        <f>'Pilotage effectif 27O'!AH44</f>
        <v>0</v>
      </c>
      <c r="AF36" s="303">
        <f>'Pilotage effectif 27O'!AI44</f>
        <v>0</v>
      </c>
      <c r="AG36" s="265"/>
      <c r="AH36" s="227">
        <f>'Pilotage effectif 27O'!AK44</f>
        <v>0</v>
      </c>
      <c r="AI36" s="228">
        <f>'Pilotage effectif 27O'!AL44</f>
        <v>0</v>
      </c>
      <c r="AJ36" s="228">
        <f>'Pilotage effectif 27O'!AM44</f>
        <v>0</v>
      </c>
      <c r="AK36" s="228">
        <f>'Pilotage effectif 27O'!AN44</f>
        <v>0</v>
      </c>
      <c r="AL36" s="228">
        <f>'Pilotage effectif 27O'!AO44</f>
        <v>0</v>
      </c>
      <c r="AM36" s="303">
        <f>'Pilotage effectif 27O'!AP44</f>
        <v>0</v>
      </c>
      <c r="AN36" s="265"/>
      <c r="AO36" s="227">
        <f>'Pilotage effectif 27O'!AR44</f>
        <v>0</v>
      </c>
      <c r="AP36" s="228">
        <f>'Pilotage effectif 27O'!AS44</f>
        <v>0</v>
      </c>
      <c r="AQ36" s="228">
        <f>'Pilotage effectif 27O'!AT44</f>
        <v>0</v>
      </c>
      <c r="AR36" s="228">
        <f>'Pilotage effectif 27O'!AU44</f>
        <v>0</v>
      </c>
      <c r="AS36" s="228">
        <f>'Pilotage effectif 27O'!AV44</f>
        <v>0</v>
      </c>
      <c r="AT36" s="303">
        <f>'Pilotage effectif 27O'!AW44</f>
        <v>0</v>
      </c>
      <c r="AU36" s="265"/>
      <c r="AV36" s="227">
        <f>'Pilotage effectif 27O'!AY44</f>
        <v>0</v>
      </c>
      <c r="AW36" s="228">
        <f>'Pilotage effectif 27O'!AZ44</f>
        <v>0</v>
      </c>
      <c r="AX36" s="228">
        <f>'Pilotage effectif 27O'!BA44</f>
        <v>0</v>
      </c>
      <c r="AY36" s="228">
        <f>'Pilotage effectif 27O'!BB44</f>
        <v>0</v>
      </c>
      <c r="AZ36" s="228">
        <f>'Pilotage effectif 27O'!BC44</f>
        <v>0</v>
      </c>
      <c r="BA36" s="303">
        <f>'Pilotage effectif 27O'!BD44</f>
        <v>0</v>
      </c>
      <c r="BB36" s="265"/>
      <c r="BC36" s="227">
        <f>'Pilotage effectif 27O'!BF44</f>
        <v>0</v>
      </c>
      <c r="BD36" s="228">
        <f>'Pilotage effectif 27O'!BG44</f>
        <v>0</v>
      </c>
      <c r="BE36" s="228">
        <f>'Pilotage effectif 27O'!BH44</f>
        <v>0</v>
      </c>
      <c r="BF36" s="228">
        <f>'Pilotage effectif 27O'!BI44</f>
        <v>0</v>
      </c>
      <c r="BG36" s="228">
        <f>'Pilotage effectif 27O'!BJ44</f>
        <v>0</v>
      </c>
      <c r="BH36" s="303">
        <f>'Pilotage effectif 27O'!BK44</f>
        <v>0</v>
      </c>
      <c r="BI36" s="265"/>
      <c r="BJ36" s="227">
        <f>'Pilotage effectif 27O'!BM44</f>
        <v>0</v>
      </c>
      <c r="BK36" s="228">
        <f>'Pilotage effectif 27O'!BN44</f>
        <v>0</v>
      </c>
      <c r="BL36" s="228">
        <f>'Pilotage effectif 27O'!BO44</f>
        <v>0</v>
      </c>
      <c r="BM36" s="228">
        <f>'Pilotage effectif 27O'!BP44</f>
        <v>0</v>
      </c>
      <c r="BN36" s="228">
        <f>'Pilotage effectif 27O'!BQ44</f>
        <v>0</v>
      </c>
      <c r="BO36" s="303">
        <f>'Pilotage effectif 27O'!BR44</f>
        <v>0</v>
      </c>
      <c r="BP36" s="265"/>
      <c r="BQ36" s="227">
        <f>'Pilotage effectif 27O'!BT44</f>
        <v>0</v>
      </c>
      <c r="BR36" s="228">
        <f>'Pilotage effectif 27O'!BU44</f>
        <v>0</v>
      </c>
      <c r="BS36" s="228">
        <f>'Pilotage effectif 27O'!BV44</f>
        <v>0</v>
      </c>
      <c r="BT36" s="228">
        <f>'Pilotage effectif 27O'!BW44</f>
        <v>0</v>
      </c>
      <c r="BU36" s="228">
        <f>'Pilotage effectif 27O'!BX44</f>
        <v>0</v>
      </c>
      <c r="BV36" s="303">
        <f>'Pilotage effectif 27O'!BY44</f>
        <v>0</v>
      </c>
      <c r="BW36" s="265"/>
      <c r="BX36" s="227">
        <f>'Pilotage effectif 27O'!CA44</f>
        <v>0</v>
      </c>
      <c r="BY36" s="228">
        <f>'Pilotage effectif 27O'!CB44</f>
        <v>0</v>
      </c>
      <c r="BZ36" s="228">
        <f>'Pilotage effectif 27O'!CC44</f>
        <v>0</v>
      </c>
      <c r="CA36" s="228">
        <f>'Pilotage effectif 27O'!CD44</f>
        <v>0</v>
      </c>
      <c r="CB36" s="228">
        <f>'Pilotage effectif 27O'!CE44</f>
        <v>0</v>
      </c>
      <c r="CC36" s="303">
        <f>'Pilotage effectif 27O'!CF44</f>
        <v>0</v>
      </c>
      <c r="CD36" s="265"/>
      <c r="CE36" s="227">
        <f>'Pilotage effectif 27O'!CH44</f>
        <v>0</v>
      </c>
      <c r="CF36" s="228">
        <f>'Pilotage effectif 27O'!CI44</f>
        <v>0</v>
      </c>
      <c r="CG36" s="228">
        <f>'Pilotage effectif 27O'!CJ44</f>
        <v>0</v>
      </c>
      <c r="CH36" s="228">
        <f>'Pilotage effectif 27O'!CK44</f>
        <v>0</v>
      </c>
      <c r="CI36" s="228">
        <f>'Pilotage effectif 27O'!CL44</f>
        <v>0</v>
      </c>
      <c r="CJ36" s="303">
        <f>'Pilotage effectif 27O'!CM44</f>
        <v>0</v>
      </c>
      <c r="CK36" s="265"/>
      <c r="CL36" s="227">
        <f>'Pilotage effectif 27O'!CO44</f>
        <v>0</v>
      </c>
      <c r="CM36" s="228">
        <f>'Pilotage effectif 27O'!CP44</f>
        <v>0</v>
      </c>
      <c r="CN36" s="228">
        <f>'Pilotage effectif 27O'!CQ44</f>
        <v>0</v>
      </c>
      <c r="CO36" s="228">
        <f>'Pilotage effectif 27O'!CR44</f>
        <v>0</v>
      </c>
      <c r="CP36" s="228">
        <f>'Pilotage effectif 27O'!CS44</f>
        <v>0</v>
      </c>
      <c r="CQ36" s="303">
        <f>'Pilotage effectif 27O'!CT44</f>
        <v>0</v>
      </c>
      <c r="CR36" s="265"/>
      <c r="CS36" s="227">
        <f>'Pilotage effectif 27O'!CV44</f>
        <v>0</v>
      </c>
      <c r="CT36" s="228">
        <f>'Pilotage effectif 27O'!CW44</f>
        <v>0</v>
      </c>
      <c r="CU36" s="228">
        <f>'Pilotage effectif 27O'!CX44</f>
        <v>0</v>
      </c>
      <c r="CV36" s="228">
        <f>'Pilotage effectif 27O'!CY44</f>
        <v>0</v>
      </c>
      <c r="CW36" s="228">
        <f>'Pilotage effectif 27O'!CZ44</f>
        <v>0</v>
      </c>
      <c r="CX36" s="303">
        <f>'Pilotage effectif 27O'!DA44</f>
        <v>0</v>
      </c>
      <c r="CY36" s="265"/>
      <c r="CZ36" s="227">
        <f>'Pilotage effectif 27O'!DC44</f>
        <v>0</v>
      </c>
      <c r="DA36" s="228">
        <f>'Pilotage effectif 27O'!DD44</f>
        <v>0</v>
      </c>
      <c r="DB36" s="228">
        <f>'Pilotage effectif 27O'!DE44</f>
        <v>0</v>
      </c>
      <c r="DC36" s="228">
        <f>'Pilotage effectif 27O'!DF44</f>
        <v>0</v>
      </c>
      <c r="DD36" s="228">
        <f>'Pilotage effectif 27O'!DG44</f>
        <v>0</v>
      </c>
      <c r="DE36" s="303">
        <f>'Pilotage effectif 27O'!DH44</f>
        <v>0</v>
      </c>
      <c r="DF36" s="265"/>
      <c r="DG36" s="227">
        <f>'Pilotage effectif 27O'!DJ44</f>
        <v>0</v>
      </c>
      <c r="DH36" s="228">
        <f>'Pilotage effectif 27O'!DK44</f>
        <v>0</v>
      </c>
      <c r="DI36" s="228">
        <f>'Pilotage effectif 27O'!DL44</f>
        <v>0</v>
      </c>
      <c r="DJ36" s="228">
        <f>'Pilotage effectif 27O'!DM44</f>
        <v>0</v>
      </c>
      <c r="DK36" s="228">
        <f>'Pilotage effectif 27O'!DN44</f>
        <v>0</v>
      </c>
      <c r="DL36" s="303">
        <f>'Pilotage effectif 27O'!DO44</f>
        <v>0</v>
      </c>
      <c r="DM36" s="265"/>
      <c r="DN36" s="227">
        <f>'Pilotage effectif 27O'!DQ44</f>
        <v>0</v>
      </c>
      <c r="DO36" s="228">
        <f>'Pilotage effectif 27O'!DR44</f>
        <v>0</v>
      </c>
      <c r="DP36" s="228">
        <f>'Pilotage effectif 27O'!DS44</f>
        <v>0</v>
      </c>
      <c r="DQ36" s="228">
        <f>'Pilotage effectif 27O'!DT44</f>
        <v>0</v>
      </c>
      <c r="DR36" s="228">
        <f>'Pilotage effectif 27O'!DU44</f>
        <v>0</v>
      </c>
      <c r="DS36" s="303">
        <f>'Pilotage effectif 27O'!DV44</f>
        <v>0</v>
      </c>
      <c r="DT36" s="265"/>
      <c r="DU36" s="227">
        <f>'Pilotage effectif 27O'!DX44</f>
        <v>0</v>
      </c>
      <c r="DV36" s="228">
        <f>'Pilotage effectif 27O'!DY44</f>
        <v>0</v>
      </c>
      <c r="DW36" s="228">
        <f>'Pilotage effectif 27O'!DZ44</f>
        <v>0</v>
      </c>
      <c r="DX36" s="228">
        <f>'Pilotage effectif 27O'!EA44</f>
        <v>0</v>
      </c>
      <c r="DY36" s="228">
        <f>'Pilotage effectif 27O'!EB44</f>
        <v>0</v>
      </c>
      <c r="DZ36" s="303">
        <f>'Pilotage effectif 27O'!EC44</f>
        <v>0</v>
      </c>
      <c r="EA36" s="265"/>
      <c r="EB36" s="227">
        <f>'Pilotage effectif 27O'!EE44</f>
        <v>0</v>
      </c>
      <c r="EC36" s="228">
        <f>'Pilotage effectif 27O'!EF44</f>
        <v>0</v>
      </c>
      <c r="ED36" s="228">
        <f>'Pilotage effectif 27O'!EG44</f>
        <v>0</v>
      </c>
      <c r="EE36" s="228">
        <f>'Pilotage effectif 27O'!EH44</f>
        <v>0</v>
      </c>
      <c r="EF36" s="228">
        <f>'Pilotage effectif 27O'!EI44</f>
        <v>0</v>
      </c>
      <c r="EG36" s="303">
        <f>'Pilotage effectif 27O'!EJ44</f>
        <v>0</v>
      </c>
      <c r="EH36" s="265"/>
      <c r="EI36" s="227">
        <f>'Pilotage effectif 27O'!EL44</f>
        <v>0</v>
      </c>
      <c r="EJ36" s="228">
        <f>'Pilotage effectif 27O'!EM44</f>
        <v>0</v>
      </c>
      <c r="EK36" s="228">
        <f>'Pilotage effectif 27O'!EN44</f>
        <v>0</v>
      </c>
      <c r="EL36" s="228">
        <f>'Pilotage effectif 27O'!EO44</f>
        <v>0</v>
      </c>
      <c r="EM36" s="228">
        <f>'Pilotage effectif 27O'!EP44</f>
        <v>0</v>
      </c>
      <c r="EN36" s="303">
        <f>'Pilotage effectif 27O'!EQ44</f>
        <v>0</v>
      </c>
      <c r="EO36" s="265"/>
      <c r="EP36" s="227">
        <f>'Pilotage effectif 27O'!ES44</f>
        <v>0</v>
      </c>
      <c r="EQ36" s="228">
        <f>'Pilotage effectif 27O'!ET44</f>
        <v>0</v>
      </c>
      <c r="ER36" s="228">
        <f>'Pilotage effectif 27O'!EU44</f>
        <v>0</v>
      </c>
      <c r="ES36" s="228">
        <f>'Pilotage effectif 27O'!EV44</f>
        <v>0</v>
      </c>
      <c r="ET36" s="228">
        <f>'Pilotage effectif 27O'!EW44</f>
        <v>0</v>
      </c>
      <c r="EU36" s="303">
        <f>'Pilotage effectif 27O'!EX44</f>
        <v>0</v>
      </c>
      <c r="EV36" s="265"/>
      <c r="EW36" s="227">
        <f>'Pilotage effectif 27O'!EZ44</f>
        <v>0</v>
      </c>
      <c r="EX36" s="228">
        <f>'Pilotage effectif 27O'!FA44</f>
        <v>0</v>
      </c>
      <c r="EY36" s="228">
        <f>'Pilotage effectif 27O'!FB44</f>
        <v>0</v>
      </c>
      <c r="EZ36" s="228">
        <f>'Pilotage effectif 27O'!FC44</f>
        <v>0</v>
      </c>
      <c r="FA36" s="228">
        <f>'Pilotage effectif 27O'!FD44</f>
        <v>0</v>
      </c>
      <c r="FB36" s="303">
        <f>'Pilotage effectif 27O'!FE44</f>
        <v>0</v>
      </c>
      <c r="FC36" s="265"/>
      <c r="FD36" s="227">
        <f>'Pilotage effectif 27O'!FG44</f>
        <v>0</v>
      </c>
      <c r="FE36" s="228">
        <f>'Pilotage effectif 27O'!FH44</f>
        <v>0</v>
      </c>
      <c r="FF36" s="228">
        <f>'Pilotage effectif 27O'!FI44</f>
        <v>0</v>
      </c>
      <c r="FG36" s="228">
        <f>'Pilotage effectif 27O'!FJ44</f>
        <v>0</v>
      </c>
      <c r="FH36" s="228">
        <f>'Pilotage effectif 27O'!FK44</f>
        <v>0</v>
      </c>
      <c r="FI36" s="303">
        <f>'Pilotage effectif 27O'!FL44</f>
        <v>0</v>
      </c>
      <c r="FJ36" s="265"/>
      <c r="FK36" s="227">
        <f>'Pilotage effectif 27O'!FN44</f>
        <v>0</v>
      </c>
      <c r="FL36" s="228">
        <f>'Pilotage effectif 27O'!FO44</f>
        <v>0</v>
      </c>
      <c r="FM36" s="228">
        <f>'Pilotage effectif 27O'!FP44</f>
        <v>0</v>
      </c>
      <c r="FN36" s="228">
        <f>'Pilotage effectif 27O'!FQ44</f>
        <v>0</v>
      </c>
      <c r="FO36" s="228">
        <f>'Pilotage effectif 27O'!FR44</f>
        <v>0</v>
      </c>
      <c r="FP36" s="303">
        <f>'Pilotage effectif 27O'!FS44</f>
        <v>0</v>
      </c>
      <c r="FQ36" s="265"/>
      <c r="FR36" s="227">
        <f>'Pilotage effectif 27O'!FU44</f>
        <v>0</v>
      </c>
      <c r="FS36" s="228">
        <f>'Pilotage effectif 27O'!FV44</f>
        <v>0</v>
      </c>
      <c r="FT36" s="228">
        <f>'Pilotage effectif 27O'!FW44</f>
        <v>0</v>
      </c>
      <c r="FU36" s="228">
        <f>'Pilotage effectif 27O'!FX44</f>
        <v>0</v>
      </c>
      <c r="FV36" s="228">
        <f>'Pilotage effectif 27O'!FY44</f>
        <v>0</v>
      </c>
      <c r="FW36" s="303">
        <f>'Pilotage effectif 27O'!FZ44</f>
        <v>0</v>
      </c>
      <c r="FX36" s="265"/>
      <c r="FY36" s="227">
        <f>'Pilotage effectif 27O'!GB44</f>
        <v>0</v>
      </c>
      <c r="FZ36" s="228">
        <f>'Pilotage effectif 27O'!GC44</f>
        <v>0</v>
      </c>
      <c r="GA36" s="228">
        <f>'Pilotage effectif 27O'!GD44</f>
        <v>0</v>
      </c>
      <c r="GB36" s="228">
        <f>'Pilotage effectif 27O'!GE44</f>
        <v>0</v>
      </c>
      <c r="GC36" s="228">
        <f>'Pilotage effectif 27O'!GF44</f>
        <v>0</v>
      </c>
      <c r="GD36" s="303">
        <f>'Pilotage effectif 27O'!GG44</f>
        <v>0</v>
      </c>
      <c r="GE36" s="265"/>
      <c r="GF36" s="227">
        <f>'Pilotage effectif 27O'!GI44</f>
        <v>0</v>
      </c>
      <c r="GG36" s="228">
        <f>'Pilotage effectif 27O'!GJ44</f>
        <v>0</v>
      </c>
      <c r="GH36" s="228">
        <f>'Pilotage effectif 27O'!GK44</f>
        <v>0</v>
      </c>
      <c r="GI36" s="228">
        <f>'Pilotage effectif 27O'!GL44</f>
        <v>0</v>
      </c>
      <c r="GJ36" s="228">
        <f>'Pilotage effectif 27O'!GM44</f>
        <v>0</v>
      </c>
      <c r="GK36" s="303">
        <f>'Pilotage effectif 27O'!GN44</f>
        <v>0</v>
      </c>
      <c r="GL36" s="265"/>
      <c r="GM36" s="227">
        <f>'Pilotage effectif 27O'!GP44</f>
        <v>0</v>
      </c>
      <c r="GN36" s="228">
        <f>'Pilotage effectif 27O'!GQ44</f>
        <v>0</v>
      </c>
      <c r="GO36" s="228">
        <f>'Pilotage effectif 27O'!GR44</f>
        <v>0</v>
      </c>
      <c r="GP36" s="228">
        <f>'Pilotage effectif 27O'!GS44</f>
        <v>0</v>
      </c>
      <c r="GQ36" s="228">
        <f>'Pilotage effectif 27O'!GT44</f>
        <v>0</v>
      </c>
      <c r="GR36" s="303">
        <f>'Pilotage effectif 27O'!GU44</f>
        <v>0</v>
      </c>
      <c r="GS36" s="265"/>
      <c r="GT36" s="227">
        <f>'Pilotage effectif 27O'!GW44</f>
        <v>0</v>
      </c>
      <c r="GU36" s="228">
        <f>'Pilotage effectif 27O'!GX44</f>
        <v>0</v>
      </c>
      <c r="GV36" s="228">
        <f>'Pilotage effectif 27O'!GY44</f>
        <v>0</v>
      </c>
      <c r="GW36" s="228">
        <f>'Pilotage effectif 27O'!GZ44</f>
        <v>0</v>
      </c>
      <c r="GX36" s="228">
        <f>'Pilotage effectif 27O'!HA44</f>
        <v>0</v>
      </c>
      <c r="GY36" s="303">
        <f>'Pilotage effectif 27O'!HB44</f>
        <v>0</v>
      </c>
      <c r="GZ36" s="283"/>
      <c r="HA36" s="227">
        <f>'Pilotage effectif 27O'!HD44</f>
        <v>0</v>
      </c>
      <c r="HB36" s="228">
        <f>'Pilotage effectif 27O'!HE44</f>
        <v>0</v>
      </c>
      <c r="HC36" s="228">
        <f>'Pilotage effectif 27O'!HF44</f>
        <v>0</v>
      </c>
      <c r="HD36" s="228">
        <f>'Pilotage effectif 27O'!HG44</f>
        <v>0</v>
      </c>
      <c r="HE36" s="228">
        <f>'Pilotage effectif 27O'!HH44</f>
        <v>0</v>
      </c>
      <c r="HF36" s="303">
        <f>'Pilotage effectif 27O'!HI44</f>
        <v>0</v>
      </c>
      <c r="HG36" s="265"/>
      <c r="HH36" s="227">
        <f>'Pilotage effectif 27O'!HK44</f>
        <v>0</v>
      </c>
      <c r="HI36" s="228">
        <f>'Pilotage effectif 27O'!HL44</f>
        <v>0</v>
      </c>
      <c r="HJ36" s="228">
        <f>'Pilotage effectif 27O'!HM44</f>
        <v>0</v>
      </c>
      <c r="HK36" s="228">
        <f>'Pilotage effectif 27O'!HN44</f>
        <v>0</v>
      </c>
      <c r="HL36" s="228">
        <f>'Pilotage effectif 27O'!HO44</f>
        <v>0</v>
      </c>
      <c r="HM36" s="303">
        <f>'Pilotage effectif 27O'!HP44</f>
        <v>0</v>
      </c>
      <c r="HN36" s="265"/>
      <c r="HO36" s="227">
        <f>'Pilotage effectif 27O'!HR44</f>
        <v>0</v>
      </c>
      <c r="HP36" s="228">
        <f>'Pilotage effectif 27O'!HS44</f>
        <v>0</v>
      </c>
      <c r="HQ36" s="228">
        <f>'Pilotage effectif 27O'!HT44</f>
        <v>0</v>
      </c>
      <c r="HR36" s="228">
        <f>'Pilotage effectif 27O'!HU44</f>
        <v>0</v>
      </c>
      <c r="HS36" s="228">
        <f>'Pilotage effectif 27O'!HV44</f>
        <v>0</v>
      </c>
      <c r="HT36" s="303">
        <f>'Pilotage effectif 27O'!HW44</f>
        <v>0</v>
      </c>
      <c r="HU36" s="265"/>
      <c r="HV36" s="227">
        <f>'Pilotage effectif 27O'!HY44</f>
        <v>0</v>
      </c>
      <c r="HW36" s="228">
        <f>'Pilotage effectif 27O'!HZ44</f>
        <v>0</v>
      </c>
      <c r="HX36" s="228">
        <f>'Pilotage effectif 27O'!IA44</f>
        <v>0</v>
      </c>
      <c r="HY36" s="228">
        <f>'Pilotage effectif 27O'!IB44</f>
        <v>0</v>
      </c>
      <c r="HZ36" s="228">
        <f>'Pilotage effectif 27O'!IC44</f>
        <v>0</v>
      </c>
      <c r="IA36" s="303">
        <f>'Pilotage effectif 27O'!ID44</f>
        <v>0</v>
      </c>
      <c r="IB36" s="265"/>
      <c r="IC36" s="227">
        <f>'Pilotage effectif 27O'!IF44</f>
        <v>0</v>
      </c>
      <c r="ID36" s="228">
        <f>'Pilotage effectif 27O'!IG44</f>
        <v>0</v>
      </c>
      <c r="IE36" s="228">
        <f>'Pilotage effectif 27O'!IH44</f>
        <v>0</v>
      </c>
      <c r="IF36" s="228">
        <f>'Pilotage effectif 27O'!II44</f>
        <v>0</v>
      </c>
      <c r="IG36" s="228">
        <f>'Pilotage effectif 27O'!IJ44</f>
        <v>0</v>
      </c>
      <c r="IH36" s="303">
        <f>'Pilotage effectif 27O'!IK44</f>
        <v>0</v>
      </c>
      <c r="II36" s="265"/>
      <c r="IJ36" s="227">
        <f>'Pilotage effectif 27O'!IM44</f>
        <v>0</v>
      </c>
      <c r="IK36" s="228">
        <f>'Pilotage effectif 27O'!IN44</f>
        <v>0</v>
      </c>
      <c r="IL36" s="228">
        <f>'Pilotage effectif 27O'!IO44</f>
        <v>0</v>
      </c>
      <c r="IM36" s="228">
        <f>'Pilotage effectif 27O'!IP44</f>
        <v>0</v>
      </c>
      <c r="IN36" s="228">
        <f>'Pilotage effectif 27O'!IQ44</f>
        <v>0</v>
      </c>
      <c r="IO36" s="303">
        <f>'Pilotage effectif 27O'!IR44</f>
        <v>0</v>
      </c>
      <c r="IP36" s="265"/>
      <c r="IQ36" s="227">
        <f>'Pilotage effectif 27O'!IT44</f>
        <v>0</v>
      </c>
      <c r="IR36" s="228">
        <f>'Pilotage effectif 27O'!IU44</f>
        <v>0</v>
      </c>
      <c r="IS36" s="228">
        <f>'Pilotage effectif 27O'!IV44</f>
        <v>0</v>
      </c>
      <c r="IT36" s="228">
        <f>'Pilotage effectif 27O'!IW44</f>
        <v>0</v>
      </c>
      <c r="IU36" s="228">
        <f>'Pilotage effectif 27O'!IX44</f>
        <v>0</v>
      </c>
      <c r="IV36" s="303">
        <f>'Pilotage effectif 27O'!IY44</f>
        <v>0</v>
      </c>
      <c r="IW36" s="265"/>
      <c r="IX36" s="227">
        <f>'Pilotage effectif 27O'!JA44</f>
        <v>0</v>
      </c>
      <c r="IY36" s="228">
        <f>'Pilotage effectif 27O'!JB44</f>
        <v>0</v>
      </c>
      <c r="IZ36" s="228">
        <f>'Pilotage effectif 27O'!JC44</f>
        <v>0</v>
      </c>
      <c r="JA36" s="228">
        <f>'Pilotage effectif 27O'!JD44</f>
        <v>0</v>
      </c>
      <c r="JB36" s="228">
        <f>'Pilotage effectif 27O'!JE44</f>
        <v>0</v>
      </c>
      <c r="JC36" s="303">
        <f>'Pilotage effectif 27O'!JF44</f>
        <v>0</v>
      </c>
      <c r="JD36" s="265"/>
      <c r="JE36" s="227">
        <f>'Pilotage effectif 27O'!JH44</f>
        <v>0</v>
      </c>
      <c r="JF36" s="228">
        <f>'Pilotage effectif 27O'!JI44</f>
        <v>0</v>
      </c>
      <c r="JG36" s="228">
        <f>'Pilotage effectif 27O'!JJ44</f>
        <v>0</v>
      </c>
      <c r="JH36" s="228">
        <f>'Pilotage effectif 27O'!JK44</f>
        <v>0</v>
      </c>
      <c r="JI36" s="228">
        <f>'Pilotage effectif 27O'!JL44</f>
        <v>0</v>
      </c>
      <c r="JJ36" s="303">
        <f>'Pilotage effectif 27O'!JM44</f>
        <v>0</v>
      </c>
      <c r="JK36" s="265"/>
      <c r="JL36" s="227">
        <f>'Pilotage effectif 27O'!JO44</f>
        <v>0</v>
      </c>
      <c r="JM36" s="228">
        <f>'Pilotage effectif 27O'!JP44</f>
        <v>0</v>
      </c>
      <c r="JN36" s="228">
        <f>'Pilotage effectif 27O'!JQ44</f>
        <v>0</v>
      </c>
      <c r="JO36" s="228">
        <f>'Pilotage effectif 27O'!JR44</f>
        <v>0</v>
      </c>
      <c r="JP36" s="228">
        <f>'Pilotage effectif 27O'!JS44</f>
        <v>0</v>
      </c>
      <c r="JQ36" s="303">
        <f>'Pilotage effectif 27O'!JT44</f>
        <v>0</v>
      </c>
      <c r="JR36" s="265"/>
      <c r="JS36" s="227">
        <f>'Pilotage effectif 27O'!JV44</f>
        <v>0</v>
      </c>
      <c r="JT36" s="228">
        <f>'Pilotage effectif 27O'!JW44</f>
        <v>0</v>
      </c>
      <c r="JU36" s="228">
        <f>'Pilotage effectif 27O'!JX44</f>
        <v>0</v>
      </c>
      <c r="JV36" s="228">
        <f>'Pilotage effectif 27O'!JY44</f>
        <v>0</v>
      </c>
      <c r="JW36" s="228">
        <f>'Pilotage effectif 27O'!JZ44</f>
        <v>0</v>
      </c>
      <c r="JX36" s="303">
        <f>'Pilotage effectif 27O'!KA44</f>
        <v>0</v>
      </c>
      <c r="JY36" s="265"/>
      <c r="JZ36" s="227">
        <f>'Pilotage effectif 27O'!KC44</f>
        <v>0</v>
      </c>
      <c r="KA36" s="228">
        <f>'Pilotage effectif 27O'!KD44</f>
        <v>0</v>
      </c>
      <c r="KB36" s="228">
        <f>'Pilotage effectif 27O'!KE44</f>
        <v>0</v>
      </c>
      <c r="KC36" s="228">
        <f>'Pilotage effectif 27O'!KF44</f>
        <v>0</v>
      </c>
      <c r="KD36" s="228">
        <f>'Pilotage effectif 27O'!KG44</f>
        <v>0</v>
      </c>
      <c r="KE36" s="303">
        <f>'Pilotage effectif 27O'!KH44</f>
        <v>0</v>
      </c>
      <c r="KF36" s="265"/>
      <c r="KG36" s="227">
        <f>'Pilotage effectif 27O'!KJ44</f>
        <v>0</v>
      </c>
      <c r="KH36" s="228">
        <f>'Pilotage effectif 27O'!KK44</f>
        <v>0</v>
      </c>
      <c r="KI36" s="228">
        <f>'Pilotage effectif 27O'!KL44</f>
        <v>0</v>
      </c>
      <c r="KJ36" s="228">
        <f>'Pilotage effectif 27O'!KM44</f>
        <v>0</v>
      </c>
      <c r="KK36" s="228">
        <f>'Pilotage effectif 27O'!KN44</f>
        <v>0</v>
      </c>
      <c r="KL36" s="303">
        <f>'Pilotage effectif 27O'!KO44</f>
        <v>0</v>
      </c>
      <c r="KM36" s="265"/>
      <c r="KN36" s="227">
        <f>'Pilotage effectif 27O'!KQ44</f>
        <v>0</v>
      </c>
      <c r="KO36" s="228">
        <f>'Pilotage effectif 27O'!KR44</f>
        <v>0</v>
      </c>
      <c r="KP36" s="228">
        <f>'Pilotage effectif 27O'!KS44</f>
        <v>0</v>
      </c>
      <c r="KQ36" s="228">
        <f>'Pilotage effectif 27O'!KT44</f>
        <v>0</v>
      </c>
      <c r="KR36" s="228">
        <f>'Pilotage effectif 27O'!KU44</f>
        <v>0</v>
      </c>
      <c r="KS36" s="303">
        <f>'Pilotage effectif 27O'!KV44</f>
        <v>0</v>
      </c>
      <c r="KT36" s="265"/>
      <c r="KU36" s="227">
        <f>'Pilotage effectif 27O'!KX44</f>
        <v>0</v>
      </c>
      <c r="KV36" s="228">
        <f>'Pilotage effectif 27O'!KY44</f>
        <v>0</v>
      </c>
      <c r="KW36" s="228">
        <f>'Pilotage effectif 27O'!KZ44</f>
        <v>0</v>
      </c>
      <c r="KX36" s="228">
        <f>'Pilotage effectif 27O'!LA44</f>
        <v>0</v>
      </c>
      <c r="KY36" s="228">
        <f>'Pilotage effectif 27O'!LB44</f>
        <v>0</v>
      </c>
      <c r="KZ36" s="303">
        <f>'Pilotage effectif 27O'!LC44</f>
        <v>0</v>
      </c>
      <c r="LA36" s="265"/>
      <c r="LB36" s="227">
        <f>'Pilotage effectif 27O'!LE44</f>
        <v>0</v>
      </c>
      <c r="LC36" s="228">
        <f>'Pilotage effectif 27O'!LF44</f>
        <v>0</v>
      </c>
      <c r="LD36" s="228">
        <f>'Pilotage effectif 27O'!LG44</f>
        <v>0</v>
      </c>
      <c r="LE36" s="228">
        <f>'Pilotage effectif 27O'!LH44</f>
        <v>0</v>
      </c>
      <c r="LF36" s="228">
        <f>'Pilotage effectif 27O'!LI44</f>
        <v>0</v>
      </c>
      <c r="LG36" s="303">
        <f>'Pilotage effectif 27O'!LJ44</f>
        <v>0</v>
      </c>
      <c r="LH36" s="265"/>
      <c r="LI36" s="227">
        <f>'Pilotage effectif 27O'!LL44</f>
        <v>0</v>
      </c>
      <c r="LJ36" s="228">
        <f>'Pilotage effectif 27O'!LM44</f>
        <v>0</v>
      </c>
      <c r="LK36" s="228">
        <f>'Pilotage effectif 27O'!LN44</f>
        <v>0</v>
      </c>
      <c r="LL36" s="228">
        <f>'Pilotage effectif 27O'!LO44</f>
        <v>0</v>
      </c>
      <c r="LM36" s="228">
        <f>'Pilotage effectif 27O'!LP44</f>
        <v>0</v>
      </c>
      <c r="LN36" s="303">
        <f>'Pilotage effectif 27O'!LQ44</f>
        <v>0</v>
      </c>
      <c r="LO36" s="265"/>
      <c r="LP36" s="227">
        <f>'Pilotage effectif 27O'!LS44</f>
        <v>0</v>
      </c>
      <c r="LQ36" s="228">
        <f>'Pilotage effectif 27O'!LT44</f>
        <v>0</v>
      </c>
      <c r="LR36" s="228">
        <f>'Pilotage effectif 27O'!LU44</f>
        <v>0</v>
      </c>
      <c r="LS36" s="228">
        <f>'Pilotage effectif 27O'!LV44</f>
        <v>0</v>
      </c>
      <c r="LT36" s="228">
        <f>'Pilotage effectif 27O'!LW44</f>
        <v>0</v>
      </c>
      <c r="LU36" s="303">
        <f>'Pilotage effectif 27O'!LX44</f>
        <v>0</v>
      </c>
      <c r="LV36" s="265"/>
      <c r="LW36" s="227">
        <f>'Pilotage effectif 27O'!LZ44</f>
        <v>0</v>
      </c>
      <c r="LX36" s="228">
        <f>'Pilotage effectif 27O'!MA44</f>
        <v>0</v>
      </c>
      <c r="LY36" s="228">
        <f>'Pilotage effectif 27O'!MB44</f>
        <v>0</v>
      </c>
      <c r="LZ36" s="228">
        <f>'Pilotage effectif 27O'!MC44</f>
        <v>0</v>
      </c>
      <c r="MA36" s="228">
        <f>'Pilotage effectif 27O'!MD44</f>
        <v>0</v>
      </c>
      <c r="MB36" s="303">
        <f>'Pilotage effectif 27O'!ME44</f>
        <v>0</v>
      </c>
      <c r="MC36" s="265"/>
      <c r="MD36" s="227">
        <f>'Pilotage effectif 27O'!MG44</f>
        <v>0</v>
      </c>
      <c r="ME36" s="228">
        <f>'Pilotage effectif 27O'!MH44</f>
        <v>0</v>
      </c>
      <c r="MF36" s="228">
        <f>'Pilotage effectif 27O'!MI44</f>
        <v>0</v>
      </c>
      <c r="MG36" s="228">
        <f>'Pilotage effectif 27O'!MJ44</f>
        <v>0</v>
      </c>
      <c r="MH36" s="228">
        <f>'Pilotage effectif 27O'!MK44</f>
        <v>0</v>
      </c>
      <c r="MI36" s="303">
        <f>'Pilotage effectif 27O'!ML44</f>
        <v>0</v>
      </c>
      <c r="MJ36" s="265"/>
      <c r="MK36" s="227">
        <f>'Pilotage effectif 27O'!MN44</f>
        <v>0</v>
      </c>
      <c r="ML36" s="228">
        <f>'Pilotage effectif 27O'!MO44</f>
        <v>0</v>
      </c>
      <c r="MM36" s="228">
        <f>'Pilotage effectif 27O'!MP44</f>
        <v>0</v>
      </c>
      <c r="MN36" s="228">
        <f>'Pilotage effectif 27O'!MQ44</f>
        <v>0</v>
      </c>
      <c r="MO36" s="228">
        <f>'Pilotage effectif 27O'!MR44</f>
        <v>0</v>
      </c>
      <c r="MP36" s="303">
        <f>'Pilotage effectif 27O'!MS44</f>
        <v>0</v>
      </c>
      <c r="MQ36" s="265"/>
      <c r="MR36" s="227">
        <f>'Pilotage effectif 27O'!MU44</f>
        <v>0</v>
      </c>
      <c r="MS36" s="228">
        <f>'Pilotage effectif 27O'!MV44</f>
        <v>0</v>
      </c>
      <c r="MT36" s="228">
        <f>'Pilotage effectif 27O'!MW44</f>
        <v>0</v>
      </c>
      <c r="MU36" s="228">
        <f>'Pilotage effectif 27O'!MX44</f>
        <v>0</v>
      </c>
      <c r="MV36" s="228">
        <f>'Pilotage effectif 27O'!MY44</f>
        <v>0</v>
      </c>
      <c r="MW36" s="303">
        <f>'Pilotage effectif 27O'!MZ44</f>
        <v>0</v>
      </c>
      <c r="MX36" s="265"/>
      <c r="MY36" s="227">
        <f>'Pilotage effectif 27O'!NB44</f>
        <v>0</v>
      </c>
      <c r="MZ36" s="228">
        <f>'Pilotage effectif 27O'!NC44</f>
        <v>0</v>
      </c>
      <c r="NA36" s="228">
        <f>'Pilotage effectif 27O'!ND44</f>
        <v>0</v>
      </c>
      <c r="NB36" s="228">
        <f>'Pilotage effectif 27O'!NE44</f>
        <v>0</v>
      </c>
      <c r="NC36" s="228">
        <f>'Pilotage effectif 27O'!NF44</f>
        <v>0</v>
      </c>
      <c r="ND36" s="303">
        <f>'Pilotage effectif 27O'!NG44</f>
        <v>0</v>
      </c>
      <c r="NE36" s="265"/>
      <c r="NF36" s="227">
        <f>'Pilotage effectif 27O'!NI44</f>
        <v>0</v>
      </c>
      <c r="NG36" s="228">
        <f>'Pilotage effectif 27O'!NJ44</f>
        <v>0</v>
      </c>
      <c r="NH36" s="228">
        <f>'Pilotage effectif 27O'!NK44</f>
        <v>0</v>
      </c>
      <c r="NI36" s="228">
        <f>'Pilotage effectif 27O'!NL44</f>
        <v>0</v>
      </c>
      <c r="NJ36" s="228">
        <f>'Pilotage effectif 27O'!NM44</f>
        <v>0</v>
      </c>
      <c r="NK36" s="303">
        <f>'Pilotage effectif 27O'!NN44</f>
        <v>0</v>
      </c>
      <c r="NL36" s="265"/>
      <c r="NM36" s="227">
        <f>'Pilotage effectif 27O'!NP44</f>
        <v>0</v>
      </c>
      <c r="NN36" s="228">
        <f>'Pilotage effectif 27O'!NQ44</f>
        <v>0</v>
      </c>
      <c r="NO36" s="228">
        <f>'Pilotage effectif 27O'!NR44</f>
        <v>0</v>
      </c>
      <c r="NP36" s="228">
        <f>'Pilotage effectif 27O'!NS44</f>
        <v>0</v>
      </c>
      <c r="NQ36" s="228">
        <f>'Pilotage effectif 27O'!NT44</f>
        <v>0</v>
      </c>
      <c r="NR36" s="303">
        <f>'Pilotage effectif 27O'!NU44</f>
        <v>0</v>
      </c>
      <c r="NS36" s="283"/>
    </row>
    <row r="37" spans="1:383" s="196" customFormat="1" ht="16.05" customHeight="1" thickBot="1" x14ac:dyDescent="0.35">
      <c r="A37" s="294"/>
      <c r="B37" s="282"/>
      <c r="C37" s="287" t="s">
        <v>690</v>
      </c>
      <c r="D37" s="338"/>
      <c r="E37"/>
      <c r="F37" s="292">
        <f t="shared" ref="F37:K37" si="0">IF(F35&lt;&gt;"",IF(F36-F35&gt;0,"+"&amp;F36-F35,F36-F35),"-")</f>
        <v>-2</v>
      </c>
      <c r="G37" s="293">
        <f t="shared" si="0"/>
        <v>-2</v>
      </c>
      <c r="H37" s="293" t="str">
        <f t="shared" si="0"/>
        <v>-</v>
      </c>
      <c r="I37" s="293">
        <f t="shared" si="0"/>
        <v>-2</v>
      </c>
      <c r="J37" s="293">
        <f t="shared" si="0"/>
        <v>-2</v>
      </c>
      <c r="K37" s="304">
        <f t="shared" si="0"/>
        <v>-8</v>
      </c>
      <c r="L37" s="265"/>
      <c r="M37" s="292" t="str">
        <f t="shared" ref="M37:R37" si="1">IF(M35&lt;&gt;"",IF(M36-M35&gt;0,"+"&amp;M36-M35,M36-M35),"-")</f>
        <v>-</v>
      </c>
      <c r="N37" s="293" t="str">
        <f t="shared" si="1"/>
        <v>-</v>
      </c>
      <c r="O37" s="293" t="str">
        <f t="shared" si="1"/>
        <v>-</v>
      </c>
      <c r="P37" s="293" t="str">
        <f t="shared" si="1"/>
        <v>-</v>
      </c>
      <c r="Q37" s="293" t="str">
        <f t="shared" si="1"/>
        <v>-</v>
      </c>
      <c r="R37" s="304">
        <f t="shared" si="1"/>
        <v>0</v>
      </c>
      <c r="S37" s="265"/>
      <c r="T37" s="292">
        <f t="shared" ref="T37:Y37" si="2">IF(T35&lt;&gt;"",IF(T36-T35&gt;0,"+"&amp;T36-T35,T36-T35),"-")</f>
        <v>-12</v>
      </c>
      <c r="U37" s="293">
        <f t="shared" si="2"/>
        <v>-12</v>
      </c>
      <c r="V37" s="293">
        <f t="shared" si="2"/>
        <v>-12</v>
      </c>
      <c r="W37" s="293">
        <f t="shared" si="2"/>
        <v>-12</v>
      </c>
      <c r="X37" s="293">
        <f t="shared" si="2"/>
        <v>-12</v>
      </c>
      <c r="Y37" s="304">
        <f t="shared" si="2"/>
        <v>-60</v>
      </c>
      <c r="Z37" s="265"/>
      <c r="AA37" s="292">
        <f t="shared" ref="AA37:AF37" si="3">IF(AA35&lt;&gt;"",IF(AA36-AA35&gt;0,"+"&amp;AA36-AA35,AA36-AA35),"-")</f>
        <v>-12</v>
      </c>
      <c r="AB37" s="293">
        <f t="shared" si="3"/>
        <v>-12</v>
      </c>
      <c r="AC37" s="293">
        <f t="shared" si="3"/>
        <v>-12</v>
      </c>
      <c r="AD37" s="293">
        <f t="shared" si="3"/>
        <v>-12</v>
      </c>
      <c r="AE37" s="293">
        <f t="shared" si="3"/>
        <v>-12</v>
      </c>
      <c r="AF37" s="304">
        <f t="shared" si="3"/>
        <v>-60</v>
      </c>
      <c r="AG37" s="265"/>
      <c r="AH37" s="292">
        <f t="shared" ref="AH37:AM37" si="4">IF(AH35&lt;&gt;"",IF(AH36-AH35&gt;0,"+"&amp;AH36-AH35,AH36-AH35),"-")</f>
        <v>-12</v>
      </c>
      <c r="AI37" s="293">
        <f t="shared" si="4"/>
        <v>-12</v>
      </c>
      <c r="AJ37" s="293">
        <f t="shared" si="4"/>
        <v>-12</v>
      </c>
      <c r="AK37" s="293">
        <f t="shared" si="4"/>
        <v>-12</v>
      </c>
      <c r="AL37" s="293">
        <f t="shared" si="4"/>
        <v>-12</v>
      </c>
      <c r="AM37" s="304">
        <f t="shared" si="4"/>
        <v>-60</v>
      </c>
      <c r="AN37" s="265"/>
      <c r="AO37" s="292" t="str">
        <f t="shared" ref="AO37:AT37" si="5">IF(AO35&lt;&gt;"",IF(AO36-AO35&gt;0,"+"&amp;AO36-AO35,AO36-AO35),"-")</f>
        <v>-</v>
      </c>
      <c r="AP37" s="293" t="str">
        <f t="shared" si="5"/>
        <v>-</v>
      </c>
      <c r="AQ37" s="293" t="str">
        <f t="shared" si="5"/>
        <v>-</v>
      </c>
      <c r="AR37" s="293" t="str">
        <f t="shared" si="5"/>
        <v>-</v>
      </c>
      <c r="AS37" s="293" t="str">
        <f t="shared" si="5"/>
        <v>-</v>
      </c>
      <c r="AT37" s="304">
        <f t="shared" si="5"/>
        <v>0</v>
      </c>
      <c r="AU37" s="265"/>
      <c r="AV37" s="292" t="str">
        <f t="shared" ref="AV37:BA37" si="6">IF(AV35&lt;&gt;"",IF(AV36-AV35&gt;0,"+"&amp;AV36-AV35,AV36-AV35),"-")</f>
        <v>-</v>
      </c>
      <c r="AW37" s="293" t="str">
        <f t="shared" si="6"/>
        <v>-</v>
      </c>
      <c r="AX37" s="293" t="str">
        <f t="shared" si="6"/>
        <v>-</v>
      </c>
      <c r="AY37" s="293" t="str">
        <f t="shared" si="6"/>
        <v>-</v>
      </c>
      <c r="AZ37" s="293" t="str">
        <f t="shared" si="6"/>
        <v>-</v>
      </c>
      <c r="BA37" s="304">
        <f t="shared" si="6"/>
        <v>0</v>
      </c>
      <c r="BB37" s="265"/>
      <c r="BC37" s="292" t="str">
        <f t="shared" ref="BC37:BH37" si="7">IF(BC35&lt;&gt;"",IF(BC36-BC35&gt;0,"+"&amp;BC36-BC35,BC36-BC35),"-")</f>
        <v>-</v>
      </c>
      <c r="BD37" s="293" t="str">
        <f t="shared" si="7"/>
        <v>-</v>
      </c>
      <c r="BE37" s="293" t="str">
        <f t="shared" si="7"/>
        <v>-</v>
      </c>
      <c r="BF37" s="293" t="str">
        <f t="shared" si="7"/>
        <v>-</v>
      </c>
      <c r="BG37" s="293" t="str">
        <f t="shared" si="7"/>
        <v>-</v>
      </c>
      <c r="BH37" s="304">
        <f t="shared" si="7"/>
        <v>0</v>
      </c>
      <c r="BI37" s="265"/>
      <c r="BJ37" s="292" t="str">
        <f t="shared" ref="BJ37:BO37" si="8">IF(BJ35&lt;&gt;"",IF(BJ36-BJ35&gt;0,"+"&amp;BJ36-BJ35,BJ36-BJ35),"-")</f>
        <v>-</v>
      </c>
      <c r="BK37" s="293" t="str">
        <f t="shared" si="8"/>
        <v>-</v>
      </c>
      <c r="BL37" s="293" t="str">
        <f t="shared" si="8"/>
        <v>-</v>
      </c>
      <c r="BM37" s="293" t="str">
        <f t="shared" si="8"/>
        <v>-</v>
      </c>
      <c r="BN37" s="293" t="str">
        <f t="shared" si="8"/>
        <v>-</v>
      </c>
      <c r="BO37" s="304">
        <f t="shared" si="8"/>
        <v>0</v>
      </c>
      <c r="BP37" s="265"/>
      <c r="BQ37" s="292" t="str">
        <f t="shared" ref="BQ37:BV37" si="9">IF(BQ35&lt;&gt;"",IF(BQ36-BQ35&gt;0,"+"&amp;BQ36-BQ35,BQ36-BQ35),"-")</f>
        <v>-</v>
      </c>
      <c r="BR37" s="293" t="str">
        <f t="shared" si="9"/>
        <v>-</v>
      </c>
      <c r="BS37" s="293" t="str">
        <f t="shared" si="9"/>
        <v>-</v>
      </c>
      <c r="BT37" s="293" t="str">
        <f t="shared" si="9"/>
        <v>-</v>
      </c>
      <c r="BU37" s="293" t="str">
        <f t="shared" si="9"/>
        <v>-</v>
      </c>
      <c r="BV37" s="304">
        <f t="shared" si="9"/>
        <v>0</v>
      </c>
      <c r="BW37" s="265"/>
      <c r="BX37" s="292" t="str">
        <f t="shared" ref="BX37:CC37" si="10">IF(BX35&lt;&gt;"",IF(BX36-BX35&gt;0,"+"&amp;BX36-BX35,BX36-BX35),"-")</f>
        <v>-</v>
      </c>
      <c r="BY37" s="293" t="str">
        <f t="shared" si="10"/>
        <v>-</v>
      </c>
      <c r="BZ37" s="293" t="str">
        <f t="shared" si="10"/>
        <v>-</v>
      </c>
      <c r="CA37" s="293" t="str">
        <f t="shared" si="10"/>
        <v>-</v>
      </c>
      <c r="CB37" s="293" t="str">
        <f t="shared" si="10"/>
        <v>-</v>
      </c>
      <c r="CC37" s="304">
        <f t="shared" si="10"/>
        <v>0</v>
      </c>
      <c r="CD37" s="265"/>
      <c r="CE37" s="292" t="str">
        <f t="shared" ref="CE37:CJ37" si="11">IF(CE35&lt;&gt;"",IF(CE36-CE35&gt;0,"+"&amp;CE36-CE35,CE36-CE35),"-")</f>
        <v>-</v>
      </c>
      <c r="CF37" s="293" t="str">
        <f t="shared" si="11"/>
        <v>-</v>
      </c>
      <c r="CG37" s="293" t="str">
        <f t="shared" si="11"/>
        <v>-</v>
      </c>
      <c r="CH37" s="293" t="str">
        <f t="shared" si="11"/>
        <v>-</v>
      </c>
      <c r="CI37" s="293" t="str">
        <f t="shared" si="11"/>
        <v>-</v>
      </c>
      <c r="CJ37" s="304">
        <f t="shared" si="11"/>
        <v>0</v>
      </c>
      <c r="CK37" s="265"/>
      <c r="CL37" s="292" t="str">
        <f t="shared" ref="CL37:CQ37" si="12">IF(CL35&lt;&gt;"",IF(CL36-CL35&gt;0,"+"&amp;CL36-CL35,CL36-CL35),"-")</f>
        <v>-</v>
      </c>
      <c r="CM37" s="293" t="str">
        <f t="shared" si="12"/>
        <v>-</v>
      </c>
      <c r="CN37" s="293" t="str">
        <f t="shared" si="12"/>
        <v>-</v>
      </c>
      <c r="CO37" s="293" t="str">
        <f t="shared" si="12"/>
        <v>-</v>
      </c>
      <c r="CP37" s="293" t="str">
        <f t="shared" si="12"/>
        <v>-</v>
      </c>
      <c r="CQ37" s="304">
        <f t="shared" si="12"/>
        <v>0</v>
      </c>
      <c r="CR37" s="265"/>
      <c r="CS37" s="292" t="str">
        <f t="shared" ref="CS37:CX37" si="13">IF(CS35&lt;&gt;"",IF(CS36-CS35&gt;0,"+"&amp;CS36-CS35,CS36-CS35),"-")</f>
        <v>-</v>
      </c>
      <c r="CT37" s="293" t="str">
        <f t="shared" si="13"/>
        <v>-</v>
      </c>
      <c r="CU37" s="293" t="str">
        <f t="shared" si="13"/>
        <v>-</v>
      </c>
      <c r="CV37" s="293" t="str">
        <f t="shared" si="13"/>
        <v>-</v>
      </c>
      <c r="CW37" s="293" t="str">
        <f t="shared" si="13"/>
        <v>-</v>
      </c>
      <c r="CX37" s="304">
        <f t="shared" si="13"/>
        <v>0</v>
      </c>
      <c r="CY37" s="265"/>
      <c r="CZ37" s="292" t="str">
        <f t="shared" ref="CZ37:DE37" si="14">IF(CZ35&lt;&gt;"",IF(CZ36-CZ35&gt;0,"+"&amp;CZ36-CZ35,CZ36-CZ35),"-")</f>
        <v>-</v>
      </c>
      <c r="DA37" s="293" t="str">
        <f t="shared" si="14"/>
        <v>-</v>
      </c>
      <c r="DB37" s="293" t="str">
        <f t="shared" si="14"/>
        <v>-</v>
      </c>
      <c r="DC37" s="293" t="str">
        <f t="shared" si="14"/>
        <v>-</v>
      </c>
      <c r="DD37" s="293" t="str">
        <f t="shared" si="14"/>
        <v>-</v>
      </c>
      <c r="DE37" s="304">
        <f t="shared" si="14"/>
        <v>0</v>
      </c>
      <c r="DF37" s="265"/>
      <c r="DG37" s="292" t="str">
        <f t="shared" ref="DG37:DL37" si="15">IF(DG35&lt;&gt;"",IF(DG36-DG35&gt;0,"+"&amp;DG36-DG35,DG36-DG35),"-")</f>
        <v>-</v>
      </c>
      <c r="DH37" s="293" t="str">
        <f t="shared" si="15"/>
        <v>-</v>
      </c>
      <c r="DI37" s="293" t="str">
        <f t="shared" si="15"/>
        <v>-</v>
      </c>
      <c r="DJ37" s="293" t="str">
        <f t="shared" si="15"/>
        <v>-</v>
      </c>
      <c r="DK37" s="293" t="str">
        <f t="shared" si="15"/>
        <v>-</v>
      </c>
      <c r="DL37" s="304">
        <f t="shared" si="15"/>
        <v>0</v>
      </c>
      <c r="DM37" s="265"/>
      <c r="DN37" s="292" t="str">
        <f t="shared" ref="DN37:DS37" si="16">IF(DN35&lt;&gt;"",IF(DN36-DN35&gt;0,"+"&amp;DN36-DN35,DN36-DN35),"-")</f>
        <v>-</v>
      </c>
      <c r="DO37" s="293" t="str">
        <f t="shared" si="16"/>
        <v>-</v>
      </c>
      <c r="DP37" s="293" t="str">
        <f t="shared" si="16"/>
        <v>-</v>
      </c>
      <c r="DQ37" s="293" t="str">
        <f t="shared" si="16"/>
        <v>-</v>
      </c>
      <c r="DR37" s="293" t="str">
        <f t="shared" si="16"/>
        <v>-</v>
      </c>
      <c r="DS37" s="304">
        <f t="shared" si="16"/>
        <v>0</v>
      </c>
      <c r="DT37" s="265"/>
      <c r="DU37" s="292" t="str">
        <f t="shared" ref="DU37:DZ37" si="17">IF(DU35&lt;&gt;"",IF(DU36-DU35&gt;0,"+"&amp;DU36-DU35,DU36-DU35),"-")</f>
        <v>-</v>
      </c>
      <c r="DV37" s="293" t="str">
        <f t="shared" si="17"/>
        <v>-</v>
      </c>
      <c r="DW37" s="293" t="str">
        <f t="shared" si="17"/>
        <v>-</v>
      </c>
      <c r="DX37" s="293" t="str">
        <f t="shared" si="17"/>
        <v>-</v>
      </c>
      <c r="DY37" s="293" t="str">
        <f t="shared" si="17"/>
        <v>-</v>
      </c>
      <c r="DZ37" s="304">
        <f t="shared" si="17"/>
        <v>0</v>
      </c>
      <c r="EA37" s="265"/>
      <c r="EB37" s="292" t="str">
        <f t="shared" ref="EB37:EG37" si="18">IF(EB35&lt;&gt;"",IF(EB36-EB35&gt;0,"+"&amp;EB36-EB35,EB36-EB35),"-")</f>
        <v>-</v>
      </c>
      <c r="EC37" s="293" t="str">
        <f t="shared" si="18"/>
        <v>-</v>
      </c>
      <c r="ED37" s="293" t="str">
        <f t="shared" si="18"/>
        <v>-</v>
      </c>
      <c r="EE37" s="293" t="str">
        <f t="shared" si="18"/>
        <v>-</v>
      </c>
      <c r="EF37" s="293" t="str">
        <f t="shared" si="18"/>
        <v>-</v>
      </c>
      <c r="EG37" s="304">
        <f t="shared" si="18"/>
        <v>0</v>
      </c>
      <c r="EH37" s="265"/>
      <c r="EI37" s="292" t="str">
        <f t="shared" ref="EI37:EN37" si="19">IF(EI35&lt;&gt;"",IF(EI36-EI35&gt;0,"+"&amp;EI36-EI35,EI36-EI35),"-")</f>
        <v>-</v>
      </c>
      <c r="EJ37" s="293" t="str">
        <f t="shared" si="19"/>
        <v>-</v>
      </c>
      <c r="EK37" s="293" t="str">
        <f t="shared" si="19"/>
        <v>-</v>
      </c>
      <c r="EL37" s="293" t="str">
        <f t="shared" si="19"/>
        <v>-</v>
      </c>
      <c r="EM37" s="293" t="str">
        <f t="shared" si="19"/>
        <v>-</v>
      </c>
      <c r="EN37" s="304">
        <f t="shared" si="19"/>
        <v>0</v>
      </c>
      <c r="EO37" s="265"/>
      <c r="EP37" s="292" t="str">
        <f t="shared" ref="EP37:EU37" si="20">IF(EP35&lt;&gt;"",IF(EP36-EP35&gt;0,"+"&amp;EP36-EP35,EP36-EP35),"-")</f>
        <v>-</v>
      </c>
      <c r="EQ37" s="293" t="str">
        <f t="shared" si="20"/>
        <v>-</v>
      </c>
      <c r="ER37" s="293" t="str">
        <f t="shared" si="20"/>
        <v>-</v>
      </c>
      <c r="ES37" s="293" t="str">
        <f t="shared" si="20"/>
        <v>-</v>
      </c>
      <c r="ET37" s="293" t="str">
        <f t="shared" si="20"/>
        <v>-</v>
      </c>
      <c r="EU37" s="304">
        <f t="shared" si="20"/>
        <v>0</v>
      </c>
      <c r="EV37" s="265"/>
      <c r="EW37" s="292" t="str">
        <f t="shared" ref="EW37:FB37" si="21">IF(EW35&lt;&gt;"",IF(EW36-EW35&gt;0,"+"&amp;EW36-EW35,EW36-EW35),"-")</f>
        <v>-</v>
      </c>
      <c r="EX37" s="293" t="str">
        <f t="shared" si="21"/>
        <v>-</v>
      </c>
      <c r="EY37" s="293" t="str">
        <f t="shared" si="21"/>
        <v>-</v>
      </c>
      <c r="EZ37" s="293" t="str">
        <f t="shared" si="21"/>
        <v>-</v>
      </c>
      <c r="FA37" s="293" t="str">
        <f t="shared" si="21"/>
        <v>-</v>
      </c>
      <c r="FB37" s="304">
        <f t="shared" si="21"/>
        <v>0</v>
      </c>
      <c r="FC37" s="265"/>
      <c r="FD37" s="292" t="str">
        <f t="shared" ref="FD37:FI37" si="22">IF(FD35&lt;&gt;"",IF(FD36-FD35&gt;0,"+"&amp;FD36-FD35,FD36-FD35),"-")</f>
        <v>-</v>
      </c>
      <c r="FE37" s="293" t="str">
        <f t="shared" si="22"/>
        <v>-</v>
      </c>
      <c r="FF37" s="293" t="str">
        <f t="shared" si="22"/>
        <v>-</v>
      </c>
      <c r="FG37" s="293" t="str">
        <f t="shared" si="22"/>
        <v>-</v>
      </c>
      <c r="FH37" s="293" t="str">
        <f t="shared" si="22"/>
        <v>-</v>
      </c>
      <c r="FI37" s="304">
        <f t="shared" si="22"/>
        <v>0</v>
      </c>
      <c r="FJ37" s="265"/>
      <c r="FK37" s="292" t="str">
        <f t="shared" ref="FK37:FP37" si="23">IF(FK35&lt;&gt;"",IF(FK36-FK35&gt;0,"+"&amp;FK36-FK35,FK36-FK35),"-")</f>
        <v>-</v>
      </c>
      <c r="FL37" s="293" t="str">
        <f t="shared" si="23"/>
        <v>-</v>
      </c>
      <c r="FM37" s="293" t="str">
        <f t="shared" si="23"/>
        <v>-</v>
      </c>
      <c r="FN37" s="293" t="str">
        <f t="shared" si="23"/>
        <v>-</v>
      </c>
      <c r="FO37" s="293" t="str">
        <f t="shared" si="23"/>
        <v>-</v>
      </c>
      <c r="FP37" s="304">
        <f t="shared" si="23"/>
        <v>0</v>
      </c>
      <c r="FQ37" s="265"/>
      <c r="FR37" s="292" t="str">
        <f t="shared" ref="FR37:FW37" si="24">IF(FR35&lt;&gt;"",IF(FR36-FR35&gt;0,"+"&amp;FR36-FR35,FR36-FR35),"-")</f>
        <v>-</v>
      </c>
      <c r="FS37" s="293" t="str">
        <f t="shared" si="24"/>
        <v>-</v>
      </c>
      <c r="FT37" s="293" t="str">
        <f t="shared" si="24"/>
        <v>-</v>
      </c>
      <c r="FU37" s="293" t="str">
        <f t="shared" si="24"/>
        <v>-</v>
      </c>
      <c r="FV37" s="293" t="str">
        <f t="shared" si="24"/>
        <v>-</v>
      </c>
      <c r="FW37" s="304">
        <f t="shared" si="24"/>
        <v>0</v>
      </c>
      <c r="FX37" s="265"/>
      <c r="FY37" s="292" t="str">
        <f t="shared" ref="FY37:GD37" si="25">IF(FY35&lt;&gt;"",IF(FY36-FY35&gt;0,"+"&amp;FY36-FY35,FY36-FY35),"-")</f>
        <v>-</v>
      </c>
      <c r="FZ37" s="293" t="str">
        <f t="shared" si="25"/>
        <v>-</v>
      </c>
      <c r="GA37" s="293" t="str">
        <f t="shared" si="25"/>
        <v>-</v>
      </c>
      <c r="GB37" s="293" t="str">
        <f t="shared" si="25"/>
        <v>-</v>
      </c>
      <c r="GC37" s="293" t="str">
        <f t="shared" si="25"/>
        <v>-</v>
      </c>
      <c r="GD37" s="304">
        <f t="shared" si="25"/>
        <v>0</v>
      </c>
      <c r="GE37" s="265"/>
      <c r="GF37" s="292" t="str">
        <f t="shared" ref="GF37:GK37" si="26">IF(GF35&lt;&gt;"",IF(GF36-GF35&gt;0,"+"&amp;GF36-GF35,GF36-GF35),"-")</f>
        <v>-</v>
      </c>
      <c r="GG37" s="293" t="str">
        <f t="shared" si="26"/>
        <v>-</v>
      </c>
      <c r="GH37" s="293" t="str">
        <f t="shared" si="26"/>
        <v>-</v>
      </c>
      <c r="GI37" s="293" t="str">
        <f t="shared" si="26"/>
        <v>-</v>
      </c>
      <c r="GJ37" s="293" t="str">
        <f t="shared" si="26"/>
        <v>-</v>
      </c>
      <c r="GK37" s="304">
        <f t="shared" si="26"/>
        <v>0</v>
      </c>
      <c r="GL37" s="265"/>
      <c r="GM37" s="292" t="str">
        <f t="shared" ref="GM37:GR37" si="27">IF(GM35&lt;&gt;"",IF(GM36-GM35&gt;0,"+"&amp;GM36-GM35,GM36-GM35),"-")</f>
        <v>-</v>
      </c>
      <c r="GN37" s="293" t="str">
        <f t="shared" si="27"/>
        <v>-</v>
      </c>
      <c r="GO37" s="293" t="str">
        <f t="shared" si="27"/>
        <v>-</v>
      </c>
      <c r="GP37" s="293" t="str">
        <f t="shared" si="27"/>
        <v>-</v>
      </c>
      <c r="GQ37" s="293" t="str">
        <f t="shared" si="27"/>
        <v>-</v>
      </c>
      <c r="GR37" s="304">
        <f t="shared" si="27"/>
        <v>0</v>
      </c>
      <c r="GS37" s="265"/>
      <c r="GT37" s="292" t="str">
        <f t="shared" ref="GT37:GY37" si="28">IF(GT35&lt;&gt;"",IF(GT36-GT35&gt;0,"+"&amp;GT36-GT35,GT36-GT35),"-")</f>
        <v>-</v>
      </c>
      <c r="GU37" s="293" t="str">
        <f t="shared" si="28"/>
        <v>-</v>
      </c>
      <c r="GV37" s="293" t="str">
        <f t="shared" si="28"/>
        <v>-</v>
      </c>
      <c r="GW37" s="293" t="str">
        <f t="shared" si="28"/>
        <v>-</v>
      </c>
      <c r="GX37" s="293" t="str">
        <f t="shared" si="28"/>
        <v>-</v>
      </c>
      <c r="GY37" s="304">
        <f t="shared" si="28"/>
        <v>0</v>
      </c>
      <c r="GZ37" s="283"/>
      <c r="HA37" s="292" t="str">
        <f t="shared" ref="HA37:HF37" si="29">IF(HA35&lt;&gt;"",IF(HA36-HA35&gt;0,"+"&amp;HA36-HA35,HA36-HA35),"-")</f>
        <v>-</v>
      </c>
      <c r="HB37" s="293" t="str">
        <f t="shared" si="29"/>
        <v>-</v>
      </c>
      <c r="HC37" s="293" t="str">
        <f t="shared" si="29"/>
        <v>-</v>
      </c>
      <c r="HD37" s="293" t="str">
        <f t="shared" si="29"/>
        <v>-</v>
      </c>
      <c r="HE37" s="293" t="str">
        <f t="shared" si="29"/>
        <v>-</v>
      </c>
      <c r="HF37" s="304">
        <f t="shared" si="29"/>
        <v>0</v>
      </c>
      <c r="HG37" s="265"/>
      <c r="HH37" s="292" t="str">
        <f t="shared" ref="HH37:HM37" si="30">IF(HH35&lt;&gt;"",IF(HH36-HH35&gt;0,"+"&amp;HH36-HH35,HH36-HH35),"-")</f>
        <v>-</v>
      </c>
      <c r="HI37" s="293" t="str">
        <f t="shared" si="30"/>
        <v>-</v>
      </c>
      <c r="HJ37" s="293" t="str">
        <f t="shared" si="30"/>
        <v>-</v>
      </c>
      <c r="HK37" s="293" t="str">
        <f t="shared" si="30"/>
        <v>-</v>
      </c>
      <c r="HL37" s="293" t="str">
        <f t="shared" si="30"/>
        <v>-</v>
      </c>
      <c r="HM37" s="304">
        <f t="shared" si="30"/>
        <v>0</v>
      </c>
      <c r="HN37" s="265"/>
      <c r="HO37" s="292" t="str">
        <f t="shared" ref="HO37:HT37" si="31">IF(HO35&lt;&gt;"",IF(HO36-HO35&gt;0,"+"&amp;HO36-HO35,HO36-HO35),"-")</f>
        <v>-</v>
      </c>
      <c r="HP37" s="293" t="str">
        <f t="shared" si="31"/>
        <v>-</v>
      </c>
      <c r="HQ37" s="293" t="str">
        <f t="shared" si="31"/>
        <v>-</v>
      </c>
      <c r="HR37" s="293" t="str">
        <f t="shared" si="31"/>
        <v>-</v>
      </c>
      <c r="HS37" s="293" t="str">
        <f t="shared" si="31"/>
        <v>-</v>
      </c>
      <c r="HT37" s="304">
        <f t="shared" si="31"/>
        <v>0</v>
      </c>
      <c r="HU37" s="265"/>
      <c r="HV37" s="292" t="str">
        <f t="shared" ref="HV37:IA37" si="32">IF(HV35&lt;&gt;"",IF(HV36-HV35&gt;0,"+"&amp;HV36-HV35,HV36-HV35),"-")</f>
        <v>-</v>
      </c>
      <c r="HW37" s="293" t="str">
        <f t="shared" si="32"/>
        <v>-</v>
      </c>
      <c r="HX37" s="293" t="str">
        <f t="shared" si="32"/>
        <v>-</v>
      </c>
      <c r="HY37" s="293" t="str">
        <f t="shared" si="32"/>
        <v>-</v>
      </c>
      <c r="HZ37" s="293" t="str">
        <f t="shared" si="32"/>
        <v>-</v>
      </c>
      <c r="IA37" s="304">
        <f t="shared" si="32"/>
        <v>0</v>
      </c>
      <c r="IB37" s="265"/>
      <c r="IC37" s="292" t="str">
        <f t="shared" ref="IC37:IH37" si="33">IF(IC35&lt;&gt;"",IF(IC36-IC35&gt;0,"+"&amp;IC36-IC35,IC36-IC35),"-")</f>
        <v>-</v>
      </c>
      <c r="ID37" s="293" t="str">
        <f t="shared" si="33"/>
        <v>-</v>
      </c>
      <c r="IE37" s="293" t="str">
        <f t="shared" si="33"/>
        <v>-</v>
      </c>
      <c r="IF37" s="293" t="str">
        <f t="shared" si="33"/>
        <v>-</v>
      </c>
      <c r="IG37" s="293" t="str">
        <f t="shared" si="33"/>
        <v>-</v>
      </c>
      <c r="IH37" s="304">
        <f t="shared" si="33"/>
        <v>0</v>
      </c>
      <c r="II37" s="265"/>
      <c r="IJ37" s="292" t="str">
        <f t="shared" ref="IJ37:IO37" si="34">IF(IJ35&lt;&gt;"",IF(IJ36-IJ35&gt;0,"+"&amp;IJ36-IJ35,IJ36-IJ35),"-")</f>
        <v>-</v>
      </c>
      <c r="IK37" s="293" t="str">
        <f t="shared" si="34"/>
        <v>-</v>
      </c>
      <c r="IL37" s="293" t="str">
        <f t="shared" si="34"/>
        <v>-</v>
      </c>
      <c r="IM37" s="293" t="str">
        <f t="shared" si="34"/>
        <v>-</v>
      </c>
      <c r="IN37" s="293" t="str">
        <f t="shared" si="34"/>
        <v>-</v>
      </c>
      <c r="IO37" s="304">
        <f t="shared" si="34"/>
        <v>0</v>
      </c>
      <c r="IP37" s="265"/>
      <c r="IQ37" s="292" t="str">
        <f t="shared" ref="IQ37:IV37" si="35">IF(IQ35&lt;&gt;"",IF(IQ36-IQ35&gt;0,"+"&amp;IQ36-IQ35,IQ36-IQ35),"-")</f>
        <v>-</v>
      </c>
      <c r="IR37" s="293" t="str">
        <f t="shared" si="35"/>
        <v>-</v>
      </c>
      <c r="IS37" s="293" t="str">
        <f t="shared" si="35"/>
        <v>-</v>
      </c>
      <c r="IT37" s="293" t="str">
        <f t="shared" si="35"/>
        <v>-</v>
      </c>
      <c r="IU37" s="293" t="str">
        <f t="shared" si="35"/>
        <v>-</v>
      </c>
      <c r="IV37" s="304">
        <f t="shared" si="35"/>
        <v>0</v>
      </c>
      <c r="IW37" s="265"/>
      <c r="IX37" s="292" t="str">
        <f t="shared" ref="IX37:JC37" si="36">IF(IX35&lt;&gt;"",IF(IX36-IX35&gt;0,"+"&amp;IX36-IX35,IX36-IX35),"-")</f>
        <v>-</v>
      </c>
      <c r="IY37" s="293" t="str">
        <f t="shared" si="36"/>
        <v>-</v>
      </c>
      <c r="IZ37" s="293" t="str">
        <f t="shared" si="36"/>
        <v>-</v>
      </c>
      <c r="JA37" s="293" t="str">
        <f t="shared" si="36"/>
        <v>-</v>
      </c>
      <c r="JB37" s="293" t="str">
        <f t="shared" si="36"/>
        <v>-</v>
      </c>
      <c r="JC37" s="304">
        <f t="shared" si="36"/>
        <v>0</v>
      </c>
      <c r="JD37" s="265"/>
      <c r="JE37" s="292" t="str">
        <f t="shared" ref="JE37:JJ37" si="37">IF(JE35&lt;&gt;"",IF(JE36-JE35&gt;0,"+"&amp;JE36-JE35,JE36-JE35),"-")</f>
        <v>-</v>
      </c>
      <c r="JF37" s="293" t="str">
        <f t="shared" si="37"/>
        <v>-</v>
      </c>
      <c r="JG37" s="293" t="str">
        <f t="shared" si="37"/>
        <v>-</v>
      </c>
      <c r="JH37" s="293" t="str">
        <f t="shared" si="37"/>
        <v>-</v>
      </c>
      <c r="JI37" s="293" t="str">
        <f t="shared" si="37"/>
        <v>-</v>
      </c>
      <c r="JJ37" s="304">
        <f t="shared" si="37"/>
        <v>0</v>
      </c>
      <c r="JK37" s="265"/>
      <c r="JL37" s="292" t="str">
        <f t="shared" ref="JL37:JQ37" si="38">IF(JL35&lt;&gt;"",IF(JL36-JL35&gt;0,"+"&amp;JL36-JL35,JL36-JL35),"-")</f>
        <v>-</v>
      </c>
      <c r="JM37" s="293" t="str">
        <f t="shared" si="38"/>
        <v>-</v>
      </c>
      <c r="JN37" s="293" t="str">
        <f t="shared" si="38"/>
        <v>-</v>
      </c>
      <c r="JO37" s="293" t="str">
        <f t="shared" si="38"/>
        <v>-</v>
      </c>
      <c r="JP37" s="293" t="str">
        <f t="shared" si="38"/>
        <v>-</v>
      </c>
      <c r="JQ37" s="304">
        <f t="shared" si="38"/>
        <v>0</v>
      </c>
      <c r="JR37" s="265"/>
      <c r="JS37" s="292" t="str">
        <f t="shared" ref="JS37:JX37" si="39">IF(JS35&lt;&gt;"",IF(JS36-JS35&gt;0,"+"&amp;JS36-JS35,JS36-JS35),"-")</f>
        <v>-</v>
      </c>
      <c r="JT37" s="293" t="str">
        <f t="shared" si="39"/>
        <v>-</v>
      </c>
      <c r="JU37" s="293" t="str">
        <f t="shared" si="39"/>
        <v>-</v>
      </c>
      <c r="JV37" s="293" t="str">
        <f t="shared" si="39"/>
        <v>-</v>
      </c>
      <c r="JW37" s="293" t="str">
        <f t="shared" si="39"/>
        <v>-</v>
      </c>
      <c r="JX37" s="304">
        <f t="shared" si="39"/>
        <v>0</v>
      </c>
      <c r="JY37" s="265"/>
      <c r="JZ37" s="292" t="str">
        <f t="shared" ref="JZ37:KE37" si="40">IF(JZ35&lt;&gt;"",IF(JZ36-JZ35&gt;0,"+"&amp;JZ36-JZ35,JZ36-JZ35),"-")</f>
        <v>-</v>
      </c>
      <c r="KA37" s="293" t="str">
        <f t="shared" si="40"/>
        <v>-</v>
      </c>
      <c r="KB37" s="293" t="str">
        <f t="shared" si="40"/>
        <v>-</v>
      </c>
      <c r="KC37" s="293" t="str">
        <f t="shared" si="40"/>
        <v>-</v>
      </c>
      <c r="KD37" s="293" t="str">
        <f t="shared" si="40"/>
        <v>-</v>
      </c>
      <c r="KE37" s="304">
        <f t="shared" si="40"/>
        <v>0</v>
      </c>
      <c r="KF37" s="265"/>
      <c r="KG37" s="292" t="str">
        <f t="shared" ref="KG37:KL37" si="41">IF(KG35&lt;&gt;"",IF(KG36-KG35&gt;0,"+"&amp;KG36-KG35,KG36-KG35),"-")</f>
        <v>-</v>
      </c>
      <c r="KH37" s="293" t="str">
        <f t="shared" si="41"/>
        <v>-</v>
      </c>
      <c r="KI37" s="293" t="str">
        <f t="shared" si="41"/>
        <v>-</v>
      </c>
      <c r="KJ37" s="293" t="str">
        <f t="shared" si="41"/>
        <v>-</v>
      </c>
      <c r="KK37" s="293" t="str">
        <f t="shared" si="41"/>
        <v>-</v>
      </c>
      <c r="KL37" s="304">
        <f t="shared" si="41"/>
        <v>0</v>
      </c>
      <c r="KM37" s="265"/>
      <c r="KN37" s="292" t="str">
        <f t="shared" ref="KN37:KS37" si="42">IF(KN35&lt;&gt;"",IF(KN36-KN35&gt;0,"+"&amp;KN36-KN35,KN36-KN35),"-")</f>
        <v>-</v>
      </c>
      <c r="KO37" s="293" t="str">
        <f t="shared" si="42"/>
        <v>-</v>
      </c>
      <c r="KP37" s="293" t="str">
        <f t="shared" si="42"/>
        <v>-</v>
      </c>
      <c r="KQ37" s="293" t="str">
        <f t="shared" si="42"/>
        <v>-</v>
      </c>
      <c r="KR37" s="293" t="str">
        <f t="shared" si="42"/>
        <v>-</v>
      </c>
      <c r="KS37" s="304">
        <f t="shared" si="42"/>
        <v>0</v>
      </c>
      <c r="KT37" s="265"/>
      <c r="KU37" s="292" t="str">
        <f t="shared" ref="KU37:KZ37" si="43">IF(KU35&lt;&gt;"",IF(KU36-KU35&gt;0,"+"&amp;KU36-KU35,KU36-KU35),"-")</f>
        <v>-</v>
      </c>
      <c r="KV37" s="293" t="str">
        <f t="shared" si="43"/>
        <v>-</v>
      </c>
      <c r="KW37" s="293" t="str">
        <f t="shared" si="43"/>
        <v>-</v>
      </c>
      <c r="KX37" s="293" t="str">
        <f t="shared" si="43"/>
        <v>-</v>
      </c>
      <c r="KY37" s="293" t="str">
        <f t="shared" si="43"/>
        <v>-</v>
      </c>
      <c r="KZ37" s="304">
        <f t="shared" si="43"/>
        <v>0</v>
      </c>
      <c r="LA37" s="265"/>
      <c r="LB37" s="292" t="str">
        <f t="shared" ref="LB37:LG37" si="44">IF(LB35&lt;&gt;"",IF(LB36-LB35&gt;0,"+"&amp;LB36-LB35,LB36-LB35),"-")</f>
        <v>-</v>
      </c>
      <c r="LC37" s="293" t="str">
        <f t="shared" si="44"/>
        <v>-</v>
      </c>
      <c r="LD37" s="293" t="str">
        <f t="shared" si="44"/>
        <v>-</v>
      </c>
      <c r="LE37" s="293" t="str">
        <f t="shared" si="44"/>
        <v>-</v>
      </c>
      <c r="LF37" s="293" t="str">
        <f t="shared" si="44"/>
        <v>-</v>
      </c>
      <c r="LG37" s="304">
        <f t="shared" si="44"/>
        <v>0</v>
      </c>
      <c r="LH37" s="265"/>
      <c r="LI37" s="292" t="str">
        <f t="shared" ref="LI37:LN37" si="45">IF(LI35&lt;&gt;"",IF(LI36-LI35&gt;0,"+"&amp;LI36-LI35,LI36-LI35),"-")</f>
        <v>-</v>
      </c>
      <c r="LJ37" s="293" t="str">
        <f t="shared" si="45"/>
        <v>-</v>
      </c>
      <c r="LK37" s="293" t="str">
        <f t="shared" si="45"/>
        <v>-</v>
      </c>
      <c r="LL37" s="293" t="str">
        <f t="shared" si="45"/>
        <v>-</v>
      </c>
      <c r="LM37" s="293" t="str">
        <f t="shared" si="45"/>
        <v>-</v>
      </c>
      <c r="LN37" s="304">
        <f t="shared" si="45"/>
        <v>0</v>
      </c>
      <c r="LO37" s="265"/>
      <c r="LP37" s="292" t="str">
        <f t="shared" ref="LP37:LU37" si="46">IF(LP35&lt;&gt;"",IF(LP36-LP35&gt;0,"+"&amp;LP36-LP35,LP36-LP35),"-")</f>
        <v>-</v>
      </c>
      <c r="LQ37" s="293" t="str">
        <f t="shared" si="46"/>
        <v>-</v>
      </c>
      <c r="LR37" s="293" t="str">
        <f t="shared" si="46"/>
        <v>-</v>
      </c>
      <c r="LS37" s="293" t="str">
        <f t="shared" si="46"/>
        <v>-</v>
      </c>
      <c r="LT37" s="293" t="str">
        <f t="shared" si="46"/>
        <v>-</v>
      </c>
      <c r="LU37" s="304">
        <f t="shared" si="46"/>
        <v>0</v>
      </c>
      <c r="LV37" s="265"/>
      <c r="LW37" s="292" t="str">
        <f t="shared" ref="LW37:MB37" si="47">IF(LW35&lt;&gt;"",IF(LW36-LW35&gt;0,"+"&amp;LW36-LW35,LW36-LW35),"-")</f>
        <v>-</v>
      </c>
      <c r="LX37" s="293" t="str">
        <f t="shared" si="47"/>
        <v>-</v>
      </c>
      <c r="LY37" s="293" t="str">
        <f t="shared" si="47"/>
        <v>-</v>
      </c>
      <c r="LZ37" s="293" t="str">
        <f t="shared" si="47"/>
        <v>-</v>
      </c>
      <c r="MA37" s="293" t="str">
        <f t="shared" si="47"/>
        <v>-</v>
      </c>
      <c r="MB37" s="304">
        <f t="shared" si="47"/>
        <v>0</v>
      </c>
      <c r="MC37" s="265"/>
      <c r="MD37" s="292" t="str">
        <f t="shared" ref="MD37:MI37" si="48">IF(MD35&lt;&gt;"",IF(MD36-MD35&gt;0,"+"&amp;MD36-MD35,MD36-MD35),"-")</f>
        <v>-</v>
      </c>
      <c r="ME37" s="293" t="str">
        <f t="shared" si="48"/>
        <v>-</v>
      </c>
      <c r="MF37" s="293" t="str">
        <f t="shared" si="48"/>
        <v>-</v>
      </c>
      <c r="MG37" s="293" t="str">
        <f t="shared" si="48"/>
        <v>-</v>
      </c>
      <c r="MH37" s="293" t="str">
        <f t="shared" si="48"/>
        <v>-</v>
      </c>
      <c r="MI37" s="304">
        <f t="shared" si="48"/>
        <v>0</v>
      </c>
      <c r="MJ37" s="265"/>
      <c r="MK37" s="292" t="str">
        <f t="shared" ref="MK37:MP37" si="49">IF(MK35&lt;&gt;"",IF(MK36-MK35&gt;0,"+"&amp;MK36-MK35,MK36-MK35),"-")</f>
        <v>-</v>
      </c>
      <c r="ML37" s="293" t="str">
        <f t="shared" si="49"/>
        <v>-</v>
      </c>
      <c r="MM37" s="293" t="str">
        <f t="shared" si="49"/>
        <v>-</v>
      </c>
      <c r="MN37" s="293" t="str">
        <f t="shared" si="49"/>
        <v>-</v>
      </c>
      <c r="MO37" s="293" t="str">
        <f t="shared" si="49"/>
        <v>-</v>
      </c>
      <c r="MP37" s="304">
        <f t="shared" si="49"/>
        <v>0</v>
      </c>
      <c r="MQ37" s="265"/>
      <c r="MR37" s="292" t="str">
        <f t="shared" ref="MR37:MW37" si="50">IF(MR35&lt;&gt;"",IF(MR36-MR35&gt;0,"+"&amp;MR36-MR35,MR36-MR35),"-")</f>
        <v>-</v>
      </c>
      <c r="MS37" s="293" t="str">
        <f t="shared" si="50"/>
        <v>-</v>
      </c>
      <c r="MT37" s="293" t="str">
        <f t="shared" si="50"/>
        <v>-</v>
      </c>
      <c r="MU37" s="293" t="str">
        <f t="shared" si="50"/>
        <v>-</v>
      </c>
      <c r="MV37" s="293" t="str">
        <f t="shared" si="50"/>
        <v>-</v>
      </c>
      <c r="MW37" s="304">
        <f t="shared" si="50"/>
        <v>0</v>
      </c>
      <c r="MX37" s="265"/>
      <c r="MY37" s="292" t="str">
        <f t="shared" ref="MY37:ND37" si="51">IF(MY35&lt;&gt;"",IF(MY36-MY35&gt;0,"+"&amp;MY36-MY35,MY36-MY35),"-")</f>
        <v>-</v>
      </c>
      <c r="MZ37" s="293" t="str">
        <f t="shared" si="51"/>
        <v>-</v>
      </c>
      <c r="NA37" s="293" t="str">
        <f t="shared" si="51"/>
        <v>-</v>
      </c>
      <c r="NB37" s="293" t="str">
        <f t="shared" si="51"/>
        <v>-</v>
      </c>
      <c r="NC37" s="293" t="str">
        <f t="shared" si="51"/>
        <v>-</v>
      </c>
      <c r="ND37" s="304">
        <f t="shared" si="51"/>
        <v>0</v>
      </c>
      <c r="NE37" s="265"/>
      <c r="NF37" s="292" t="str">
        <f t="shared" ref="NF37:NK37" si="52">IF(NF35&lt;&gt;"",IF(NF36-NF35&gt;0,"+"&amp;NF36-NF35,NF36-NF35),"-")</f>
        <v>-</v>
      </c>
      <c r="NG37" s="293" t="str">
        <f t="shared" si="52"/>
        <v>-</v>
      </c>
      <c r="NH37" s="293" t="str">
        <f t="shared" si="52"/>
        <v>-</v>
      </c>
      <c r="NI37" s="293" t="str">
        <f t="shared" si="52"/>
        <v>-</v>
      </c>
      <c r="NJ37" s="293" t="str">
        <f t="shared" si="52"/>
        <v>-</v>
      </c>
      <c r="NK37" s="304">
        <f t="shared" si="52"/>
        <v>0</v>
      </c>
      <c r="NL37" s="265"/>
      <c r="NM37" s="292" t="str">
        <f t="shared" ref="NM37:NR37" si="53">IF(NM35&lt;&gt;"",IF(NM36-NM35&gt;0,"+"&amp;NM36-NM35,NM36-NM35),"-")</f>
        <v>-</v>
      </c>
      <c r="NN37" s="293" t="str">
        <f t="shared" si="53"/>
        <v>-</v>
      </c>
      <c r="NO37" s="293" t="str">
        <f t="shared" si="53"/>
        <v>-</v>
      </c>
      <c r="NP37" s="293" t="str">
        <f t="shared" si="53"/>
        <v>-</v>
      </c>
      <c r="NQ37" s="293" t="str">
        <f t="shared" si="53"/>
        <v>-</v>
      </c>
      <c r="NR37" s="304">
        <f t="shared" si="53"/>
        <v>0</v>
      </c>
      <c r="NS37" s="283"/>
    </row>
    <row r="38" spans="1:383" s="196" customFormat="1" ht="16.05" customHeight="1" x14ac:dyDescent="0.3">
      <c r="A38" s="294"/>
      <c r="B38" s="284" t="s">
        <v>385</v>
      </c>
      <c r="C38" s="285" t="s">
        <v>415</v>
      </c>
      <c r="D38" s="338"/>
      <c r="E38"/>
      <c r="F38" s="279">
        <v>7</v>
      </c>
      <c r="G38" s="280">
        <v>7</v>
      </c>
      <c r="H38" s="280"/>
      <c r="I38" s="280">
        <v>7</v>
      </c>
      <c r="J38" s="280">
        <v>7</v>
      </c>
      <c r="K38" s="302">
        <f>SUM(F38:J38)</f>
        <v>28</v>
      </c>
      <c r="L38" s="265"/>
      <c r="M38" s="279"/>
      <c r="N38" s="280"/>
      <c r="O38" s="280"/>
      <c r="P38" s="280"/>
      <c r="Q38" s="280"/>
      <c r="R38" s="302">
        <f>SUM(M38:Q38)</f>
        <v>0</v>
      </c>
      <c r="S38" s="265"/>
      <c r="T38" s="279">
        <v>5</v>
      </c>
      <c r="U38" s="280">
        <v>5</v>
      </c>
      <c r="V38" s="280">
        <v>5</v>
      </c>
      <c r="W38" s="280">
        <v>5</v>
      </c>
      <c r="X38" s="280">
        <v>5</v>
      </c>
      <c r="Y38" s="302">
        <f>SUM(T38:X38)</f>
        <v>25</v>
      </c>
      <c r="Z38" s="265"/>
      <c r="AA38" s="279">
        <v>5</v>
      </c>
      <c r="AB38" s="280">
        <v>5</v>
      </c>
      <c r="AC38" s="280">
        <v>5</v>
      </c>
      <c r="AD38" s="280">
        <v>5</v>
      </c>
      <c r="AE38" s="280">
        <v>5</v>
      </c>
      <c r="AF38" s="302">
        <f>SUM(AA38:AE38)</f>
        <v>25</v>
      </c>
      <c r="AG38" s="265"/>
      <c r="AH38" s="279">
        <v>5</v>
      </c>
      <c r="AI38" s="280">
        <v>5</v>
      </c>
      <c r="AJ38" s="280">
        <v>5</v>
      </c>
      <c r="AK38" s="280">
        <v>5</v>
      </c>
      <c r="AL38" s="280">
        <v>5</v>
      </c>
      <c r="AM38" s="302">
        <f>SUM(AH38:AL38)</f>
        <v>25</v>
      </c>
      <c r="AN38" s="265"/>
      <c r="AO38" s="279"/>
      <c r="AP38" s="280"/>
      <c r="AQ38" s="280"/>
      <c r="AR38" s="280"/>
      <c r="AS38" s="280"/>
      <c r="AT38" s="302">
        <f>SUM(AO38:AS38)</f>
        <v>0</v>
      </c>
      <c r="AU38" s="265"/>
      <c r="AV38" s="279"/>
      <c r="AW38" s="280"/>
      <c r="AX38" s="280"/>
      <c r="AY38" s="280"/>
      <c r="AZ38" s="280"/>
      <c r="BA38" s="302">
        <f>SUM(AV38:AZ38)</f>
        <v>0</v>
      </c>
      <c r="BB38" s="265"/>
      <c r="BC38" s="279"/>
      <c r="BD38" s="280"/>
      <c r="BE38" s="280"/>
      <c r="BF38" s="280"/>
      <c r="BG38" s="280"/>
      <c r="BH38" s="302">
        <f>SUM(BC38:BG38)</f>
        <v>0</v>
      </c>
      <c r="BI38" s="265"/>
      <c r="BJ38" s="279"/>
      <c r="BK38" s="280"/>
      <c r="BL38" s="280"/>
      <c r="BM38" s="280"/>
      <c r="BN38" s="280"/>
      <c r="BO38" s="302">
        <f>SUM(BJ38:BN38)</f>
        <v>0</v>
      </c>
      <c r="BP38" s="265"/>
      <c r="BQ38" s="279"/>
      <c r="BR38" s="280"/>
      <c r="BS38" s="280"/>
      <c r="BT38" s="280"/>
      <c r="BU38" s="280"/>
      <c r="BV38" s="302">
        <f>SUM(BQ38:BU38)</f>
        <v>0</v>
      </c>
      <c r="BW38" s="265"/>
      <c r="BX38" s="279"/>
      <c r="BY38" s="280"/>
      <c r="BZ38" s="280"/>
      <c r="CA38" s="280"/>
      <c r="CB38" s="280"/>
      <c r="CC38" s="302">
        <f>SUM(BX38:CB38)</f>
        <v>0</v>
      </c>
      <c r="CD38" s="265"/>
      <c r="CE38" s="279"/>
      <c r="CF38" s="280"/>
      <c r="CG38" s="280"/>
      <c r="CH38" s="280"/>
      <c r="CI38" s="280"/>
      <c r="CJ38" s="302">
        <f>SUM(CE38:CI38)</f>
        <v>0</v>
      </c>
      <c r="CK38" s="265"/>
      <c r="CL38" s="279"/>
      <c r="CM38" s="280"/>
      <c r="CN38" s="280"/>
      <c r="CO38" s="280"/>
      <c r="CP38" s="280"/>
      <c r="CQ38" s="302">
        <f>SUM(CL38:CP38)</f>
        <v>0</v>
      </c>
      <c r="CR38" s="265"/>
      <c r="CS38" s="279"/>
      <c r="CT38" s="280"/>
      <c r="CU38" s="280"/>
      <c r="CV38" s="280"/>
      <c r="CW38" s="280"/>
      <c r="CX38" s="302">
        <f>SUM(CS38:CW38)</f>
        <v>0</v>
      </c>
      <c r="CY38" s="265"/>
      <c r="CZ38" s="279"/>
      <c r="DA38" s="280"/>
      <c r="DB38" s="280"/>
      <c r="DC38" s="280"/>
      <c r="DD38" s="280"/>
      <c r="DE38" s="302">
        <f>SUM(CZ38:DD38)</f>
        <v>0</v>
      </c>
      <c r="DF38" s="265"/>
      <c r="DG38" s="279"/>
      <c r="DH38" s="280"/>
      <c r="DI38" s="280"/>
      <c r="DJ38" s="280"/>
      <c r="DK38" s="280"/>
      <c r="DL38" s="302">
        <f>SUM(DG38:DK38)</f>
        <v>0</v>
      </c>
      <c r="DM38" s="265"/>
      <c r="DN38" s="279"/>
      <c r="DO38" s="280"/>
      <c r="DP38" s="280"/>
      <c r="DQ38" s="280"/>
      <c r="DR38" s="280"/>
      <c r="DS38" s="302">
        <f>SUM(DN38:DR38)</f>
        <v>0</v>
      </c>
      <c r="DT38" s="265"/>
      <c r="DU38" s="279"/>
      <c r="DV38" s="280"/>
      <c r="DW38" s="280"/>
      <c r="DX38" s="280"/>
      <c r="DY38" s="280"/>
      <c r="DZ38" s="302">
        <f>SUM(DU38:DY38)</f>
        <v>0</v>
      </c>
      <c r="EA38" s="265"/>
      <c r="EB38" s="279"/>
      <c r="EC38" s="280"/>
      <c r="ED38" s="280"/>
      <c r="EE38" s="280"/>
      <c r="EF38" s="280"/>
      <c r="EG38" s="302">
        <f>SUM(EB38:EF38)</f>
        <v>0</v>
      </c>
      <c r="EH38" s="265"/>
      <c r="EI38" s="279"/>
      <c r="EJ38" s="280"/>
      <c r="EK38" s="280"/>
      <c r="EL38" s="280"/>
      <c r="EM38" s="280"/>
      <c r="EN38" s="302">
        <f>SUM(EI38:EM38)</f>
        <v>0</v>
      </c>
      <c r="EO38" s="265"/>
      <c r="EP38" s="279"/>
      <c r="EQ38" s="280"/>
      <c r="ER38" s="280"/>
      <c r="ES38" s="280"/>
      <c r="ET38" s="280"/>
      <c r="EU38" s="302">
        <f>SUM(EP38:ET38)</f>
        <v>0</v>
      </c>
      <c r="EV38" s="265"/>
      <c r="EW38" s="279"/>
      <c r="EX38" s="280"/>
      <c r="EY38" s="280"/>
      <c r="EZ38" s="280"/>
      <c r="FA38" s="280"/>
      <c r="FB38" s="302">
        <f>SUM(EW38:FA38)</f>
        <v>0</v>
      </c>
      <c r="FC38" s="265"/>
      <c r="FD38" s="279"/>
      <c r="FE38" s="280"/>
      <c r="FF38" s="280"/>
      <c r="FG38" s="280"/>
      <c r="FH38" s="280"/>
      <c r="FI38" s="302">
        <f>SUM(FD38:FH38)</f>
        <v>0</v>
      </c>
      <c r="FJ38" s="265"/>
      <c r="FK38" s="279"/>
      <c r="FL38" s="280"/>
      <c r="FM38" s="280"/>
      <c r="FN38" s="280"/>
      <c r="FO38" s="280"/>
      <c r="FP38" s="302">
        <f>SUM(FK38:FO38)</f>
        <v>0</v>
      </c>
      <c r="FQ38" s="265"/>
      <c r="FR38" s="279"/>
      <c r="FS38" s="280"/>
      <c r="FT38" s="280"/>
      <c r="FU38" s="280"/>
      <c r="FV38" s="280"/>
      <c r="FW38" s="302">
        <f>SUM(FR38:FV38)</f>
        <v>0</v>
      </c>
      <c r="FX38" s="265"/>
      <c r="FY38" s="279"/>
      <c r="FZ38" s="280"/>
      <c r="GA38" s="280"/>
      <c r="GB38" s="280"/>
      <c r="GC38" s="280"/>
      <c r="GD38" s="302">
        <f>SUM(FY38:GC38)</f>
        <v>0</v>
      </c>
      <c r="GE38" s="265"/>
      <c r="GF38" s="279"/>
      <c r="GG38" s="280"/>
      <c r="GH38" s="280"/>
      <c r="GI38" s="280"/>
      <c r="GJ38" s="280"/>
      <c r="GK38" s="302">
        <f>SUM(GF38:GJ38)</f>
        <v>0</v>
      </c>
      <c r="GL38" s="265"/>
      <c r="GM38" s="279"/>
      <c r="GN38" s="280"/>
      <c r="GO38" s="280"/>
      <c r="GP38" s="280"/>
      <c r="GQ38" s="280"/>
      <c r="GR38" s="302">
        <f>SUM(GM38:GQ38)</f>
        <v>0</v>
      </c>
      <c r="GS38" s="265"/>
      <c r="GT38" s="279"/>
      <c r="GU38" s="280"/>
      <c r="GV38" s="280"/>
      <c r="GW38" s="280"/>
      <c r="GX38" s="280"/>
      <c r="GY38" s="302">
        <f>SUM(GT38:GX38)</f>
        <v>0</v>
      </c>
      <c r="GZ38" s="283"/>
      <c r="HA38" s="370"/>
      <c r="HB38" s="371"/>
      <c r="HC38" s="371"/>
      <c r="HD38" s="371"/>
      <c r="HE38" s="371"/>
      <c r="HF38" s="302">
        <f>SUM(HA38:HE38)</f>
        <v>0</v>
      </c>
      <c r="HG38" s="265"/>
      <c r="HH38" s="370"/>
      <c r="HI38" s="371"/>
      <c r="HJ38" s="371"/>
      <c r="HK38" s="371"/>
      <c r="HL38" s="371"/>
      <c r="HM38" s="302">
        <f>SUM(HH38:HL38)</f>
        <v>0</v>
      </c>
      <c r="HN38" s="265"/>
      <c r="HO38" s="370"/>
      <c r="HP38" s="371"/>
      <c r="HQ38" s="371"/>
      <c r="HR38" s="371"/>
      <c r="HS38" s="371"/>
      <c r="HT38" s="302">
        <f>SUM(HO38:HS38)</f>
        <v>0</v>
      </c>
      <c r="HU38" s="265"/>
      <c r="HV38" s="370"/>
      <c r="HW38" s="371"/>
      <c r="HX38" s="371"/>
      <c r="HY38" s="371"/>
      <c r="HZ38" s="371"/>
      <c r="IA38" s="302">
        <f>SUM(HV38:HZ38)</f>
        <v>0</v>
      </c>
      <c r="IB38" s="265"/>
      <c r="IC38" s="370"/>
      <c r="ID38" s="371"/>
      <c r="IE38" s="371"/>
      <c r="IF38" s="371"/>
      <c r="IG38" s="371"/>
      <c r="IH38" s="302">
        <f>SUM(IC38:IG38)</f>
        <v>0</v>
      </c>
      <c r="II38" s="265"/>
      <c r="IJ38" s="370"/>
      <c r="IK38" s="371"/>
      <c r="IL38" s="371"/>
      <c r="IM38" s="371"/>
      <c r="IN38" s="371"/>
      <c r="IO38" s="302">
        <f>SUM(IJ38:IN38)</f>
        <v>0</v>
      </c>
      <c r="IP38" s="265"/>
      <c r="IQ38" s="370"/>
      <c r="IR38" s="371"/>
      <c r="IS38" s="371"/>
      <c r="IT38" s="371"/>
      <c r="IU38" s="371"/>
      <c r="IV38" s="302">
        <f>SUM(IQ38:IU38)</f>
        <v>0</v>
      </c>
      <c r="IW38" s="265"/>
      <c r="IX38" s="370"/>
      <c r="IY38" s="371"/>
      <c r="IZ38" s="371"/>
      <c r="JA38" s="371"/>
      <c r="JB38" s="371"/>
      <c r="JC38" s="302">
        <f>SUM(IX38:JB38)</f>
        <v>0</v>
      </c>
      <c r="JD38" s="265"/>
      <c r="JE38" s="370"/>
      <c r="JF38" s="371"/>
      <c r="JG38" s="371"/>
      <c r="JH38" s="371"/>
      <c r="JI38" s="371"/>
      <c r="JJ38" s="302">
        <f>SUM(JE38:JI38)</f>
        <v>0</v>
      </c>
      <c r="JK38" s="265"/>
      <c r="JL38" s="370"/>
      <c r="JM38" s="371"/>
      <c r="JN38" s="371"/>
      <c r="JO38" s="371"/>
      <c r="JP38" s="371"/>
      <c r="JQ38" s="302">
        <f>SUM(JL38:JP38)</f>
        <v>0</v>
      </c>
      <c r="JR38" s="265"/>
      <c r="JS38" s="370"/>
      <c r="JT38" s="371"/>
      <c r="JU38" s="371"/>
      <c r="JV38" s="371"/>
      <c r="JW38" s="371"/>
      <c r="JX38" s="302">
        <f>SUM(JS38:JW38)</f>
        <v>0</v>
      </c>
      <c r="JY38" s="265"/>
      <c r="JZ38" s="370"/>
      <c r="KA38" s="371"/>
      <c r="KB38" s="371"/>
      <c r="KC38" s="371"/>
      <c r="KD38" s="371"/>
      <c r="KE38" s="302">
        <f>SUM(JZ38:KD38)</f>
        <v>0</v>
      </c>
      <c r="KF38" s="265"/>
      <c r="KG38" s="370"/>
      <c r="KH38" s="371"/>
      <c r="KI38" s="371"/>
      <c r="KJ38" s="371"/>
      <c r="KK38" s="371"/>
      <c r="KL38" s="302">
        <f>SUM(KG38:KK38)</f>
        <v>0</v>
      </c>
      <c r="KM38" s="265"/>
      <c r="KN38" s="370"/>
      <c r="KO38" s="371"/>
      <c r="KP38" s="371"/>
      <c r="KQ38" s="371"/>
      <c r="KR38" s="371"/>
      <c r="KS38" s="302">
        <f>SUM(KN38:KR38)</f>
        <v>0</v>
      </c>
      <c r="KT38" s="265"/>
      <c r="KU38" s="370"/>
      <c r="KV38" s="371"/>
      <c r="KW38" s="371"/>
      <c r="KX38" s="371"/>
      <c r="KY38" s="371"/>
      <c r="KZ38" s="302">
        <f>SUM(KU38:KY38)</f>
        <v>0</v>
      </c>
      <c r="LA38" s="265"/>
      <c r="LB38" s="370"/>
      <c r="LC38" s="371"/>
      <c r="LD38" s="371"/>
      <c r="LE38" s="371"/>
      <c r="LF38" s="371"/>
      <c r="LG38" s="302">
        <f>SUM(LB38:LF38)</f>
        <v>0</v>
      </c>
      <c r="LH38" s="265"/>
      <c r="LI38" s="370"/>
      <c r="LJ38" s="371"/>
      <c r="LK38" s="371"/>
      <c r="LL38" s="371"/>
      <c r="LM38" s="371"/>
      <c r="LN38" s="302">
        <f>SUM(LI38:LM38)</f>
        <v>0</v>
      </c>
      <c r="LO38" s="265"/>
      <c r="LP38" s="370"/>
      <c r="LQ38" s="371"/>
      <c r="LR38" s="371"/>
      <c r="LS38" s="371"/>
      <c r="LT38" s="371"/>
      <c r="LU38" s="302">
        <f>SUM(LP38:LT38)</f>
        <v>0</v>
      </c>
      <c r="LV38" s="265"/>
      <c r="LW38" s="370"/>
      <c r="LX38" s="371"/>
      <c r="LY38" s="371"/>
      <c r="LZ38" s="371"/>
      <c r="MA38" s="371"/>
      <c r="MB38" s="302">
        <f>SUM(LW38:MA38)</f>
        <v>0</v>
      </c>
      <c r="MC38" s="265"/>
      <c r="MD38" s="370"/>
      <c r="ME38" s="371"/>
      <c r="MF38" s="371"/>
      <c r="MG38" s="371"/>
      <c r="MH38" s="371"/>
      <c r="MI38" s="302">
        <f>SUM(MD38:MH38)</f>
        <v>0</v>
      </c>
      <c r="MJ38" s="265"/>
      <c r="MK38" s="370"/>
      <c r="ML38" s="371"/>
      <c r="MM38" s="371"/>
      <c r="MN38" s="371"/>
      <c r="MO38" s="371"/>
      <c r="MP38" s="302">
        <f>SUM(MK38:MO38)</f>
        <v>0</v>
      </c>
      <c r="MQ38" s="265"/>
      <c r="MR38" s="370"/>
      <c r="MS38" s="371"/>
      <c r="MT38" s="371"/>
      <c r="MU38" s="371"/>
      <c r="MV38" s="371"/>
      <c r="MW38" s="302">
        <f>SUM(MR38:MV38)</f>
        <v>0</v>
      </c>
      <c r="MX38" s="265"/>
      <c r="MY38" s="370"/>
      <c r="MZ38" s="371"/>
      <c r="NA38" s="371"/>
      <c r="NB38" s="371"/>
      <c r="NC38" s="371"/>
      <c r="ND38" s="302">
        <f>SUM(MY38:NC38)</f>
        <v>0</v>
      </c>
      <c r="NE38" s="265"/>
      <c r="NF38" s="370"/>
      <c r="NG38" s="371"/>
      <c r="NH38" s="371"/>
      <c r="NI38" s="371"/>
      <c r="NJ38" s="371"/>
      <c r="NK38" s="302">
        <f>SUM(NF38:NJ38)</f>
        <v>0</v>
      </c>
      <c r="NL38" s="265"/>
      <c r="NM38" s="370"/>
      <c r="NN38" s="371"/>
      <c r="NO38" s="371"/>
      <c r="NP38" s="371"/>
      <c r="NQ38" s="371"/>
      <c r="NR38" s="302">
        <f>SUM(NM38:NQ38)</f>
        <v>0</v>
      </c>
      <c r="NS38" s="283"/>
    </row>
    <row r="39" spans="1:383" s="196" customFormat="1" ht="16.05" customHeight="1" x14ac:dyDescent="0.3">
      <c r="A39" s="294"/>
      <c r="B39" s="282"/>
      <c r="C39" s="286" t="s">
        <v>416</v>
      </c>
      <c r="D39" s="306"/>
      <c r="E39"/>
      <c r="F39" s="227">
        <f>'Pilotage effectif 27O'!I45</f>
        <v>11</v>
      </c>
      <c r="G39" s="228">
        <f>'Pilotage effectif 27O'!J45</f>
        <v>11</v>
      </c>
      <c r="H39" s="228">
        <f>'Pilotage effectif 27O'!K45</f>
        <v>0</v>
      </c>
      <c r="I39" s="228">
        <f>'Pilotage effectif 27O'!L45</f>
        <v>11</v>
      </c>
      <c r="J39" s="228">
        <f>'Pilotage effectif 27O'!M45</f>
        <v>11</v>
      </c>
      <c r="K39" s="303">
        <f>'Pilotage effectif 27O'!N45</f>
        <v>44</v>
      </c>
      <c r="L39" s="265"/>
      <c r="M39" s="227">
        <f>'Pilotage effectif 27O'!P45</f>
        <v>0</v>
      </c>
      <c r="N39" s="228">
        <f>'Pilotage effectif 27O'!Q45</f>
        <v>0</v>
      </c>
      <c r="O39" s="228">
        <f>'Pilotage effectif 27O'!R45</f>
        <v>0</v>
      </c>
      <c r="P39" s="228">
        <f>'Pilotage effectif 27O'!S45</f>
        <v>0</v>
      </c>
      <c r="Q39" s="228">
        <f>'Pilotage effectif 27O'!T45</f>
        <v>0</v>
      </c>
      <c r="R39" s="303">
        <f>'Pilotage effectif 27O'!U45</f>
        <v>0</v>
      </c>
      <c r="S39" s="265"/>
      <c r="T39" s="227">
        <f>'Pilotage effectif 27O'!W45</f>
        <v>1</v>
      </c>
      <c r="U39" s="228">
        <f>'Pilotage effectif 27O'!X45</f>
        <v>1</v>
      </c>
      <c r="V39" s="228">
        <f>'Pilotage effectif 27O'!Y45</f>
        <v>1</v>
      </c>
      <c r="W39" s="228">
        <f>'Pilotage effectif 27O'!Z45</f>
        <v>1</v>
      </c>
      <c r="X39" s="228">
        <f>'Pilotage effectif 27O'!AA45</f>
        <v>1</v>
      </c>
      <c r="Y39" s="303">
        <f>'Pilotage effectif 27O'!AB45</f>
        <v>5</v>
      </c>
      <c r="Z39" s="265"/>
      <c r="AA39" s="227">
        <f>'Pilotage effectif 27O'!AD45</f>
        <v>0</v>
      </c>
      <c r="AB39" s="228">
        <f>'Pilotage effectif 27O'!AE45</f>
        <v>0</v>
      </c>
      <c r="AC39" s="228">
        <f>'Pilotage effectif 27O'!AF45</f>
        <v>0</v>
      </c>
      <c r="AD39" s="228">
        <f>'Pilotage effectif 27O'!AG45</f>
        <v>0</v>
      </c>
      <c r="AE39" s="228">
        <f>'Pilotage effectif 27O'!AH45</f>
        <v>0</v>
      </c>
      <c r="AF39" s="303">
        <f>'Pilotage effectif 27O'!AI45</f>
        <v>0</v>
      </c>
      <c r="AG39" s="265"/>
      <c r="AH39" s="227">
        <f>'Pilotage effectif 27O'!AK45</f>
        <v>0</v>
      </c>
      <c r="AI39" s="228">
        <f>'Pilotage effectif 27O'!AL45</f>
        <v>0</v>
      </c>
      <c r="AJ39" s="228">
        <f>'Pilotage effectif 27O'!AM45</f>
        <v>0</v>
      </c>
      <c r="AK39" s="228">
        <f>'Pilotage effectif 27O'!AN45</f>
        <v>0</v>
      </c>
      <c r="AL39" s="228">
        <f>'Pilotage effectif 27O'!AO45</f>
        <v>0</v>
      </c>
      <c r="AM39" s="303">
        <f>'Pilotage effectif 27O'!AP45</f>
        <v>0</v>
      </c>
      <c r="AN39" s="265"/>
      <c r="AO39" s="227">
        <f>'Pilotage effectif 27O'!AR45</f>
        <v>0</v>
      </c>
      <c r="AP39" s="228">
        <f>'Pilotage effectif 27O'!AS45</f>
        <v>0</v>
      </c>
      <c r="AQ39" s="228">
        <f>'Pilotage effectif 27O'!AT45</f>
        <v>0</v>
      </c>
      <c r="AR39" s="228">
        <f>'Pilotage effectif 27O'!AU45</f>
        <v>0</v>
      </c>
      <c r="AS39" s="228">
        <f>'Pilotage effectif 27O'!AV45</f>
        <v>0</v>
      </c>
      <c r="AT39" s="303">
        <f>'Pilotage effectif 27O'!AW45</f>
        <v>0</v>
      </c>
      <c r="AU39" s="265"/>
      <c r="AV39" s="227">
        <f>'Pilotage effectif 27O'!AY45</f>
        <v>0</v>
      </c>
      <c r="AW39" s="228">
        <f>'Pilotage effectif 27O'!AZ45</f>
        <v>0</v>
      </c>
      <c r="AX39" s="228">
        <f>'Pilotage effectif 27O'!BA45</f>
        <v>0</v>
      </c>
      <c r="AY39" s="228">
        <f>'Pilotage effectif 27O'!BB45</f>
        <v>0</v>
      </c>
      <c r="AZ39" s="228">
        <f>'Pilotage effectif 27O'!BC45</f>
        <v>0</v>
      </c>
      <c r="BA39" s="303">
        <f>'Pilotage effectif 27O'!BD45</f>
        <v>0</v>
      </c>
      <c r="BB39" s="265"/>
      <c r="BC39" s="227">
        <f>'Pilotage effectif 27O'!BF45</f>
        <v>0</v>
      </c>
      <c r="BD39" s="228">
        <f>'Pilotage effectif 27O'!BG45</f>
        <v>0</v>
      </c>
      <c r="BE39" s="228">
        <f>'Pilotage effectif 27O'!BH45</f>
        <v>0</v>
      </c>
      <c r="BF39" s="228">
        <f>'Pilotage effectif 27O'!BI45</f>
        <v>0</v>
      </c>
      <c r="BG39" s="228">
        <f>'Pilotage effectif 27O'!BJ45</f>
        <v>0</v>
      </c>
      <c r="BH39" s="303">
        <f>'Pilotage effectif 27O'!BK45</f>
        <v>0</v>
      </c>
      <c r="BI39" s="265"/>
      <c r="BJ39" s="227">
        <f>'Pilotage effectif 27O'!BM45</f>
        <v>0</v>
      </c>
      <c r="BK39" s="228">
        <f>'Pilotage effectif 27O'!BN45</f>
        <v>0</v>
      </c>
      <c r="BL39" s="228">
        <f>'Pilotage effectif 27O'!BO45</f>
        <v>0</v>
      </c>
      <c r="BM39" s="228">
        <f>'Pilotage effectif 27O'!BP45</f>
        <v>0</v>
      </c>
      <c r="BN39" s="228">
        <f>'Pilotage effectif 27O'!BQ45</f>
        <v>0</v>
      </c>
      <c r="BO39" s="303">
        <f>'Pilotage effectif 27O'!BR45</f>
        <v>0</v>
      </c>
      <c r="BP39" s="265"/>
      <c r="BQ39" s="227">
        <f>'Pilotage effectif 27O'!BT45</f>
        <v>0</v>
      </c>
      <c r="BR39" s="228">
        <f>'Pilotage effectif 27O'!BU45</f>
        <v>0</v>
      </c>
      <c r="BS39" s="228">
        <f>'Pilotage effectif 27O'!BV45</f>
        <v>0</v>
      </c>
      <c r="BT39" s="228">
        <f>'Pilotage effectif 27O'!BW45</f>
        <v>0</v>
      </c>
      <c r="BU39" s="228">
        <f>'Pilotage effectif 27O'!BX45</f>
        <v>0</v>
      </c>
      <c r="BV39" s="303">
        <f>'Pilotage effectif 27O'!BY45</f>
        <v>0</v>
      </c>
      <c r="BW39" s="265"/>
      <c r="BX39" s="227">
        <f>'Pilotage effectif 27O'!CA45</f>
        <v>0</v>
      </c>
      <c r="BY39" s="228">
        <f>'Pilotage effectif 27O'!CB45</f>
        <v>0</v>
      </c>
      <c r="BZ39" s="228">
        <f>'Pilotage effectif 27O'!CC45</f>
        <v>0</v>
      </c>
      <c r="CA39" s="228">
        <f>'Pilotage effectif 27O'!CD45</f>
        <v>0</v>
      </c>
      <c r="CB39" s="228">
        <f>'Pilotage effectif 27O'!CE45</f>
        <v>0</v>
      </c>
      <c r="CC39" s="303">
        <f>'Pilotage effectif 27O'!CF45</f>
        <v>0</v>
      </c>
      <c r="CD39" s="265"/>
      <c r="CE39" s="227">
        <f>'Pilotage effectif 27O'!CH45</f>
        <v>0</v>
      </c>
      <c r="CF39" s="228">
        <f>'Pilotage effectif 27O'!CI45</f>
        <v>0</v>
      </c>
      <c r="CG39" s="228">
        <f>'Pilotage effectif 27O'!CJ45</f>
        <v>0</v>
      </c>
      <c r="CH39" s="228">
        <f>'Pilotage effectif 27O'!CK45</f>
        <v>0</v>
      </c>
      <c r="CI39" s="228">
        <f>'Pilotage effectif 27O'!CL45</f>
        <v>0</v>
      </c>
      <c r="CJ39" s="303">
        <f>'Pilotage effectif 27O'!CM45</f>
        <v>0</v>
      </c>
      <c r="CK39" s="265"/>
      <c r="CL39" s="227">
        <f>'Pilotage effectif 27O'!CO45</f>
        <v>0</v>
      </c>
      <c r="CM39" s="228">
        <f>'Pilotage effectif 27O'!CP45</f>
        <v>0</v>
      </c>
      <c r="CN39" s="228">
        <f>'Pilotage effectif 27O'!CQ45</f>
        <v>0</v>
      </c>
      <c r="CO39" s="228">
        <f>'Pilotage effectif 27O'!CR45</f>
        <v>0</v>
      </c>
      <c r="CP39" s="228">
        <f>'Pilotage effectif 27O'!CS45</f>
        <v>0</v>
      </c>
      <c r="CQ39" s="303">
        <f>'Pilotage effectif 27O'!CT45</f>
        <v>0</v>
      </c>
      <c r="CR39" s="265"/>
      <c r="CS39" s="227">
        <f>'Pilotage effectif 27O'!CV45</f>
        <v>0</v>
      </c>
      <c r="CT39" s="228">
        <f>'Pilotage effectif 27O'!CW45</f>
        <v>0</v>
      </c>
      <c r="CU39" s="228">
        <f>'Pilotage effectif 27O'!CX45</f>
        <v>0</v>
      </c>
      <c r="CV39" s="228">
        <f>'Pilotage effectif 27O'!CY45</f>
        <v>0</v>
      </c>
      <c r="CW39" s="228">
        <f>'Pilotage effectif 27O'!CZ45</f>
        <v>0</v>
      </c>
      <c r="CX39" s="303">
        <f>'Pilotage effectif 27O'!DA45</f>
        <v>0</v>
      </c>
      <c r="CY39" s="265"/>
      <c r="CZ39" s="227">
        <f>'Pilotage effectif 27O'!DC45</f>
        <v>0</v>
      </c>
      <c r="DA39" s="228">
        <f>'Pilotage effectif 27O'!DD45</f>
        <v>0</v>
      </c>
      <c r="DB39" s="228">
        <f>'Pilotage effectif 27O'!DE45</f>
        <v>0</v>
      </c>
      <c r="DC39" s="228">
        <f>'Pilotage effectif 27O'!DF45</f>
        <v>0</v>
      </c>
      <c r="DD39" s="228">
        <f>'Pilotage effectif 27O'!DG45</f>
        <v>0</v>
      </c>
      <c r="DE39" s="303">
        <f>'Pilotage effectif 27O'!DH45</f>
        <v>0</v>
      </c>
      <c r="DF39" s="265"/>
      <c r="DG39" s="227">
        <f>'Pilotage effectif 27O'!DJ45</f>
        <v>0</v>
      </c>
      <c r="DH39" s="228">
        <f>'Pilotage effectif 27O'!DK45</f>
        <v>0</v>
      </c>
      <c r="DI39" s="228">
        <f>'Pilotage effectif 27O'!DL45</f>
        <v>0</v>
      </c>
      <c r="DJ39" s="228">
        <f>'Pilotage effectif 27O'!DM45</f>
        <v>0</v>
      </c>
      <c r="DK39" s="228">
        <f>'Pilotage effectif 27O'!DN45</f>
        <v>0</v>
      </c>
      <c r="DL39" s="303">
        <f>'Pilotage effectif 27O'!DO45</f>
        <v>0</v>
      </c>
      <c r="DM39" s="265"/>
      <c r="DN39" s="227">
        <f>'Pilotage effectif 27O'!DQ45</f>
        <v>0</v>
      </c>
      <c r="DO39" s="228">
        <f>'Pilotage effectif 27O'!DR45</f>
        <v>0</v>
      </c>
      <c r="DP39" s="228">
        <f>'Pilotage effectif 27O'!DS45</f>
        <v>0</v>
      </c>
      <c r="DQ39" s="228">
        <f>'Pilotage effectif 27O'!DT45</f>
        <v>0</v>
      </c>
      <c r="DR39" s="228">
        <f>'Pilotage effectif 27O'!DU45</f>
        <v>0</v>
      </c>
      <c r="DS39" s="303">
        <f>'Pilotage effectif 27O'!DV45</f>
        <v>0</v>
      </c>
      <c r="DT39" s="265"/>
      <c r="DU39" s="227">
        <f>'Pilotage effectif 27O'!DX45</f>
        <v>0</v>
      </c>
      <c r="DV39" s="228">
        <f>'Pilotage effectif 27O'!DY45</f>
        <v>0</v>
      </c>
      <c r="DW39" s="228">
        <f>'Pilotage effectif 27O'!DZ45</f>
        <v>0</v>
      </c>
      <c r="DX39" s="228">
        <f>'Pilotage effectif 27O'!EA45</f>
        <v>0</v>
      </c>
      <c r="DY39" s="228">
        <f>'Pilotage effectif 27O'!EB45</f>
        <v>0</v>
      </c>
      <c r="DZ39" s="303">
        <f>'Pilotage effectif 27O'!EC45</f>
        <v>0</v>
      </c>
      <c r="EA39" s="265"/>
      <c r="EB39" s="227">
        <f>'Pilotage effectif 27O'!EE45</f>
        <v>0</v>
      </c>
      <c r="EC39" s="228">
        <f>'Pilotage effectif 27O'!EF45</f>
        <v>0</v>
      </c>
      <c r="ED39" s="228">
        <f>'Pilotage effectif 27O'!EG45</f>
        <v>0</v>
      </c>
      <c r="EE39" s="228">
        <f>'Pilotage effectif 27O'!EH45</f>
        <v>0</v>
      </c>
      <c r="EF39" s="228">
        <f>'Pilotage effectif 27O'!EI45</f>
        <v>0</v>
      </c>
      <c r="EG39" s="303">
        <f>'Pilotage effectif 27O'!EJ45</f>
        <v>0</v>
      </c>
      <c r="EH39" s="265"/>
      <c r="EI39" s="227">
        <f>'Pilotage effectif 27O'!EL45</f>
        <v>0</v>
      </c>
      <c r="EJ39" s="228">
        <f>'Pilotage effectif 27O'!EM45</f>
        <v>0</v>
      </c>
      <c r="EK39" s="228">
        <f>'Pilotage effectif 27O'!EN45</f>
        <v>0</v>
      </c>
      <c r="EL39" s="228">
        <f>'Pilotage effectif 27O'!EO45</f>
        <v>0</v>
      </c>
      <c r="EM39" s="228">
        <f>'Pilotage effectif 27O'!EP45</f>
        <v>0</v>
      </c>
      <c r="EN39" s="303">
        <f>'Pilotage effectif 27O'!EQ45</f>
        <v>0</v>
      </c>
      <c r="EO39" s="265"/>
      <c r="EP39" s="227">
        <f>'Pilotage effectif 27O'!ES45</f>
        <v>0</v>
      </c>
      <c r="EQ39" s="228">
        <f>'Pilotage effectif 27O'!ET45</f>
        <v>0</v>
      </c>
      <c r="ER39" s="228">
        <f>'Pilotage effectif 27O'!EU45</f>
        <v>0</v>
      </c>
      <c r="ES39" s="228">
        <f>'Pilotage effectif 27O'!EV45</f>
        <v>0</v>
      </c>
      <c r="ET39" s="228">
        <f>'Pilotage effectif 27O'!EW45</f>
        <v>0</v>
      </c>
      <c r="EU39" s="303">
        <f>'Pilotage effectif 27O'!EX45</f>
        <v>0</v>
      </c>
      <c r="EV39" s="265"/>
      <c r="EW39" s="227">
        <f>'Pilotage effectif 27O'!EZ45</f>
        <v>0</v>
      </c>
      <c r="EX39" s="228">
        <f>'Pilotage effectif 27O'!FA45</f>
        <v>0</v>
      </c>
      <c r="EY39" s="228">
        <f>'Pilotage effectif 27O'!FB45</f>
        <v>0</v>
      </c>
      <c r="EZ39" s="228">
        <f>'Pilotage effectif 27O'!FC45</f>
        <v>0</v>
      </c>
      <c r="FA39" s="228">
        <f>'Pilotage effectif 27O'!FD45</f>
        <v>0</v>
      </c>
      <c r="FB39" s="303">
        <f>'Pilotage effectif 27O'!FE45</f>
        <v>0</v>
      </c>
      <c r="FC39" s="265"/>
      <c r="FD39" s="227">
        <f>'Pilotage effectif 27O'!FG45</f>
        <v>0</v>
      </c>
      <c r="FE39" s="228">
        <f>'Pilotage effectif 27O'!FH45</f>
        <v>0</v>
      </c>
      <c r="FF39" s="228">
        <f>'Pilotage effectif 27O'!FI45</f>
        <v>0</v>
      </c>
      <c r="FG39" s="228">
        <f>'Pilotage effectif 27O'!FJ45</f>
        <v>0</v>
      </c>
      <c r="FH39" s="228">
        <f>'Pilotage effectif 27O'!FK45</f>
        <v>0</v>
      </c>
      <c r="FI39" s="303">
        <f>'Pilotage effectif 27O'!FL45</f>
        <v>0</v>
      </c>
      <c r="FJ39" s="265"/>
      <c r="FK39" s="227">
        <f>'Pilotage effectif 27O'!FN45</f>
        <v>0</v>
      </c>
      <c r="FL39" s="228">
        <f>'Pilotage effectif 27O'!FO45</f>
        <v>0</v>
      </c>
      <c r="FM39" s="228">
        <f>'Pilotage effectif 27O'!FP45</f>
        <v>0</v>
      </c>
      <c r="FN39" s="228">
        <f>'Pilotage effectif 27O'!FQ45</f>
        <v>0</v>
      </c>
      <c r="FO39" s="228">
        <f>'Pilotage effectif 27O'!FR45</f>
        <v>0</v>
      </c>
      <c r="FP39" s="303">
        <f>'Pilotage effectif 27O'!FS45</f>
        <v>0</v>
      </c>
      <c r="FQ39" s="265"/>
      <c r="FR39" s="227">
        <f>'Pilotage effectif 27O'!FU45</f>
        <v>0</v>
      </c>
      <c r="FS39" s="228">
        <f>'Pilotage effectif 27O'!FV45</f>
        <v>0</v>
      </c>
      <c r="FT39" s="228">
        <f>'Pilotage effectif 27O'!FW45</f>
        <v>0</v>
      </c>
      <c r="FU39" s="228">
        <f>'Pilotage effectif 27O'!FX45</f>
        <v>0</v>
      </c>
      <c r="FV39" s="228">
        <f>'Pilotage effectif 27O'!FY45</f>
        <v>0</v>
      </c>
      <c r="FW39" s="303">
        <f>'Pilotage effectif 27O'!FZ45</f>
        <v>0</v>
      </c>
      <c r="FX39" s="265"/>
      <c r="FY39" s="227">
        <f>'Pilotage effectif 27O'!GB45</f>
        <v>0</v>
      </c>
      <c r="FZ39" s="228">
        <f>'Pilotage effectif 27O'!GC45</f>
        <v>0</v>
      </c>
      <c r="GA39" s="228">
        <f>'Pilotage effectif 27O'!GD45</f>
        <v>0</v>
      </c>
      <c r="GB39" s="228">
        <f>'Pilotage effectif 27O'!GE45</f>
        <v>0</v>
      </c>
      <c r="GC39" s="228">
        <f>'Pilotage effectif 27O'!GF45</f>
        <v>0</v>
      </c>
      <c r="GD39" s="303">
        <f>'Pilotage effectif 27O'!GG45</f>
        <v>0</v>
      </c>
      <c r="GE39" s="265"/>
      <c r="GF39" s="227">
        <f>'Pilotage effectif 27O'!GI45</f>
        <v>0</v>
      </c>
      <c r="GG39" s="228">
        <f>'Pilotage effectif 27O'!GJ45</f>
        <v>0</v>
      </c>
      <c r="GH39" s="228">
        <f>'Pilotage effectif 27O'!GK45</f>
        <v>0</v>
      </c>
      <c r="GI39" s="228">
        <f>'Pilotage effectif 27O'!GL45</f>
        <v>0</v>
      </c>
      <c r="GJ39" s="228">
        <f>'Pilotage effectif 27O'!GM45</f>
        <v>0</v>
      </c>
      <c r="GK39" s="303">
        <f>'Pilotage effectif 27O'!GN45</f>
        <v>0</v>
      </c>
      <c r="GL39" s="265"/>
      <c r="GM39" s="227">
        <f>'Pilotage effectif 27O'!GP45</f>
        <v>0</v>
      </c>
      <c r="GN39" s="228">
        <f>'Pilotage effectif 27O'!GQ45</f>
        <v>0</v>
      </c>
      <c r="GO39" s="228">
        <f>'Pilotage effectif 27O'!GR45</f>
        <v>0</v>
      </c>
      <c r="GP39" s="228">
        <f>'Pilotage effectif 27O'!GS45</f>
        <v>0</v>
      </c>
      <c r="GQ39" s="228">
        <f>'Pilotage effectif 27O'!GT45</f>
        <v>0</v>
      </c>
      <c r="GR39" s="303">
        <f>'Pilotage effectif 27O'!GU45</f>
        <v>0</v>
      </c>
      <c r="GS39" s="265"/>
      <c r="GT39" s="227">
        <f>'Pilotage effectif 27O'!GW45</f>
        <v>0</v>
      </c>
      <c r="GU39" s="228">
        <f>'Pilotage effectif 27O'!GX45</f>
        <v>0</v>
      </c>
      <c r="GV39" s="228">
        <f>'Pilotage effectif 27O'!GY45</f>
        <v>0</v>
      </c>
      <c r="GW39" s="228">
        <f>'Pilotage effectif 27O'!GZ45</f>
        <v>0</v>
      </c>
      <c r="GX39" s="228">
        <f>'Pilotage effectif 27O'!HA45</f>
        <v>0</v>
      </c>
      <c r="GY39" s="303">
        <f>'Pilotage effectif 27O'!HB45</f>
        <v>0</v>
      </c>
      <c r="GZ39" s="283"/>
      <c r="HA39" s="227">
        <f>'Pilotage effectif 27O'!HD45</f>
        <v>0</v>
      </c>
      <c r="HB39" s="228">
        <f>'Pilotage effectif 27O'!HE45</f>
        <v>0</v>
      </c>
      <c r="HC39" s="228">
        <f>'Pilotage effectif 27O'!HF45</f>
        <v>0</v>
      </c>
      <c r="HD39" s="228">
        <f>'Pilotage effectif 27O'!HG45</f>
        <v>0</v>
      </c>
      <c r="HE39" s="228">
        <f>'Pilotage effectif 27O'!HH45</f>
        <v>0</v>
      </c>
      <c r="HF39" s="303">
        <f>'Pilotage effectif 27O'!HI45</f>
        <v>0</v>
      </c>
      <c r="HG39" s="265"/>
      <c r="HH39" s="227">
        <f>'Pilotage effectif 27O'!HK45</f>
        <v>0</v>
      </c>
      <c r="HI39" s="228">
        <f>'Pilotage effectif 27O'!HL45</f>
        <v>0</v>
      </c>
      <c r="HJ39" s="228">
        <f>'Pilotage effectif 27O'!HM45</f>
        <v>0</v>
      </c>
      <c r="HK39" s="228">
        <f>'Pilotage effectif 27O'!HN45</f>
        <v>0</v>
      </c>
      <c r="HL39" s="228">
        <f>'Pilotage effectif 27O'!HO45</f>
        <v>0</v>
      </c>
      <c r="HM39" s="303">
        <f>'Pilotage effectif 27O'!HP45</f>
        <v>0</v>
      </c>
      <c r="HN39" s="265"/>
      <c r="HO39" s="227">
        <f>'Pilotage effectif 27O'!HR45</f>
        <v>0</v>
      </c>
      <c r="HP39" s="228">
        <f>'Pilotage effectif 27O'!HS45</f>
        <v>0</v>
      </c>
      <c r="HQ39" s="228">
        <f>'Pilotage effectif 27O'!HT45</f>
        <v>0</v>
      </c>
      <c r="HR39" s="228">
        <f>'Pilotage effectif 27O'!HU45</f>
        <v>0</v>
      </c>
      <c r="HS39" s="228">
        <f>'Pilotage effectif 27O'!HV45</f>
        <v>0</v>
      </c>
      <c r="HT39" s="303">
        <f>'Pilotage effectif 27O'!HW45</f>
        <v>0</v>
      </c>
      <c r="HU39" s="265"/>
      <c r="HV39" s="227">
        <f>'Pilotage effectif 27O'!HY45</f>
        <v>0</v>
      </c>
      <c r="HW39" s="228">
        <f>'Pilotage effectif 27O'!HZ45</f>
        <v>0</v>
      </c>
      <c r="HX39" s="228">
        <f>'Pilotage effectif 27O'!IA45</f>
        <v>0</v>
      </c>
      <c r="HY39" s="228">
        <f>'Pilotage effectif 27O'!IB45</f>
        <v>0</v>
      </c>
      <c r="HZ39" s="228">
        <f>'Pilotage effectif 27O'!IC45</f>
        <v>0</v>
      </c>
      <c r="IA39" s="303">
        <f>'Pilotage effectif 27O'!ID45</f>
        <v>0</v>
      </c>
      <c r="IB39" s="265"/>
      <c r="IC39" s="227">
        <f>'Pilotage effectif 27O'!IF45</f>
        <v>0</v>
      </c>
      <c r="ID39" s="228">
        <f>'Pilotage effectif 27O'!IG45</f>
        <v>0</v>
      </c>
      <c r="IE39" s="228">
        <f>'Pilotage effectif 27O'!IH45</f>
        <v>0</v>
      </c>
      <c r="IF39" s="228">
        <f>'Pilotage effectif 27O'!II45</f>
        <v>0</v>
      </c>
      <c r="IG39" s="228">
        <f>'Pilotage effectif 27O'!IJ45</f>
        <v>0</v>
      </c>
      <c r="IH39" s="303">
        <f>'Pilotage effectif 27O'!IK45</f>
        <v>0</v>
      </c>
      <c r="II39" s="265"/>
      <c r="IJ39" s="227">
        <f>'Pilotage effectif 27O'!IM45</f>
        <v>0</v>
      </c>
      <c r="IK39" s="228">
        <f>'Pilotage effectif 27O'!IN45</f>
        <v>0</v>
      </c>
      <c r="IL39" s="228">
        <f>'Pilotage effectif 27O'!IO45</f>
        <v>0</v>
      </c>
      <c r="IM39" s="228">
        <f>'Pilotage effectif 27O'!IP45</f>
        <v>0</v>
      </c>
      <c r="IN39" s="228">
        <f>'Pilotage effectif 27O'!IQ45</f>
        <v>0</v>
      </c>
      <c r="IO39" s="303">
        <f>'Pilotage effectif 27O'!IR45</f>
        <v>0</v>
      </c>
      <c r="IP39" s="265"/>
      <c r="IQ39" s="227">
        <f>'Pilotage effectif 27O'!IT45</f>
        <v>0</v>
      </c>
      <c r="IR39" s="228">
        <f>'Pilotage effectif 27O'!IU45</f>
        <v>0</v>
      </c>
      <c r="IS39" s="228">
        <f>'Pilotage effectif 27O'!IV45</f>
        <v>0</v>
      </c>
      <c r="IT39" s="228">
        <f>'Pilotage effectif 27O'!IW45</f>
        <v>0</v>
      </c>
      <c r="IU39" s="228">
        <f>'Pilotage effectif 27O'!IX45</f>
        <v>0</v>
      </c>
      <c r="IV39" s="303">
        <f>'Pilotage effectif 27O'!IY45</f>
        <v>0</v>
      </c>
      <c r="IW39" s="265"/>
      <c r="IX39" s="227">
        <f>'Pilotage effectif 27O'!JA45</f>
        <v>0</v>
      </c>
      <c r="IY39" s="228">
        <f>'Pilotage effectif 27O'!JB45</f>
        <v>0</v>
      </c>
      <c r="IZ39" s="228">
        <f>'Pilotage effectif 27O'!JC45</f>
        <v>0</v>
      </c>
      <c r="JA39" s="228">
        <f>'Pilotage effectif 27O'!JD45</f>
        <v>0</v>
      </c>
      <c r="JB39" s="228">
        <f>'Pilotage effectif 27O'!JE45</f>
        <v>0</v>
      </c>
      <c r="JC39" s="303">
        <f>'Pilotage effectif 27O'!JF45</f>
        <v>0</v>
      </c>
      <c r="JD39" s="265"/>
      <c r="JE39" s="227">
        <f>'Pilotage effectif 27O'!JH45</f>
        <v>0</v>
      </c>
      <c r="JF39" s="228">
        <f>'Pilotage effectif 27O'!JI45</f>
        <v>0</v>
      </c>
      <c r="JG39" s="228">
        <f>'Pilotage effectif 27O'!JJ45</f>
        <v>0</v>
      </c>
      <c r="JH39" s="228">
        <f>'Pilotage effectif 27O'!JK45</f>
        <v>0</v>
      </c>
      <c r="JI39" s="228">
        <f>'Pilotage effectif 27O'!JL45</f>
        <v>0</v>
      </c>
      <c r="JJ39" s="303">
        <f>'Pilotage effectif 27O'!JM45</f>
        <v>0</v>
      </c>
      <c r="JK39" s="265"/>
      <c r="JL39" s="227">
        <f>'Pilotage effectif 27O'!JO45</f>
        <v>0</v>
      </c>
      <c r="JM39" s="228">
        <f>'Pilotage effectif 27O'!JP45</f>
        <v>0</v>
      </c>
      <c r="JN39" s="228">
        <f>'Pilotage effectif 27O'!JQ45</f>
        <v>0</v>
      </c>
      <c r="JO39" s="228">
        <f>'Pilotage effectif 27O'!JR45</f>
        <v>0</v>
      </c>
      <c r="JP39" s="228">
        <f>'Pilotage effectif 27O'!JS45</f>
        <v>0</v>
      </c>
      <c r="JQ39" s="303">
        <f>'Pilotage effectif 27O'!JT45</f>
        <v>0</v>
      </c>
      <c r="JR39" s="265"/>
      <c r="JS39" s="227">
        <f>'Pilotage effectif 27O'!JV45</f>
        <v>0</v>
      </c>
      <c r="JT39" s="228">
        <f>'Pilotage effectif 27O'!JW45</f>
        <v>0</v>
      </c>
      <c r="JU39" s="228">
        <f>'Pilotage effectif 27O'!JX45</f>
        <v>0</v>
      </c>
      <c r="JV39" s="228">
        <f>'Pilotage effectif 27O'!JY45</f>
        <v>0</v>
      </c>
      <c r="JW39" s="228">
        <f>'Pilotage effectif 27O'!JZ45</f>
        <v>0</v>
      </c>
      <c r="JX39" s="303">
        <f>'Pilotage effectif 27O'!KA45</f>
        <v>0</v>
      </c>
      <c r="JY39" s="265"/>
      <c r="JZ39" s="227">
        <f>'Pilotage effectif 27O'!KC45</f>
        <v>0</v>
      </c>
      <c r="KA39" s="228">
        <f>'Pilotage effectif 27O'!KD45</f>
        <v>0</v>
      </c>
      <c r="KB39" s="228">
        <f>'Pilotage effectif 27O'!KE45</f>
        <v>0</v>
      </c>
      <c r="KC39" s="228">
        <f>'Pilotage effectif 27O'!KF45</f>
        <v>0</v>
      </c>
      <c r="KD39" s="228">
        <f>'Pilotage effectif 27O'!KG45</f>
        <v>0</v>
      </c>
      <c r="KE39" s="303">
        <f>'Pilotage effectif 27O'!KH45</f>
        <v>0</v>
      </c>
      <c r="KF39" s="265"/>
      <c r="KG39" s="227">
        <f>'Pilotage effectif 27O'!KJ45</f>
        <v>0</v>
      </c>
      <c r="KH39" s="228">
        <f>'Pilotage effectif 27O'!KK45</f>
        <v>0</v>
      </c>
      <c r="KI39" s="228">
        <f>'Pilotage effectif 27O'!KL45</f>
        <v>0</v>
      </c>
      <c r="KJ39" s="228">
        <f>'Pilotage effectif 27O'!KM45</f>
        <v>0</v>
      </c>
      <c r="KK39" s="228">
        <f>'Pilotage effectif 27O'!KN45</f>
        <v>0</v>
      </c>
      <c r="KL39" s="303">
        <f>'Pilotage effectif 27O'!KO45</f>
        <v>0</v>
      </c>
      <c r="KM39" s="265"/>
      <c r="KN39" s="227">
        <f>'Pilotage effectif 27O'!KQ45</f>
        <v>0</v>
      </c>
      <c r="KO39" s="228">
        <f>'Pilotage effectif 27O'!KR45</f>
        <v>0</v>
      </c>
      <c r="KP39" s="228">
        <f>'Pilotage effectif 27O'!KS45</f>
        <v>0</v>
      </c>
      <c r="KQ39" s="228">
        <f>'Pilotage effectif 27O'!KT45</f>
        <v>0</v>
      </c>
      <c r="KR39" s="228">
        <f>'Pilotage effectif 27O'!KU45</f>
        <v>0</v>
      </c>
      <c r="KS39" s="303">
        <f>'Pilotage effectif 27O'!KV45</f>
        <v>0</v>
      </c>
      <c r="KT39" s="265"/>
      <c r="KU39" s="227">
        <f>'Pilotage effectif 27O'!KX45</f>
        <v>0</v>
      </c>
      <c r="KV39" s="228">
        <f>'Pilotage effectif 27O'!KY45</f>
        <v>0</v>
      </c>
      <c r="KW39" s="228">
        <f>'Pilotage effectif 27O'!KZ45</f>
        <v>0</v>
      </c>
      <c r="KX39" s="228">
        <f>'Pilotage effectif 27O'!LA45</f>
        <v>0</v>
      </c>
      <c r="KY39" s="228">
        <f>'Pilotage effectif 27O'!LB45</f>
        <v>0</v>
      </c>
      <c r="KZ39" s="303">
        <f>'Pilotage effectif 27O'!LC45</f>
        <v>0</v>
      </c>
      <c r="LA39" s="265"/>
      <c r="LB39" s="227">
        <f>'Pilotage effectif 27O'!LE45</f>
        <v>0</v>
      </c>
      <c r="LC39" s="228">
        <f>'Pilotage effectif 27O'!LF45</f>
        <v>0</v>
      </c>
      <c r="LD39" s="228">
        <f>'Pilotage effectif 27O'!LG45</f>
        <v>0</v>
      </c>
      <c r="LE39" s="228">
        <f>'Pilotage effectif 27O'!LH45</f>
        <v>0</v>
      </c>
      <c r="LF39" s="228">
        <f>'Pilotage effectif 27O'!LI45</f>
        <v>0</v>
      </c>
      <c r="LG39" s="303">
        <f>'Pilotage effectif 27O'!LJ45</f>
        <v>0</v>
      </c>
      <c r="LH39" s="265"/>
      <c r="LI39" s="227">
        <f>'Pilotage effectif 27O'!LL45</f>
        <v>0</v>
      </c>
      <c r="LJ39" s="228">
        <f>'Pilotage effectif 27O'!LM45</f>
        <v>0</v>
      </c>
      <c r="LK39" s="228">
        <f>'Pilotage effectif 27O'!LN45</f>
        <v>0</v>
      </c>
      <c r="LL39" s="228">
        <f>'Pilotage effectif 27O'!LO45</f>
        <v>0</v>
      </c>
      <c r="LM39" s="228">
        <f>'Pilotage effectif 27O'!LP45</f>
        <v>0</v>
      </c>
      <c r="LN39" s="303">
        <f>'Pilotage effectif 27O'!LQ45</f>
        <v>0</v>
      </c>
      <c r="LO39" s="265"/>
      <c r="LP39" s="227">
        <f>'Pilotage effectif 27O'!LS45</f>
        <v>0</v>
      </c>
      <c r="LQ39" s="228">
        <f>'Pilotage effectif 27O'!LT45</f>
        <v>0</v>
      </c>
      <c r="LR39" s="228">
        <f>'Pilotage effectif 27O'!LU45</f>
        <v>0</v>
      </c>
      <c r="LS39" s="228">
        <f>'Pilotage effectif 27O'!LV45</f>
        <v>0</v>
      </c>
      <c r="LT39" s="228">
        <f>'Pilotage effectif 27O'!LW45</f>
        <v>0</v>
      </c>
      <c r="LU39" s="303">
        <f>'Pilotage effectif 27O'!LX45</f>
        <v>0</v>
      </c>
      <c r="LV39" s="265"/>
      <c r="LW39" s="227">
        <f>'Pilotage effectif 27O'!LZ45</f>
        <v>0</v>
      </c>
      <c r="LX39" s="228">
        <f>'Pilotage effectif 27O'!MA45</f>
        <v>0</v>
      </c>
      <c r="LY39" s="228">
        <f>'Pilotage effectif 27O'!MB45</f>
        <v>0</v>
      </c>
      <c r="LZ39" s="228">
        <f>'Pilotage effectif 27O'!MC45</f>
        <v>0</v>
      </c>
      <c r="MA39" s="228">
        <f>'Pilotage effectif 27O'!MD45</f>
        <v>0</v>
      </c>
      <c r="MB39" s="303">
        <f>'Pilotage effectif 27O'!ME45</f>
        <v>0</v>
      </c>
      <c r="MC39" s="265"/>
      <c r="MD39" s="227">
        <f>'Pilotage effectif 27O'!MG45</f>
        <v>0</v>
      </c>
      <c r="ME39" s="228">
        <f>'Pilotage effectif 27O'!MH45</f>
        <v>0</v>
      </c>
      <c r="MF39" s="228">
        <f>'Pilotage effectif 27O'!MI45</f>
        <v>0</v>
      </c>
      <c r="MG39" s="228">
        <f>'Pilotage effectif 27O'!MJ45</f>
        <v>0</v>
      </c>
      <c r="MH39" s="228">
        <f>'Pilotage effectif 27O'!MK45</f>
        <v>0</v>
      </c>
      <c r="MI39" s="303">
        <f>'Pilotage effectif 27O'!ML45</f>
        <v>0</v>
      </c>
      <c r="MJ39" s="265"/>
      <c r="MK39" s="227">
        <f>'Pilotage effectif 27O'!MN45</f>
        <v>0</v>
      </c>
      <c r="ML39" s="228">
        <f>'Pilotage effectif 27O'!MO45</f>
        <v>0</v>
      </c>
      <c r="MM39" s="228">
        <f>'Pilotage effectif 27O'!MP45</f>
        <v>0</v>
      </c>
      <c r="MN39" s="228">
        <f>'Pilotage effectif 27O'!MQ45</f>
        <v>0</v>
      </c>
      <c r="MO39" s="228">
        <f>'Pilotage effectif 27O'!MR45</f>
        <v>0</v>
      </c>
      <c r="MP39" s="303">
        <f>'Pilotage effectif 27O'!MS45</f>
        <v>0</v>
      </c>
      <c r="MQ39" s="265"/>
      <c r="MR39" s="227">
        <f>'Pilotage effectif 27O'!MU45</f>
        <v>0</v>
      </c>
      <c r="MS39" s="228">
        <f>'Pilotage effectif 27O'!MV45</f>
        <v>0</v>
      </c>
      <c r="MT39" s="228">
        <f>'Pilotage effectif 27O'!MW45</f>
        <v>0</v>
      </c>
      <c r="MU39" s="228">
        <f>'Pilotage effectif 27O'!MX45</f>
        <v>0</v>
      </c>
      <c r="MV39" s="228">
        <f>'Pilotage effectif 27O'!MY45</f>
        <v>0</v>
      </c>
      <c r="MW39" s="303">
        <f>'Pilotage effectif 27O'!MZ45</f>
        <v>0</v>
      </c>
      <c r="MX39" s="265"/>
      <c r="MY39" s="227">
        <f>'Pilotage effectif 27O'!NB45</f>
        <v>0</v>
      </c>
      <c r="MZ39" s="228">
        <f>'Pilotage effectif 27O'!NC45</f>
        <v>0</v>
      </c>
      <c r="NA39" s="228">
        <f>'Pilotage effectif 27O'!ND45</f>
        <v>0</v>
      </c>
      <c r="NB39" s="228">
        <f>'Pilotage effectif 27O'!NE45</f>
        <v>0</v>
      </c>
      <c r="NC39" s="228">
        <f>'Pilotage effectif 27O'!NF45</f>
        <v>0</v>
      </c>
      <c r="ND39" s="303">
        <f>'Pilotage effectif 27O'!NG45</f>
        <v>0</v>
      </c>
      <c r="NE39" s="265"/>
      <c r="NF39" s="227">
        <f>'Pilotage effectif 27O'!NI45</f>
        <v>0</v>
      </c>
      <c r="NG39" s="228">
        <f>'Pilotage effectif 27O'!NJ45</f>
        <v>0</v>
      </c>
      <c r="NH39" s="228">
        <f>'Pilotage effectif 27O'!NK45</f>
        <v>0</v>
      </c>
      <c r="NI39" s="228">
        <f>'Pilotage effectif 27O'!NL45</f>
        <v>0</v>
      </c>
      <c r="NJ39" s="228">
        <f>'Pilotage effectif 27O'!NM45</f>
        <v>0</v>
      </c>
      <c r="NK39" s="303">
        <f>'Pilotage effectif 27O'!NN45</f>
        <v>0</v>
      </c>
      <c r="NL39" s="265"/>
      <c r="NM39" s="227">
        <f>'Pilotage effectif 27O'!NP45</f>
        <v>0</v>
      </c>
      <c r="NN39" s="228">
        <f>'Pilotage effectif 27O'!NQ45</f>
        <v>0</v>
      </c>
      <c r="NO39" s="228">
        <f>'Pilotage effectif 27O'!NR45</f>
        <v>0</v>
      </c>
      <c r="NP39" s="228">
        <f>'Pilotage effectif 27O'!NS45</f>
        <v>0</v>
      </c>
      <c r="NQ39" s="228">
        <f>'Pilotage effectif 27O'!NT45</f>
        <v>0</v>
      </c>
      <c r="NR39" s="303">
        <f>'Pilotage effectif 27O'!NU45</f>
        <v>0</v>
      </c>
      <c r="NS39" s="283"/>
    </row>
    <row r="40" spans="1:383" s="196" customFormat="1" ht="16.05" customHeight="1" thickBot="1" x14ac:dyDescent="0.35">
      <c r="A40" s="294"/>
      <c r="B40" s="282"/>
      <c r="C40" s="287" t="s">
        <v>690</v>
      </c>
      <c r="D40" s="306"/>
      <c r="E40"/>
      <c r="F40" s="292" t="str">
        <f t="shared" ref="F40:K40" si="54">IF(F38&lt;&gt;"",IF(F39-F38&gt;0,"+"&amp;F39-F38,F39-F38),"-")</f>
        <v>+4</v>
      </c>
      <c r="G40" s="293" t="str">
        <f t="shared" si="54"/>
        <v>+4</v>
      </c>
      <c r="H40" s="293" t="str">
        <f t="shared" si="54"/>
        <v>-</v>
      </c>
      <c r="I40" s="293" t="str">
        <f t="shared" si="54"/>
        <v>+4</v>
      </c>
      <c r="J40" s="293" t="str">
        <f t="shared" si="54"/>
        <v>+4</v>
      </c>
      <c r="K40" s="304" t="str">
        <f t="shared" si="54"/>
        <v>+16</v>
      </c>
      <c r="L40" s="265"/>
      <c r="M40" s="292" t="str">
        <f t="shared" ref="M40:R40" si="55">IF(M38&lt;&gt;"",IF(M39-M38&gt;0,"+"&amp;M39-M38,M39-M38),"-")</f>
        <v>-</v>
      </c>
      <c r="N40" s="293" t="str">
        <f t="shared" si="55"/>
        <v>-</v>
      </c>
      <c r="O40" s="293" t="str">
        <f t="shared" si="55"/>
        <v>-</v>
      </c>
      <c r="P40" s="293" t="str">
        <f t="shared" si="55"/>
        <v>-</v>
      </c>
      <c r="Q40" s="293" t="str">
        <f t="shared" si="55"/>
        <v>-</v>
      </c>
      <c r="R40" s="304">
        <f t="shared" si="55"/>
        <v>0</v>
      </c>
      <c r="S40" s="265"/>
      <c r="T40" s="292">
        <f t="shared" ref="T40:Y40" si="56">IF(T38&lt;&gt;"",IF(T39-T38&gt;0,"+"&amp;T39-T38,T39-T38),"-")</f>
        <v>-4</v>
      </c>
      <c r="U40" s="293">
        <f t="shared" si="56"/>
        <v>-4</v>
      </c>
      <c r="V40" s="293">
        <f t="shared" si="56"/>
        <v>-4</v>
      </c>
      <c r="W40" s="293">
        <f t="shared" si="56"/>
        <v>-4</v>
      </c>
      <c r="X40" s="293">
        <f t="shared" si="56"/>
        <v>-4</v>
      </c>
      <c r="Y40" s="304">
        <f t="shared" si="56"/>
        <v>-20</v>
      </c>
      <c r="Z40" s="265"/>
      <c r="AA40" s="292">
        <f t="shared" ref="AA40:AF40" si="57">IF(AA38&lt;&gt;"",IF(AA39-AA38&gt;0,"+"&amp;AA39-AA38,AA39-AA38),"-")</f>
        <v>-5</v>
      </c>
      <c r="AB40" s="293">
        <f t="shared" si="57"/>
        <v>-5</v>
      </c>
      <c r="AC40" s="293">
        <f t="shared" si="57"/>
        <v>-5</v>
      </c>
      <c r="AD40" s="293">
        <f t="shared" si="57"/>
        <v>-5</v>
      </c>
      <c r="AE40" s="293">
        <f t="shared" si="57"/>
        <v>-5</v>
      </c>
      <c r="AF40" s="304">
        <f t="shared" si="57"/>
        <v>-25</v>
      </c>
      <c r="AG40" s="265"/>
      <c r="AH40" s="292">
        <f t="shared" ref="AH40:AM40" si="58">IF(AH38&lt;&gt;"",IF(AH39-AH38&gt;0,"+"&amp;AH39-AH38,AH39-AH38),"-")</f>
        <v>-5</v>
      </c>
      <c r="AI40" s="293">
        <f t="shared" si="58"/>
        <v>-5</v>
      </c>
      <c r="AJ40" s="293">
        <f t="shared" si="58"/>
        <v>-5</v>
      </c>
      <c r="AK40" s="293">
        <f t="shared" si="58"/>
        <v>-5</v>
      </c>
      <c r="AL40" s="293">
        <f t="shared" si="58"/>
        <v>-5</v>
      </c>
      <c r="AM40" s="304">
        <f t="shared" si="58"/>
        <v>-25</v>
      </c>
      <c r="AN40" s="265"/>
      <c r="AO40" s="292" t="str">
        <f t="shared" ref="AO40:AT40" si="59">IF(AO38&lt;&gt;"",IF(AO39-AO38&gt;0,"+"&amp;AO39-AO38,AO39-AO38),"-")</f>
        <v>-</v>
      </c>
      <c r="AP40" s="293" t="str">
        <f t="shared" si="59"/>
        <v>-</v>
      </c>
      <c r="AQ40" s="293" t="str">
        <f t="shared" si="59"/>
        <v>-</v>
      </c>
      <c r="AR40" s="293" t="str">
        <f t="shared" si="59"/>
        <v>-</v>
      </c>
      <c r="AS40" s="293" t="str">
        <f t="shared" si="59"/>
        <v>-</v>
      </c>
      <c r="AT40" s="304">
        <f t="shared" si="59"/>
        <v>0</v>
      </c>
      <c r="AU40" s="265"/>
      <c r="AV40" s="292" t="str">
        <f t="shared" ref="AV40:BA40" si="60">IF(AV38&lt;&gt;"",IF(AV39-AV38&gt;0,"+"&amp;AV39-AV38,AV39-AV38),"-")</f>
        <v>-</v>
      </c>
      <c r="AW40" s="293" t="str">
        <f t="shared" si="60"/>
        <v>-</v>
      </c>
      <c r="AX40" s="293" t="str">
        <f t="shared" si="60"/>
        <v>-</v>
      </c>
      <c r="AY40" s="293" t="str">
        <f t="shared" si="60"/>
        <v>-</v>
      </c>
      <c r="AZ40" s="293" t="str">
        <f t="shared" si="60"/>
        <v>-</v>
      </c>
      <c r="BA40" s="304">
        <f t="shared" si="60"/>
        <v>0</v>
      </c>
      <c r="BB40" s="265"/>
      <c r="BC40" s="292" t="str">
        <f t="shared" ref="BC40:BH40" si="61">IF(BC38&lt;&gt;"",IF(BC39-BC38&gt;0,"+"&amp;BC39-BC38,BC39-BC38),"-")</f>
        <v>-</v>
      </c>
      <c r="BD40" s="293" t="str">
        <f t="shared" si="61"/>
        <v>-</v>
      </c>
      <c r="BE40" s="293" t="str">
        <f t="shared" si="61"/>
        <v>-</v>
      </c>
      <c r="BF40" s="293" t="str">
        <f t="shared" si="61"/>
        <v>-</v>
      </c>
      <c r="BG40" s="293" t="str">
        <f t="shared" si="61"/>
        <v>-</v>
      </c>
      <c r="BH40" s="304">
        <f t="shared" si="61"/>
        <v>0</v>
      </c>
      <c r="BI40" s="265"/>
      <c r="BJ40" s="292" t="str">
        <f t="shared" ref="BJ40:BO40" si="62">IF(BJ38&lt;&gt;"",IF(BJ39-BJ38&gt;0,"+"&amp;BJ39-BJ38,BJ39-BJ38),"-")</f>
        <v>-</v>
      </c>
      <c r="BK40" s="293" t="str">
        <f t="shared" si="62"/>
        <v>-</v>
      </c>
      <c r="BL40" s="293" t="str">
        <f t="shared" si="62"/>
        <v>-</v>
      </c>
      <c r="BM40" s="293" t="str">
        <f t="shared" si="62"/>
        <v>-</v>
      </c>
      <c r="BN40" s="293" t="str">
        <f t="shared" si="62"/>
        <v>-</v>
      </c>
      <c r="BO40" s="304">
        <f t="shared" si="62"/>
        <v>0</v>
      </c>
      <c r="BP40" s="265"/>
      <c r="BQ40" s="292" t="str">
        <f t="shared" ref="BQ40:BV40" si="63">IF(BQ38&lt;&gt;"",IF(BQ39-BQ38&gt;0,"+"&amp;BQ39-BQ38,BQ39-BQ38),"-")</f>
        <v>-</v>
      </c>
      <c r="BR40" s="293" t="str">
        <f t="shared" si="63"/>
        <v>-</v>
      </c>
      <c r="BS40" s="293" t="str">
        <f t="shared" si="63"/>
        <v>-</v>
      </c>
      <c r="BT40" s="293" t="str">
        <f t="shared" si="63"/>
        <v>-</v>
      </c>
      <c r="BU40" s="293" t="str">
        <f t="shared" si="63"/>
        <v>-</v>
      </c>
      <c r="BV40" s="304">
        <f t="shared" si="63"/>
        <v>0</v>
      </c>
      <c r="BW40" s="265"/>
      <c r="BX40" s="292" t="str">
        <f t="shared" ref="BX40:CC40" si="64">IF(BX38&lt;&gt;"",IF(BX39-BX38&gt;0,"+"&amp;BX39-BX38,BX39-BX38),"-")</f>
        <v>-</v>
      </c>
      <c r="BY40" s="293" t="str">
        <f t="shared" si="64"/>
        <v>-</v>
      </c>
      <c r="BZ40" s="293" t="str">
        <f t="shared" si="64"/>
        <v>-</v>
      </c>
      <c r="CA40" s="293" t="str">
        <f t="shared" si="64"/>
        <v>-</v>
      </c>
      <c r="CB40" s="293" t="str">
        <f t="shared" si="64"/>
        <v>-</v>
      </c>
      <c r="CC40" s="304">
        <f t="shared" si="64"/>
        <v>0</v>
      </c>
      <c r="CD40" s="265"/>
      <c r="CE40" s="292" t="str">
        <f t="shared" ref="CE40:CJ40" si="65">IF(CE38&lt;&gt;"",IF(CE39-CE38&gt;0,"+"&amp;CE39-CE38,CE39-CE38),"-")</f>
        <v>-</v>
      </c>
      <c r="CF40" s="293" t="str">
        <f t="shared" si="65"/>
        <v>-</v>
      </c>
      <c r="CG40" s="293" t="str">
        <f t="shared" si="65"/>
        <v>-</v>
      </c>
      <c r="CH40" s="293" t="str">
        <f t="shared" si="65"/>
        <v>-</v>
      </c>
      <c r="CI40" s="293" t="str">
        <f t="shared" si="65"/>
        <v>-</v>
      </c>
      <c r="CJ40" s="304">
        <f t="shared" si="65"/>
        <v>0</v>
      </c>
      <c r="CK40" s="265"/>
      <c r="CL40" s="292" t="str">
        <f t="shared" ref="CL40:CQ40" si="66">IF(CL38&lt;&gt;"",IF(CL39-CL38&gt;0,"+"&amp;CL39-CL38,CL39-CL38),"-")</f>
        <v>-</v>
      </c>
      <c r="CM40" s="293" t="str">
        <f t="shared" si="66"/>
        <v>-</v>
      </c>
      <c r="CN40" s="293" t="str">
        <f t="shared" si="66"/>
        <v>-</v>
      </c>
      <c r="CO40" s="293" t="str">
        <f t="shared" si="66"/>
        <v>-</v>
      </c>
      <c r="CP40" s="293" t="str">
        <f t="shared" si="66"/>
        <v>-</v>
      </c>
      <c r="CQ40" s="304">
        <f t="shared" si="66"/>
        <v>0</v>
      </c>
      <c r="CR40" s="265"/>
      <c r="CS40" s="292" t="str">
        <f t="shared" ref="CS40:CX40" si="67">IF(CS38&lt;&gt;"",IF(CS39-CS38&gt;0,"+"&amp;CS39-CS38,CS39-CS38),"-")</f>
        <v>-</v>
      </c>
      <c r="CT40" s="293" t="str">
        <f t="shared" si="67"/>
        <v>-</v>
      </c>
      <c r="CU40" s="293" t="str">
        <f t="shared" si="67"/>
        <v>-</v>
      </c>
      <c r="CV40" s="293" t="str">
        <f t="shared" si="67"/>
        <v>-</v>
      </c>
      <c r="CW40" s="293" t="str">
        <f t="shared" si="67"/>
        <v>-</v>
      </c>
      <c r="CX40" s="304">
        <f t="shared" si="67"/>
        <v>0</v>
      </c>
      <c r="CY40" s="265"/>
      <c r="CZ40" s="292" t="str">
        <f t="shared" ref="CZ40:DE40" si="68">IF(CZ38&lt;&gt;"",IF(CZ39-CZ38&gt;0,"+"&amp;CZ39-CZ38,CZ39-CZ38),"-")</f>
        <v>-</v>
      </c>
      <c r="DA40" s="293" t="str">
        <f t="shared" si="68"/>
        <v>-</v>
      </c>
      <c r="DB40" s="293" t="str">
        <f t="shared" si="68"/>
        <v>-</v>
      </c>
      <c r="DC40" s="293" t="str">
        <f t="shared" si="68"/>
        <v>-</v>
      </c>
      <c r="DD40" s="293" t="str">
        <f t="shared" si="68"/>
        <v>-</v>
      </c>
      <c r="DE40" s="304">
        <f t="shared" si="68"/>
        <v>0</v>
      </c>
      <c r="DF40" s="265"/>
      <c r="DG40" s="292" t="str">
        <f t="shared" ref="DG40:DL40" si="69">IF(DG38&lt;&gt;"",IF(DG39-DG38&gt;0,"+"&amp;DG39-DG38,DG39-DG38),"-")</f>
        <v>-</v>
      </c>
      <c r="DH40" s="293" t="str">
        <f t="shared" si="69"/>
        <v>-</v>
      </c>
      <c r="DI40" s="293" t="str">
        <f t="shared" si="69"/>
        <v>-</v>
      </c>
      <c r="DJ40" s="293" t="str">
        <f t="shared" si="69"/>
        <v>-</v>
      </c>
      <c r="DK40" s="293" t="str">
        <f t="shared" si="69"/>
        <v>-</v>
      </c>
      <c r="DL40" s="304">
        <f t="shared" si="69"/>
        <v>0</v>
      </c>
      <c r="DM40" s="265"/>
      <c r="DN40" s="292" t="str">
        <f t="shared" ref="DN40:DS40" si="70">IF(DN38&lt;&gt;"",IF(DN39-DN38&gt;0,"+"&amp;DN39-DN38,DN39-DN38),"-")</f>
        <v>-</v>
      </c>
      <c r="DO40" s="293" t="str">
        <f t="shared" si="70"/>
        <v>-</v>
      </c>
      <c r="DP40" s="293" t="str">
        <f t="shared" si="70"/>
        <v>-</v>
      </c>
      <c r="DQ40" s="293" t="str">
        <f t="shared" si="70"/>
        <v>-</v>
      </c>
      <c r="DR40" s="293" t="str">
        <f t="shared" si="70"/>
        <v>-</v>
      </c>
      <c r="DS40" s="304">
        <f t="shared" si="70"/>
        <v>0</v>
      </c>
      <c r="DT40" s="265"/>
      <c r="DU40" s="292" t="str">
        <f t="shared" ref="DU40:DZ40" si="71">IF(DU38&lt;&gt;"",IF(DU39-DU38&gt;0,"+"&amp;DU39-DU38,DU39-DU38),"-")</f>
        <v>-</v>
      </c>
      <c r="DV40" s="293" t="str">
        <f t="shared" si="71"/>
        <v>-</v>
      </c>
      <c r="DW40" s="293" t="str">
        <f t="shared" si="71"/>
        <v>-</v>
      </c>
      <c r="DX40" s="293" t="str">
        <f t="shared" si="71"/>
        <v>-</v>
      </c>
      <c r="DY40" s="293" t="str">
        <f t="shared" si="71"/>
        <v>-</v>
      </c>
      <c r="DZ40" s="304">
        <f t="shared" si="71"/>
        <v>0</v>
      </c>
      <c r="EA40" s="265"/>
      <c r="EB40" s="292" t="str">
        <f t="shared" ref="EB40:EG40" si="72">IF(EB38&lt;&gt;"",IF(EB39-EB38&gt;0,"+"&amp;EB39-EB38,EB39-EB38),"-")</f>
        <v>-</v>
      </c>
      <c r="EC40" s="293" t="str">
        <f t="shared" si="72"/>
        <v>-</v>
      </c>
      <c r="ED40" s="293" t="str">
        <f t="shared" si="72"/>
        <v>-</v>
      </c>
      <c r="EE40" s="293" t="str">
        <f t="shared" si="72"/>
        <v>-</v>
      </c>
      <c r="EF40" s="293" t="str">
        <f t="shared" si="72"/>
        <v>-</v>
      </c>
      <c r="EG40" s="304">
        <f t="shared" si="72"/>
        <v>0</v>
      </c>
      <c r="EH40" s="265"/>
      <c r="EI40" s="292" t="str">
        <f t="shared" ref="EI40:EN40" si="73">IF(EI38&lt;&gt;"",IF(EI39-EI38&gt;0,"+"&amp;EI39-EI38,EI39-EI38),"-")</f>
        <v>-</v>
      </c>
      <c r="EJ40" s="293" t="str">
        <f t="shared" si="73"/>
        <v>-</v>
      </c>
      <c r="EK40" s="293" t="str">
        <f t="shared" si="73"/>
        <v>-</v>
      </c>
      <c r="EL40" s="293" t="str">
        <f t="shared" si="73"/>
        <v>-</v>
      </c>
      <c r="EM40" s="293" t="str">
        <f t="shared" si="73"/>
        <v>-</v>
      </c>
      <c r="EN40" s="304">
        <f t="shared" si="73"/>
        <v>0</v>
      </c>
      <c r="EO40" s="265"/>
      <c r="EP40" s="292" t="str">
        <f t="shared" ref="EP40:EU40" si="74">IF(EP38&lt;&gt;"",IF(EP39-EP38&gt;0,"+"&amp;EP39-EP38,EP39-EP38),"-")</f>
        <v>-</v>
      </c>
      <c r="EQ40" s="293" t="str">
        <f t="shared" si="74"/>
        <v>-</v>
      </c>
      <c r="ER40" s="293" t="str">
        <f t="shared" si="74"/>
        <v>-</v>
      </c>
      <c r="ES40" s="293" t="str">
        <f t="shared" si="74"/>
        <v>-</v>
      </c>
      <c r="ET40" s="293" t="str">
        <f t="shared" si="74"/>
        <v>-</v>
      </c>
      <c r="EU40" s="304">
        <f t="shared" si="74"/>
        <v>0</v>
      </c>
      <c r="EV40" s="265"/>
      <c r="EW40" s="292" t="str">
        <f t="shared" ref="EW40:FB40" si="75">IF(EW38&lt;&gt;"",IF(EW39-EW38&gt;0,"+"&amp;EW39-EW38,EW39-EW38),"-")</f>
        <v>-</v>
      </c>
      <c r="EX40" s="293" t="str">
        <f t="shared" si="75"/>
        <v>-</v>
      </c>
      <c r="EY40" s="293" t="str">
        <f t="shared" si="75"/>
        <v>-</v>
      </c>
      <c r="EZ40" s="293" t="str">
        <f t="shared" si="75"/>
        <v>-</v>
      </c>
      <c r="FA40" s="293" t="str">
        <f t="shared" si="75"/>
        <v>-</v>
      </c>
      <c r="FB40" s="304">
        <f t="shared" si="75"/>
        <v>0</v>
      </c>
      <c r="FC40" s="265"/>
      <c r="FD40" s="292" t="str">
        <f t="shared" ref="FD40:FI40" si="76">IF(FD38&lt;&gt;"",IF(FD39-FD38&gt;0,"+"&amp;FD39-FD38,FD39-FD38),"-")</f>
        <v>-</v>
      </c>
      <c r="FE40" s="293" t="str">
        <f t="shared" si="76"/>
        <v>-</v>
      </c>
      <c r="FF40" s="293" t="str">
        <f t="shared" si="76"/>
        <v>-</v>
      </c>
      <c r="FG40" s="293" t="str">
        <f t="shared" si="76"/>
        <v>-</v>
      </c>
      <c r="FH40" s="293" t="str">
        <f t="shared" si="76"/>
        <v>-</v>
      </c>
      <c r="FI40" s="304">
        <f t="shared" si="76"/>
        <v>0</v>
      </c>
      <c r="FJ40" s="265"/>
      <c r="FK40" s="292" t="str">
        <f t="shared" ref="FK40:FP40" si="77">IF(FK38&lt;&gt;"",IF(FK39-FK38&gt;0,"+"&amp;FK39-FK38,FK39-FK38),"-")</f>
        <v>-</v>
      </c>
      <c r="FL40" s="293" t="str">
        <f t="shared" si="77"/>
        <v>-</v>
      </c>
      <c r="FM40" s="293" t="str">
        <f t="shared" si="77"/>
        <v>-</v>
      </c>
      <c r="FN40" s="293" t="str">
        <f t="shared" si="77"/>
        <v>-</v>
      </c>
      <c r="FO40" s="293" t="str">
        <f t="shared" si="77"/>
        <v>-</v>
      </c>
      <c r="FP40" s="304">
        <f t="shared" si="77"/>
        <v>0</v>
      </c>
      <c r="FQ40" s="265"/>
      <c r="FR40" s="292" t="str">
        <f t="shared" ref="FR40:FW40" si="78">IF(FR38&lt;&gt;"",IF(FR39-FR38&gt;0,"+"&amp;FR39-FR38,FR39-FR38),"-")</f>
        <v>-</v>
      </c>
      <c r="FS40" s="293" t="str">
        <f t="shared" si="78"/>
        <v>-</v>
      </c>
      <c r="FT40" s="293" t="str">
        <f t="shared" si="78"/>
        <v>-</v>
      </c>
      <c r="FU40" s="293" t="str">
        <f t="shared" si="78"/>
        <v>-</v>
      </c>
      <c r="FV40" s="293" t="str">
        <f t="shared" si="78"/>
        <v>-</v>
      </c>
      <c r="FW40" s="304">
        <f t="shared" si="78"/>
        <v>0</v>
      </c>
      <c r="FX40" s="265"/>
      <c r="FY40" s="292" t="str">
        <f t="shared" ref="FY40:GD40" si="79">IF(FY38&lt;&gt;"",IF(FY39-FY38&gt;0,"+"&amp;FY39-FY38,FY39-FY38),"-")</f>
        <v>-</v>
      </c>
      <c r="FZ40" s="293" t="str">
        <f t="shared" si="79"/>
        <v>-</v>
      </c>
      <c r="GA40" s="293" t="str">
        <f t="shared" si="79"/>
        <v>-</v>
      </c>
      <c r="GB40" s="293" t="str">
        <f t="shared" si="79"/>
        <v>-</v>
      </c>
      <c r="GC40" s="293" t="str">
        <f t="shared" si="79"/>
        <v>-</v>
      </c>
      <c r="GD40" s="304">
        <f t="shared" si="79"/>
        <v>0</v>
      </c>
      <c r="GE40" s="265"/>
      <c r="GF40" s="292" t="str">
        <f t="shared" ref="GF40:GK40" si="80">IF(GF38&lt;&gt;"",IF(GF39-GF38&gt;0,"+"&amp;GF39-GF38,GF39-GF38),"-")</f>
        <v>-</v>
      </c>
      <c r="GG40" s="293" t="str">
        <f t="shared" si="80"/>
        <v>-</v>
      </c>
      <c r="GH40" s="293" t="str">
        <f t="shared" si="80"/>
        <v>-</v>
      </c>
      <c r="GI40" s="293" t="str">
        <f t="shared" si="80"/>
        <v>-</v>
      </c>
      <c r="GJ40" s="293" t="str">
        <f t="shared" si="80"/>
        <v>-</v>
      </c>
      <c r="GK40" s="304">
        <f t="shared" si="80"/>
        <v>0</v>
      </c>
      <c r="GL40" s="265"/>
      <c r="GM40" s="292" t="str">
        <f t="shared" ref="GM40:GR40" si="81">IF(GM38&lt;&gt;"",IF(GM39-GM38&gt;0,"+"&amp;GM39-GM38,GM39-GM38),"-")</f>
        <v>-</v>
      </c>
      <c r="GN40" s="293" t="str">
        <f t="shared" si="81"/>
        <v>-</v>
      </c>
      <c r="GO40" s="293" t="str">
        <f t="shared" si="81"/>
        <v>-</v>
      </c>
      <c r="GP40" s="293" t="str">
        <f t="shared" si="81"/>
        <v>-</v>
      </c>
      <c r="GQ40" s="293" t="str">
        <f t="shared" si="81"/>
        <v>-</v>
      </c>
      <c r="GR40" s="304">
        <f t="shared" si="81"/>
        <v>0</v>
      </c>
      <c r="GS40" s="265"/>
      <c r="GT40" s="292" t="str">
        <f t="shared" ref="GT40:GY40" si="82">IF(GT38&lt;&gt;"",IF(GT39-GT38&gt;0,"+"&amp;GT39-GT38,GT39-GT38),"-")</f>
        <v>-</v>
      </c>
      <c r="GU40" s="293" t="str">
        <f t="shared" si="82"/>
        <v>-</v>
      </c>
      <c r="GV40" s="293" t="str">
        <f t="shared" si="82"/>
        <v>-</v>
      </c>
      <c r="GW40" s="293" t="str">
        <f t="shared" si="82"/>
        <v>-</v>
      </c>
      <c r="GX40" s="293" t="str">
        <f t="shared" si="82"/>
        <v>-</v>
      </c>
      <c r="GY40" s="304">
        <f t="shared" si="82"/>
        <v>0</v>
      </c>
      <c r="GZ40" s="283"/>
      <c r="HA40" s="292" t="str">
        <f t="shared" ref="HA40:HF40" si="83">IF(HA38&lt;&gt;"",IF(HA39-HA38&gt;0,"+"&amp;HA39-HA38,HA39-HA38),"-")</f>
        <v>-</v>
      </c>
      <c r="HB40" s="293" t="str">
        <f t="shared" si="83"/>
        <v>-</v>
      </c>
      <c r="HC40" s="293" t="str">
        <f t="shared" si="83"/>
        <v>-</v>
      </c>
      <c r="HD40" s="293" t="str">
        <f t="shared" si="83"/>
        <v>-</v>
      </c>
      <c r="HE40" s="293" t="str">
        <f t="shared" si="83"/>
        <v>-</v>
      </c>
      <c r="HF40" s="304">
        <f t="shared" si="83"/>
        <v>0</v>
      </c>
      <c r="HG40" s="265"/>
      <c r="HH40" s="292" t="str">
        <f t="shared" ref="HH40:HM40" si="84">IF(HH38&lt;&gt;"",IF(HH39-HH38&gt;0,"+"&amp;HH39-HH38,HH39-HH38),"-")</f>
        <v>-</v>
      </c>
      <c r="HI40" s="293" t="str">
        <f t="shared" si="84"/>
        <v>-</v>
      </c>
      <c r="HJ40" s="293" t="str">
        <f t="shared" si="84"/>
        <v>-</v>
      </c>
      <c r="HK40" s="293" t="str">
        <f t="shared" si="84"/>
        <v>-</v>
      </c>
      <c r="HL40" s="293" t="str">
        <f t="shared" si="84"/>
        <v>-</v>
      </c>
      <c r="HM40" s="304">
        <f t="shared" si="84"/>
        <v>0</v>
      </c>
      <c r="HN40" s="265"/>
      <c r="HO40" s="292" t="str">
        <f t="shared" ref="HO40:HT40" si="85">IF(HO38&lt;&gt;"",IF(HO39-HO38&gt;0,"+"&amp;HO39-HO38,HO39-HO38),"-")</f>
        <v>-</v>
      </c>
      <c r="HP40" s="293" t="str">
        <f t="shared" si="85"/>
        <v>-</v>
      </c>
      <c r="HQ40" s="293" t="str">
        <f t="shared" si="85"/>
        <v>-</v>
      </c>
      <c r="HR40" s="293" t="str">
        <f t="shared" si="85"/>
        <v>-</v>
      </c>
      <c r="HS40" s="293" t="str">
        <f t="shared" si="85"/>
        <v>-</v>
      </c>
      <c r="HT40" s="304">
        <f t="shared" si="85"/>
        <v>0</v>
      </c>
      <c r="HU40" s="265"/>
      <c r="HV40" s="292" t="str">
        <f t="shared" ref="HV40:IA40" si="86">IF(HV38&lt;&gt;"",IF(HV39-HV38&gt;0,"+"&amp;HV39-HV38,HV39-HV38),"-")</f>
        <v>-</v>
      </c>
      <c r="HW40" s="293" t="str">
        <f t="shared" si="86"/>
        <v>-</v>
      </c>
      <c r="HX40" s="293" t="str">
        <f t="shared" si="86"/>
        <v>-</v>
      </c>
      <c r="HY40" s="293" t="str">
        <f t="shared" si="86"/>
        <v>-</v>
      </c>
      <c r="HZ40" s="293" t="str">
        <f t="shared" si="86"/>
        <v>-</v>
      </c>
      <c r="IA40" s="304">
        <f t="shared" si="86"/>
        <v>0</v>
      </c>
      <c r="IB40" s="265"/>
      <c r="IC40" s="292" t="str">
        <f t="shared" ref="IC40:IH40" si="87">IF(IC38&lt;&gt;"",IF(IC39-IC38&gt;0,"+"&amp;IC39-IC38,IC39-IC38),"-")</f>
        <v>-</v>
      </c>
      <c r="ID40" s="293" t="str">
        <f t="shared" si="87"/>
        <v>-</v>
      </c>
      <c r="IE40" s="293" t="str">
        <f t="shared" si="87"/>
        <v>-</v>
      </c>
      <c r="IF40" s="293" t="str">
        <f t="shared" si="87"/>
        <v>-</v>
      </c>
      <c r="IG40" s="293" t="str">
        <f t="shared" si="87"/>
        <v>-</v>
      </c>
      <c r="IH40" s="304">
        <f t="shared" si="87"/>
        <v>0</v>
      </c>
      <c r="II40" s="265"/>
      <c r="IJ40" s="292" t="str">
        <f t="shared" ref="IJ40:IO40" si="88">IF(IJ38&lt;&gt;"",IF(IJ39-IJ38&gt;0,"+"&amp;IJ39-IJ38,IJ39-IJ38),"-")</f>
        <v>-</v>
      </c>
      <c r="IK40" s="293" t="str">
        <f t="shared" si="88"/>
        <v>-</v>
      </c>
      <c r="IL40" s="293" t="str">
        <f t="shared" si="88"/>
        <v>-</v>
      </c>
      <c r="IM40" s="293" t="str">
        <f t="shared" si="88"/>
        <v>-</v>
      </c>
      <c r="IN40" s="293" t="str">
        <f t="shared" si="88"/>
        <v>-</v>
      </c>
      <c r="IO40" s="304">
        <f t="shared" si="88"/>
        <v>0</v>
      </c>
      <c r="IP40" s="265"/>
      <c r="IQ40" s="292" t="str">
        <f t="shared" ref="IQ40:IV40" si="89">IF(IQ38&lt;&gt;"",IF(IQ39-IQ38&gt;0,"+"&amp;IQ39-IQ38,IQ39-IQ38),"-")</f>
        <v>-</v>
      </c>
      <c r="IR40" s="293" t="str">
        <f t="shared" si="89"/>
        <v>-</v>
      </c>
      <c r="IS40" s="293" t="str">
        <f t="shared" si="89"/>
        <v>-</v>
      </c>
      <c r="IT40" s="293" t="str">
        <f t="shared" si="89"/>
        <v>-</v>
      </c>
      <c r="IU40" s="293" t="str">
        <f t="shared" si="89"/>
        <v>-</v>
      </c>
      <c r="IV40" s="304">
        <f t="shared" si="89"/>
        <v>0</v>
      </c>
      <c r="IW40" s="265"/>
      <c r="IX40" s="292" t="str">
        <f t="shared" ref="IX40:JC40" si="90">IF(IX38&lt;&gt;"",IF(IX39-IX38&gt;0,"+"&amp;IX39-IX38,IX39-IX38),"-")</f>
        <v>-</v>
      </c>
      <c r="IY40" s="293" t="str">
        <f t="shared" si="90"/>
        <v>-</v>
      </c>
      <c r="IZ40" s="293" t="str">
        <f t="shared" si="90"/>
        <v>-</v>
      </c>
      <c r="JA40" s="293" t="str">
        <f t="shared" si="90"/>
        <v>-</v>
      </c>
      <c r="JB40" s="293" t="str">
        <f t="shared" si="90"/>
        <v>-</v>
      </c>
      <c r="JC40" s="304">
        <f t="shared" si="90"/>
        <v>0</v>
      </c>
      <c r="JD40" s="265"/>
      <c r="JE40" s="292" t="str">
        <f t="shared" ref="JE40:JJ40" si="91">IF(JE38&lt;&gt;"",IF(JE39-JE38&gt;0,"+"&amp;JE39-JE38,JE39-JE38),"-")</f>
        <v>-</v>
      </c>
      <c r="JF40" s="293" t="str">
        <f t="shared" si="91"/>
        <v>-</v>
      </c>
      <c r="JG40" s="293" t="str">
        <f t="shared" si="91"/>
        <v>-</v>
      </c>
      <c r="JH40" s="293" t="str">
        <f t="shared" si="91"/>
        <v>-</v>
      </c>
      <c r="JI40" s="293" t="str">
        <f t="shared" si="91"/>
        <v>-</v>
      </c>
      <c r="JJ40" s="304">
        <f t="shared" si="91"/>
        <v>0</v>
      </c>
      <c r="JK40" s="265"/>
      <c r="JL40" s="292" t="str">
        <f t="shared" ref="JL40:JQ40" si="92">IF(JL38&lt;&gt;"",IF(JL39-JL38&gt;0,"+"&amp;JL39-JL38,JL39-JL38),"-")</f>
        <v>-</v>
      </c>
      <c r="JM40" s="293" t="str">
        <f t="shared" si="92"/>
        <v>-</v>
      </c>
      <c r="JN40" s="293" t="str">
        <f t="shared" si="92"/>
        <v>-</v>
      </c>
      <c r="JO40" s="293" t="str">
        <f t="shared" si="92"/>
        <v>-</v>
      </c>
      <c r="JP40" s="293" t="str">
        <f t="shared" si="92"/>
        <v>-</v>
      </c>
      <c r="JQ40" s="304">
        <f t="shared" si="92"/>
        <v>0</v>
      </c>
      <c r="JR40" s="265"/>
      <c r="JS40" s="292" t="str">
        <f t="shared" ref="JS40:JX40" si="93">IF(JS38&lt;&gt;"",IF(JS39-JS38&gt;0,"+"&amp;JS39-JS38,JS39-JS38),"-")</f>
        <v>-</v>
      </c>
      <c r="JT40" s="293" t="str">
        <f t="shared" si="93"/>
        <v>-</v>
      </c>
      <c r="JU40" s="293" t="str">
        <f t="shared" si="93"/>
        <v>-</v>
      </c>
      <c r="JV40" s="293" t="str">
        <f t="shared" si="93"/>
        <v>-</v>
      </c>
      <c r="JW40" s="293" t="str">
        <f t="shared" si="93"/>
        <v>-</v>
      </c>
      <c r="JX40" s="304">
        <f t="shared" si="93"/>
        <v>0</v>
      </c>
      <c r="JY40" s="265"/>
      <c r="JZ40" s="292" t="str">
        <f t="shared" ref="JZ40:KE40" si="94">IF(JZ38&lt;&gt;"",IF(JZ39-JZ38&gt;0,"+"&amp;JZ39-JZ38,JZ39-JZ38),"-")</f>
        <v>-</v>
      </c>
      <c r="KA40" s="293" t="str">
        <f t="shared" si="94"/>
        <v>-</v>
      </c>
      <c r="KB40" s="293" t="str">
        <f t="shared" si="94"/>
        <v>-</v>
      </c>
      <c r="KC40" s="293" t="str">
        <f t="shared" si="94"/>
        <v>-</v>
      </c>
      <c r="KD40" s="293" t="str">
        <f t="shared" si="94"/>
        <v>-</v>
      </c>
      <c r="KE40" s="304">
        <f t="shared" si="94"/>
        <v>0</v>
      </c>
      <c r="KF40" s="265"/>
      <c r="KG40" s="292" t="str">
        <f t="shared" ref="KG40:KL40" si="95">IF(KG38&lt;&gt;"",IF(KG39-KG38&gt;0,"+"&amp;KG39-KG38,KG39-KG38),"-")</f>
        <v>-</v>
      </c>
      <c r="KH40" s="293" t="str">
        <f t="shared" si="95"/>
        <v>-</v>
      </c>
      <c r="KI40" s="293" t="str">
        <f t="shared" si="95"/>
        <v>-</v>
      </c>
      <c r="KJ40" s="293" t="str">
        <f t="shared" si="95"/>
        <v>-</v>
      </c>
      <c r="KK40" s="293" t="str">
        <f t="shared" si="95"/>
        <v>-</v>
      </c>
      <c r="KL40" s="304">
        <f t="shared" si="95"/>
        <v>0</v>
      </c>
      <c r="KM40" s="265"/>
      <c r="KN40" s="292" t="str">
        <f t="shared" ref="KN40:KS40" si="96">IF(KN38&lt;&gt;"",IF(KN39-KN38&gt;0,"+"&amp;KN39-KN38,KN39-KN38),"-")</f>
        <v>-</v>
      </c>
      <c r="KO40" s="293" t="str">
        <f t="shared" si="96"/>
        <v>-</v>
      </c>
      <c r="KP40" s="293" t="str">
        <f t="shared" si="96"/>
        <v>-</v>
      </c>
      <c r="KQ40" s="293" t="str">
        <f t="shared" si="96"/>
        <v>-</v>
      </c>
      <c r="KR40" s="293" t="str">
        <f t="shared" si="96"/>
        <v>-</v>
      </c>
      <c r="KS40" s="304">
        <f t="shared" si="96"/>
        <v>0</v>
      </c>
      <c r="KT40" s="265"/>
      <c r="KU40" s="292" t="str">
        <f t="shared" ref="KU40:KZ40" si="97">IF(KU38&lt;&gt;"",IF(KU39-KU38&gt;0,"+"&amp;KU39-KU38,KU39-KU38),"-")</f>
        <v>-</v>
      </c>
      <c r="KV40" s="293" t="str">
        <f t="shared" si="97"/>
        <v>-</v>
      </c>
      <c r="KW40" s="293" t="str">
        <f t="shared" si="97"/>
        <v>-</v>
      </c>
      <c r="KX40" s="293" t="str">
        <f t="shared" si="97"/>
        <v>-</v>
      </c>
      <c r="KY40" s="293" t="str">
        <f t="shared" si="97"/>
        <v>-</v>
      </c>
      <c r="KZ40" s="304">
        <f t="shared" si="97"/>
        <v>0</v>
      </c>
      <c r="LA40" s="265"/>
      <c r="LB40" s="292" t="str">
        <f t="shared" ref="LB40:LG40" si="98">IF(LB38&lt;&gt;"",IF(LB39-LB38&gt;0,"+"&amp;LB39-LB38,LB39-LB38),"-")</f>
        <v>-</v>
      </c>
      <c r="LC40" s="293" t="str">
        <f t="shared" si="98"/>
        <v>-</v>
      </c>
      <c r="LD40" s="293" t="str">
        <f t="shared" si="98"/>
        <v>-</v>
      </c>
      <c r="LE40" s="293" t="str">
        <f t="shared" si="98"/>
        <v>-</v>
      </c>
      <c r="LF40" s="293" t="str">
        <f t="shared" si="98"/>
        <v>-</v>
      </c>
      <c r="LG40" s="304">
        <f t="shared" si="98"/>
        <v>0</v>
      </c>
      <c r="LH40" s="265"/>
      <c r="LI40" s="292" t="str">
        <f t="shared" ref="LI40:LN40" si="99">IF(LI38&lt;&gt;"",IF(LI39-LI38&gt;0,"+"&amp;LI39-LI38,LI39-LI38),"-")</f>
        <v>-</v>
      </c>
      <c r="LJ40" s="293" t="str">
        <f t="shared" si="99"/>
        <v>-</v>
      </c>
      <c r="LK40" s="293" t="str">
        <f t="shared" si="99"/>
        <v>-</v>
      </c>
      <c r="LL40" s="293" t="str">
        <f t="shared" si="99"/>
        <v>-</v>
      </c>
      <c r="LM40" s="293" t="str">
        <f t="shared" si="99"/>
        <v>-</v>
      </c>
      <c r="LN40" s="304">
        <f t="shared" si="99"/>
        <v>0</v>
      </c>
      <c r="LO40" s="265"/>
      <c r="LP40" s="292" t="str">
        <f t="shared" ref="LP40:LU40" si="100">IF(LP38&lt;&gt;"",IF(LP39-LP38&gt;0,"+"&amp;LP39-LP38,LP39-LP38),"-")</f>
        <v>-</v>
      </c>
      <c r="LQ40" s="293" t="str">
        <f t="shared" si="100"/>
        <v>-</v>
      </c>
      <c r="LR40" s="293" t="str">
        <f t="shared" si="100"/>
        <v>-</v>
      </c>
      <c r="LS40" s="293" t="str">
        <f t="shared" si="100"/>
        <v>-</v>
      </c>
      <c r="LT40" s="293" t="str">
        <f t="shared" si="100"/>
        <v>-</v>
      </c>
      <c r="LU40" s="304">
        <f t="shared" si="100"/>
        <v>0</v>
      </c>
      <c r="LV40" s="265"/>
      <c r="LW40" s="292" t="str">
        <f t="shared" ref="LW40:MB40" si="101">IF(LW38&lt;&gt;"",IF(LW39-LW38&gt;0,"+"&amp;LW39-LW38,LW39-LW38),"-")</f>
        <v>-</v>
      </c>
      <c r="LX40" s="293" t="str">
        <f t="shared" si="101"/>
        <v>-</v>
      </c>
      <c r="LY40" s="293" t="str">
        <f t="shared" si="101"/>
        <v>-</v>
      </c>
      <c r="LZ40" s="293" t="str">
        <f t="shared" si="101"/>
        <v>-</v>
      </c>
      <c r="MA40" s="293" t="str">
        <f t="shared" si="101"/>
        <v>-</v>
      </c>
      <c r="MB40" s="304">
        <f t="shared" si="101"/>
        <v>0</v>
      </c>
      <c r="MC40" s="265"/>
      <c r="MD40" s="292" t="str">
        <f t="shared" ref="MD40:MI40" si="102">IF(MD38&lt;&gt;"",IF(MD39-MD38&gt;0,"+"&amp;MD39-MD38,MD39-MD38),"-")</f>
        <v>-</v>
      </c>
      <c r="ME40" s="293" t="str">
        <f t="shared" si="102"/>
        <v>-</v>
      </c>
      <c r="MF40" s="293" t="str">
        <f t="shared" si="102"/>
        <v>-</v>
      </c>
      <c r="MG40" s="293" t="str">
        <f t="shared" si="102"/>
        <v>-</v>
      </c>
      <c r="MH40" s="293" t="str">
        <f t="shared" si="102"/>
        <v>-</v>
      </c>
      <c r="MI40" s="304">
        <f t="shared" si="102"/>
        <v>0</v>
      </c>
      <c r="MJ40" s="265"/>
      <c r="MK40" s="292" t="str">
        <f t="shared" ref="MK40:MP40" si="103">IF(MK38&lt;&gt;"",IF(MK39-MK38&gt;0,"+"&amp;MK39-MK38,MK39-MK38),"-")</f>
        <v>-</v>
      </c>
      <c r="ML40" s="293" t="str">
        <f t="shared" si="103"/>
        <v>-</v>
      </c>
      <c r="MM40" s="293" t="str">
        <f t="shared" si="103"/>
        <v>-</v>
      </c>
      <c r="MN40" s="293" t="str">
        <f t="shared" si="103"/>
        <v>-</v>
      </c>
      <c r="MO40" s="293" t="str">
        <f t="shared" si="103"/>
        <v>-</v>
      </c>
      <c r="MP40" s="304">
        <f t="shared" si="103"/>
        <v>0</v>
      </c>
      <c r="MQ40" s="265"/>
      <c r="MR40" s="292" t="str">
        <f t="shared" ref="MR40:MW40" si="104">IF(MR38&lt;&gt;"",IF(MR39-MR38&gt;0,"+"&amp;MR39-MR38,MR39-MR38),"-")</f>
        <v>-</v>
      </c>
      <c r="MS40" s="293" t="str">
        <f t="shared" si="104"/>
        <v>-</v>
      </c>
      <c r="MT40" s="293" t="str">
        <f t="shared" si="104"/>
        <v>-</v>
      </c>
      <c r="MU40" s="293" t="str">
        <f t="shared" si="104"/>
        <v>-</v>
      </c>
      <c r="MV40" s="293" t="str">
        <f t="shared" si="104"/>
        <v>-</v>
      </c>
      <c r="MW40" s="304">
        <f t="shared" si="104"/>
        <v>0</v>
      </c>
      <c r="MX40" s="265"/>
      <c r="MY40" s="292" t="str">
        <f t="shared" ref="MY40:ND40" si="105">IF(MY38&lt;&gt;"",IF(MY39-MY38&gt;0,"+"&amp;MY39-MY38,MY39-MY38),"-")</f>
        <v>-</v>
      </c>
      <c r="MZ40" s="293" t="str">
        <f t="shared" si="105"/>
        <v>-</v>
      </c>
      <c r="NA40" s="293" t="str">
        <f t="shared" si="105"/>
        <v>-</v>
      </c>
      <c r="NB40" s="293" t="str">
        <f t="shared" si="105"/>
        <v>-</v>
      </c>
      <c r="NC40" s="293" t="str">
        <f t="shared" si="105"/>
        <v>-</v>
      </c>
      <c r="ND40" s="304">
        <f t="shared" si="105"/>
        <v>0</v>
      </c>
      <c r="NE40" s="265"/>
      <c r="NF40" s="292" t="str">
        <f t="shared" ref="NF40:NK40" si="106">IF(NF38&lt;&gt;"",IF(NF39-NF38&gt;0,"+"&amp;NF39-NF38,NF39-NF38),"-")</f>
        <v>-</v>
      </c>
      <c r="NG40" s="293" t="str">
        <f t="shared" si="106"/>
        <v>-</v>
      </c>
      <c r="NH40" s="293" t="str">
        <f t="shared" si="106"/>
        <v>-</v>
      </c>
      <c r="NI40" s="293" t="str">
        <f t="shared" si="106"/>
        <v>-</v>
      </c>
      <c r="NJ40" s="293" t="str">
        <f t="shared" si="106"/>
        <v>-</v>
      </c>
      <c r="NK40" s="304">
        <f t="shared" si="106"/>
        <v>0</v>
      </c>
      <c r="NL40" s="265"/>
      <c r="NM40" s="292" t="str">
        <f t="shared" ref="NM40:NR40" si="107">IF(NM38&lt;&gt;"",IF(NM39-NM38&gt;0,"+"&amp;NM39-NM38,NM39-NM38),"-")</f>
        <v>-</v>
      </c>
      <c r="NN40" s="293" t="str">
        <f t="shared" si="107"/>
        <v>-</v>
      </c>
      <c r="NO40" s="293" t="str">
        <f t="shared" si="107"/>
        <v>-</v>
      </c>
      <c r="NP40" s="293" t="str">
        <f t="shared" si="107"/>
        <v>-</v>
      </c>
      <c r="NQ40" s="293" t="str">
        <f t="shared" si="107"/>
        <v>-</v>
      </c>
      <c r="NR40" s="304">
        <f t="shared" si="107"/>
        <v>0</v>
      </c>
      <c r="NS40" s="283"/>
    </row>
    <row r="41" spans="1:383" s="196" customFormat="1" ht="16.05" customHeight="1" x14ac:dyDescent="0.3">
      <c r="A41" s="294"/>
      <c r="B41" s="284" t="s">
        <v>426</v>
      </c>
      <c r="C41" s="285" t="s">
        <v>415</v>
      </c>
      <c r="D41" s="338"/>
      <c r="E41"/>
      <c r="F41" s="279">
        <v>2</v>
      </c>
      <c r="G41" s="280">
        <v>2</v>
      </c>
      <c r="H41" s="280">
        <v>2</v>
      </c>
      <c r="I41" s="280">
        <v>2</v>
      </c>
      <c r="J41" s="280">
        <v>2</v>
      </c>
      <c r="K41" s="302">
        <f>SUM(F41:J41)</f>
        <v>10</v>
      </c>
      <c r="L41" s="265"/>
      <c r="M41" s="279"/>
      <c r="N41" s="280"/>
      <c r="O41" s="280"/>
      <c r="P41" s="280"/>
      <c r="Q41" s="280"/>
      <c r="R41" s="302">
        <f>SUM(M41:Q41)</f>
        <v>0</v>
      </c>
      <c r="S41" s="265"/>
      <c r="T41" s="279">
        <v>2</v>
      </c>
      <c r="U41" s="280">
        <v>2</v>
      </c>
      <c r="V41" s="280">
        <v>2</v>
      </c>
      <c r="W41" s="280">
        <v>2</v>
      </c>
      <c r="X41" s="280">
        <v>2</v>
      </c>
      <c r="Y41" s="302">
        <f>SUM(T41:X41)</f>
        <v>10</v>
      </c>
      <c r="Z41" s="265"/>
      <c r="AA41" s="279">
        <v>2</v>
      </c>
      <c r="AB41" s="280">
        <v>2</v>
      </c>
      <c r="AC41" s="280">
        <v>2</v>
      </c>
      <c r="AD41" s="280">
        <v>2</v>
      </c>
      <c r="AE41" s="280">
        <v>2</v>
      </c>
      <c r="AF41" s="302">
        <f>SUM(AA41:AE41)</f>
        <v>10</v>
      </c>
      <c r="AG41" s="265"/>
      <c r="AH41" s="279">
        <v>2</v>
      </c>
      <c r="AI41" s="280">
        <v>2</v>
      </c>
      <c r="AJ41" s="280">
        <v>2</v>
      </c>
      <c r="AK41" s="280">
        <v>2</v>
      </c>
      <c r="AL41" s="280">
        <v>2</v>
      </c>
      <c r="AM41" s="302">
        <f>SUM(AH41:AL41)</f>
        <v>10</v>
      </c>
      <c r="AN41" s="265"/>
      <c r="AO41" s="279"/>
      <c r="AP41" s="280"/>
      <c r="AQ41" s="280"/>
      <c r="AR41" s="280"/>
      <c r="AS41" s="280"/>
      <c r="AT41" s="302">
        <f>SUM(AO41:AS41)</f>
        <v>0</v>
      </c>
      <c r="AU41" s="265"/>
      <c r="AV41" s="279"/>
      <c r="AW41" s="280"/>
      <c r="AX41" s="280"/>
      <c r="AY41" s="280"/>
      <c r="AZ41" s="280"/>
      <c r="BA41" s="302">
        <f>SUM(AV41:AZ41)</f>
        <v>0</v>
      </c>
      <c r="BB41" s="265"/>
      <c r="BC41" s="279"/>
      <c r="BD41" s="280"/>
      <c r="BE41" s="280"/>
      <c r="BF41" s="280"/>
      <c r="BG41" s="280"/>
      <c r="BH41" s="302">
        <f>SUM(BC41:BG41)</f>
        <v>0</v>
      </c>
      <c r="BI41" s="265"/>
      <c r="BJ41" s="279"/>
      <c r="BK41" s="280"/>
      <c r="BL41" s="280"/>
      <c r="BM41" s="280"/>
      <c r="BN41" s="280"/>
      <c r="BO41" s="302">
        <f>SUM(BJ41:BN41)</f>
        <v>0</v>
      </c>
      <c r="BP41" s="265"/>
      <c r="BQ41" s="279"/>
      <c r="BR41" s="280"/>
      <c r="BS41" s="280"/>
      <c r="BT41" s="280"/>
      <c r="BU41" s="280"/>
      <c r="BV41" s="302">
        <f>SUM(BQ41:BU41)</f>
        <v>0</v>
      </c>
      <c r="BW41" s="265"/>
      <c r="BX41" s="279"/>
      <c r="BY41" s="280"/>
      <c r="BZ41" s="280"/>
      <c r="CA41" s="280"/>
      <c r="CB41" s="280"/>
      <c r="CC41" s="302">
        <f>SUM(BX41:CB41)</f>
        <v>0</v>
      </c>
      <c r="CD41" s="265"/>
      <c r="CE41" s="279"/>
      <c r="CF41" s="280"/>
      <c r="CG41" s="280"/>
      <c r="CH41" s="280"/>
      <c r="CI41" s="280"/>
      <c r="CJ41" s="302">
        <f>SUM(CE41:CI41)</f>
        <v>0</v>
      </c>
      <c r="CK41" s="265"/>
      <c r="CL41" s="279"/>
      <c r="CM41" s="280"/>
      <c r="CN41" s="280"/>
      <c r="CO41" s="280"/>
      <c r="CP41" s="280"/>
      <c r="CQ41" s="302">
        <f>SUM(CL41:CP41)</f>
        <v>0</v>
      </c>
      <c r="CR41" s="265"/>
      <c r="CS41" s="279"/>
      <c r="CT41" s="280"/>
      <c r="CU41" s="280"/>
      <c r="CV41" s="280"/>
      <c r="CW41" s="280"/>
      <c r="CX41" s="302">
        <f>SUM(CS41:CW41)</f>
        <v>0</v>
      </c>
      <c r="CY41" s="265"/>
      <c r="CZ41" s="279"/>
      <c r="DA41" s="280"/>
      <c r="DB41" s="280"/>
      <c r="DC41" s="280"/>
      <c r="DD41" s="280"/>
      <c r="DE41" s="302">
        <f>SUM(CZ41:DD41)</f>
        <v>0</v>
      </c>
      <c r="DF41" s="265"/>
      <c r="DG41" s="279"/>
      <c r="DH41" s="280"/>
      <c r="DI41" s="280"/>
      <c r="DJ41" s="280"/>
      <c r="DK41" s="280"/>
      <c r="DL41" s="302">
        <f>SUM(DG41:DK41)</f>
        <v>0</v>
      </c>
      <c r="DM41" s="265"/>
      <c r="DN41" s="279"/>
      <c r="DO41" s="280"/>
      <c r="DP41" s="280"/>
      <c r="DQ41" s="280"/>
      <c r="DR41" s="280"/>
      <c r="DS41" s="302">
        <f>SUM(DN41:DR41)</f>
        <v>0</v>
      </c>
      <c r="DT41" s="265"/>
      <c r="DU41" s="279"/>
      <c r="DV41" s="280"/>
      <c r="DW41" s="280"/>
      <c r="DX41" s="280"/>
      <c r="DY41" s="280"/>
      <c r="DZ41" s="302">
        <f>SUM(DU41:DY41)</f>
        <v>0</v>
      </c>
      <c r="EA41" s="265"/>
      <c r="EB41" s="279"/>
      <c r="EC41" s="280"/>
      <c r="ED41" s="280"/>
      <c r="EE41" s="280"/>
      <c r="EF41" s="280"/>
      <c r="EG41" s="302">
        <f>SUM(EB41:EF41)</f>
        <v>0</v>
      </c>
      <c r="EH41" s="265"/>
      <c r="EI41" s="279"/>
      <c r="EJ41" s="280"/>
      <c r="EK41" s="280"/>
      <c r="EL41" s="280"/>
      <c r="EM41" s="280"/>
      <c r="EN41" s="302">
        <f>SUM(EI41:EM41)</f>
        <v>0</v>
      </c>
      <c r="EO41" s="265"/>
      <c r="EP41" s="279"/>
      <c r="EQ41" s="280"/>
      <c r="ER41" s="280"/>
      <c r="ES41" s="280"/>
      <c r="ET41" s="280"/>
      <c r="EU41" s="302">
        <f>SUM(EP41:ET41)</f>
        <v>0</v>
      </c>
      <c r="EV41" s="265"/>
      <c r="EW41" s="279"/>
      <c r="EX41" s="280"/>
      <c r="EY41" s="280"/>
      <c r="EZ41" s="280"/>
      <c r="FA41" s="280"/>
      <c r="FB41" s="302">
        <f>SUM(EW41:FA41)</f>
        <v>0</v>
      </c>
      <c r="FC41" s="265"/>
      <c r="FD41" s="279"/>
      <c r="FE41" s="280"/>
      <c r="FF41" s="280"/>
      <c r="FG41" s="280"/>
      <c r="FH41" s="280"/>
      <c r="FI41" s="302">
        <f>SUM(FD41:FH41)</f>
        <v>0</v>
      </c>
      <c r="FJ41" s="265"/>
      <c r="FK41" s="279"/>
      <c r="FL41" s="280"/>
      <c r="FM41" s="280"/>
      <c r="FN41" s="280"/>
      <c r="FO41" s="280"/>
      <c r="FP41" s="302">
        <f>SUM(FK41:FO41)</f>
        <v>0</v>
      </c>
      <c r="FQ41" s="265"/>
      <c r="FR41" s="279"/>
      <c r="FS41" s="280"/>
      <c r="FT41" s="280"/>
      <c r="FU41" s="280"/>
      <c r="FV41" s="280"/>
      <c r="FW41" s="302">
        <f>SUM(FR41:FV41)</f>
        <v>0</v>
      </c>
      <c r="FX41" s="265"/>
      <c r="FY41" s="279"/>
      <c r="FZ41" s="280"/>
      <c r="GA41" s="280"/>
      <c r="GB41" s="280"/>
      <c r="GC41" s="280"/>
      <c r="GD41" s="302">
        <f>SUM(FY41:GC41)</f>
        <v>0</v>
      </c>
      <c r="GE41" s="265"/>
      <c r="GF41" s="279"/>
      <c r="GG41" s="280"/>
      <c r="GH41" s="280"/>
      <c r="GI41" s="280"/>
      <c r="GJ41" s="280"/>
      <c r="GK41" s="302">
        <f>SUM(GF41:GJ41)</f>
        <v>0</v>
      </c>
      <c r="GL41" s="265"/>
      <c r="GM41" s="279"/>
      <c r="GN41" s="280"/>
      <c r="GO41" s="280"/>
      <c r="GP41" s="280"/>
      <c r="GQ41" s="280"/>
      <c r="GR41" s="302">
        <f>SUM(GM41:GQ41)</f>
        <v>0</v>
      </c>
      <c r="GS41" s="265"/>
      <c r="GT41" s="279"/>
      <c r="GU41" s="280"/>
      <c r="GV41" s="280"/>
      <c r="GW41" s="280"/>
      <c r="GX41" s="280"/>
      <c r="GY41" s="302">
        <f>SUM(GT41:GX41)</f>
        <v>0</v>
      </c>
      <c r="GZ41" s="283"/>
      <c r="HA41" s="370"/>
      <c r="HB41" s="371"/>
      <c r="HC41" s="371"/>
      <c r="HD41" s="371"/>
      <c r="HE41" s="371"/>
      <c r="HF41" s="302">
        <f>SUM(HA41:HE41)</f>
        <v>0</v>
      </c>
      <c r="HG41" s="265"/>
      <c r="HH41" s="370"/>
      <c r="HI41" s="371"/>
      <c r="HJ41" s="371"/>
      <c r="HK41" s="371"/>
      <c r="HL41" s="371"/>
      <c r="HM41" s="302">
        <f>SUM(HH41:HL41)</f>
        <v>0</v>
      </c>
      <c r="HN41" s="265"/>
      <c r="HO41" s="370"/>
      <c r="HP41" s="371"/>
      <c r="HQ41" s="371"/>
      <c r="HR41" s="371"/>
      <c r="HS41" s="371"/>
      <c r="HT41" s="302">
        <f>SUM(HO41:HS41)</f>
        <v>0</v>
      </c>
      <c r="HU41" s="265"/>
      <c r="HV41" s="370"/>
      <c r="HW41" s="371"/>
      <c r="HX41" s="371"/>
      <c r="HY41" s="371"/>
      <c r="HZ41" s="371"/>
      <c r="IA41" s="302">
        <f>SUM(HV41:HZ41)</f>
        <v>0</v>
      </c>
      <c r="IB41" s="265"/>
      <c r="IC41" s="370"/>
      <c r="ID41" s="371"/>
      <c r="IE41" s="371"/>
      <c r="IF41" s="371"/>
      <c r="IG41" s="371"/>
      <c r="IH41" s="302">
        <f>SUM(IC41:IG41)</f>
        <v>0</v>
      </c>
      <c r="II41" s="265"/>
      <c r="IJ41" s="370"/>
      <c r="IK41" s="371"/>
      <c r="IL41" s="371"/>
      <c r="IM41" s="371"/>
      <c r="IN41" s="371"/>
      <c r="IO41" s="302">
        <f>SUM(IJ41:IN41)</f>
        <v>0</v>
      </c>
      <c r="IP41" s="265"/>
      <c r="IQ41" s="370"/>
      <c r="IR41" s="371"/>
      <c r="IS41" s="371"/>
      <c r="IT41" s="371"/>
      <c r="IU41" s="371"/>
      <c r="IV41" s="302">
        <f>SUM(IQ41:IU41)</f>
        <v>0</v>
      </c>
      <c r="IW41" s="265"/>
      <c r="IX41" s="370"/>
      <c r="IY41" s="371"/>
      <c r="IZ41" s="371"/>
      <c r="JA41" s="371"/>
      <c r="JB41" s="371"/>
      <c r="JC41" s="302">
        <f>SUM(IX41:JB41)</f>
        <v>0</v>
      </c>
      <c r="JD41" s="265"/>
      <c r="JE41" s="370"/>
      <c r="JF41" s="371"/>
      <c r="JG41" s="371"/>
      <c r="JH41" s="371"/>
      <c r="JI41" s="371"/>
      <c r="JJ41" s="302">
        <f>SUM(JE41:JI41)</f>
        <v>0</v>
      </c>
      <c r="JK41" s="265"/>
      <c r="JL41" s="370"/>
      <c r="JM41" s="371"/>
      <c r="JN41" s="371"/>
      <c r="JO41" s="371"/>
      <c r="JP41" s="371"/>
      <c r="JQ41" s="302">
        <f>SUM(JL41:JP41)</f>
        <v>0</v>
      </c>
      <c r="JR41" s="265"/>
      <c r="JS41" s="370"/>
      <c r="JT41" s="371"/>
      <c r="JU41" s="371"/>
      <c r="JV41" s="371"/>
      <c r="JW41" s="371"/>
      <c r="JX41" s="302">
        <f>SUM(JS41:JW41)</f>
        <v>0</v>
      </c>
      <c r="JY41" s="265"/>
      <c r="JZ41" s="370"/>
      <c r="KA41" s="371"/>
      <c r="KB41" s="371"/>
      <c r="KC41" s="371"/>
      <c r="KD41" s="371"/>
      <c r="KE41" s="302">
        <f>SUM(JZ41:KD41)</f>
        <v>0</v>
      </c>
      <c r="KF41" s="265"/>
      <c r="KG41" s="370"/>
      <c r="KH41" s="371"/>
      <c r="KI41" s="371"/>
      <c r="KJ41" s="371"/>
      <c r="KK41" s="371"/>
      <c r="KL41" s="302">
        <f>SUM(KG41:KK41)</f>
        <v>0</v>
      </c>
      <c r="KM41" s="265"/>
      <c r="KN41" s="370"/>
      <c r="KO41" s="371"/>
      <c r="KP41" s="371"/>
      <c r="KQ41" s="371"/>
      <c r="KR41" s="371"/>
      <c r="KS41" s="302">
        <f>SUM(KN41:KR41)</f>
        <v>0</v>
      </c>
      <c r="KT41" s="265"/>
      <c r="KU41" s="370"/>
      <c r="KV41" s="371"/>
      <c r="KW41" s="371"/>
      <c r="KX41" s="371"/>
      <c r="KY41" s="371"/>
      <c r="KZ41" s="302">
        <f>SUM(KU41:KY41)</f>
        <v>0</v>
      </c>
      <c r="LA41" s="265"/>
      <c r="LB41" s="370"/>
      <c r="LC41" s="371"/>
      <c r="LD41" s="371"/>
      <c r="LE41" s="371"/>
      <c r="LF41" s="371"/>
      <c r="LG41" s="302">
        <f>SUM(LB41:LF41)</f>
        <v>0</v>
      </c>
      <c r="LH41" s="265"/>
      <c r="LI41" s="370"/>
      <c r="LJ41" s="371"/>
      <c r="LK41" s="371"/>
      <c r="LL41" s="371"/>
      <c r="LM41" s="371"/>
      <c r="LN41" s="302">
        <f>SUM(LI41:LM41)</f>
        <v>0</v>
      </c>
      <c r="LO41" s="265"/>
      <c r="LP41" s="370"/>
      <c r="LQ41" s="371"/>
      <c r="LR41" s="371"/>
      <c r="LS41" s="371"/>
      <c r="LT41" s="371"/>
      <c r="LU41" s="302">
        <f>SUM(LP41:LT41)</f>
        <v>0</v>
      </c>
      <c r="LV41" s="265"/>
      <c r="LW41" s="370"/>
      <c r="LX41" s="371"/>
      <c r="LY41" s="371"/>
      <c r="LZ41" s="371"/>
      <c r="MA41" s="371"/>
      <c r="MB41" s="302">
        <f>SUM(LW41:MA41)</f>
        <v>0</v>
      </c>
      <c r="MC41" s="265"/>
      <c r="MD41" s="370"/>
      <c r="ME41" s="371"/>
      <c r="MF41" s="371"/>
      <c r="MG41" s="371"/>
      <c r="MH41" s="371"/>
      <c r="MI41" s="302">
        <f>SUM(MD41:MH41)</f>
        <v>0</v>
      </c>
      <c r="MJ41" s="265"/>
      <c r="MK41" s="370"/>
      <c r="ML41" s="371"/>
      <c r="MM41" s="371"/>
      <c r="MN41" s="371"/>
      <c r="MO41" s="371"/>
      <c r="MP41" s="302">
        <f>SUM(MK41:MO41)</f>
        <v>0</v>
      </c>
      <c r="MQ41" s="265"/>
      <c r="MR41" s="370"/>
      <c r="MS41" s="371"/>
      <c r="MT41" s="371"/>
      <c r="MU41" s="371"/>
      <c r="MV41" s="371"/>
      <c r="MW41" s="302">
        <f>SUM(MR41:MV41)</f>
        <v>0</v>
      </c>
      <c r="MX41" s="265"/>
      <c r="MY41" s="370"/>
      <c r="MZ41" s="371"/>
      <c r="NA41" s="371"/>
      <c r="NB41" s="371"/>
      <c r="NC41" s="371"/>
      <c r="ND41" s="302">
        <f>SUM(MY41:NC41)</f>
        <v>0</v>
      </c>
      <c r="NE41" s="265"/>
      <c r="NF41" s="370"/>
      <c r="NG41" s="371"/>
      <c r="NH41" s="371"/>
      <c r="NI41" s="371"/>
      <c r="NJ41" s="371"/>
      <c r="NK41" s="302">
        <f>SUM(NF41:NJ41)</f>
        <v>0</v>
      </c>
      <c r="NL41" s="265"/>
      <c r="NM41" s="370"/>
      <c r="NN41" s="371"/>
      <c r="NO41" s="371"/>
      <c r="NP41" s="371"/>
      <c r="NQ41" s="371"/>
      <c r="NR41" s="302">
        <f>SUM(NM41:NQ41)</f>
        <v>0</v>
      </c>
      <c r="NS41" s="283"/>
    </row>
    <row r="42" spans="1:383" s="196" customFormat="1" ht="16.05" customHeight="1" x14ac:dyDescent="0.3">
      <c r="A42" s="294"/>
      <c r="B42" s="282"/>
      <c r="C42" s="286" t="s">
        <v>416</v>
      </c>
      <c r="D42" s="306"/>
      <c r="E42"/>
      <c r="F42" s="227">
        <f>'Pilotage effectif 27O'!I46</f>
        <v>0</v>
      </c>
      <c r="G42" s="228">
        <f>'Pilotage effectif 27O'!J46</f>
        <v>0</v>
      </c>
      <c r="H42" s="228">
        <f>'Pilotage effectif 27O'!K46</f>
        <v>0</v>
      </c>
      <c r="I42" s="228">
        <f>'Pilotage effectif 27O'!L46</f>
        <v>0</v>
      </c>
      <c r="J42" s="228">
        <f>'Pilotage effectif 27O'!M46</f>
        <v>0</v>
      </c>
      <c r="K42" s="303">
        <f>'Pilotage effectif 27O'!N46</f>
        <v>0</v>
      </c>
      <c r="L42" s="265"/>
      <c r="M42" s="227">
        <f>'Pilotage effectif 27O'!P46</f>
        <v>0</v>
      </c>
      <c r="N42" s="228">
        <f>'Pilotage effectif 27O'!Q46</f>
        <v>0</v>
      </c>
      <c r="O42" s="228">
        <f>'Pilotage effectif 27O'!R46</f>
        <v>0</v>
      </c>
      <c r="P42" s="228">
        <f>'Pilotage effectif 27O'!S46</f>
        <v>0</v>
      </c>
      <c r="Q42" s="228">
        <f>'Pilotage effectif 27O'!T46</f>
        <v>0</v>
      </c>
      <c r="R42" s="303">
        <f>'Pilotage effectif 27O'!U46</f>
        <v>0</v>
      </c>
      <c r="S42" s="265"/>
      <c r="T42" s="227">
        <f>'Pilotage effectif 27O'!W46</f>
        <v>0</v>
      </c>
      <c r="U42" s="228">
        <f>'Pilotage effectif 27O'!X46</f>
        <v>0</v>
      </c>
      <c r="V42" s="228">
        <f>'Pilotage effectif 27O'!Y46</f>
        <v>0</v>
      </c>
      <c r="W42" s="228">
        <f>'Pilotage effectif 27O'!Z46</f>
        <v>0</v>
      </c>
      <c r="X42" s="228">
        <f>'Pilotage effectif 27O'!AA46</f>
        <v>0</v>
      </c>
      <c r="Y42" s="303">
        <f>'Pilotage effectif 27O'!AB46</f>
        <v>0</v>
      </c>
      <c r="Z42" s="265"/>
      <c r="AA42" s="227">
        <f>'Pilotage effectif 27O'!AD46</f>
        <v>0</v>
      </c>
      <c r="AB42" s="228">
        <f>'Pilotage effectif 27O'!AE46</f>
        <v>0</v>
      </c>
      <c r="AC42" s="228">
        <f>'Pilotage effectif 27O'!AF46</f>
        <v>0</v>
      </c>
      <c r="AD42" s="228">
        <f>'Pilotage effectif 27O'!AG46</f>
        <v>0</v>
      </c>
      <c r="AE42" s="228">
        <f>'Pilotage effectif 27O'!AH46</f>
        <v>0</v>
      </c>
      <c r="AF42" s="303">
        <f>'Pilotage effectif 27O'!AI46</f>
        <v>0</v>
      </c>
      <c r="AG42" s="265"/>
      <c r="AH42" s="227">
        <f>'Pilotage effectif 27O'!AK46</f>
        <v>0</v>
      </c>
      <c r="AI42" s="228">
        <f>'Pilotage effectif 27O'!AL46</f>
        <v>0</v>
      </c>
      <c r="AJ42" s="228">
        <f>'Pilotage effectif 27O'!AM46</f>
        <v>0</v>
      </c>
      <c r="AK42" s="228">
        <f>'Pilotage effectif 27O'!AN46</f>
        <v>0</v>
      </c>
      <c r="AL42" s="228">
        <f>'Pilotage effectif 27O'!AO46</f>
        <v>0</v>
      </c>
      <c r="AM42" s="303">
        <f>'Pilotage effectif 27O'!AP46</f>
        <v>0</v>
      </c>
      <c r="AN42" s="265"/>
      <c r="AO42" s="227">
        <f>'Pilotage effectif 27O'!AR46</f>
        <v>1</v>
      </c>
      <c r="AP42" s="228">
        <f>'Pilotage effectif 27O'!AS46</f>
        <v>1</v>
      </c>
      <c r="AQ42" s="228">
        <f>'Pilotage effectif 27O'!AT46</f>
        <v>1</v>
      </c>
      <c r="AR42" s="228">
        <f>'Pilotage effectif 27O'!AU46</f>
        <v>1</v>
      </c>
      <c r="AS42" s="228">
        <f>'Pilotage effectif 27O'!AV46</f>
        <v>1</v>
      </c>
      <c r="AT42" s="303">
        <f>'Pilotage effectif 27O'!AW46</f>
        <v>5</v>
      </c>
      <c r="AU42" s="265"/>
      <c r="AV42" s="227">
        <f>'Pilotage effectif 27O'!AY46</f>
        <v>0</v>
      </c>
      <c r="AW42" s="228">
        <f>'Pilotage effectif 27O'!AZ46</f>
        <v>0</v>
      </c>
      <c r="AX42" s="228">
        <f>'Pilotage effectif 27O'!BA46</f>
        <v>0</v>
      </c>
      <c r="AY42" s="228">
        <f>'Pilotage effectif 27O'!BB46</f>
        <v>0</v>
      </c>
      <c r="AZ42" s="228">
        <f>'Pilotage effectif 27O'!BC46</f>
        <v>0</v>
      </c>
      <c r="BA42" s="303">
        <f>'Pilotage effectif 27O'!BD46</f>
        <v>0</v>
      </c>
      <c r="BB42" s="265"/>
      <c r="BC42" s="227">
        <f>'Pilotage effectif 27O'!BF46</f>
        <v>0</v>
      </c>
      <c r="BD42" s="228">
        <f>'Pilotage effectif 27O'!BG46</f>
        <v>0</v>
      </c>
      <c r="BE42" s="228">
        <f>'Pilotage effectif 27O'!BH46</f>
        <v>0</v>
      </c>
      <c r="BF42" s="228">
        <f>'Pilotage effectif 27O'!BI46</f>
        <v>0</v>
      </c>
      <c r="BG42" s="228">
        <f>'Pilotage effectif 27O'!BJ46</f>
        <v>0</v>
      </c>
      <c r="BH42" s="303">
        <f>'Pilotage effectif 27O'!BK46</f>
        <v>0</v>
      </c>
      <c r="BI42" s="265"/>
      <c r="BJ42" s="227">
        <f>'Pilotage effectif 27O'!BM46</f>
        <v>0</v>
      </c>
      <c r="BK42" s="228">
        <f>'Pilotage effectif 27O'!BN46</f>
        <v>0</v>
      </c>
      <c r="BL42" s="228">
        <f>'Pilotage effectif 27O'!BO46</f>
        <v>0</v>
      </c>
      <c r="BM42" s="228">
        <f>'Pilotage effectif 27O'!BP46</f>
        <v>0</v>
      </c>
      <c r="BN42" s="228">
        <f>'Pilotage effectif 27O'!BQ46</f>
        <v>0</v>
      </c>
      <c r="BO42" s="303">
        <f>'Pilotage effectif 27O'!BR46</f>
        <v>0</v>
      </c>
      <c r="BP42" s="265"/>
      <c r="BQ42" s="227">
        <f>'Pilotage effectif 27O'!BT46</f>
        <v>0</v>
      </c>
      <c r="BR42" s="228">
        <f>'Pilotage effectif 27O'!BU46</f>
        <v>0</v>
      </c>
      <c r="BS42" s="228">
        <f>'Pilotage effectif 27O'!BV46</f>
        <v>0</v>
      </c>
      <c r="BT42" s="228">
        <f>'Pilotage effectif 27O'!BW46</f>
        <v>0</v>
      </c>
      <c r="BU42" s="228">
        <f>'Pilotage effectif 27O'!BX46</f>
        <v>0</v>
      </c>
      <c r="BV42" s="303">
        <f>'Pilotage effectif 27O'!BY46</f>
        <v>0</v>
      </c>
      <c r="BW42" s="265"/>
      <c r="BX42" s="227">
        <f>'Pilotage effectif 27O'!CA46</f>
        <v>0</v>
      </c>
      <c r="BY42" s="228">
        <f>'Pilotage effectif 27O'!CB46</f>
        <v>0</v>
      </c>
      <c r="BZ42" s="228">
        <f>'Pilotage effectif 27O'!CC46</f>
        <v>0</v>
      </c>
      <c r="CA42" s="228">
        <f>'Pilotage effectif 27O'!CD46</f>
        <v>0</v>
      </c>
      <c r="CB42" s="228">
        <f>'Pilotage effectif 27O'!CE46</f>
        <v>0</v>
      </c>
      <c r="CC42" s="303">
        <f>'Pilotage effectif 27O'!CF46</f>
        <v>0</v>
      </c>
      <c r="CD42" s="265"/>
      <c r="CE42" s="227">
        <f>'Pilotage effectif 27O'!CH46</f>
        <v>0</v>
      </c>
      <c r="CF42" s="228">
        <f>'Pilotage effectif 27O'!CI46</f>
        <v>0</v>
      </c>
      <c r="CG42" s="228">
        <f>'Pilotage effectif 27O'!CJ46</f>
        <v>0</v>
      </c>
      <c r="CH42" s="228">
        <f>'Pilotage effectif 27O'!CK46</f>
        <v>0</v>
      </c>
      <c r="CI42" s="228">
        <f>'Pilotage effectif 27O'!CL46</f>
        <v>0</v>
      </c>
      <c r="CJ42" s="303">
        <f>'Pilotage effectif 27O'!CM46</f>
        <v>0</v>
      </c>
      <c r="CK42" s="265"/>
      <c r="CL42" s="227">
        <f>'Pilotage effectif 27O'!CO46</f>
        <v>0</v>
      </c>
      <c r="CM42" s="228">
        <f>'Pilotage effectif 27O'!CP46</f>
        <v>0</v>
      </c>
      <c r="CN42" s="228">
        <f>'Pilotage effectif 27O'!CQ46</f>
        <v>0</v>
      </c>
      <c r="CO42" s="228">
        <f>'Pilotage effectif 27O'!CR46</f>
        <v>0</v>
      </c>
      <c r="CP42" s="228">
        <f>'Pilotage effectif 27O'!CS46</f>
        <v>0</v>
      </c>
      <c r="CQ42" s="303">
        <f>'Pilotage effectif 27O'!CT46</f>
        <v>0</v>
      </c>
      <c r="CR42" s="265"/>
      <c r="CS42" s="227">
        <f>'Pilotage effectif 27O'!CV46</f>
        <v>0</v>
      </c>
      <c r="CT42" s="228">
        <f>'Pilotage effectif 27O'!CW46</f>
        <v>0</v>
      </c>
      <c r="CU42" s="228">
        <f>'Pilotage effectif 27O'!CX46</f>
        <v>0</v>
      </c>
      <c r="CV42" s="228">
        <f>'Pilotage effectif 27O'!CY46</f>
        <v>0</v>
      </c>
      <c r="CW42" s="228">
        <f>'Pilotage effectif 27O'!CZ46</f>
        <v>0</v>
      </c>
      <c r="CX42" s="303">
        <f>'Pilotage effectif 27O'!DA46</f>
        <v>0</v>
      </c>
      <c r="CY42" s="265"/>
      <c r="CZ42" s="227">
        <f>'Pilotage effectif 27O'!DC46</f>
        <v>0</v>
      </c>
      <c r="DA42" s="228">
        <f>'Pilotage effectif 27O'!DD46</f>
        <v>0</v>
      </c>
      <c r="DB42" s="228">
        <f>'Pilotage effectif 27O'!DE46</f>
        <v>0</v>
      </c>
      <c r="DC42" s="228">
        <f>'Pilotage effectif 27O'!DF46</f>
        <v>0</v>
      </c>
      <c r="DD42" s="228">
        <f>'Pilotage effectif 27O'!DG46</f>
        <v>0</v>
      </c>
      <c r="DE42" s="303">
        <f>'Pilotage effectif 27O'!DH46</f>
        <v>0</v>
      </c>
      <c r="DF42" s="265"/>
      <c r="DG42" s="227">
        <f>'Pilotage effectif 27O'!DJ46</f>
        <v>0</v>
      </c>
      <c r="DH42" s="228">
        <f>'Pilotage effectif 27O'!DK46</f>
        <v>0</v>
      </c>
      <c r="DI42" s="228">
        <f>'Pilotage effectif 27O'!DL46</f>
        <v>0</v>
      </c>
      <c r="DJ42" s="228">
        <f>'Pilotage effectif 27O'!DM46</f>
        <v>0</v>
      </c>
      <c r="DK42" s="228">
        <f>'Pilotage effectif 27O'!DN46</f>
        <v>0</v>
      </c>
      <c r="DL42" s="303">
        <f>'Pilotage effectif 27O'!DO46</f>
        <v>0</v>
      </c>
      <c r="DM42" s="265"/>
      <c r="DN42" s="227">
        <f>'Pilotage effectif 27O'!DQ46</f>
        <v>0</v>
      </c>
      <c r="DO42" s="228">
        <f>'Pilotage effectif 27O'!DR46</f>
        <v>0</v>
      </c>
      <c r="DP42" s="228">
        <f>'Pilotage effectif 27O'!DS46</f>
        <v>0</v>
      </c>
      <c r="DQ42" s="228">
        <f>'Pilotage effectif 27O'!DT46</f>
        <v>0</v>
      </c>
      <c r="DR42" s="228">
        <f>'Pilotage effectif 27O'!DU46</f>
        <v>0</v>
      </c>
      <c r="DS42" s="303">
        <f>'Pilotage effectif 27O'!DV46</f>
        <v>0</v>
      </c>
      <c r="DT42" s="265"/>
      <c r="DU42" s="227">
        <f>'Pilotage effectif 27O'!DX46</f>
        <v>0</v>
      </c>
      <c r="DV42" s="228">
        <f>'Pilotage effectif 27O'!DY46</f>
        <v>0</v>
      </c>
      <c r="DW42" s="228">
        <f>'Pilotage effectif 27O'!DZ46</f>
        <v>0</v>
      </c>
      <c r="DX42" s="228">
        <f>'Pilotage effectif 27O'!EA46</f>
        <v>0</v>
      </c>
      <c r="DY42" s="228">
        <f>'Pilotage effectif 27O'!EB46</f>
        <v>0</v>
      </c>
      <c r="DZ42" s="303">
        <f>'Pilotage effectif 27O'!EC46</f>
        <v>0</v>
      </c>
      <c r="EA42" s="265"/>
      <c r="EB42" s="227">
        <f>'Pilotage effectif 27O'!EE46</f>
        <v>0</v>
      </c>
      <c r="EC42" s="228">
        <f>'Pilotage effectif 27O'!EF46</f>
        <v>0</v>
      </c>
      <c r="ED42" s="228">
        <f>'Pilotage effectif 27O'!EG46</f>
        <v>0</v>
      </c>
      <c r="EE42" s="228">
        <f>'Pilotage effectif 27O'!EH46</f>
        <v>0</v>
      </c>
      <c r="EF42" s="228">
        <f>'Pilotage effectif 27O'!EI46</f>
        <v>0</v>
      </c>
      <c r="EG42" s="303">
        <f>'Pilotage effectif 27O'!EJ46</f>
        <v>0</v>
      </c>
      <c r="EH42" s="265"/>
      <c r="EI42" s="227">
        <f>'Pilotage effectif 27O'!EL46</f>
        <v>0</v>
      </c>
      <c r="EJ42" s="228">
        <f>'Pilotage effectif 27O'!EM46</f>
        <v>0</v>
      </c>
      <c r="EK42" s="228">
        <f>'Pilotage effectif 27O'!EN46</f>
        <v>0</v>
      </c>
      <c r="EL42" s="228">
        <f>'Pilotage effectif 27O'!EO46</f>
        <v>0</v>
      </c>
      <c r="EM42" s="228">
        <f>'Pilotage effectif 27O'!EP46</f>
        <v>0</v>
      </c>
      <c r="EN42" s="303">
        <f>'Pilotage effectif 27O'!EQ46</f>
        <v>0</v>
      </c>
      <c r="EO42" s="265"/>
      <c r="EP42" s="227">
        <f>'Pilotage effectif 27O'!ES46</f>
        <v>0</v>
      </c>
      <c r="EQ42" s="228">
        <f>'Pilotage effectif 27O'!ET46</f>
        <v>0</v>
      </c>
      <c r="ER42" s="228">
        <f>'Pilotage effectif 27O'!EU46</f>
        <v>0</v>
      </c>
      <c r="ES42" s="228">
        <f>'Pilotage effectif 27O'!EV46</f>
        <v>0</v>
      </c>
      <c r="ET42" s="228">
        <f>'Pilotage effectif 27O'!EW46</f>
        <v>0</v>
      </c>
      <c r="EU42" s="303">
        <f>'Pilotage effectif 27O'!EX46</f>
        <v>0</v>
      </c>
      <c r="EV42" s="265"/>
      <c r="EW42" s="227">
        <f>'Pilotage effectif 27O'!EZ46</f>
        <v>0</v>
      </c>
      <c r="EX42" s="228">
        <f>'Pilotage effectif 27O'!FA46</f>
        <v>0</v>
      </c>
      <c r="EY42" s="228">
        <f>'Pilotage effectif 27O'!FB46</f>
        <v>0</v>
      </c>
      <c r="EZ42" s="228">
        <f>'Pilotage effectif 27O'!FC46</f>
        <v>0</v>
      </c>
      <c r="FA42" s="228">
        <f>'Pilotage effectif 27O'!FD46</f>
        <v>0</v>
      </c>
      <c r="FB42" s="303">
        <f>'Pilotage effectif 27O'!FE46</f>
        <v>0</v>
      </c>
      <c r="FC42" s="265"/>
      <c r="FD42" s="227">
        <f>'Pilotage effectif 27O'!FG46</f>
        <v>0</v>
      </c>
      <c r="FE42" s="228">
        <f>'Pilotage effectif 27O'!FH46</f>
        <v>0</v>
      </c>
      <c r="FF42" s="228">
        <f>'Pilotage effectif 27O'!FI46</f>
        <v>0</v>
      </c>
      <c r="FG42" s="228">
        <f>'Pilotage effectif 27O'!FJ46</f>
        <v>0</v>
      </c>
      <c r="FH42" s="228">
        <f>'Pilotage effectif 27O'!FK46</f>
        <v>0</v>
      </c>
      <c r="FI42" s="303">
        <f>'Pilotage effectif 27O'!FL46</f>
        <v>0</v>
      </c>
      <c r="FJ42" s="265"/>
      <c r="FK42" s="227">
        <f>'Pilotage effectif 27O'!FN46</f>
        <v>0</v>
      </c>
      <c r="FL42" s="228">
        <f>'Pilotage effectif 27O'!FO46</f>
        <v>0</v>
      </c>
      <c r="FM42" s="228">
        <f>'Pilotage effectif 27O'!FP46</f>
        <v>0</v>
      </c>
      <c r="FN42" s="228">
        <f>'Pilotage effectif 27O'!FQ46</f>
        <v>0</v>
      </c>
      <c r="FO42" s="228">
        <f>'Pilotage effectif 27O'!FR46</f>
        <v>0</v>
      </c>
      <c r="FP42" s="303">
        <f>'Pilotage effectif 27O'!FS46</f>
        <v>0</v>
      </c>
      <c r="FQ42" s="265"/>
      <c r="FR42" s="227">
        <f>'Pilotage effectif 27O'!FU46</f>
        <v>0</v>
      </c>
      <c r="FS42" s="228">
        <f>'Pilotage effectif 27O'!FV46</f>
        <v>0</v>
      </c>
      <c r="FT42" s="228">
        <f>'Pilotage effectif 27O'!FW46</f>
        <v>0</v>
      </c>
      <c r="FU42" s="228">
        <f>'Pilotage effectif 27O'!FX46</f>
        <v>0</v>
      </c>
      <c r="FV42" s="228">
        <f>'Pilotage effectif 27O'!FY46</f>
        <v>0</v>
      </c>
      <c r="FW42" s="303">
        <f>'Pilotage effectif 27O'!FZ46</f>
        <v>0</v>
      </c>
      <c r="FX42" s="265"/>
      <c r="FY42" s="227">
        <f>'Pilotage effectif 27O'!GB46</f>
        <v>0</v>
      </c>
      <c r="FZ42" s="228">
        <f>'Pilotage effectif 27O'!GC46</f>
        <v>0</v>
      </c>
      <c r="GA42" s="228">
        <f>'Pilotage effectif 27O'!GD46</f>
        <v>0</v>
      </c>
      <c r="GB42" s="228">
        <f>'Pilotage effectif 27O'!GE46</f>
        <v>0</v>
      </c>
      <c r="GC42" s="228">
        <f>'Pilotage effectif 27O'!GF46</f>
        <v>0</v>
      </c>
      <c r="GD42" s="303">
        <f>'Pilotage effectif 27O'!GG46</f>
        <v>0</v>
      </c>
      <c r="GE42" s="265"/>
      <c r="GF42" s="227">
        <f>'Pilotage effectif 27O'!GI46</f>
        <v>0</v>
      </c>
      <c r="GG42" s="228">
        <f>'Pilotage effectif 27O'!GJ46</f>
        <v>0</v>
      </c>
      <c r="GH42" s="228">
        <f>'Pilotage effectif 27O'!GK46</f>
        <v>0</v>
      </c>
      <c r="GI42" s="228">
        <f>'Pilotage effectif 27O'!GL46</f>
        <v>0</v>
      </c>
      <c r="GJ42" s="228">
        <f>'Pilotage effectif 27O'!GM46</f>
        <v>0</v>
      </c>
      <c r="GK42" s="303">
        <f>'Pilotage effectif 27O'!GN46</f>
        <v>0</v>
      </c>
      <c r="GL42" s="265"/>
      <c r="GM42" s="227">
        <f>'Pilotage effectif 27O'!GP46</f>
        <v>0</v>
      </c>
      <c r="GN42" s="228">
        <f>'Pilotage effectif 27O'!GQ46</f>
        <v>0</v>
      </c>
      <c r="GO42" s="228">
        <f>'Pilotage effectif 27O'!GR46</f>
        <v>0</v>
      </c>
      <c r="GP42" s="228">
        <f>'Pilotage effectif 27O'!GS46</f>
        <v>0</v>
      </c>
      <c r="GQ42" s="228">
        <f>'Pilotage effectif 27O'!GT46</f>
        <v>0</v>
      </c>
      <c r="GR42" s="303">
        <f>'Pilotage effectif 27O'!GU46</f>
        <v>0</v>
      </c>
      <c r="GS42" s="265"/>
      <c r="GT42" s="227">
        <f>'Pilotage effectif 27O'!GW46</f>
        <v>0</v>
      </c>
      <c r="GU42" s="228">
        <f>'Pilotage effectif 27O'!GX46</f>
        <v>0</v>
      </c>
      <c r="GV42" s="228">
        <f>'Pilotage effectif 27O'!GY46</f>
        <v>0</v>
      </c>
      <c r="GW42" s="228">
        <f>'Pilotage effectif 27O'!GZ46</f>
        <v>0</v>
      </c>
      <c r="GX42" s="228">
        <f>'Pilotage effectif 27O'!HA46</f>
        <v>0</v>
      </c>
      <c r="GY42" s="303">
        <f>'Pilotage effectif 27O'!HB46</f>
        <v>0</v>
      </c>
      <c r="GZ42" s="283"/>
      <c r="HA42" s="227">
        <f>'Pilotage effectif 27O'!HD46</f>
        <v>0</v>
      </c>
      <c r="HB42" s="228">
        <f>'Pilotage effectif 27O'!HE46</f>
        <v>0</v>
      </c>
      <c r="HC42" s="228">
        <f>'Pilotage effectif 27O'!HF46</f>
        <v>0</v>
      </c>
      <c r="HD42" s="228">
        <f>'Pilotage effectif 27O'!HG46</f>
        <v>0</v>
      </c>
      <c r="HE42" s="228">
        <f>'Pilotage effectif 27O'!HH46</f>
        <v>0</v>
      </c>
      <c r="HF42" s="303">
        <f>'Pilotage effectif 27O'!HI46</f>
        <v>0</v>
      </c>
      <c r="HG42" s="265"/>
      <c r="HH42" s="227">
        <f>'Pilotage effectif 27O'!HK46</f>
        <v>1</v>
      </c>
      <c r="HI42" s="228">
        <f>'Pilotage effectif 27O'!HL46</f>
        <v>1</v>
      </c>
      <c r="HJ42" s="228">
        <f>'Pilotage effectif 27O'!HM46</f>
        <v>1</v>
      </c>
      <c r="HK42" s="228">
        <f>'Pilotage effectif 27O'!HN46</f>
        <v>1</v>
      </c>
      <c r="HL42" s="228">
        <f>'Pilotage effectif 27O'!HO46</f>
        <v>1</v>
      </c>
      <c r="HM42" s="303">
        <f>'Pilotage effectif 27O'!HP46</f>
        <v>5</v>
      </c>
      <c r="HN42" s="265"/>
      <c r="HO42" s="227">
        <f>'Pilotage effectif 27O'!HR46</f>
        <v>0</v>
      </c>
      <c r="HP42" s="228">
        <f>'Pilotage effectif 27O'!HS46</f>
        <v>0</v>
      </c>
      <c r="HQ42" s="228">
        <f>'Pilotage effectif 27O'!HT46</f>
        <v>0</v>
      </c>
      <c r="HR42" s="228">
        <f>'Pilotage effectif 27O'!HU46</f>
        <v>0</v>
      </c>
      <c r="HS42" s="228">
        <f>'Pilotage effectif 27O'!HV46</f>
        <v>0</v>
      </c>
      <c r="HT42" s="303">
        <f>'Pilotage effectif 27O'!HW46</f>
        <v>0</v>
      </c>
      <c r="HU42" s="265"/>
      <c r="HV42" s="227">
        <f>'Pilotage effectif 27O'!HY46</f>
        <v>0</v>
      </c>
      <c r="HW42" s="228">
        <f>'Pilotage effectif 27O'!HZ46</f>
        <v>0</v>
      </c>
      <c r="HX42" s="228">
        <f>'Pilotage effectif 27O'!IA46</f>
        <v>0</v>
      </c>
      <c r="HY42" s="228">
        <f>'Pilotage effectif 27O'!IB46</f>
        <v>0</v>
      </c>
      <c r="HZ42" s="228">
        <f>'Pilotage effectif 27O'!IC46</f>
        <v>0</v>
      </c>
      <c r="IA42" s="303">
        <f>'Pilotage effectif 27O'!ID46</f>
        <v>0</v>
      </c>
      <c r="IB42" s="265"/>
      <c r="IC42" s="227">
        <f>'Pilotage effectif 27O'!IF46</f>
        <v>0</v>
      </c>
      <c r="ID42" s="228">
        <f>'Pilotage effectif 27O'!IG46</f>
        <v>0</v>
      </c>
      <c r="IE42" s="228">
        <f>'Pilotage effectif 27O'!IH46</f>
        <v>0</v>
      </c>
      <c r="IF42" s="228">
        <f>'Pilotage effectif 27O'!II46</f>
        <v>0</v>
      </c>
      <c r="IG42" s="228">
        <f>'Pilotage effectif 27O'!IJ46</f>
        <v>0</v>
      </c>
      <c r="IH42" s="303">
        <f>'Pilotage effectif 27O'!IK46</f>
        <v>0</v>
      </c>
      <c r="II42" s="265"/>
      <c r="IJ42" s="227">
        <f>'Pilotage effectif 27O'!IM46</f>
        <v>0</v>
      </c>
      <c r="IK42" s="228">
        <f>'Pilotage effectif 27O'!IN46</f>
        <v>0</v>
      </c>
      <c r="IL42" s="228">
        <f>'Pilotage effectif 27O'!IO46</f>
        <v>0</v>
      </c>
      <c r="IM42" s="228">
        <f>'Pilotage effectif 27O'!IP46</f>
        <v>0</v>
      </c>
      <c r="IN42" s="228">
        <f>'Pilotage effectif 27O'!IQ46</f>
        <v>0</v>
      </c>
      <c r="IO42" s="303">
        <f>'Pilotage effectif 27O'!IR46</f>
        <v>0</v>
      </c>
      <c r="IP42" s="265"/>
      <c r="IQ42" s="227">
        <f>'Pilotage effectif 27O'!IT46</f>
        <v>0</v>
      </c>
      <c r="IR42" s="228">
        <f>'Pilotage effectif 27O'!IU46</f>
        <v>0</v>
      </c>
      <c r="IS42" s="228">
        <f>'Pilotage effectif 27O'!IV46</f>
        <v>0</v>
      </c>
      <c r="IT42" s="228">
        <f>'Pilotage effectif 27O'!IW46</f>
        <v>0</v>
      </c>
      <c r="IU42" s="228">
        <f>'Pilotage effectif 27O'!IX46</f>
        <v>0</v>
      </c>
      <c r="IV42" s="303">
        <f>'Pilotage effectif 27O'!IY46</f>
        <v>0</v>
      </c>
      <c r="IW42" s="265"/>
      <c r="IX42" s="227">
        <f>'Pilotage effectif 27O'!JA46</f>
        <v>0</v>
      </c>
      <c r="IY42" s="228">
        <f>'Pilotage effectif 27O'!JB46</f>
        <v>0</v>
      </c>
      <c r="IZ42" s="228">
        <f>'Pilotage effectif 27O'!JC46</f>
        <v>0</v>
      </c>
      <c r="JA42" s="228">
        <f>'Pilotage effectif 27O'!JD46</f>
        <v>0</v>
      </c>
      <c r="JB42" s="228">
        <f>'Pilotage effectif 27O'!JE46</f>
        <v>0</v>
      </c>
      <c r="JC42" s="303">
        <f>'Pilotage effectif 27O'!JF46</f>
        <v>0</v>
      </c>
      <c r="JD42" s="265"/>
      <c r="JE42" s="227">
        <f>'Pilotage effectif 27O'!JH46</f>
        <v>0</v>
      </c>
      <c r="JF42" s="228">
        <f>'Pilotage effectif 27O'!JI46</f>
        <v>0</v>
      </c>
      <c r="JG42" s="228">
        <f>'Pilotage effectif 27O'!JJ46</f>
        <v>0</v>
      </c>
      <c r="JH42" s="228">
        <f>'Pilotage effectif 27O'!JK46</f>
        <v>0</v>
      </c>
      <c r="JI42" s="228">
        <f>'Pilotage effectif 27O'!JL46</f>
        <v>0</v>
      </c>
      <c r="JJ42" s="303">
        <f>'Pilotage effectif 27O'!JM46</f>
        <v>0</v>
      </c>
      <c r="JK42" s="265"/>
      <c r="JL42" s="227">
        <f>'Pilotage effectif 27O'!JO46</f>
        <v>0</v>
      </c>
      <c r="JM42" s="228">
        <f>'Pilotage effectif 27O'!JP46</f>
        <v>0</v>
      </c>
      <c r="JN42" s="228">
        <f>'Pilotage effectif 27O'!JQ46</f>
        <v>0</v>
      </c>
      <c r="JO42" s="228">
        <f>'Pilotage effectif 27O'!JR46</f>
        <v>0</v>
      </c>
      <c r="JP42" s="228">
        <f>'Pilotage effectif 27O'!JS46</f>
        <v>0</v>
      </c>
      <c r="JQ42" s="303">
        <f>'Pilotage effectif 27O'!JT46</f>
        <v>0</v>
      </c>
      <c r="JR42" s="265"/>
      <c r="JS42" s="227">
        <f>'Pilotage effectif 27O'!JV46</f>
        <v>0</v>
      </c>
      <c r="JT42" s="228">
        <f>'Pilotage effectif 27O'!JW46</f>
        <v>0</v>
      </c>
      <c r="JU42" s="228">
        <f>'Pilotage effectif 27O'!JX46</f>
        <v>0</v>
      </c>
      <c r="JV42" s="228">
        <f>'Pilotage effectif 27O'!JY46</f>
        <v>0</v>
      </c>
      <c r="JW42" s="228">
        <f>'Pilotage effectif 27O'!JZ46</f>
        <v>0</v>
      </c>
      <c r="JX42" s="303">
        <f>'Pilotage effectif 27O'!KA46</f>
        <v>0</v>
      </c>
      <c r="JY42" s="265"/>
      <c r="JZ42" s="227">
        <f>'Pilotage effectif 27O'!KC46</f>
        <v>0</v>
      </c>
      <c r="KA42" s="228">
        <f>'Pilotage effectif 27O'!KD46</f>
        <v>0</v>
      </c>
      <c r="KB42" s="228">
        <f>'Pilotage effectif 27O'!KE46</f>
        <v>0</v>
      </c>
      <c r="KC42" s="228">
        <f>'Pilotage effectif 27O'!KF46</f>
        <v>0</v>
      </c>
      <c r="KD42" s="228">
        <f>'Pilotage effectif 27O'!KG46</f>
        <v>0</v>
      </c>
      <c r="KE42" s="303">
        <f>'Pilotage effectif 27O'!KH46</f>
        <v>0</v>
      </c>
      <c r="KF42" s="265"/>
      <c r="KG42" s="227">
        <f>'Pilotage effectif 27O'!KJ46</f>
        <v>0</v>
      </c>
      <c r="KH42" s="228">
        <f>'Pilotage effectif 27O'!KK46</f>
        <v>0</v>
      </c>
      <c r="KI42" s="228">
        <f>'Pilotage effectif 27O'!KL46</f>
        <v>0</v>
      </c>
      <c r="KJ42" s="228">
        <f>'Pilotage effectif 27O'!KM46</f>
        <v>0</v>
      </c>
      <c r="KK42" s="228">
        <f>'Pilotage effectif 27O'!KN46</f>
        <v>0</v>
      </c>
      <c r="KL42" s="303">
        <f>'Pilotage effectif 27O'!KO46</f>
        <v>0</v>
      </c>
      <c r="KM42" s="265"/>
      <c r="KN42" s="227">
        <f>'Pilotage effectif 27O'!KQ46</f>
        <v>0</v>
      </c>
      <c r="KO42" s="228">
        <f>'Pilotage effectif 27O'!KR46</f>
        <v>0</v>
      </c>
      <c r="KP42" s="228">
        <f>'Pilotage effectif 27O'!KS46</f>
        <v>0</v>
      </c>
      <c r="KQ42" s="228">
        <f>'Pilotage effectif 27O'!KT46</f>
        <v>0</v>
      </c>
      <c r="KR42" s="228">
        <f>'Pilotage effectif 27O'!KU46</f>
        <v>0</v>
      </c>
      <c r="KS42" s="303">
        <f>'Pilotage effectif 27O'!KV46</f>
        <v>0</v>
      </c>
      <c r="KT42" s="265"/>
      <c r="KU42" s="227">
        <f>'Pilotage effectif 27O'!KX46</f>
        <v>0</v>
      </c>
      <c r="KV42" s="228">
        <f>'Pilotage effectif 27O'!KY46</f>
        <v>0</v>
      </c>
      <c r="KW42" s="228">
        <f>'Pilotage effectif 27O'!KZ46</f>
        <v>0</v>
      </c>
      <c r="KX42" s="228">
        <f>'Pilotage effectif 27O'!LA46</f>
        <v>0</v>
      </c>
      <c r="KY42" s="228">
        <f>'Pilotage effectif 27O'!LB46</f>
        <v>0</v>
      </c>
      <c r="KZ42" s="303">
        <f>'Pilotage effectif 27O'!LC46</f>
        <v>0</v>
      </c>
      <c r="LA42" s="265"/>
      <c r="LB42" s="227">
        <f>'Pilotage effectif 27O'!LE46</f>
        <v>0</v>
      </c>
      <c r="LC42" s="228">
        <f>'Pilotage effectif 27O'!LF46</f>
        <v>0</v>
      </c>
      <c r="LD42" s="228">
        <f>'Pilotage effectif 27O'!LG46</f>
        <v>0</v>
      </c>
      <c r="LE42" s="228">
        <f>'Pilotage effectif 27O'!LH46</f>
        <v>0</v>
      </c>
      <c r="LF42" s="228">
        <f>'Pilotage effectif 27O'!LI46</f>
        <v>0</v>
      </c>
      <c r="LG42" s="303">
        <f>'Pilotage effectif 27O'!LJ46</f>
        <v>0</v>
      </c>
      <c r="LH42" s="265"/>
      <c r="LI42" s="227">
        <f>'Pilotage effectif 27O'!LL46</f>
        <v>0</v>
      </c>
      <c r="LJ42" s="228">
        <f>'Pilotage effectif 27O'!LM46</f>
        <v>0</v>
      </c>
      <c r="LK42" s="228">
        <f>'Pilotage effectif 27O'!LN46</f>
        <v>0</v>
      </c>
      <c r="LL42" s="228">
        <f>'Pilotage effectif 27O'!LO46</f>
        <v>0</v>
      </c>
      <c r="LM42" s="228">
        <f>'Pilotage effectif 27O'!LP46</f>
        <v>0</v>
      </c>
      <c r="LN42" s="303">
        <f>'Pilotage effectif 27O'!LQ46</f>
        <v>0</v>
      </c>
      <c r="LO42" s="265"/>
      <c r="LP42" s="227">
        <f>'Pilotage effectif 27O'!LS46</f>
        <v>0</v>
      </c>
      <c r="LQ42" s="228">
        <f>'Pilotage effectif 27O'!LT46</f>
        <v>0</v>
      </c>
      <c r="LR42" s="228">
        <f>'Pilotage effectif 27O'!LU46</f>
        <v>0</v>
      </c>
      <c r="LS42" s="228">
        <f>'Pilotage effectif 27O'!LV46</f>
        <v>0</v>
      </c>
      <c r="LT42" s="228">
        <f>'Pilotage effectif 27O'!LW46</f>
        <v>0</v>
      </c>
      <c r="LU42" s="303">
        <f>'Pilotage effectif 27O'!LX46</f>
        <v>0</v>
      </c>
      <c r="LV42" s="265"/>
      <c r="LW42" s="227">
        <f>'Pilotage effectif 27O'!LZ46</f>
        <v>0</v>
      </c>
      <c r="LX42" s="228">
        <f>'Pilotage effectif 27O'!MA46</f>
        <v>0</v>
      </c>
      <c r="LY42" s="228">
        <f>'Pilotage effectif 27O'!MB46</f>
        <v>0</v>
      </c>
      <c r="LZ42" s="228">
        <f>'Pilotage effectif 27O'!MC46</f>
        <v>0</v>
      </c>
      <c r="MA42" s="228">
        <f>'Pilotage effectif 27O'!MD46</f>
        <v>0</v>
      </c>
      <c r="MB42" s="303">
        <f>'Pilotage effectif 27O'!ME46</f>
        <v>0</v>
      </c>
      <c r="MC42" s="265"/>
      <c r="MD42" s="227">
        <f>'Pilotage effectif 27O'!MG46</f>
        <v>0</v>
      </c>
      <c r="ME42" s="228">
        <f>'Pilotage effectif 27O'!MH46</f>
        <v>0</v>
      </c>
      <c r="MF42" s="228">
        <f>'Pilotage effectif 27O'!MI46</f>
        <v>0</v>
      </c>
      <c r="MG42" s="228">
        <f>'Pilotage effectif 27O'!MJ46</f>
        <v>0</v>
      </c>
      <c r="MH42" s="228">
        <f>'Pilotage effectif 27O'!MK46</f>
        <v>0</v>
      </c>
      <c r="MI42" s="303">
        <f>'Pilotage effectif 27O'!ML46</f>
        <v>0</v>
      </c>
      <c r="MJ42" s="265"/>
      <c r="MK42" s="227">
        <f>'Pilotage effectif 27O'!MN46</f>
        <v>0</v>
      </c>
      <c r="ML42" s="228">
        <f>'Pilotage effectif 27O'!MO46</f>
        <v>0</v>
      </c>
      <c r="MM42" s="228">
        <f>'Pilotage effectif 27O'!MP46</f>
        <v>0</v>
      </c>
      <c r="MN42" s="228">
        <f>'Pilotage effectif 27O'!MQ46</f>
        <v>0</v>
      </c>
      <c r="MO42" s="228">
        <f>'Pilotage effectif 27O'!MR46</f>
        <v>0</v>
      </c>
      <c r="MP42" s="303">
        <f>'Pilotage effectif 27O'!MS46</f>
        <v>0</v>
      </c>
      <c r="MQ42" s="265"/>
      <c r="MR42" s="227">
        <f>'Pilotage effectif 27O'!MU46</f>
        <v>0</v>
      </c>
      <c r="MS42" s="228">
        <f>'Pilotage effectif 27O'!MV46</f>
        <v>0</v>
      </c>
      <c r="MT42" s="228">
        <f>'Pilotage effectif 27O'!MW46</f>
        <v>0</v>
      </c>
      <c r="MU42" s="228">
        <f>'Pilotage effectif 27O'!MX46</f>
        <v>0</v>
      </c>
      <c r="MV42" s="228">
        <f>'Pilotage effectif 27O'!MY46</f>
        <v>0</v>
      </c>
      <c r="MW42" s="303">
        <f>'Pilotage effectif 27O'!MZ46</f>
        <v>0</v>
      </c>
      <c r="MX42" s="265"/>
      <c r="MY42" s="227">
        <f>'Pilotage effectif 27O'!NB46</f>
        <v>0</v>
      </c>
      <c r="MZ42" s="228">
        <f>'Pilotage effectif 27O'!NC46</f>
        <v>0</v>
      </c>
      <c r="NA42" s="228">
        <f>'Pilotage effectif 27O'!ND46</f>
        <v>0</v>
      </c>
      <c r="NB42" s="228">
        <f>'Pilotage effectif 27O'!NE46</f>
        <v>0</v>
      </c>
      <c r="NC42" s="228">
        <f>'Pilotage effectif 27O'!NF46</f>
        <v>0</v>
      </c>
      <c r="ND42" s="303">
        <f>'Pilotage effectif 27O'!NG46</f>
        <v>0</v>
      </c>
      <c r="NE42" s="265"/>
      <c r="NF42" s="227">
        <f>'Pilotage effectif 27O'!NI46</f>
        <v>0</v>
      </c>
      <c r="NG42" s="228">
        <f>'Pilotage effectif 27O'!NJ46</f>
        <v>0</v>
      </c>
      <c r="NH42" s="228">
        <f>'Pilotage effectif 27O'!NK46</f>
        <v>0</v>
      </c>
      <c r="NI42" s="228">
        <f>'Pilotage effectif 27O'!NL46</f>
        <v>0</v>
      </c>
      <c r="NJ42" s="228">
        <f>'Pilotage effectif 27O'!NM46</f>
        <v>0</v>
      </c>
      <c r="NK42" s="303">
        <f>'Pilotage effectif 27O'!NN46</f>
        <v>0</v>
      </c>
      <c r="NL42" s="265"/>
      <c r="NM42" s="227">
        <f>'Pilotage effectif 27O'!NP46</f>
        <v>0</v>
      </c>
      <c r="NN42" s="228">
        <f>'Pilotage effectif 27O'!NQ46</f>
        <v>0</v>
      </c>
      <c r="NO42" s="228">
        <f>'Pilotage effectif 27O'!NR46</f>
        <v>0</v>
      </c>
      <c r="NP42" s="228">
        <f>'Pilotage effectif 27O'!NS46</f>
        <v>0</v>
      </c>
      <c r="NQ42" s="228">
        <f>'Pilotage effectif 27O'!NT46</f>
        <v>0</v>
      </c>
      <c r="NR42" s="303">
        <f>'Pilotage effectif 27O'!NU46</f>
        <v>0</v>
      </c>
      <c r="NS42" s="283"/>
    </row>
    <row r="43" spans="1:383" s="196" customFormat="1" ht="16.05" customHeight="1" thickBot="1" x14ac:dyDescent="0.35">
      <c r="A43" s="294"/>
      <c r="B43" s="282"/>
      <c r="C43" s="287" t="s">
        <v>690</v>
      </c>
      <c r="D43" s="306"/>
      <c r="E43"/>
      <c r="F43" s="292">
        <f t="shared" ref="F43:K43" si="108">IF(F41&lt;&gt;"",IF(F42-F41&gt;0,"+"&amp;F42-F41,F42-F41),"-")</f>
        <v>-2</v>
      </c>
      <c r="G43" s="293">
        <f t="shared" si="108"/>
        <v>-2</v>
      </c>
      <c r="H43" s="293">
        <f t="shared" si="108"/>
        <v>-2</v>
      </c>
      <c r="I43" s="293">
        <f t="shared" si="108"/>
        <v>-2</v>
      </c>
      <c r="J43" s="293">
        <f t="shared" si="108"/>
        <v>-2</v>
      </c>
      <c r="K43" s="304">
        <f t="shared" si="108"/>
        <v>-10</v>
      </c>
      <c r="L43" s="265"/>
      <c r="M43" s="292" t="str">
        <f t="shared" ref="M43:R43" si="109">IF(M41&lt;&gt;"",IF(M42-M41&gt;0,"+"&amp;M42-M41,M42-M41),"-")</f>
        <v>-</v>
      </c>
      <c r="N43" s="293" t="str">
        <f t="shared" si="109"/>
        <v>-</v>
      </c>
      <c r="O43" s="293" t="str">
        <f t="shared" si="109"/>
        <v>-</v>
      </c>
      <c r="P43" s="293" t="str">
        <f t="shared" si="109"/>
        <v>-</v>
      </c>
      <c r="Q43" s="293" t="str">
        <f t="shared" si="109"/>
        <v>-</v>
      </c>
      <c r="R43" s="304">
        <f t="shared" si="109"/>
        <v>0</v>
      </c>
      <c r="S43" s="265"/>
      <c r="T43" s="292">
        <f t="shared" ref="T43:Y43" si="110">IF(T41&lt;&gt;"",IF(T42-T41&gt;0,"+"&amp;T42-T41,T42-T41),"-")</f>
        <v>-2</v>
      </c>
      <c r="U43" s="293">
        <f t="shared" si="110"/>
        <v>-2</v>
      </c>
      <c r="V43" s="293">
        <f t="shared" si="110"/>
        <v>-2</v>
      </c>
      <c r="W43" s="293">
        <f t="shared" si="110"/>
        <v>-2</v>
      </c>
      <c r="X43" s="293">
        <f t="shared" si="110"/>
        <v>-2</v>
      </c>
      <c r="Y43" s="304">
        <f t="shared" si="110"/>
        <v>-10</v>
      </c>
      <c r="Z43" s="265"/>
      <c r="AA43" s="292">
        <f t="shared" ref="AA43:AF43" si="111">IF(AA41&lt;&gt;"",IF(AA42-AA41&gt;0,"+"&amp;AA42-AA41,AA42-AA41),"-")</f>
        <v>-2</v>
      </c>
      <c r="AB43" s="293">
        <f t="shared" si="111"/>
        <v>-2</v>
      </c>
      <c r="AC43" s="293">
        <f t="shared" si="111"/>
        <v>-2</v>
      </c>
      <c r="AD43" s="293">
        <f t="shared" si="111"/>
        <v>-2</v>
      </c>
      <c r="AE43" s="293">
        <f t="shared" si="111"/>
        <v>-2</v>
      </c>
      <c r="AF43" s="304">
        <f t="shared" si="111"/>
        <v>-10</v>
      </c>
      <c r="AG43" s="265"/>
      <c r="AH43" s="292">
        <f t="shared" ref="AH43:AM43" si="112">IF(AH41&lt;&gt;"",IF(AH42-AH41&gt;0,"+"&amp;AH42-AH41,AH42-AH41),"-")</f>
        <v>-2</v>
      </c>
      <c r="AI43" s="293">
        <f t="shared" si="112"/>
        <v>-2</v>
      </c>
      <c r="AJ43" s="293">
        <f t="shared" si="112"/>
        <v>-2</v>
      </c>
      <c r="AK43" s="293">
        <f t="shared" si="112"/>
        <v>-2</v>
      </c>
      <c r="AL43" s="293">
        <f t="shared" si="112"/>
        <v>-2</v>
      </c>
      <c r="AM43" s="304">
        <f t="shared" si="112"/>
        <v>-10</v>
      </c>
      <c r="AN43" s="265"/>
      <c r="AO43" s="292" t="str">
        <f t="shared" ref="AO43:AT43" si="113">IF(AO41&lt;&gt;"",IF(AO42-AO41&gt;0,"+"&amp;AO42-AO41,AO42-AO41),"-")</f>
        <v>-</v>
      </c>
      <c r="AP43" s="293" t="str">
        <f t="shared" si="113"/>
        <v>-</v>
      </c>
      <c r="AQ43" s="293" t="str">
        <f t="shared" si="113"/>
        <v>-</v>
      </c>
      <c r="AR43" s="293" t="str">
        <f t="shared" si="113"/>
        <v>-</v>
      </c>
      <c r="AS43" s="293" t="str">
        <f t="shared" si="113"/>
        <v>-</v>
      </c>
      <c r="AT43" s="304" t="str">
        <f t="shared" si="113"/>
        <v>+5</v>
      </c>
      <c r="AU43" s="265"/>
      <c r="AV43" s="292" t="str">
        <f t="shared" ref="AV43:BA43" si="114">IF(AV41&lt;&gt;"",IF(AV42-AV41&gt;0,"+"&amp;AV42-AV41,AV42-AV41),"-")</f>
        <v>-</v>
      </c>
      <c r="AW43" s="293" t="str">
        <f t="shared" si="114"/>
        <v>-</v>
      </c>
      <c r="AX43" s="293" t="str">
        <f t="shared" si="114"/>
        <v>-</v>
      </c>
      <c r="AY43" s="293" t="str">
        <f t="shared" si="114"/>
        <v>-</v>
      </c>
      <c r="AZ43" s="293" t="str">
        <f t="shared" si="114"/>
        <v>-</v>
      </c>
      <c r="BA43" s="304">
        <f t="shared" si="114"/>
        <v>0</v>
      </c>
      <c r="BB43" s="265"/>
      <c r="BC43" s="292" t="str">
        <f t="shared" ref="BC43:BH43" si="115">IF(BC41&lt;&gt;"",IF(BC42-BC41&gt;0,"+"&amp;BC42-BC41,BC42-BC41),"-")</f>
        <v>-</v>
      </c>
      <c r="BD43" s="293" t="str">
        <f t="shared" si="115"/>
        <v>-</v>
      </c>
      <c r="BE43" s="293" t="str">
        <f t="shared" si="115"/>
        <v>-</v>
      </c>
      <c r="BF43" s="293" t="str">
        <f t="shared" si="115"/>
        <v>-</v>
      </c>
      <c r="BG43" s="293" t="str">
        <f t="shared" si="115"/>
        <v>-</v>
      </c>
      <c r="BH43" s="304">
        <f t="shared" si="115"/>
        <v>0</v>
      </c>
      <c r="BI43" s="265"/>
      <c r="BJ43" s="292" t="str">
        <f t="shared" ref="BJ43:BO43" si="116">IF(BJ41&lt;&gt;"",IF(BJ42-BJ41&gt;0,"+"&amp;BJ42-BJ41,BJ42-BJ41),"-")</f>
        <v>-</v>
      </c>
      <c r="BK43" s="293" t="str">
        <f t="shared" si="116"/>
        <v>-</v>
      </c>
      <c r="BL43" s="293" t="str">
        <f t="shared" si="116"/>
        <v>-</v>
      </c>
      <c r="BM43" s="293" t="str">
        <f t="shared" si="116"/>
        <v>-</v>
      </c>
      <c r="BN43" s="293" t="str">
        <f t="shared" si="116"/>
        <v>-</v>
      </c>
      <c r="BO43" s="304">
        <f t="shared" si="116"/>
        <v>0</v>
      </c>
      <c r="BP43" s="265"/>
      <c r="BQ43" s="292" t="str">
        <f t="shared" ref="BQ43:BV43" si="117">IF(BQ41&lt;&gt;"",IF(BQ42-BQ41&gt;0,"+"&amp;BQ42-BQ41,BQ42-BQ41),"-")</f>
        <v>-</v>
      </c>
      <c r="BR43" s="293" t="str">
        <f t="shared" si="117"/>
        <v>-</v>
      </c>
      <c r="BS43" s="293" t="str">
        <f t="shared" si="117"/>
        <v>-</v>
      </c>
      <c r="BT43" s="293" t="str">
        <f t="shared" si="117"/>
        <v>-</v>
      </c>
      <c r="BU43" s="293" t="str">
        <f t="shared" si="117"/>
        <v>-</v>
      </c>
      <c r="BV43" s="304">
        <f t="shared" si="117"/>
        <v>0</v>
      </c>
      <c r="BW43" s="265"/>
      <c r="BX43" s="292" t="str">
        <f t="shared" ref="BX43:CC43" si="118">IF(BX41&lt;&gt;"",IF(BX42-BX41&gt;0,"+"&amp;BX42-BX41,BX42-BX41),"-")</f>
        <v>-</v>
      </c>
      <c r="BY43" s="293" t="str">
        <f t="shared" si="118"/>
        <v>-</v>
      </c>
      <c r="BZ43" s="293" t="str">
        <f t="shared" si="118"/>
        <v>-</v>
      </c>
      <c r="CA43" s="293" t="str">
        <f t="shared" si="118"/>
        <v>-</v>
      </c>
      <c r="CB43" s="293" t="str">
        <f t="shared" si="118"/>
        <v>-</v>
      </c>
      <c r="CC43" s="304">
        <f t="shared" si="118"/>
        <v>0</v>
      </c>
      <c r="CD43" s="265"/>
      <c r="CE43" s="292" t="str">
        <f t="shared" ref="CE43:CJ43" si="119">IF(CE41&lt;&gt;"",IF(CE42-CE41&gt;0,"+"&amp;CE42-CE41,CE42-CE41),"-")</f>
        <v>-</v>
      </c>
      <c r="CF43" s="293" t="str">
        <f t="shared" si="119"/>
        <v>-</v>
      </c>
      <c r="CG43" s="293" t="str">
        <f t="shared" si="119"/>
        <v>-</v>
      </c>
      <c r="CH43" s="293" t="str">
        <f t="shared" si="119"/>
        <v>-</v>
      </c>
      <c r="CI43" s="293" t="str">
        <f t="shared" si="119"/>
        <v>-</v>
      </c>
      <c r="CJ43" s="304">
        <f t="shared" si="119"/>
        <v>0</v>
      </c>
      <c r="CK43" s="265"/>
      <c r="CL43" s="292" t="str">
        <f t="shared" ref="CL43:CQ43" si="120">IF(CL41&lt;&gt;"",IF(CL42-CL41&gt;0,"+"&amp;CL42-CL41,CL42-CL41),"-")</f>
        <v>-</v>
      </c>
      <c r="CM43" s="293" t="str">
        <f t="shared" si="120"/>
        <v>-</v>
      </c>
      <c r="CN43" s="293" t="str">
        <f t="shared" si="120"/>
        <v>-</v>
      </c>
      <c r="CO43" s="293" t="str">
        <f t="shared" si="120"/>
        <v>-</v>
      </c>
      <c r="CP43" s="293" t="str">
        <f t="shared" si="120"/>
        <v>-</v>
      </c>
      <c r="CQ43" s="304">
        <f t="shared" si="120"/>
        <v>0</v>
      </c>
      <c r="CR43" s="265"/>
      <c r="CS43" s="292" t="str">
        <f t="shared" ref="CS43:CX43" si="121">IF(CS41&lt;&gt;"",IF(CS42-CS41&gt;0,"+"&amp;CS42-CS41,CS42-CS41),"-")</f>
        <v>-</v>
      </c>
      <c r="CT43" s="293" t="str">
        <f t="shared" si="121"/>
        <v>-</v>
      </c>
      <c r="CU43" s="293" t="str">
        <f t="shared" si="121"/>
        <v>-</v>
      </c>
      <c r="CV43" s="293" t="str">
        <f t="shared" si="121"/>
        <v>-</v>
      </c>
      <c r="CW43" s="293" t="str">
        <f t="shared" si="121"/>
        <v>-</v>
      </c>
      <c r="CX43" s="304">
        <f t="shared" si="121"/>
        <v>0</v>
      </c>
      <c r="CY43" s="265"/>
      <c r="CZ43" s="292" t="str">
        <f t="shared" ref="CZ43:DE43" si="122">IF(CZ41&lt;&gt;"",IF(CZ42-CZ41&gt;0,"+"&amp;CZ42-CZ41,CZ42-CZ41),"-")</f>
        <v>-</v>
      </c>
      <c r="DA43" s="293" t="str">
        <f t="shared" si="122"/>
        <v>-</v>
      </c>
      <c r="DB43" s="293" t="str">
        <f t="shared" si="122"/>
        <v>-</v>
      </c>
      <c r="DC43" s="293" t="str">
        <f t="shared" si="122"/>
        <v>-</v>
      </c>
      <c r="DD43" s="293" t="str">
        <f t="shared" si="122"/>
        <v>-</v>
      </c>
      <c r="DE43" s="304">
        <f t="shared" si="122"/>
        <v>0</v>
      </c>
      <c r="DF43" s="265"/>
      <c r="DG43" s="292" t="str">
        <f t="shared" ref="DG43:DL43" si="123">IF(DG41&lt;&gt;"",IF(DG42-DG41&gt;0,"+"&amp;DG42-DG41,DG42-DG41),"-")</f>
        <v>-</v>
      </c>
      <c r="DH43" s="293" t="str">
        <f t="shared" si="123"/>
        <v>-</v>
      </c>
      <c r="DI43" s="293" t="str">
        <f t="shared" si="123"/>
        <v>-</v>
      </c>
      <c r="DJ43" s="293" t="str">
        <f t="shared" si="123"/>
        <v>-</v>
      </c>
      <c r="DK43" s="293" t="str">
        <f t="shared" si="123"/>
        <v>-</v>
      </c>
      <c r="DL43" s="304">
        <f t="shared" si="123"/>
        <v>0</v>
      </c>
      <c r="DM43" s="265"/>
      <c r="DN43" s="292" t="str">
        <f t="shared" ref="DN43:DS43" si="124">IF(DN41&lt;&gt;"",IF(DN42-DN41&gt;0,"+"&amp;DN42-DN41,DN42-DN41),"-")</f>
        <v>-</v>
      </c>
      <c r="DO43" s="293" t="str">
        <f t="shared" si="124"/>
        <v>-</v>
      </c>
      <c r="DP43" s="293" t="str">
        <f t="shared" si="124"/>
        <v>-</v>
      </c>
      <c r="DQ43" s="293" t="str">
        <f t="shared" si="124"/>
        <v>-</v>
      </c>
      <c r="DR43" s="293" t="str">
        <f t="shared" si="124"/>
        <v>-</v>
      </c>
      <c r="DS43" s="304">
        <f t="shared" si="124"/>
        <v>0</v>
      </c>
      <c r="DT43" s="265"/>
      <c r="DU43" s="292" t="str">
        <f t="shared" ref="DU43:DZ43" si="125">IF(DU41&lt;&gt;"",IF(DU42-DU41&gt;0,"+"&amp;DU42-DU41,DU42-DU41),"-")</f>
        <v>-</v>
      </c>
      <c r="DV43" s="293" t="str">
        <f t="shared" si="125"/>
        <v>-</v>
      </c>
      <c r="DW43" s="293" t="str">
        <f t="shared" si="125"/>
        <v>-</v>
      </c>
      <c r="DX43" s="293" t="str">
        <f t="shared" si="125"/>
        <v>-</v>
      </c>
      <c r="DY43" s="293" t="str">
        <f t="shared" si="125"/>
        <v>-</v>
      </c>
      <c r="DZ43" s="304">
        <f t="shared" si="125"/>
        <v>0</v>
      </c>
      <c r="EA43" s="265"/>
      <c r="EB43" s="292" t="str">
        <f t="shared" ref="EB43:EG43" si="126">IF(EB41&lt;&gt;"",IF(EB42-EB41&gt;0,"+"&amp;EB42-EB41,EB42-EB41),"-")</f>
        <v>-</v>
      </c>
      <c r="EC43" s="293" t="str">
        <f t="shared" si="126"/>
        <v>-</v>
      </c>
      <c r="ED43" s="293" t="str">
        <f t="shared" si="126"/>
        <v>-</v>
      </c>
      <c r="EE43" s="293" t="str">
        <f t="shared" si="126"/>
        <v>-</v>
      </c>
      <c r="EF43" s="293" t="str">
        <f t="shared" si="126"/>
        <v>-</v>
      </c>
      <c r="EG43" s="304">
        <f t="shared" si="126"/>
        <v>0</v>
      </c>
      <c r="EH43" s="265"/>
      <c r="EI43" s="292" t="str">
        <f t="shared" ref="EI43:EN43" si="127">IF(EI41&lt;&gt;"",IF(EI42-EI41&gt;0,"+"&amp;EI42-EI41,EI42-EI41),"-")</f>
        <v>-</v>
      </c>
      <c r="EJ43" s="293" t="str">
        <f t="shared" si="127"/>
        <v>-</v>
      </c>
      <c r="EK43" s="293" t="str">
        <f t="shared" si="127"/>
        <v>-</v>
      </c>
      <c r="EL43" s="293" t="str">
        <f t="shared" si="127"/>
        <v>-</v>
      </c>
      <c r="EM43" s="293" t="str">
        <f t="shared" si="127"/>
        <v>-</v>
      </c>
      <c r="EN43" s="304">
        <f t="shared" si="127"/>
        <v>0</v>
      </c>
      <c r="EO43" s="265"/>
      <c r="EP43" s="292" t="str">
        <f t="shared" ref="EP43:EU43" si="128">IF(EP41&lt;&gt;"",IF(EP42-EP41&gt;0,"+"&amp;EP42-EP41,EP42-EP41),"-")</f>
        <v>-</v>
      </c>
      <c r="EQ43" s="293" t="str">
        <f t="shared" si="128"/>
        <v>-</v>
      </c>
      <c r="ER43" s="293" t="str">
        <f t="shared" si="128"/>
        <v>-</v>
      </c>
      <c r="ES43" s="293" t="str">
        <f t="shared" si="128"/>
        <v>-</v>
      </c>
      <c r="ET43" s="293" t="str">
        <f t="shared" si="128"/>
        <v>-</v>
      </c>
      <c r="EU43" s="304">
        <f t="shared" si="128"/>
        <v>0</v>
      </c>
      <c r="EV43" s="265"/>
      <c r="EW43" s="292" t="str">
        <f t="shared" ref="EW43:FB43" si="129">IF(EW41&lt;&gt;"",IF(EW42-EW41&gt;0,"+"&amp;EW42-EW41,EW42-EW41),"-")</f>
        <v>-</v>
      </c>
      <c r="EX43" s="293" t="str">
        <f t="shared" si="129"/>
        <v>-</v>
      </c>
      <c r="EY43" s="293" t="str">
        <f t="shared" si="129"/>
        <v>-</v>
      </c>
      <c r="EZ43" s="293" t="str">
        <f t="shared" si="129"/>
        <v>-</v>
      </c>
      <c r="FA43" s="293" t="str">
        <f t="shared" si="129"/>
        <v>-</v>
      </c>
      <c r="FB43" s="304">
        <f t="shared" si="129"/>
        <v>0</v>
      </c>
      <c r="FC43" s="265"/>
      <c r="FD43" s="292" t="str">
        <f t="shared" ref="FD43:FI43" si="130">IF(FD41&lt;&gt;"",IF(FD42-FD41&gt;0,"+"&amp;FD42-FD41,FD42-FD41),"-")</f>
        <v>-</v>
      </c>
      <c r="FE43" s="293" t="str">
        <f t="shared" si="130"/>
        <v>-</v>
      </c>
      <c r="FF43" s="293" t="str">
        <f t="shared" si="130"/>
        <v>-</v>
      </c>
      <c r="FG43" s="293" t="str">
        <f t="shared" si="130"/>
        <v>-</v>
      </c>
      <c r="FH43" s="293" t="str">
        <f t="shared" si="130"/>
        <v>-</v>
      </c>
      <c r="FI43" s="304">
        <f t="shared" si="130"/>
        <v>0</v>
      </c>
      <c r="FJ43" s="265"/>
      <c r="FK43" s="292" t="str">
        <f t="shared" ref="FK43:FP43" si="131">IF(FK41&lt;&gt;"",IF(FK42-FK41&gt;0,"+"&amp;FK42-FK41,FK42-FK41),"-")</f>
        <v>-</v>
      </c>
      <c r="FL43" s="293" t="str">
        <f t="shared" si="131"/>
        <v>-</v>
      </c>
      <c r="FM43" s="293" t="str">
        <f t="shared" si="131"/>
        <v>-</v>
      </c>
      <c r="FN43" s="293" t="str">
        <f t="shared" si="131"/>
        <v>-</v>
      </c>
      <c r="FO43" s="293" t="str">
        <f t="shared" si="131"/>
        <v>-</v>
      </c>
      <c r="FP43" s="304">
        <f t="shared" si="131"/>
        <v>0</v>
      </c>
      <c r="FQ43" s="265"/>
      <c r="FR43" s="292" t="str">
        <f t="shared" ref="FR43:FW43" si="132">IF(FR41&lt;&gt;"",IF(FR42-FR41&gt;0,"+"&amp;FR42-FR41,FR42-FR41),"-")</f>
        <v>-</v>
      </c>
      <c r="FS43" s="293" t="str">
        <f t="shared" si="132"/>
        <v>-</v>
      </c>
      <c r="FT43" s="293" t="str">
        <f t="shared" si="132"/>
        <v>-</v>
      </c>
      <c r="FU43" s="293" t="str">
        <f t="shared" si="132"/>
        <v>-</v>
      </c>
      <c r="FV43" s="293" t="str">
        <f t="shared" si="132"/>
        <v>-</v>
      </c>
      <c r="FW43" s="304">
        <f t="shared" si="132"/>
        <v>0</v>
      </c>
      <c r="FX43" s="265"/>
      <c r="FY43" s="292" t="str">
        <f t="shared" ref="FY43:GD43" si="133">IF(FY41&lt;&gt;"",IF(FY42-FY41&gt;0,"+"&amp;FY42-FY41,FY42-FY41),"-")</f>
        <v>-</v>
      </c>
      <c r="FZ43" s="293" t="str">
        <f t="shared" si="133"/>
        <v>-</v>
      </c>
      <c r="GA43" s="293" t="str">
        <f t="shared" si="133"/>
        <v>-</v>
      </c>
      <c r="GB43" s="293" t="str">
        <f t="shared" si="133"/>
        <v>-</v>
      </c>
      <c r="GC43" s="293" t="str">
        <f t="shared" si="133"/>
        <v>-</v>
      </c>
      <c r="GD43" s="304">
        <f t="shared" si="133"/>
        <v>0</v>
      </c>
      <c r="GE43" s="265"/>
      <c r="GF43" s="292" t="str">
        <f t="shared" ref="GF43:GK43" si="134">IF(GF41&lt;&gt;"",IF(GF42-GF41&gt;0,"+"&amp;GF42-GF41,GF42-GF41),"-")</f>
        <v>-</v>
      </c>
      <c r="GG43" s="293" t="str">
        <f t="shared" si="134"/>
        <v>-</v>
      </c>
      <c r="GH43" s="293" t="str">
        <f t="shared" si="134"/>
        <v>-</v>
      </c>
      <c r="GI43" s="293" t="str">
        <f t="shared" si="134"/>
        <v>-</v>
      </c>
      <c r="GJ43" s="293" t="str">
        <f t="shared" si="134"/>
        <v>-</v>
      </c>
      <c r="GK43" s="304">
        <f t="shared" si="134"/>
        <v>0</v>
      </c>
      <c r="GL43" s="265"/>
      <c r="GM43" s="292" t="str">
        <f t="shared" ref="GM43:GR43" si="135">IF(GM41&lt;&gt;"",IF(GM42-GM41&gt;0,"+"&amp;GM42-GM41,GM42-GM41),"-")</f>
        <v>-</v>
      </c>
      <c r="GN43" s="293" t="str">
        <f t="shared" si="135"/>
        <v>-</v>
      </c>
      <c r="GO43" s="293" t="str">
        <f t="shared" si="135"/>
        <v>-</v>
      </c>
      <c r="GP43" s="293" t="str">
        <f t="shared" si="135"/>
        <v>-</v>
      </c>
      <c r="GQ43" s="293" t="str">
        <f t="shared" si="135"/>
        <v>-</v>
      </c>
      <c r="GR43" s="304">
        <f t="shared" si="135"/>
        <v>0</v>
      </c>
      <c r="GS43" s="265"/>
      <c r="GT43" s="292" t="str">
        <f t="shared" ref="GT43:GY43" si="136">IF(GT41&lt;&gt;"",IF(GT42-GT41&gt;0,"+"&amp;GT42-GT41,GT42-GT41),"-")</f>
        <v>-</v>
      </c>
      <c r="GU43" s="293" t="str">
        <f t="shared" si="136"/>
        <v>-</v>
      </c>
      <c r="GV43" s="293" t="str">
        <f t="shared" si="136"/>
        <v>-</v>
      </c>
      <c r="GW43" s="293" t="str">
        <f t="shared" si="136"/>
        <v>-</v>
      </c>
      <c r="GX43" s="293" t="str">
        <f t="shared" si="136"/>
        <v>-</v>
      </c>
      <c r="GY43" s="304">
        <f t="shared" si="136"/>
        <v>0</v>
      </c>
      <c r="GZ43" s="283"/>
      <c r="HA43" s="292" t="str">
        <f t="shared" ref="HA43:HF43" si="137">IF(HA41&lt;&gt;"",IF(HA42-HA41&gt;0,"+"&amp;HA42-HA41,HA42-HA41),"-")</f>
        <v>-</v>
      </c>
      <c r="HB43" s="293" t="str">
        <f t="shared" si="137"/>
        <v>-</v>
      </c>
      <c r="HC43" s="293" t="str">
        <f t="shared" si="137"/>
        <v>-</v>
      </c>
      <c r="HD43" s="293" t="str">
        <f t="shared" si="137"/>
        <v>-</v>
      </c>
      <c r="HE43" s="293" t="str">
        <f t="shared" si="137"/>
        <v>-</v>
      </c>
      <c r="HF43" s="304">
        <f t="shared" si="137"/>
        <v>0</v>
      </c>
      <c r="HG43" s="265"/>
      <c r="HH43" s="292" t="str">
        <f t="shared" ref="HH43:HM43" si="138">IF(HH41&lt;&gt;"",IF(HH42-HH41&gt;0,"+"&amp;HH42-HH41,HH42-HH41),"-")</f>
        <v>-</v>
      </c>
      <c r="HI43" s="293" t="str">
        <f t="shared" si="138"/>
        <v>-</v>
      </c>
      <c r="HJ43" s="293" t="str">
        <f t="shared" si="138"/>
        <v>-</v>
      </c>
      <c r="HK43" s="293" t="str">
        <f t="shared" si="138"/>
        <v>-</v>
      </c>
      <c r="HL43" s="293" t="str">
        <f t="shared" si="138"/>
        <v>-</v>
      </c>
      <c r="HM43" s="304" t="str">
        <f t="shared" si="138"/>
        <v>+5</v>
      </c>
      <c r="HN43" s="265"/>
      <c r="HO43" s="292" t="str">
        <f t="shared" ref="HO43:HT43" si="139">IF(HO41&lt;&gt;"",IF(HO42-HO41&gt;0,"+"&amp;HO42-HO41,HO42-HO41),"-")</f>
        <v>-</v>
      </c>
      <c r="HP43" s="293" t="str">
        <f t="shared" si="139"/>
        <v>-</v>
      </c>
      <c r="HQ43" s="293" t="str">
        <f t="shared" si="139"/>
        <v>-</v>
      </c>
      <c r="HR43" s="293" t="str">
        <f t="shared" si="139"/>
        <v>-</v>
      </c>
      <c r="HS43" s="293" t="str">
        <f t="shared" si="139"/>
        <v>-</v>
      </c>
      <c r="HT43" s="304">
        <f t="shared" si="139"/>
        <v>0</v>
      </c>
      <c r="HU43" s="265"/>
      <c r="HV43" s="292" t="str">
        <f t="shared" ref="HV43:IA43" si="140">IF(HV41&lt;&gt;"",IF(HV42-HV41&gt;0,"+"&amp;HV42-HV41,HV42-HV41),"-")</f>
        <v>-</v>
      </c>
      <c r="HW43" s="293" t="str">
        <f t="shared" si="140"/>
        <v>-</v>
      </c>
      <c r="HX43" s="293" t="str">
        <f t="shared" si="140"/>
        <v>-</v>
      </c>
      <c r="HY43" s="293" t="str">
        <f t="shared" si="140"/>
        <v>-</v>
      </c>
      <c r="HZ43" s="293" t="str">
        <f t="shared" si="140"/>
        <v>-</v>
      </c>
      <c r="IA43" s="304">
        <f t="shared" si="140"/>
        <v>0</v>
      </c>
      <c r="IB43" s="265"/>
      <c r="IC43" s="292" t="str">
        <f t="shared" ref="IC43:IH43" si="141">IF(IC41&lt;&gt;"",IF(IC42-IC41&gt;0,"+"&amp;IC42-IC41,IC42-IC41),"-")</f>
        <v>-</v>
      </c>
      <c r="ID43" s="293" t="str">
        <f t="shared" si="141"/>
        <v>-</v>
      </c>
      <c r="IE43" s="293" t="str">
        <f t="shared" si="141"/>
        <v>-</v>
      </c>
      <c r="IF43" s="293" t="str">
        <f t="shared" si="141"/>
        <v>-</v>
      </c>
      <c r="IG43" s="293" t="str">
        <f t="shared" si="141"/>
        <v>-</v>
      </c>
      <c r="IH43" s="304">
        <f t="shared" si="141"/>
        <v>0</v>
      </c>
      <c r="II43" s="265"/>
      <c r="IJ43" s="292" t="str">
        <f t="shared" ref="IJ43:IO43" si="142">IF(IJ41&lt;&gt;"",IF(IJ42-IJ41&gt;0,"+"&amp;IJ42-IJ41,IJ42-IJ41),"-")</f>
        <v>-</v>
      </c>
      <c r="IK43" s="293" t="str">
        <f t="shared" si="142"/>
        <v>-</v>
      </c>
      <c r="IL43" s="293" t="str">
        <f t="shared" si="142"/>
        <v>-</v>
      </c>
      <c r="IM43" s="293" t="str">
        <f t="shared" si="142"/>
        <v>-</v>
      </c>
      <c r="IN43" s="293" t="str">
        <f t="shared" si="142"/>
        <v>-</v>
      </c>
      <c r="IO43" s="304">
        <f t="shared" si="142"/>
        <v>0</v>
      </c>
      <c r="IP43" s="265"/>
      <c r="IQ43" s="292" t="str">
        <f t="shared" ref="IQ43:IV43" si="143">IF(IQ41&lt;&gt;"",IF(IQ42-IQ41&gt;0,"+"&amp;IQ42-IQ41,IQ42-IQ41),"-")</f>
        <v>-</v>
      </c>
      <c r="IR43" s="293" t="str">
        <f t="shared" si="143"/>
        <v>-</v>
      </c>
      <c r="IS43" s="293" t="str">
        <f t="shared" si="143"/>
        <v>-</v>
      </c>
      <c r="IT43" s="293" t="str">
        <f t="shared" si="143"/>
        <v>-</v>
      </c>
      <c r="IU43" s="293" t="str">
        <f t="shared" si="143"/>
        <v>-</v>
      </c>
      <c r="IV43" s="304">
        <f t="shared" si="143"/>
        <v>0</v>
      </c>
      <c r="IW43" s="265"/>
      <c r="IX43" s="292" t="str">
        <f t="shared" ref="IX43:JC43" si="144">IF(IX41&lt;&gt;"",IF(IX42-IX41&gt;0,"+"&amp;IX42-IX41,IX42-IX41),"-")</f>
        <v>-</v>
      </c>
      <c r="IY43" s="293" t="str">
        <f t="shared" si="144"/>
        <v>-</v>
      </c>
      <c r="IZ43" s="293" t="str">
        <f t="shared" si="144"/>
        <v>-</v>
      </c>
      <c r="JA43" s="293" t="str">
        <f t="shared" si="144"/>
        <v>-</v>
      </c>
      <c r="JB43" s="293" t="str">
        <f t="shared" si="144"/>
        <v>-</v>
      </c>
      <c r="JC43" s="304">
        <f t="shared" si="144"/>
        <v>0</v>
      </c>
      <c r="JD43" s="265"/>
      <c r="JE43" s="292" t="str">
        <f t="shared" ref="JE43:JJ43" si="145">IF(JE41&lt;&gt;"",IF(JE42-JE41&gt;0,"+"&amp;JE42-JE41,JE42-JE41),"-")</f>
        <v>-</v>
      </c>
      <c r="JF43" s="293" t="str">
        <f t="shared" si="145"/>
        <v>-</v>
      </c>
      <c r="JG43" s="293" t="str">
        <f t="shared" si="145"/>
        <v>-</v>
      </c>
      <c r="JH43" s="293" t="str">
        <f t="shared" si="145"/>
        <v>-</v>
      </c>
      <c r="JI43" s="293" t="str">
        <f t="shared" si="145"/>
        <v>-</v>
      </c>
      <c r="JJ43" s="304">
        <f t="shared" si="145"/>
        <v>0</v>
      </c>
      <c r="JK43" s="265"/>
      <c r="JL43" s="292" t="str">
        <f t="shared" ref="JL43:JQ43" si="146">IF(JL41&lt;&gt;"",IF(JL42-JL41&gt;0,"+"&amp;JL42-JL41,JL42-JL41),"-")</f>
        <v>-</v>
      </c>
      <c r="JM43" s="293" t="str">
        <f t="shared" si="146"/>
        <v>-</v>
      </c>
      <c r="JN43" s="293" t="str">
        <f t="shared" si="146"/>
        <v>-</v>
      </c>
      <c r="JO43" s="293" t="str">
        <f t="shared" si="146"/>
        <v>-</v>
      </c>
      <c r="JP43" s="293" t="str">
        <f t="shared" si="146"/>
        <v>-</v>
      </c>
      <c r="JQ43" s="304">
        <f t="shared" si="146"/>
        <v>0</v>
      </c>
      <c r="JR43" s="265"/>
      <c r="JS43" s="292" t="str">
        <f t="shared" ref="JS43:JX43" si="147">IF(JS41&lt;&gt;"",IF(JS42-JS41&gt;0,"+"&amp;JS42-JS41,JS42-JS41),"-")</f>
        <v>-</v>
      </c>
      <c r="JT43" s="293" t="str">
        <f t="shared" si="147"/>
        <v>-</v>
      </c>
      <c r="JU43" s="293" t="str">
        <f t="shared" si="147"/>
        <v>-</v>
      </c>
      <c r="JV43" s="293" t="str">
        <f t="shared" si="147"/>
        <v>-</v>
      </c>
      <c r="JW43" s="293" t="str">
        <f t="shared" si="147"/>
        <v>-</v>
      </c>
      <c r="JX43" s="304">
        <f t="shared" si="147"/>
        <v>0</v>
      </c>
      <c r="JY43" s="265"/>
      <c r="JZ43" s="292" t="str">
        <f t="shared" ref="JZ43:KE43" si="148">IF(JZ41&lt;&gt;"",IF(JZ42-JZ41&gt;0,"+"&amp;JZ42-JZ41,JZ42-JZ41),"-")</f>
        <v>-</v>
      </c>
      <c r="KA43" s="293" t="str">
        <f t="shared" si="148"/>
        <v>-</v>
      </c>
      <c r="KB43" s="293" t="str">
        <f t="shared" si="148"/>
        <v>-</v>
      </c>
      <c r="KC43" s="293" t="str">
        <f t="shared" si="148"/>
        <v>-</v>
      </c>
      <c r="KD43" s="293" t="str">
        <f t="shared" si="148"/>
        <v>-</v>
      </c>
      <c r="KE43" s="304">
        <f t="shared" si="148"/>
        <v>0</v>
      </c>
      <c r="KF43" s="265"/>
      <c r="KG43" s="292" t="str">
        <f t="shared" ref="KG43:KL43" si="149">IF(KG41&lt;&gt;"",IF(KG42-KG41&gt;0,"+"&amp;KG42-KG41,KG42-KG41),"-")</f>
        <v>-</v>
      </c>
      <c r="KH43" s="293" t="str">
        <f t="shared" si="149"/>
        <v>-</v>
      </c>
      <c r="KI43" s="293" t="str">
        <f t="shared" si="149"/>
        <v>-</v>
      </c>
      <c r="KJ43" s="293" t="str">
        <f t="shared" si="149"/>
        <v>-</v>
      </c>
      <c r="KK43" s="293" t="str">
        <f t="shared" si="149"/>
        <v>-</v>
      </c>
      <c r="KL43" s="304">
        <f t="shared" si="149"/>
        <v>0</v>
      </c>
      <c r="KM43" s="265"/>
      <c r="KN43" s="292" t="str">
        <f t="shared" ref="KN43:KS43" si="150">IF(KN41&lt;&gt;"",IF(KN42-KN41&gt;0,"+"&amp;KN42-KN41,KN42-KN41),"-")</f>
        <v>-</v>
      </c>
      <c r="KO43" s="293" t="str">
        <f t="shared" si="150"/>
        <v>-</v>
      </c>
      <c r="KP43" s="293" t="str">
        <f t="shared" si="150"/>
        <v>-</v>
      </c>
      <c r="KQ43" s="293" t="str">
        <f t="shared" si="150"/>
        <v>-</v>
      </c>
      <c r="KR43" s="293" t="str">
        <f t="shared" si="150"/>
        <v>-</v>
      </c>
      <c r="KS43" s="304">
        <f t="shared" si="150"/>
        <v>0</v>
      </c>
      <c r="KT43" s="265"/>
      <c r="KU43" s="292" t="str">
        <f t="shared" ref="KU43:KZ43" si="151">IF(KU41&lt;&gt;"",IF(KU42-KU41&gt;0,"+"&amp;KU42-KU41,KU42-KU41),"-")</f>
        <v>-</v>
      </c>
      <c r="KV43" s="293" t="str">
        <f t="shared" si="151"/>
        <v>-</v>
      </c>
      <c r="KW43" s="293" t="str">
        <f t="shared" si="151"/>
        <v>-</v>
      </c>
      <c r="KX43" s="293" t="str">
        <f t="shared" si="151"/>
        <v>-</v>
      </c>
      <c r="KY43" s="293" t="str">
        <f t="shared" si="151"/>
        <v>-</v>
      </c>
      <c r="KZ43" s="304">
        <f t="shared" si="151"/>
        <v>0</v>
      </c>
      <c r="LA43" s="265"/>
      <c r="LB43" s="292" t="str">
        <f t="shared" ref="LB43:LG43" si="152">IF(LB41&lt;&gt;"",IF(LB42-LB41&gt;0,"+"&amp;LB42-LB41,LB42-LB41),"-")</f>
        <v>-</v>
      </c>
      <c r="LC43" s="293" t="str">
        <f t="shared" si="152"/>
        <v>-</v>
      </c>
      <c r="LD43" s="293" t="str">
        <f t="shared" si="152"/>
        <v>-</v>
      </c>
      <c r="LE43" s="293" t="str">
        <f t="shared" si="152"/>
        <v>-</v>
      </c>
      <c r="LF43" s="293" t="str">
        <f t="shared" si="152"/>
        <v>-</v>
      </c>
      <c r="LG43" s="304">
        <f t="shared" si="152"/>
        <v>0</v>
      </c>
      <c r="LH43" s="265"/>
      <c r="LI43" s="292" t="str">
        <f t="shared" ref="LI43:LN43" si="153">IF(LI41&lt;&gt;"",IF(LI42-LI41&gt;0,"+"&amp;LI42-LI41,LI42-LI41),"-")</f>
        <v>-</v>
      </c>
      <c r="LJ43" s="293" t="str">
        <f t="shared" si="153"/>
        <v>-</v>
      </c>
      <c r="LK43" s="293" t="str">
        <f t="shared" si="153"/>
        <v>-</v>
      </c>
      <c r="LL43" s="293" t="str">
        <f t="shared" si="153"/>
        <v>-</v>
      </c>
      <c r="LM43" s="293" t="str">
        <f t="shared" si="153"/>
        <v>-</v>
      </c>
      <c r="LN43" s="304">
        <f t="shared" si="153"/>
        <v>0</v>
      </c>
      <c r="LO43" s="265"/>
      <c r="LP43" s="292" t="str">
        <f t="shared" ref="LP43:LU43" si="154">IF(LP41&lt;&gt;"",IF(LP42-LP41&gt;0,"+"&amp;LP42-LP41,LP42-LP41),"-")</f>
        <v>-</v>
      </c>
      <c r="LQ43" s="293" t="str">
        <f t="shared" si="154"/>
        <v>-</v>
      </c>
      <c r="LR43" s="293" t="str">
        <f t="shared" si="154"/>
        <v>-</v>
      </c>
      <c r="LS43" s="293" t="str">
        <f t="shared" si="154"/>
        <v>-</v>
      </c>
      <c r="LT43" s="293" t="str">
        <f t="shared" si="154"/>
        <v>-</v>
      </c>
      <c r="LU43" s="304">
        <f t="shared" si="154"/>
        <v>0</v>
      </c>
      <c r="LV43" s="265"/>
      <c r="LW43" s="292" t="str">
        <f t="shared" ref="LW43:MB43" si="155">IF(LW41&lt;&gt;"",IF(LW42-LW41&gt;0,"+"&amp;LW42-LW41,LW42-LW41),"-")</f>
        <v>-</v>
      </c>
      <c r="LX43" s="293" t="str">
        <f t="shared" si="155"/>
        <v>-</v>
      </c>
      <c r="LY43" s="293" t="str">
        <f t="shared" si="155"/>
        <v>-</v>
      </c>
      <c r="LZ43" s="293" t="str">
        <f t="shared" si="155"/>
        <v>-</v>
      </c>
      <c r="MA43" s="293" t="str">
        <f t="shared" si="155"/>
        <v>-</v>
      </c>
      <c r="MB43" s="304">
        <f t="shared" si="155"/>
        <v>0</v>
      </c>
      <c r="MC43" s="265"/>
      <c r="MD43" s="292" t="str">
        <f t="shared" ref="MD43:MI43" si="156">IF(MD41&lt;&gt;"",IF(MD42-MD41&gt;0,"+"&amp;MD42-MD41,MD42-MD41),"-")</f>
        <v>-</v>
      </c>
      <c r="ME43" s="293" t="str">
        <f t="shared" si="156"/>
        <v>-</v>
      </c>
      <c r="MF43" s="293" t="str">
        <f t="shared" si="156"/>
        <v>-</v>
      </c>
      <c r="MG43" s="293" t="str">
        <f t="shared" si="156"/>
        <v>-</v>
      </c>
      <c r="MH43" s="293" t="str">
        <f t="shared" si="156"/>
        <v>-</v>
      </c>
      <c r="MI43" s="304">
        <f t="shared" si="156"/>
        <v>0</v>
      </c>
      <c r="MJ43" s="265"/>
      <c r="MK43" s="292" t="str">
        <f t="shared" ref="MK43:MP43" si="157">IF(MK41&lt;&gt;"",IF(MK42-MK41&gt;0,"+"&amp;MK42-MK41,MK42-MK41),"-")</f>
        <v>-</v>
      </c>
      <c r="ML43" s="293" t="str">
        <f t="shared" si="157"/>
        <v>-</v>
      </c>
      <c r="MM43" s="293" t="str">
        <f t="shared" si="157"/>
        <v>-</v>
      </c>
      <c r="MN43" s="293" t="str">
        <f t="shared" si="157"/>
        <v>-</v>
      </c>
      <c r="MO43" s="293" t="str">
        <f t="shared" si="157"/>
        <v>-</v>
      </c>
      <c r="MP43" s="304">
        <f t="shared" si="157"/>
        <v>0</v>
      </c>
      <c r="MQ43" s="265"/>
      <c r="MR43" s="292" t="str">
        <f t="shared" ref="MR43:MW43" si="158">IF(MR41&lt;&gt;"",IF(MR42-MR41&gt;0,"+"&amp;MR42-MR41,MR42-MR41),"-")</f>
        <v>-</v>
      </c>
      <c r="MS43" s="293" t="str">
        <f t="shared" si="158"/>
        <v>-</v>
      </c>
      <c r="MT43" s="293" t="str">
        <f t="shared" si="158"/>
        <v>-</v>
      </c>
      <c r="MU43" s="293" t="str">
        <f t="shared" si="158"/>
        <v>-</v>
      </c>
      <c r="MV43" s="293" t="str">
        <f t="shared" si="158"/>
        <v>-</v>
      </c>
      <c r="MW43" s="304">
        <f t="shared" si="158"/>
        <v>0</v>
      </c>
      <c r="MX43" s="265"/>
      <c r="MY43" s="292" t="str">
        <f t="shared" ref="MY43:ND43" si="159">IF(MY41&lt;&gt;"",IF(MY42-MY41&gt;0,"+"&amp;MY42-MY41,MY42-MY41),"-")</f>
        <v>-</v>
      </c>
      <c r="MZ43" s="293" t="str">
        <f t="shared" si="159"/>
        <v>-</v>
      </c>
      <c r="NA43" s="293" t="str">
        <f t="shared" si="159"/>
        <v>-</v>
      </c>
      <c r="NB43" s="293" t="str">
        <f t="shared" si="159"/>
        <v>-</v>
      </c>
      <c r="NC43" s="293" t="str">
        <f t="shared" si="159"/>
        <v>-</v>
      </c>
      <c r="ND43" s="304">
        <f t="shared" si="159"/>
        <v>0</v>
      </c>
      <c r="NE43" s="265"/>
      <c r="NF43" s="292" t="str">
        <f t="shared" ref="NF43:NK43" si="160">IF(NF41&lt;&gt;"",IF(NF42-NF41&gt;0,"+"&amp;NF42-NF41,NF42-NF41),"-")</f>
        <v>-</v>
      </c>
      <c r="NG43" s="293" t="str">
        <f t="shared" si="160"/>
        <v>-</v>
      </c>
      <c r="NH43" s="293" t="str">
        <f t="shared" si="160"/>
        <v>-</v>
      </c>
      <c r="NI43" s="293" t="str">
        <f t="shared" si="160"/>
        <v>-</v>
      </c>
      <c r="NJ43" s="293" t="str">
        <f t="shared" si="160"/>
        <v>-</v>
      </c>
      <c r="NK43" s="304">
        <f t="shared" si="160"/>
        <v>0</v>
      </c>
      <c r="NL43" s="265"/>
      <c r="NM43" s="292" t="str">
        <f t="shared" ref="NM43:NR43" si="161">IF(NM41&lt;&gt;"",IF(NM42-NM41&gt;0,"+"&amp;NM42-NM41,NM42-NM41),"-")</f>
        <v>-</v>
      </c>
      <c r="NN43" s="293" t="str">
        <f t="shared" si="161"/>
        <v>-</v>
      </c>
      <c r="NO43" s="293" t="str">
        <f t="shared" si="161"/>
        <v>-</v>
      </c>
      <c r="NP43" s="293" t="str">
        <f t="shared" si="161"/>
        <v>-</v>
      </c>
      <c r="NQ43" s="293" t="str">
        <f t="shared" si="161"/>
        <v>-</v>
      </c>
      <c r="NR43" s="304">
        <f t="shared" si="161"/>
        <v>0</v>
      </c>
      <c r="NS43" s="283"/>
    </row>
    <row r="44" spans="1:383" s="196" customFormat="1" ht="16.05" customHeight="1" x14ac:dyDescent="0.3">
      <c r="A44" s="294"/>
      <c r="B44" s="284" t="s">
        <v>427</v>
      </c>
      <c r="C44" s="285" t="s">
        <v>415</v>
      </c>
      <c r="D44" s="338"/>
      <c r="E44"/>
      <c r="F44" s="279">
        <v>5</v>
      </c>
      <c r="G44" s="280">
        <v>5</v>
      </c>
      <c r="H44" s="280">
        <v>5</v>
      </c>
      <c r="I44" s="280">
        <v>5</v>
      </c>
      <c r="J44" s="280">
        <v>5</v>
      </c>
      <c r="K44" s="302">
        <f>SUM(F44:J44)</f>
        <v>25</v>
      </c>
      <c r="L44" s="265"/>
      <c r="M44" s="279">
        <v>3</v>
      </c>
      <c r="N44" s="280">
        <v>3</v>
      </c>
      <c r="O44" s="280">
        <v>3</v>
      </c>
      <c r="P44" s="280">
        <v>3</v>
      </c>
      <c r="Q44" s="280">
        <v>3</v>
      </c>
      <c r="R44" s="302">
        <f>SUM(M44:Q44)</f>
        <v>15</v>
      </c>
      <c r="S44" s="265"/>
      <c r="T44" s="279">
        <v>3</v>
      </c>
      <c r="U44" s="280">
        <v>3</v>
      </c>
      <c r="V44" s="280">
        <v>3</v>
      </c>
      <c r="W44" s="280">
        <v>3</v>
      </c>
      <c r="X44" s="280">
        <v>3</v>
      </c>
      <c r="Y44" s="302">
        <f>SUM(T44:X44)</f>
        <v>15</v>
      </c>
      <c r="Z44" s="265"/>
      <c r="AA44" s="279">
        <v>3</v>
      </c>
      <c r="AB44" s="280">
        <v>3</v>
      </c>
      <c r="AC44" s="280">
        <v>3</v>
      </c>
      <c r="AD44" s="280">
        <v>3</v>
      </c>
      <c r="AE44" s="280">
        <v>3</v>
      </c>
      <c r="AF44" s="302">
        <f>SUM(AA44:AE44)</f>
        <v>15</v>
      </c>
      <c r="AG44" s="265"/>
      <c r="AH44" s="279">
        <v>3</v>
      </c>
      <c r="AI44" s="280">
        <v>3</v>
      </c>
      <c r="AJ44" s="280">
        <v>3</v>
      </c>
      <c r="AK44" s="280">
        <v>3</v>
      </c>
      <c r="AL44" s="280">
        <v>3</v>
      </c>
      <c r="AM44" s="302">
        <f>SUM(AH44:AL44)</f>
        <v>15</v>
      </c>
      <c r="AN44" s="265"/>
      <c r="AO44" s="279">
        <v>3</v>
      </c>
      <c r="AP44" s="280">
        <v>3</v>
      </c>
      <c r="AQ44" s="280">
        <v>3</v>
      </c>
      <c r="AR44" s="280">
        <v>3</v>
      </c>
      <c r="AS44" s="280">
        <v>3</v>
      </c>
      <c r="AT44" s="302">
        <f>SUM(AO44:AS44)</f>
        <v>15</v>
      </c>
      <c r="AU44" s="265"/>
      <c r="AV44" s="279">
        <v>4</v>
      </c>
      <c r="AW44" s="280">
        <v>4</v>
      </c>
      <c r="AX44" s="280">
        <v>4</v>
      </c>
      <c r="AY44" s="280">
        <v>4</v>
      </c>
      <c r="AZ44" s="280">
        <v>4</v>
      </c>
      <c r="BA44" s="302">
        <f>SUM(AV44:AZ44)</f>
        <v>20</v>
      </c>
      <c r="BB44" s="265"/>
      <c r="BC44" s="279">
        <v>4</v>
      </c>
      <c r="BD44" s="280">
        <v>4</v>
      </c>
      <c r="BE44" s="280">
        <v>4</v>
      </c>
      <c r="BF44" s="280">
        <v>4</v>
      </c>
      <c r="BG44" s="280">
        <v>4</v>
      </c>
      <c r="BH44" s="302">
        <f>SUM(BC44:BG44)</f>
        <v>20</v>
      </c>
      <c r="BI44" s="265"/>
      <c r="BJ44" s="279">
        <v>4</v>
      </c>
      <c r="BK44" s="280">
        <v>4</v>
      </c>
      <c r="BL44" s="280">
        <v>4</v>
      </c>
      <c r="BM44" s="280">
        <v>4</v>
      </c>
      <c r="BN44" s="280">
        <v>4</v>
      </c>
      <c r="BO44" s="302">
        <f>SUM(BJ44:BN44)</f>
        <v>20</v>
      </c>
      <c r="BP44" s="265"/>
      <c r="BQ44" s="279">
        <v>4</v>
      </c>
      <c r="BR44" s="280">
        <v>4</v>
      </c>
      <c r="BS44" s="280">
        <v>4</v>
      </c>
      <c r="BT44" s="280">
        <v>0</v>
      </c>
      <c r="BU44" s="280">
        <v>4</v>
      </c>
      <c r="BV44" s="302">
        <f>SUM(BQ44:BU44)</f>
        <v>16</v>
      </c>
      <c r="BW44" s="265"/>
      <c r="BX44" s="279">
        <v>4</v>
      </c>
      <c r="BY44" s="280">
        <v>4</v>
      </c>
      <c r="BZ44" s="280">
        <v>4</v>
      </c>
      <c r="CA44" s="280">
        <v>4</v>
      </c>
      <c r="CB44" s="280">
        <v>4</v>
      </c>
      <c r="CC44" s="302">
        <f>SUM(BX44:CB44)</f>
        <v>20</v>
      </c>
      <c r="CD44" s="265"/>
      <c r="CE44" s="279">
        <v>4</v>
      </c>
      <c r="CF44" s="280">
        <v>4</v>
      </c>
      <c r="CG44" s="280">
        <v>4</v>
      </c>
      <c r="CH44" s="280">
        <v>4</v>
      </c>
      <c r="CI44" s="280">
        <v>4</v>
      </c>
      <c r="CJ44" s="302">
        <f>SUM(CE44:CI44)</f>
        <v>20</v>
      </c>
      <c r="CK44" s="265"/>
      <c r="CL44" s="279">
        <v>4</v>
      </c>
      <c r="CM44" s="280">
        <v>4</v>
      </c>
      <c r="CN44" s="280">
        <v>4</v>
      </c>
      <c r="CO44" s="280">
        <v>4</v>
      </c>
      <c r="CP44" s="280">
        <v>4</v>
      </c>
      <c r="CQ44" s="302">
        <f>SUM(CL44:CP44)</f>
        <v>20</v>
      </c>
      <c r="CR44" s="265"/>
      <c r="CS44" s="279">
        <v>4</v>
      </c>
      <c r="CT44" s="280">
        <v>4</v>
      </c>
      <c r="CU44" s="280">
        <v>4</v>
      </c>
      <c r="CV44" s="280">
        <v>4</v>
      </c>
      <c r="CW44" s="280">
        <v>4</v>
      </c>
      <c r="CX44" s="302">
        <f>SUM(CS44:CW44)</f>
        <v>20</v>
      </c>
      <c r="CY44" s="265"/>
      <c r="CZ44" s="279">
        <v>4</v>
      </c>
      <c r="DA44" s="280">
        <v>4</v>
      </c>
      <c r="DB44" s="280">
        <v>4</v>
      </c>
      <c r="DC44" s="280">
        <v>4</v>
      </c>
      <c r="DD44" s="280">
        <v>4</v>
      </c>
      <c r="DE44" s="302">
        <f>SUM(CZ44:DD44)</f>
        <v>20</v>
      </c>
      <c r="DF44" s="265"/>
      <c r="DG44" s="279"/>
      <c r="DH44" s="280"/>
      <c r="DI44" s="280"/>
      <c r="DJ44" s="280"/>
      <c r="DK44" s="280"/>
      <c r="DL44" s="302">
        <f>SUM(DG44:DK44)</f>
        <v>0</v>
      </c>
      <c r="DM44" s="265"/>
      <c r="DN44" s="279"/>
      <c r="DO44" s="280"/>
      <c r="DP44" s="280"/>
      <c r="DQ44" s="280"/>
      <c r="DR44" s="280"/>
      <c r="DS44" s="302">
        <f>SUM(DN44:DR44)</f>
        <v>0</v>
      </c>
      <c r="DT44" s="265"/>
      <c r="DU44" s="279"/>
      <c r="DV44" s="280"/>
      <c r="DW44" s="280"/>
      <c r="DX44" s="280"/>
      <c r="DY44" s="280"/>
      <c r="DZ44" s="302">
        <f>SUM(DU44:DY44)</f>
        <v>0</v>
      </c>
      <c r="EA44" s="265"/>
      <c r="EB44" s="279"/>
      <c r="EC44" s="280"/>
      <c r="ED44" s="280"/>
      <c r="EE44" s="280"/>
      <c r="EF44" s="280"/>
      <c r="EG44" s="302">
        <f>SUM(EB44:EF44)</f>
        <v>0</v>
      </c>
      <c r="EH44" s="265"/>
      <c r="EI44" s="279"/>
      <c r="EJ44" s="280"/>
      <c r="EK44" s="280"/>
      <c r="EL44" s="280"/>
      <c r="EM44" s="280"/>
      <c r="EN44" s="302">
        <f>SUM(EI44:EM44)</f>
        <v>0</v>
      </c>
      <c r="EO44" s="265"/>
      <c r="EP44" s="279"/>
      <c r="EQ44" s="280"/>
      <c r="ER44" s="280"/>
      <c r="ES44" s="280"/>
      <c r="ET44" s="280"/>
      <c r="EU44" s="302">
        <f>SUM(EP44:ET44)</f>
        <v>0</v>
      </c>
      <c r="EV44" s="265"/>
      <c r="EW44" s="279"/>
      <c r="EX44" s="280"/>
      <c r="EY44" s="280"/>
      <c r="EZ44" s="280"/>
      <c r="FA44" s="280"/>
      <c r="FB44" s="302">
        <f>SUM(EW44:FA44)</f>
        <v>0</v>
      </c>
      <c r="FC44" s="265"/>
      <c r="FD44" s="279"/>
      <c r="FE44" s="280"/>
      <c r="FF44" s="280"/>
      <c r="FG44" s="280"/>
      <c r="FH44" s="280"/>
      <c r="FI44" s="302">
        <f>SUM(FD44:FH44)</f>
        <v>0</v>
      </c>
      <c r="FJ44" s="265"/>
      <c r="FK44" s="279"/>
      <c r="FL44" s="280"/>
      <c r="FM44" s="280"/>
      <c r="FN44" s="280"/>
      <c r="FO44" s="280"/>
      <c r="FP44" s="302">
        <f>SUM(FK44:FO44)</f>
        <v>0</v>
      </c>
      <c r="FQ44" s="265"/>
      <c r="FR44" s="279"/>
      <c r="FS44" s="280"/>
      <c r="FT44" s="280"/>
      <c r="FU44" s="280"/>
      <c r="FV44" s="280"/>
      <c r="FW44" s="302">
        <f>SUM(FR44:FV44)</f>
        <v>0</v>
      </c>
      <c r="FX44" s="265"/>
      <c r="FY44" s="279"/>
      <c r="FZ44" s="280"/>
      <c r="GA44" s="280"/>
      <c r="GB44" s="280"/>
      <c r="GC44" s="280"/>
      <c r="GD44" s="302">
        <f>SUM(FY44:GC44)</f>
        <v>0</v>
      </c>
      <c r="GE44" s="265"/>
      <c r="GF44" s="279"/>
      <c r="GG44" s="280"/>
      <c r="GH44" s="280"/>
      <c r="GI44" s="280"/>
      <c r="GJ44" s="280"/>
      <c r="GK44" s="302">
        <f>SUM(GF44:GJ44)</f>
        <v>0</v>
      </c>
      <c r="GL44" s="265"/>
      <c r="GM44" s="279"/>
      <c r="GN44" s="280"/>
      <c r="GO44" s="280"/>
      <c r="GP44" s="280"/>
      <c r="GQ44" s="280"/>
      <c r="GR44" s="302">
        <f>SUM(GM44:GQ44)</f>
        <v>0</v>
      </c>
      <c r="GS44" s="265"/>
      <c r="GT44" s="279"/>
      <c r="GU44" s="280"/>
      <c r="GV44" s="280"/>
      <c r="GW44" s="280"/>
      <c r="GX44" s="280"/>
      <c r="GY44" s="302">
        <f>SUM(GT44:GX44)</f>
        <v>0</v>
      </c>
      <c r="GZ44" s="283"/>
      <c r="HA44" s="370"/>
      <c r="HB44" s="371"/>
      <c r="HC44" s="371"/>
      <c r="HD44" s="371"/>
      <c r="HE44" s="371"/>
      <c r="HF44" s="302">
        <f>SUM(HA44:HE44)</f>
        <v>0</v>
      </c>
      <c r="HG44" s="265"/>
      <c r="HH44" s="370"/>
      <c r="HI44" s="371"/>
      <c r="HJ44" s="371"/>
      <c r="HK44" s="371"/>
      <c r="HL44" s="371"/>
      <c r="HM44" s="302">
        <f>SUM(HH44:HL44)</f>
        <v>0</v>
      </c>
      <c r="HN44" s="265"/>
      <c r="HO44" s="370"/>
      <c r="HP44" s="371"/>
      <c r="HQ44" s="371"/>
      <c r="HR44" s="371"/>
      <c r="HS44" s="371"/>
      <c r="HT44" s="302">
        <f>SUM(HO44:HS44)</f>
        <v>0</v>
      </c>
      <c r="HU44" s="265"/>
      <c r="HV44" s="370">
        <v>4</v>
      </c>
      <c r="HW44" s="371">
        <v>4</v>
      </c>
      <c r="HX44" s="371">
        <v>4</v>
      </c>
      <c r="HY44" s="371">
        <v>4</v>
      </c>
      <c r="HZ44" s="371">
        <v>4</v>
      </c>
      <c r="IA44" s="302">
        <f>SUM(HV44:HZ44)</f>
        <v>20</v>
      </c>
      <c r="IB44" s="265"/>
      <c r="IC44" s="370">
        <v>4</v>
      </c>
      <c r="ID44" s="371">
        <v>4</v>
      </c>
      <c r="IE44" s="371">
        <v>4</v>
      </c>
      <c r="IF44" s="371">
        <v>4</v>
      </c>
      <c r="IG44" s="371">
        <v>4</v>
      </c>
      <c r="IH44" s="302">
        <f>SUM(IC44:IG44)</f>
        <v>20</v>
      </c>
      <c r="II44" s="265"/>
      <c r="IJ44" s="370">
        <v>4</v>
      </c>
      <c r="IK44" s="371">
        <v>4</v>
      </c>
      <c r="IL44" s="371">
        <v>4</v>
      </c>
      <c r="IM44" s="371">
        <v>0</v>
      </c>
      <c r="IN44" s="371">
        <v>4</v>
      </c>
      <c r="IO44" s="302">
        <f>SUM(IJ44:IN44)</f>
        <v>16</v>
      </c>
      <c r="IP44" s="265"/>
      <c r="IQ44" s="370">
        <v>4</v>
      </c>
      <c r="IR44" s="371">
        <v>4</v>
      </c>
      <c r="IS44" s="371">
        <v>4</v>
      </c>
      <c r="IT44" s="371">
        <v>4</v>
      </c>
      <c r="IU44" s="371">
        <v>4</v>
      </c>
      <c r="IV44" s="302">
        <f>SUM(IQ44:IU44)</f>
        <v>20</v>
      </c>
      <c r="IW44" s="265"/>
      <c r="IX44" s="370">
        <v>4</v>
      </c>
      <c r="IY44" s="371">
        <v>4</v>
      </c>
      <c r="IZ44" s="371">
        <v>4</v>
      </c>
      <c r="JA44" s="371">
        <v>4</v>
      </c>
      <c r="JB44" s="371">
        <v>4</v>
      </c>
      <c r="JC44" s="302">
        <f>SUM(IX44:JB44)</f>
        <v>20</v>
      </c>
      <c r="JD44" s="265"/>
      <c r="JE44" s="370">
        <v>4</v>
      </c>
      <c r="JF44" s="371">
        <v>4</v>
      </c>
      <c r="JG44" s="371">
        <v>4</v>
      </c>
      <c r="JH44" s="371">
        <v>4</v>
      </c>
      <c r="JI44" s="371">
        <v>4</v>
      </c>
      <c r="JJ44" s="302">
        <f>SUM(JE44:JI44)</f>
        <v>20</v>
      </c>
      <c r="JK44" s="265"/>
      <c r="JL44" s="370">
        <v>4</v>
      </c>
      <c r="JM44" s="371">
        <v>4</v>
      </c>
      <c r="JN44" s="371">
        <v>4</v>
      </c>
      <c r="JO44" s="371">
        <v>4</v>
      </c>
      <c r="JP44" s="371">
        <v>4</v>
      </c>
      <c r="JQ44" s="302">
        <f>SUM(JL44:JP44)</f>
        <v>20</v>
      </c>
      <c r="JR44" s="265"/>
      <c r="JS44" s="370">
        <v>4</v>
      </c>
      <c r="JT44" s="371">
        <v>4</v>
      </c>
      <c r="JU44" s="371">
        <v>4</v>
      </c>
      <c r="JV44" s="371">
        <v>4</v>
      </c>
      <c r="JW44" s="371">
        <v>4</v>
      </c>
      <c r="JX44" s="302">
        <f>SUM(JS44:JW44)</f>
        <v>20</v>
      </c>
      <c r="JY44" s="265"/>
      <c r="JZ44" s="370"/>
      <c r="KA44" s="371"/>
      <c r="KB44" s="371"/>
      <c r="KC44" s="371"/>
      <c r="KD44" s="371"/>
      <c r="KE44" s="302">
        <f>SUM(JZ44:KD44)</f>
        <v>0</v>
      </c>
      <c r="KF44" s="265"/>
      <c r="KG44" s="370"/>
      <c r="KH44" s="371"/>
      <c r="KI44" s="371"/>
      <c r="KJ44" s="371"/>
      <c r="KK44" s="371"/>
      <c r="KL44" s="302">
        <f>SUM(KG44:KK44)</f>
        <v>0</v>
      </c>
      <c r="KM44" s="265"/>
      <c r="KN44" s="370"/>
      <c r="KO44" s="371"/>
      <c r="KP44" s="371"/>
      <c r="KQ44" s="371"/>
      <c r="KR44" s="371"/>
      <c r="KS44" s="302">
        <f>SUM(KN44:KR44)</f>
        <v>0</v>
      </c>
      <c r="KT44" s="265"/>
      <c r="KU44" s="370"/>
      <c r="KV44" s="371"/>
      <c r="KW44" s="371"/>
      <c r="KX44" s="371"/>
      <c r="KY44" s="371"/>
      <c r="KZ44" s="302">
        <f>SUM(KU44:KY44)</f>
        <v>0</v>
      </c>
      <c r="LA44" s="265"/>
      <c r="LB44" s="370"/>
      <c r="LC44" s="371"/>
      <c r="LD44" s="371"/>
      <c r="LE44" s="371"/>
      <c r="LF44" s="371"/>
      <c r="LG44" s="302">
        <f>SUM(LB44:LF44)</f>
        <v>0</v>
      </c>
      <c r="LH44" s="265"/>
      <c r="LI44" s="370"/>
      <c r="LJ44" s="371"/>
      <c r="LK44" s="371"/>
      <c r="LL44" s="371"/>
      <c r="LM44" s="371"/>
      <c r="LN44" s="302">
        <f>SUM(LI44:LM44)</f>
        <v>0</v>
      </c>
      <c r="LO44" s="265"/>
      <c r="LP44" s="370"/>
      <c r="LQ44" s="371"/>
      <c r="LR44" s="371"/>
      <c r="LS44" s="371"/>
      <c r="LT44" s="371"/>
      <c r="LU44" s="302">
        <f>SUM(LP44:LT44)</f>
        <v>0</v>
      </c>
      <c r="LV44" s="265"/>
      <c r="LW44" s="370"/>
      <c r="LX44" s="371"/>
      <c r="LY44" s="371"/>
      <c r="LZ44" s="371"/>
      <c r="MA44" s="371"/>
      <c r="MB44" s="302">
        <f>SUM(LW44:MA44)</f>
        <v>0</v>
      </c>
      <c r="MC44" s="265"/>
      <c r="MD44" s="370"/>
      <c r="ME44" s="371"/>
      <c r="MF44" s="371"/>
      <c r="MG44" s="371"/>
      <c r="MH44" s="371"/>
      <c r="MI44" s="302">
        <f>SUM(MD44:MH44)</f>
        <v>0</v>
      </c>
      <c r="MJ44" s="265"/>
      <c r="MK44" s="370"/>
      <c r="ML44" s="371"/>
      <c r="MM44" s="371"/>
      <c r="MN44" s="371"/>
      <c r="MO44" s="371"/>
      <c r="MP44" s="302">
        <f>SUM(MK44:MO44)</f>
        <v>0</v>
      </c>
      <c r="MQ44" s="265"/>
      <c r="MR44" s="370"/>
      <c r="MS44" s="371"/>
      <c r="MT44" s="371"/>
      <c r="MU44" s="371"/>
      <c r="MV44" s="371"/>
      <c r="MW44" s="302">
        <f>SUM(MR44:MV44)</f>
        <v>0</v>
      </c>
      <c r="MX44" s="265"/>
      <c r="MY44" s="370"/>
      <c r="MZ44" s="371"/>
      <c r="NA44" s="371"/>
      <c r="NB44" s="371"/>
      <c r="NC44" s="371"/>
      <c r="ND44" s="302">
        <f>SUM(MY44:NC44)</f>
        <v>0</v>
      </c>
      <c r="NE44" s="265"/>
      <c r="NF44" s="370"/>
      <c r="NG44" s="371"/>
      <c r="NH44" s="371"/>
      <c r="NI44" s="371"/>
      <c r="NJ44" s="371"/>
      <c r="NK44" s="302">
        <f>SUM(NF44:NJ44)</f>
        <v>0</v>
      </c>
      <c r="NL44" s="265"/>
      <c r="NM44" s="370"/>
      <c r="NN44" s="371"/>
      <c r="NO44" s="371"/>
      <c r="NP44" s="371"/>
      <c r="NQ44" s="371"/>
      <c r="NR44" s="302">
        <f>SUM(NM44:NQ44)</f>
        <v>0</v>
      </c>
      <c r="NS44" s="283"/>
    </row>
    <row r="45" spans="1:383" s="196" customFormat="1" ht="16.05" customHeight="1" x14ac:dyDescent="0.3">
      <c r="A45" s="294"/>
      <c r="B45" s="282" t="s">
        <v>429</v>
      </c>
      <c r="C45" s="286" t="s">
        <v>416</v>
      </c>
      <c r="D45" s="306"/>
      <c r="E45"/>
      <c r="F45" s="227">
        <f>'Pilotage effectif 27O'!I48+'Pilotage effectif PA'!I48+'Pilotage effectif EUP'!I44</f>
        <v>3</v>
      </c>
      <c r="G45" s="228">
        <f>'Pilotage effectif 27O'!J48+'Pilotage effectif PA'!J48+'Pilotage effectif EUP'!J44</f>
        <v>3</v>
      </c>
      <c r="H45" s="228">
        <f>'Pilotage effectif 27O'!K48+'Pilotage effectif PA'!K48+'Pilotage effectif EUP'!K44</f>
        <v>0</v>
      </c>
      <c r="I45" s="228">
        <f>'Pilotage effectif 27O'!L48+'Pilotage effectif PA'!L48+'Pilotage effectif EUP'!L44</f>
        <v>3</v>
      </c>
      <c r="J45" s="228">
        <f>'Pilotage effectif 27O'!M48+'Pilotage effectif PA'!M48+'Pilotage effectif EUP'!M44</f>
        <v>3</v>
      </c>
      <c r="K45" s="303">
        <f>'Pilotage effectif 27O'!N48+'Pilotage effectif PA'!N48+'Pilotage effectif EUP'!N44</f>
        <v>12</v>
      </c>
      <c r="L45" s="265"/>
      <c r="M45" s="227">
        <f>'Pilotage effectif 27O'!P48+'Pilotage effectif PA'!P48+'Pilotage effectif EUP'!P44</f>
        <v>0</v>
      </c>
      <c r="N45" s="228">
        <f>'Pilotage effectif 27O'!Q48+'Pilotage effectif PA'!Q48+'Pilotage effectif EUP'!Q44</f>
        <v>0</v>
      </c>
      <c r="O45" s="228">
        <f>'Pilotage effectif 27O'!R48+'Pilotage effectif PA'!R48+'Pilotage effectif EUP'!R44</f>
        <v>0</v>
      </c>
      <c r="P45" s="228">
        <f>'Pilotage effectif 27O'!S48+'Pilotage effectif PA'!S48+'Pilotage effectif EUP'!S44</f>
        <v>0</v>
      </c>
      <c r="Q45" s="228">
        <f>'Pilotage effectif 27O'!T48+'Pilotage effectif PA'!T48+'Pilotage effectif EUP'!T44</f>
        <v>0</v>
      </c>
      <c r="R45" s="303">
        <f>'Pilotage effectif 27O'!U48+'Pilotage effectif PA'!U48+'Pilotage effectif EUP'!U44</f>
        <v>0</v>
      </c>
      <c r="S45" s="265"/>
      <c r="T45" s="227">
        <f>'Pilotage effectif 27O'!W48+'Pilotage effectif PA'!W48+'Pilotage effectif EUP'!W44</f>
        <v>1</v>
      </c>
      <c r="U45" s="228">
        <f>'Pilotage effectif 27O'!X48+'Pilotage effectif PA'!X48+'Pilotage effectif EUP'!X44</f>
        <v>1</v>
      </c>
      <c r="V45" s="228">
        <f>'Pilotage effectif 27O'!Y48+'Pilotage effectif PA'!Y48+'Pilotage effectif EUP'!Y44</f>
        <v>1</v>
      </c>
      <c r="W45" s="228">
        <f>'Pilotage effectif 27O'!Z48+'Pilotage effectif PA'!Z48+'Pilotage effectif EUP'!Z44</f>
        <v>1</v>
      </c>
      <c r="X45" s="228">
        <f>'Pilotage effectif 27O'!AA48+'Pilotage effectif PA'!AA48+'Pilotage effectif EUP'!AA44</f>
        <v>1</v>
      </c>
      <c r="Y45" s="303">
        <f>'Pilotage effectif 27O'!AB48+'Pilotage effectif PA'!AB48+'Pilotage effectif EUP'!AB44</f>
        <v>5</v>
      </c>
      <c r="Z45" s="265"/>
      <c r="AA45" s="227">
        <f>'Pilotage effectif 27O'!AD48+'Pilotage effectif PA'!AD48+'Pilotage effectif EUP'!AD44</f>
        <v>1</v>
      </c>
      <c r="AB45" s="228">
        <f>'Pilotage effectif 27O'!AE48+'Pilotage effectif PA'!AE48+'Pilotage effectif EUP'!AE44</f>
        <v>2</v>
      </c>
      <c r="AC45" s="228">
        <f>'Pilotage effectif 27O'!AF48+'Pilotage effectif PA'!AF48+'Pilotage effectif EUP'!AF44</f>
        <v>2</v>
      </c>
      <c r="AD45" s="228">
        <f>'Pilotage effectif 27O'!AG48+'Pilotage effectif PA'!AG48+'Pilotage effectif EUP'!AG44</f>
        <v>2</v>
      </c>
      <c r="AE45" s="228">
        <f>'Pilotage effectif 27O'!AH48+'Pilotage effectif PA'!AH48+'Pilotage effectif EUP'!AH44</f>
        <v>2</v>
      </c>
      <c r="AF45" s="303">
        <f>'Pilotage effectif 27O'!AI48+'Pilotage effectif PA'!AI48+'Pilotage effectif EUP'!AI44</f>
        <v>9</v>
      </c>
      <c r="AG45" s="265"/>
      <c r="AH45" s="227">
        <f>'Pilotage effectif 27O'!AK48+'Pilotage effectif PA'!AK48+'Pilotage effectif EUP'!AK44</f>
        <v>2</v>
      </c>
      <c r="AI45" s="228">
        <f>'Pilotage effectif 27O'!AL48+'Pilotage effectif PA'!AL48+'Pilotage effectif EUP'!AL44</f>
        <v>2</v>
      </c>
      <c r="AJ45" s="228">
        <f>'Pilotage effectif 27O'!AM48+'Pilotage effectif PA'!AM48+'Pilotage effectif EUP'!AM44</f>
        <v>2</v>
      </c>
      <c r="AK45" s="228">
        <f>'Pilotage effectif 27O'!AN48+'Pilotage effectif PA'!AN48+'Pilotage effectif EUP'!AN44</f>
        <v>2</v>
      </c>
      <c r="AL45" s="228">
        <f>'Pilotage effectif 27O'!AO48+'Pilotage effectif PA'!AO48+'Pilotage effectif EUP'!AO44</f>
        <v>2</v>
      </c>
      <c r="AM45" s="303">
        <f>'Pilotage effectif 27O'!AP48+'Pilotage effectif PA'!AP48+'Pilotage effectif EUP'!AP44</f>
        <v>10</v>
      </c>
      <c r="AN45" s="265"/>
      <c r="AO45" s="227">
        <f>'Pilotage effectif 27O'!AR48+'Pilotage effectif PA'!AR48+'Pilotage effectif EUP'!AR44</f>
        <v>1</v>
      </c>
      <c r="AP45" s="228">
        <f>'Pilotage effectif 27O'!AS48+'Pilotage effectif PA'!AS48+'Pilotage effectif EUP'!AS44</f>
        <v>1</v>
      </c>
      <c r="AQ45" s="228">
        <f>'Pilotage effectif 27O'!AT48+'Pilotage effectif PA'!AT48+'Pilotage effectif EUP'!AT44</f>
        <v>1</v>
      </c>
      <c r="AR45" s="228">
        <f>'Pilotage effectif 27O'!AU48+'Pilotage effectif PA'!AU48+'Pilotage effectif EUP'!AU44</f>
        <v>1</v>
      </c>
      <c r="AS45" s="228">
        <f>'Pilotage effectif 27O'!AV48+'Pilotage effectif PA'!AV48+'Pilotage effectif EUP'!AV44</f>
        <v>1</v>
      </c>
      <c r="AT45" s="303">
        <f>'Pilotage effectif 27O'!AW48+'Pilotage effectif PA'!AW48+'Pilotage effectif EUP'!AW44</f>
        <v>5</v>
      </c>
      <c r="AU45" s="265"/>
      <c r="AV45" s="227">
        <f>'Pilotage effectif 27O'!AY48+'Pilotage effectif PA'!AY48+'Pilotage effectif EUP'!AY44</f>
        <v>0</v>
      </c>
      <c r="AW45" s="228">
        <f>'Pilotage effectif 27O'!AZ48+'Pilotage effectif PA'!AZ48+'Pilotage effectif EUP'!AZ44</f>
        <v>0</v>
      </c>
      <c r="AX45" s="228">
        <f>'Pilotage effectif 27O'!BA48+'Pilotage effectif PA'!BA48+'Pilotage effectif EUP'!BA44</f>
        <v>0</v>
      </c>
      <c r="AY45" s="228">
        <f>'Pilotage effectif 27O'!BB48+'Pilotage effectif PA'!BB48+'Pilotage effectif EUP'!BB44</f>
        <v>0</v>
      </c>
      <c r="AZ45" s="228">
        <f>'Pilotage effectif 27O'!BC48+'Pilotage effectif PA'!BC48+'Pilotage effectif EUP'!BC44</f>
        <v>0</v>
      </c>
      <c r="BA45" s="303">
        <f>'Pilotage effectif 27O'!BD48+'Pilotage effectif PA'!BD48+'Pilotage effectif EUP'!BD44</f>
        <v>0</v>
      </c>
      <c r="BB45" s="265"/>
      <c r="BC45" s="227">
        <f>'Pilotage effectif 27O'!BF48+'Pilotage effectif PA'!BF48+'Pilotage effectif EUP'!BF44</f>
        <v>0</v>
      </c>
      <c r="BD45" s="228">
        <f>'Pilotage effectif 27O'!BG48+'Pilotage effectif PA'!BG48+'Pilotage effectif EUP'!BG44</f>
        <v>0</v>
      </c>
      <c r="BE45" s="228">
        <f>'Pilotage effectif 27O'!BH48+'Pilotage effectif PA'!BH48+'Pilotage effectif EUP'!BH44</f>
        <v>0</v>
      </c>
      <c r="BF45" s="228">
        <f>'Pilotage effectif 27O'!BI48+'Pilotage effectif PA'!BI48+'Pilotage effectif EUP'!BI44</f>
        <v>0</v>
      </c>
      <c r="BG45" s="228">
        <f>'Pilotage effectif 27O'!BJ48+'Pilotage effectif PA'!BJ48+'Pilotage effectif EUP'!BJ44</f>
        <v>0</v>
      </c>
      <c r="BH45" s="303">
        <f>'Pilotage effectif 27O'!BK48+'Pilotage effectif PA'!BK48+'Pilotage effectif EUP'!BK44</f>
        <v>0</v>
      </c>
      <c r="BI45" s="265"/>
      <c r="BJ45" s="227">
        <f>'Pilotage effectif 27O'!BM48+'Pilotage effectif PA'!BM48+'Pilotage effectif EUP'!BM44</f>
        <v>0</v>
      </c>
      <c r="BK45" s="228">
        <f>'Pilotage effectif 27O'!BN48+'Pilotage effectif PA'!BN48+'Pilotage effectif EUP'!BN44</f>
        <v>0</v>
      </c>
      <c r="BL45" s="228">
        <f>'Pilotage effectif 27O'!BO48+'Pilotage effectif PA'!BO48+'Pilotage effectif EUP'!BO44</f>
        <v>0</v>
      </c>
      <c r="BM45" s="228">
        <f>'Pilotage effectif 27O'!BP48+'Pilotage effectif PA'!BP48+'Pilotage effectif EUP'!BP44</f>
        <v>0</v>
      </c>
      <c r="BN45" s="228">
        <f>'Pilotage effectif 27O'!BQ48+'Pilotage effectif PA'!BQ48+'Pilotage effectif EUP'!BQ44</f>
        <v>0</v>
      </c>
      <c r="BO45" s="303">
        <f>'Pilotage effectif 27O'!BR48+'Pilotage effectif PA'!BR48+'Pilotage effectif EUP'!BR44</f>
        <v>0</v>
      </c>
      <c r="BP45" s="265"/>
      <c r="BQ45" s="227">
        <f>'Pilotage effectif 27O'!BT48+'Pilotage effectif PA'!BT48+'Pilotage effectif EUP'!BT44</f>
        <v>0</v>
      </c>
      <c r="BR45" s="228">
        <f>'Pilotage effectif 27O'!BU48+'Pilotage effectif PA'!BU48+'Pilotage effectif EUP'!BU44</f>
        <v>0</v>
      </c>
      <c r="BS45" s="228">
        <f>'Pilotage effectif 27O'!BV48+'Pilotage effectif PA'!BV48+'Pilotage effectif EUP'!BV44</f>
        <v>0</v>
      </c>
      <c r="BT45" s="228">
        <f>'Pilotage effectif 27O'!BW48+'Pilotage effectif PA'!BW48+'Pilotage effectif EUP'!BW44</f>
        <v>0</v>
      </c>
      <c r="BU45" s="228">
        <f>'Pilotage effectif 27O'!BX48+'Pilotage effectif PA'!BX48+'Pilotage effectif EUP'!BX44</f>
        <v>0</v>
      </c>
      <c r="BV45" s="303">
        <f>'Pilotage effectif 27O'!BY48+'Pilotage effectif PA'!BY48+'Pilotage effectif EUP'!BY44</f>
        <v>0</v>
      </c>
      <c r="BW45" s="265"/>
      <c r="BX45" s="227">
        <f>'Pilotage effectif 27O'!CA48+'Pilotage effectif PA'!CA48+'Pilotage effectif EUP'!CA44</f>
        <v>0</v>
      </c>
      <c r="BY45" s="228">
        <f>'Pilotage effectif 27O'!CB48+'Pilotage effectif PA'!CB48+'Pilotage effectif EUP'!CB44</f>
        <v>0</v>
      </c>
      <c r="BZ45" s="228">
        <f>'Pilotage effectif 27O'!CC48+'Pilotage effectif PA'!CC48+'Pilotage effectif EUP'!CC44</f>
        <v>0</v>
      </c>
      <c r="CA45" s="228">
        <f>'Pilotage effectif 27O'!CD48+'Pilotage effectif PA'!CD48+'Pilotage effectif EUP'!CD44</f>
        <v>0</v>
      </c>
      <c r="CB45" s="228">
        <f>'Pilotage effectif 27O'!CE48+'Pilotage effectif PA'!CE48+'Pilotage effectif EUP'!CE44</f>
        <v>0</v>
      </c>
      <c r="CC45" s="303">
        <f>'Pilotage effectif 27O'!CF48+'Pilotage effectif PA'!CF48+'Pilotage effectif EUP'!CF44</f>
        <v>0</v>
      </c>
      <c r="CD45" s="265"/>
      <c r="CE45" s="227">
        <f>'Pilotage effectif 27O'!CH48+'Pilotage effectif PA'!CH48+'Pilotage effectif EUP'!CH44</f>
        <v>0</v>
      </c>
      <c r="CF45" s="228">
        <f>'Pilotage effectif 27O'!CI48+'Pilotage effectif PA'!CI48+'Pilotage effectif EUP'!CI44</f>
        <v>0</v>
      </c>
      <c r="CG45" s="228">
        <f>'Pilotage effectif 27O'!CJ48+'Pilotage effectif PA'!CJ48+'Pilotage effectif EUP'!CJ44</f>
        <v>0</v>
      </c>
      <c r="CH45" s="228">
        <f>'Pilotage effectif 27O'!CK48+'Pilotage effectif PA'!CK48+'Pilotage effectif EUP'!CK44</f>
        <v>0</v>
      </c>
      <c r="CI45" s="228">
        <f>'Pilotage effectif 27O'!CL48+'Pilotage effectif PA'!CL48+'Pilotage effectif EUP'!CL44</f>
        <v>0</v>
      </c>
      <c r="CJ45" s="303">
        <f>'Pilotage effectif 27O'!CM48+'Pilotage effectif PA'!CM48+'Pilotage effectif EUP'!CM44</f>
        <v>0</v>
      </c>
      <c r="CK45" s="265"/>
      <c r="CL45" s="227">
        <f>'Pilotage effectif 27O'!CO48+'Pilotage effectif PA'!CO48+'Pilotage effectif EUP'!CO44</f>
        <v>0</v>
      </c>
      <c r="CM45" s="228">
        <f>'Pilotage effectif 27O'!CP48+'Pilotage effectif PA'!CP48+'Pilotage effectif EUP'!CP44</f>
        <v>0</v>
      </c>
      <c r="CN45" s="228">
        <f>'Pilotage effectif 27O'!CQ48+'Pilotage effectif PA'!CQ48+'Pilotage effectif EUP'!CQ44</f>
        <v>0</v>
      </c>
      <c r="CO45" s="228">
        <f>'Pilotage effectif 27O'!CR48+'Pilotage effectif PA'!CR48+'Pilotage effectif EUP'!CR44</f>
        <v>0</v>
      </c>
      <c r="CP45" s="228">
        <f>'Pilotage effectif 27O'!CS48+'Pilotage effectif PA'!CS48+'Pilotage effectif EUP'!CS44</f>
        <v>0</v>
      </c>
      <c r="CQ45" s="303">
        <f>'Pilotage effectif 27O'!CT48+'Pilotage effectif PA'!CT48+'Pilotage effectif EUP'!CT44</f>
        <v>0</v>
      </c>
      <c r="CR45" s="265"/>
      <c r="CS45" s="227">
        <f>'Pilotage effectif 27O'!CV48+'Pilotage effectif PA'!CV48+'Pilotage effectif EUP'!CV44</f>
        <v>0</v>
      </c>
      <c r="CT45" s="228">
        <f>'Pilotage effectif 27O'!CW48+'Pilotage effectif PA'!CW48+'Pilotage effectif EUP'!CW44</f>
        <v>0</v>
      </c>
      <c r="CU45" s="228">
        <f>'Pilotage effectif 27O'!CX48+'Pilotage effectif PA'!CX48+'Pilotage effectif EUP'!CX44</f>
        <v>0</v>
      </c>
      <c r="CV45" s="228">
        <f>'Pilotage effectif 27O'!CY48+'Pilotage effectif PA'!CY48+'Pilotage effectif EUP'!CY44</f>
        <v>0</v>
      </c>
      <c r="CW45" s="228">
        <f>'Pilotage effectif 27O'!CZ48+'Pilotage effectif PA'!CZ48+'Pilotage effectif EUP'!CZ44</f>
        <v>0</v>
      </c>
      <c r="CX45" s="303">
        <f>'Pilotage effectif 27O'!DA48+'Pilotage effectif PA'!DA48+'Pilotage effectif EUP'!DA44</f>
        <v>0</v>
      </c>
      <c r="CY45" s="265"/>
      <c r="CZ45" s="227">
        <f>'Pilotage effectif 27O'!DC48+'Pilotage effectif PA'!DC48+'Pilotage effectif EUP'!DC44</f>
        <v>0</v>
      </c>
      <c r="DA45" s="228">
        <f>'Pilotage effectif 27O'!DD48+'Pilotage effectif PA'!DD48+'Pilotage effectif EUP'!DD44</f>
        <v>0</v>
      </c>
      <c r="DB45" s="228">
        <f>'Pilotage effectif 27O'!DE48+'Pilotage effectif PA'!DE48+'Pilotage effectif EUP'!DE44</f>
        <v>0</v>
      </c>
      <c r="DC45" s="228">
        <f>'Pilotage effectif 27O'!DF48+'Pilotage effectif PA'!DF48+'Pilotage effectif EUP'!DF44</f>
        <v>0</v>
      </c>
      <c r="DD45" s="228">
        <f>'Pilotage effectif 27O'!DG48+'Pilotage effectif PA'!DG48+'Pilotage effectif EUP'!DG44</f>
        <v>0</v>
      </c>
      <c r="DE45" s="303">
        <f>'Pilotage effectif 27O'!DH48+'Pilotage effectif PA'!DH48+'Pilotage effectif EUP'!DH44</f>
        <v>0</v>
      </c>
      <c r="DF45" s="265"/>
      <c r="DG45" s="227">
        <f>'Pilotage effectif 27O'!DJ48+'Pilotage effectif PA'!DJ48+'Pilotage effectif EUP'!DJ44</f>
        <v>0</v>
      </c>
      <c r="DH45" s="228">
        <f>'Pilotage effectif 27O'!DK48+'Pilotage effectif PA'!DK48+'Pilotage effectif EUP'!DK44</f>
        <v>0</v>
      </c>
      <c r="DI45" s="228">
        <f>'Pilotage effectif 27O'!DL48+'Pilotage effectif PA'!DL48+'Pilotage effectif EUP'!DL44</f>
        <v>0</v>
      </c>
      <c r="DJ45" s="228">
        <f>'Pilotage effectif 27O'!DM48+'Pilotage effectif PA'!DM48+'Pilotage effectif EUP'!DM44</f>
        <v>0</v>
      </c>
      <c r="DK45" s="228">
        <f>'Pilotage effectif 27O'!DN48+'Pilotage effectif PA'!DN48+'Pilotage effectif EUP'!DN44</f>
        <v>0</v>
      </c>
      <c r="DL45" s="303">
        <f>'Pilotage effectif 27O'!DO48+'Pilotage effectif PA'!DO48+'Pilotage effectif EUP'!DO44</f>
        <v>0</v>
      </c>
      <c r="DM45" s="265"/>
      <c r="DN45" s="227">
        <f>'Pilotage effectif 27O'!DQ48+'Pilotage effectif PA'!DQ48+'Pilotage effectif EUP'!DQ44</f>
        <v>0</v>
      </c>
      <c r="DO45" s="228">
        <f>'Pilotage effectif 27O'!DR48+'Pilotage effectif PA'!DR48+'Pilotage effectif EUP'!DR44</f>
        <v>0</v>
      </c>
      <c r="DP45" s="228">
        <f>'Pilotage effectif 27O'!DS48+'Pilotage effectif PA'!DS48+'Pilotage effectif EUP'!DS44</f>
        <v>0</v>
      </c>
      <c r="DQ45" s="228">
        <f>'Pilotage effectif 27O'!DT48+'Pilotage effectif PA'!DT48+'Pilotage effectif EUP'!DT44</f>
        <v>0</v>
      </c>
      <c r="DR45" s="228">
        <f>'Pilotage effectif 27O'!DU48+'Pilotage effectif PA'!DU48+'Pilotage effectif EUP'!DU44</f>
        <v>0</v>
      </c>
      <c r="DS45" s="303">
        <f>'Pilotage effectif 27O'!DV48+'Pilotage effectif PA'!DV48+'Pilotage effectif EUP'!DV44</f>
        <v>0</v>
      </c>
      <c r="DT45" s="265"/>
      <c r="DU45" s="227">
        <f>'Pilotage effectif 27O'!DX48+'Pilotage effectif PA'!DX48+'Pilotage effectif EUP'!DX44</f>
        <v>0</v>
      </c>
      <c r="DV45" s="228">
        <f>'Pilotage effectif 27O'!DY48+'Pilotage effectif PA'!DY48+'Pilotage effectif EUP'!DY44</f>
        <v>0</v>
      </c>
      <c r="DW45" s="228">
        <f>'Pilotage effectif 27O'!DZ48+'Pilotage effectif PA'!DZ48+'Pilotage effectif EUP'!DZ44</f>
        <v>0</v>
      </c>
      <c r="DX45" s="228">
        <f>'Pilotage effectif 27O'!EA48+'Pilotage effectif PA'!EA48+'Pilotage effectif EUP'!EA44</f>
        <v>0</v>
      </c>
      <c r="DY45" s="228">
        <f>'Pilotage effectif 27O'!EB48+'Pilotage effectif PA'!EB48+'Pilotage effectif EUP'!EB44</f>
        <v>0</v>
      </c>
      <c r="DZ45" s="303">
        <f>'Pilotage effectif 27O'!EC48+'Pilotage effectif PA'!EC48+'Pilotage effectif EUP'!EC44</f>
        <v>0</v>
      </c>
      <c r="EA45" s="265"/>
      <c r="EB45" s="227">
        <f>'Pilotage effectif 27O'!EE48+'Pilotage effectif PA'!EE48+'Pilotage effectif EUP'!EE44</f>
        <v>0</v>
      </c>
      <c r="EC45" s="228">
        <f>'Pilotage effectif 27O'!EF48+'Pilotage effectif PA'!EF48+'Pilotage effectif EUP'!EF44</f>
        <v>0</v>
      </c>
      <c r="ED45" s="228">
        <f>'Pilotage effectif 27O'!EG48+'Pilotage effectif PA'!EG48+'Pilotage effectif EUP'!EG44</f>
        <v>0</v>
      </c>
      <c r="EE45" s="228">
        <f>'Pilotage effectif 27O'!EH48+'Pilotage effectif PA'!EH48+'Pilotage effectif EUP'!EH44</f>
        <v>0</v>
      </c>
      <c r="EF45" s="228">
        <f>'Pilotage effectif 27O'!EI48+'Pilotage effectif PA'!EI48+'Pilotage effectif EUP'!EI44</f>
        <v>0</v>
      </c>
      <c r="EG45" s="303">
        <f>'Pilotage effectif 27O'!EJ48+'Pilotage effectif PA'!EJ48+'Pilotage effectif EUP'!EJ44</f>
        <v>0</v>
      </c>
      <c r="EH45" s="265"/>
      <c r="EI45" s="227">
        <f>'Pilotage effectif 27O'!EL48+'Pilotage effectif PA'!EL48+'Pilotage effectif EUP'!EL44</f>
        <v>0</v>
      </c>
      <c r="EJ45" s="228">
        <f>'Pilotage effectif 27O'!EM48+'Pilotage effectif PA'!EM48+'Pilotage effectif EUP'!EM44</f>
        <v>0</v>
      </c>
      <c r="EK45" s="228">
        <f>'Pilotage effectif 27O'!EN48+'Pilotage effectif PA'!EN48+'Pilotage effectif EUP'!EN44</f>
        <v>0</v>
      </c>
      <c r="EL45" s="228">
        <f>'Pilotage effectif 27O'!EO48+'Pilotage effectif PA'!EO48+'Pilotage effectif EUP'!EO44</f>
        <v>0</v>
      </c>
      <c r="EM45" s="228">
        <f>'Pilotage effectif 27O'!EP48+'Pilotage effectif PA'!EP48+'Pilotage effectif EUP'!EP44</f>
        <v>0</v>
      </c>
      <c r="EN45" s="303">
        <f>'Pilotage effectif 27O'!EQ48+'Pilotage effectif PA'!EQ48+'Pilotage effectif EUP'!EQ44</f>
        <v>0</v>
      </c>
      <c r="EO45" s="265"/>
      <c r="EP45" s="227">
        <f>'Pilotage effectif 27O'!ES48+'Pilotage effectif PA'!ES48+'Pilotage effectif EUP'!ES44</f>
        <v>0</v>
      </c>
      <c r="EQ45" s="228">
        <f>'Pilotage effectif 27O'!ET48+'Pilotage effectif PA'!ET48+'Pilotage effectif EUP'!ET44</f>
        <v>0</v>
      </c>
      <c r="ER45" s="228">
        <f>'Pilotage effectif 27O'!EU48+'Pilotage effectif PA'!EU48+'Pilotage effectif EUP'!EU44</f>
        <v>0</v>
      </c>
      <c r="ES45" s="228">
        <f>'Pilotage effectif 27O'!EV48+'Pilotage effectif PA'!EV48+'Pilotage effectif EUP'!EV44</f>
        <v>0</v>
      </c>
      <c r="ET45" s="228">
        <f>'Pilotage effectif 27O'!EW48+'Pilotage effectif PA'!EW48+'Pilotage effectif EUP'!EW44</f>
        <v>0</v>
      </c>
      <c r="EU45" s="303">
        <f>'Pilotage effectif 27O'!EX48+'Pilotage effectif PA'!EX48+'Pilotage effectif EUP'!EX44</f>
        <v>0</v>
      </c>
      <c r="EV45" s="265"/>
      <c r="EW45" s="227">
        <f>'Pilotage effectif 27O'!EZ48+'Pilotage effectif PA'!EZ48+'Pilotage effectif EUP'!EZ44</f>
        <v>0</v>
      </c>
      <c r="EX45" s="228">
        <f>'Pilotage effectif 27O'!FA48+'Pilotage effectif PA'!FA48+'Pilotage effectif EUP'!FA44</f>
        <v>0</v>
      </c>
      <c r="EY45" s="228">
        <f>'Pilotage effectif 27O'!FB48+'Pilotage effectif PA'!FB48+'Pilotage effectif EUP'!FB44</f>
        <v>0</v>
      </c>
      <c r="EZ45" s="228">
        <f>'Pilotage effectif 27O'!FC48+'Pilotage effectif PA'!FC48+'Pilotage effectif EUP'!FC44</f>
        <v>0</v>
      </c>
      <c r="FA45" s="228">
        <f>'Pilotage effectif 27O'!FD48+'Pilotage effectif PA'!FD48+'Pilotage effectif EUP'!FD44</f>
        <v>0</v>
      </c>
      <c r="FB45" s="303">
        <f>'Pilotage effectif 27O'!FE48+'Pilotage effectif PA'!FE48+'Pilotage effectif EUP'!FE44</f>
        <v>0</v>
      </c>
      <c r="FC45" s="265"/>
      <c r="FD45" s="227">
        <f>'Pilotage effectif 27O'!FG48+'Pilotage effectif PA'!FG48+'Pilotage effectif EUP'!FG44</f>
        <v>0</v>
      </c>
      <c r="FE45" s="228">
        <f>'Pilotage effectif 27O'!FH48+'Pilotage effectif PA'!FH48+'Pilotage effectif EUP'!FH44</f>
        <v>0</v>
      </c>
      <c r="FF45" s="228">
        <f>'Pilotage effectif 27O'!FI48+'Pilotage effectif PA'!FI48+'Pilotage effectif EUP'!FI44</f>
        <v>0</v>
      </c>
      <c r="FG45" s="228">
        <f>'Pilotage effectif 27O'!FJ48+'Pilotage effectif PA'!FJ48+'Pilotage effectif EUP'!FJ44</f>
        <v>0</v>
      </c>
      <c r="FH45" s="228">
        <f>'Pilotage effectif 27O'!FK48+'Pilotage effectif PA'!FK48+'Pilotage effectif EUP'!FK44</f>
        <v>0</v>
      </c>
      <c r="FI45" s="303">
        <f>'Pilotage effectif 27O'!FL48+'Pilotage effectif PA'!FL48+'Pilotage effectif EUP'!FL44</f>
        <v>0</v>
      </c>
      <c r="FJ45" s="265"/>
      <c r="FK45" s="227">
        <f>'Pilotage effectif 27O'!FN48+'Pilotage effectif PA'!FN48+'Pilotage effectif EUP'!FN44</f>
        <v>0</v>
      </c>
      <c r="FL45" s="228">
        <f>'Pilotage effectif 27O'!FO48+'Pilotage effectif PA'!FO48+'Pilotage effectif EUP'!FO44</f>
        <v>0</v>
      </c>
      <c r="FM45" s="228">
        <f>'Pilotage effectif 27O'!FP48+'Pilotage effectif PA'!FP48+'Pilotage effectif EUP'!FP44</f>
        <v>0</v>
      </c>
      <c r="FN45" s="228">
        <f>'Pilotage effectif 27O'!FQ48+'Pilotage effectif PA'!FQ48+'Pilotage effectif EUP'!FQ44</f>
        <v>0</v>
      </c>
      <c r="FO45" s="228">
        <f>'Pilotage effectif 27O'!FR48+'Pilotage effectif PA'!FR48+'Pilotage effectif EUP'!FR44</f>
        <v>0</v>
      </c>
      <c r="FP45" s="303">
        <f>'Pilotage effectif 27O'!FS48+'Pilotage effectif PA'!FS48+'Pilotage effectif EUP'!FS44</f>
        <v>0</v>
      </c>
      <c r="FQ45" s="265"/>
      <c r="FR45" s="227">
        <f>'Pilotage effectif 27O'!FU48+'Pilotage effectif PA'!FU48+'Pilotage effectif EUP'!FU44</f>
        <v>0</v>
      </c>
      <c r="FS45" s="228">
        <f>'Pilotage effectif 27O'!FV48+'Pilotage effectif PA'!FV48+'Pilotage effectif EUP'!FV44</f>
        <v>0</v>
      </c>
      <c r="FT45" s="228">
        <f>'Pilotage effectif 27O'!FW48+'Pilotage effectif PA'!FW48+'Pilotage effectif EUP'!FW44</f>
        <v>0</v>
      </c>
      <c r="FU45" s="228">
        <f>'Pilotage effectif 27O'!FX48+'Pilotage effectif PA'!FX48+'Pilotage effectif EUP'!FX44</f>
        <v>0</v>
      </c>
      <c r="FV45" s="228">
        <f>'Pilotage effectif 27O'!FY48+'Pilotage effectif PA'!FY48+'Pilotage effectif EUP'!FY44</f>
        <v>0</v>
      </c>
      <c r="FW45" s="303">
        <f>'Pilotage effectif 27O'!FZ48+'Pilotage effectif PA'!FZ48+'Pilotage effectif EUP'!FZ44</f>
        <v>0</v>
      </c>
      <c r="FX45" s="265"/>
      <c r="FY45" s="227">
        <f>'Pilotage effectif 27O'!GB48+'Pilotage effectif PA'!GB48+'Pilotage effectif EUP'!GB44</f>
        <v>0</v>
      </c>
      <c r="FZ45" s="228">
        <f>'Pilotage effectif 27O'!GC48+'Pilotage effectif PA'!GC48+'Pilotage effectif EUP'!GC44</f>
        <v>0</v>
      </c>
      <c r="GA45" s="228">
        <f>'Pilotage effectif 27O'!GD48+'Pilotage effectif PA'!GD48+'Pilotage effectif EUP'!GD44</f>
        <v>0</v>
      </c>
      <c r="GB45" s="228">
        <f>'Pilotage effectif 27O'!GE48+'Pilotage effectif PA'!GE48+'Pilotage effectif EUP'!GE44</f>
        <v>0</v>
      </c>
      <c r="GC45" s="228">
        <f>'Pilotage effectif 27O'!GF48+'Pilotage effectif PA'!GF48+'Pilotage effectif EUP'!GF44</f>
        <v>0</v>
      </c>
      <c r="GD45" s="303">
        <f>'Pilotage effectif 27O'!GG48+'Pilotage effectif PA'!GG48+'Pilotage effectif EUP'!GG44</f>
        <v>0</v>
      </c>
      <c r="GE45" s="265"/>
      <c r="GF45" s="227">
        <f>'Pilotage effectif 27O'!GI48+'Pilotage effectif PA'!GI48+'Pilotage effectif EUP'!GI44</f>
        <v>0</v>
      </c>
      <c r="GG45" s="228">
        <f>'Pilotage effectif 27O'!GJ48+'Pilotage effectif PA'!GJ48+'Pilotage effectif EUP'!GJ44</f>
        <v>0</v>
      </c>
      <c r="GH45" s="228">
        <f>'Pilotage effectif 27O'!GK48+'Pilotage effectif PA'!GK48+'Pilotage effectif EUP'!GK44</f>
        <v>0</v>
      </c>
      <c r="GI45" s="228">
        <f>'Pilotage effectif 27O'!GL48+'Pilotage effectif PA'!GL48+'Pilotage effectif EUP'!GL44</f>
        <v>0</v>
      </c>
      <c r="GJ45" s="228">
        <f>'Pilotage effectif 27O'!GM48+'Pilotage effectif PA'!GM48+'Pilotage effectif EUP'!GM44</f>
        <v>0</v>
      </c>
      <c r="GK45" s="303">
        <f>'Pilotage effectif 27O'!GN48+'Pilotage effectif PA'!GN48+'Pilotage effectif EUP'!GN44</f>
        <v>0</v>
      </c>
      <c r="GL45" s="265"/>
      <c r="GM45" s="227">
        <f>'Pilotage effectif 27O'!GP48+'Pilotage effectif PA'!GP48+'Pilotage effectif EUP'!GP44</f>
        <v>0</v>
      </c>
      <c r="GN45" s="228">
        <f>'Pilotage effectif 27O'!GQ48+'Pilotage effectif PA'!GQ48+'Pilotage effectif EUP'!GQ44</f>
        <v>0</v>
      </c>
      <c r="GO45" s="228">
        <f>'Pilotage effectif 27O'!GR48+'Pilotage effectif PA'!GR48+'Pilotage effectif EUP'!GR44</f>
        <v>0</v>
      </c>
      <c r="GP45" s="228">
        <f>'Pilotage effectif 27O'!GS48+'Pilotage effectif PA'!GS48+'Pilotage effectif EUP'!GS44</f>
        <v>0</v>
      </c>
      <c r="GQ45" s="228">
        <f>'Pilotage effectif 27O'!GT48+'Pilotage effectif PA'!GT48+'Pilotage effectif EUP'!GT44</f>
        <v>0</v>
      </c>
      <c r="GR45" s="303">
        <f>'Pilotage effectif 27O'!GU48+'Pilotage effectif PA'!GU48+'Pilotage effectif EUP'!GU44</f>
        <v>0</v>
      </c>
      <c r="GS45" s="265"/>
      <c r="GT45" s="227">
        <f>'Pilotage effectif 27O'!GW48+'Pilotage effectif PA'!GW48+'Pilotage effectif EUP'!GW44</f>
        <v>0</v>
      </c>
      <c r="GU45" s="228">
        <f>'Pilotage effectif 27O'!GX48+'Pilotage effectif PA'!GX48+'Pilotage effectif EUP'!GX44</f>
        <v>0</v>
      </c>
      <c r="GV45" s="228">
        <f>'Pilotage effectif 27O'!GY48+'Pilotage effectif PA'!GY48+'Pilotage effectif EUP'!GY44</f>
        <v>0</v>
      </c>
      <c r="GW45" s="228">
        <f>'Pilotage effectif 27O'!GZ48+'Pilotage effectif PA'!GZ48+'Pilotage effectif EUP'!GZ44</f>
        <v>0</v>
      </c>
      <c r="GX45" s="228">
        <f>'Pilotage effectif 27O'!HA48+'Pilotage effectif PA'!HA48+'Pilotage effectif EUP'!HA44</f>
        <v>0</v>
      </c>
      <c r="GY45" s="303">
        <f>'Pilotage effectif 27O'!HB48+'Pilotage effectif PA'!HB48+'Pilotage effectif EUP'!HB44</f>
        <v>0</v>
      </c>
      <c r="GZ45" s="283"/>
      <c r="HA45" s="227">
        <f>'Pilotage effectif 27O'!HD48+'Pilotage effectif PA'!HD48+'Pilotage effectif EUP'!HD44</f>
        <v>2</v>
      </c>
      <c r="HB45" s="228">
        <f>'Pilotage effectif 27O'!HE48+'Pilotage effectif PA'!HE48+'Pilotage effectif EUP'!HE44</f>
        <v>2</v>
      </c>
      <c r="HC45" s="228">
        <f>'Pilotage effectif 27O'!HF48+'Pilotage effectif PA'!HF48+'Pilotage effectif EUP'!HF44</f>
        <v>2</v>
      </c>
      <c r="HD45" s="228">
        <f>'Pilotage effectif 27O'!HG48+'Pilotage effectif PA'!HG48+'Pilotage effectif EUP'!HG44</f>
        <v>2</v>
      </c>
      <c r="HE45" s="228">
        <f>'Pilotage effectif 27O'!HH48+'Pilotage effectif PA'!HH48+'Pilotage effectif EUP'!HH44</f>
        <v>2</v>
      </c>
      <c r="HF45" s="303">
        <f>'Pilotage effectif 27O'!HI48+'Pilotage effectif PA'!HI48+'Pilotage effectif EUP'!HI44</f>
        <v>10</v>
      </c>
      <c r="HG45" s="265"/>
      <c r="HH45" s="227">
        <f>'Pilotage effectif 27O'!HK48+'Pilotage effectif PA'!HK48+'Pilotage effectif EUP'!HK44</f>
        <v>1</v>
      </c>
      <c r="HI45" s="228">
        <f>'Pilotage effectif 27O'!HL48+'Pilotage effectif PA'!HL48+'Pilotage effectif EUP'!HL44</f>
        <v>1</v>
      </c>
      <c r="HJ45" s="228">
        <f>'Pilotage effectif 27O'!HM48+'Pilotage effectif PA'!HM48+'Pilotage effectif EUP'!HM44</f>
        <v>1</v>
      </c>
      <c r="HK45" s="228">
        <f>'Pilotage effectif 27O'!HN48+'Pilotage effectif PA'!HN48+'Pilotage effectif EUP'!HN44</f>
        <v>1</v>
      </c>
      <c r="HL45" s="228">
        <f>'Pilotage effectif 27O'!HO48+'Pilotage effectif PA'!HO48+'Pilotage effectif EUP'!HO44</f>
        <v>1</v>
      </c>
      <c r="HM45" s="303">
        <f>'Pilotage effectif 27O'!HP48+'Pilotage effectif PA'!HP48+'Pilotage effectif EUP'!HP44</f>
        <v>5</v>
      </c>
      <c r="HN45" s="265"/>
      <c r="HO45" s="227">
        <f>'Pilotage effectif 27O'!HR48+'Pilotage effectif PA'!HR48+'Pilotage effectif EUP'!HR44</f>
        <v>0</v>
      </c>
      <c r="HP45" s="228">
        <f>'Pilotage effectif 27O'!HS48+'Pilotage effectif PA'!HS48+'Pilotage effectif EUP'!HS44</f>
        <v>0</v>
      </c>
      <c r="HQ45" s="228">
        <f>'Pilotage effectif 27O'!HT48+'Pilotage effectif PA'!HT48+'Pilotage effectif EUP'!HT44</f>
        <v>0</v>
      </c>
      <c r="HR45" s="228">
        <f>'Pilotage effectif 27O'!HU48+'Pilotage effectif PA'!HU48+'Pilotage effectif EUP'!HU44</f>
        <v>0</v>
      </c>
      <c r="HS45" s="228">
        <f>'Pilotage effectif 27O'!HV48+'Pilotage effectif PA'!HV48+'Pilotage effectif EUP'!HV44</f>
        <v>0</v>
      </c>
      <c r="HT45" s="303">
        <f>'Pilotage effectif 27O'!HW48+'Pilotage effectif PA'!HW48+'Pilotage effectif EUP'!HW44</f>
        <v>0</v>
      </c>
      <c r="HU45" s="265"/>
      <c r="HV45" s="227">
        <f>'Pilotage effectif 27O'!HY48+'Pilotage effectif PA'!HY48+'Pilotage effectif EUP'!HY44</f>
        <v>0</v>
      </c>
      <c r="HW45" s="228">
        <f>'Pilotage effectif 27O'!HZ48+'Pilotage effectif PA'!HZ48+'Pilotage effectif EUP'!HZ44</f>
        <v>0</v>
      </c>
      <c r="HX45" s="228">
        <f>'Pilotage effectif 27O'!IA48+'Pilotage effectif PA'!IA48+'Pilotage effectif EUP'!IA44</f>
        <v>0</v>
      </c>
      <c r="HY45" s="228">
        <f>'Pilotage effectif 27O'!IB48+'Pilotage effectif PA'!IB48+'Pilotage effectif EUP'!IB44</f>
        <v>0</v>
      </c>
      <c r="HZ45" s="228">
        <f>'Pilotage effectif 27O'!IC48+'Pilotage effectif PA'!IC48+'Pilotage effectif EUP'!IC44</f>
        <v>0</v>
      </c>
      <c r="IA45" s="303">
        <f>'Pilotage effectif 27O'!ID48+'Pilotage effectif PA'!ID48+'Pilotage effectif EUP'!ID44</f>
        <v>0</v>
      </c>
      <c r="IB45" s="265"/>
      <c r="IC45" s="227">
        <f>'Pilotage effectif 27O'!IF48+'Pilotage effectif PA'!IF48+'Pilotage effectif EUP'!IF44</f>
        <v>0</v>
      </c>
      <c r="ID45" s="228">
        <f>'Pilotage effectif 27O'!IG48+'Pilotage effectif PA'!IG48+'Pilotage effectif EUP'!IG44</f>
        <v>0</v>
      </c>
      <c r="IE45" s="228">
        <f>'Pilotage effectif 27O'!IH48+'Pilotage effectif PA'!IH48+'Pilotage effectif EUP'!IH44</f>
        <v>0</v>
      </c>
      <c r="IF45" s="228">
        <f>'Pilotage effectif 27O'!II48+'Pilotage effectif PA'!II48+'Pilotage effectif EUP'!II44</f>
        <v>0</v>
      </c>
      <c r="IG45" s="228">
        <f>'Pilotage effectif 27O'!IJ48+'Pilotage effectif PA'!IJ48+'Pilotage effectif EUP'!IJ44</f>
        <v>0</v>
      </c>
      <c r="IH45" s="303">
        <f>'Pilotage effectif 27O'!IK48+'Pilotage effectif PA'!IK48+'Pilotage effectif EUP'!IK44</f>
        <v>0</v>
      </c>
      <c r="II45" s="265"/>
      <c r="IJ45" s="227">
        <f>'Pilotage effectif 27O'!IM48+'Pilotage effectif PA'!IM48+'Pilotage effectif EUP'!IM44</f>
        <v>0</v>
      </c>
      <c r="IK45" s="228">
        <f>'Pilotage effectif 27O'!IN48+'Pilotage effectif PA'!IN48+'Pilotage effectif EUP'!IN44</f>
        <v>0</v>
      </c>
      <c r="IL45" s="228">
        <f>'Pilotage effectif 27O'!IO48+'Pilotage effectif PA'!IO48+'Pilotage effectif EUP'!IO44</f>
        <v>0</v>
      </c>
      <c r="IM45" s="228">
        <f>'Pilotage effectif 27O'!IP48+'Pilotage effectif PA'!IP48+'Pilotage effectif EUP'!IP44</f>
        <v>0</v>
      </c>
      <c r="IN45" s="228">
        <f>'Pilotage effectif 27O'!IQ48+'Pilotage effectif PA'!IQ48+'Pilotage effectif EUP'!IQ44</f>
        <v>0</v>
      </c>
      <c r="IO45" s="303">
        <f>'Pilotage effectif 27O'!IR48+'Pilotage effectif PA'!IR48+'Pilotage effectif EUP'!IR44</f>
        <v>0</v>
      </c>
      <c r="IP45" s="265"/>
      <c r="IQ45" s="227">
        <f>'Pilotage effectif 27O'!IT48+'Pilotage effectif PA'!IT48+'Pilotage effectif EUP'!IT44</f>
        <v>0</v>
      </c>
      <c r="IR45" s="228">
        <f>'Pilotage effectif 27O'!IU48+'Pilotage effectif PA'!IU48+'Pilotage effectif EUP'!IU44</f>
        <v>0</v>
      </c>
      <c r="IS45" s="228">
        <f>'Pilotage effectif 27O'!IV48+'Pilotage effectif PA'!IV48+'Pilotage effectif EUP'!IV44</f>
        <v>0</v>
      </c>
      <c r="IT45" s="228">
        <f>'Pilotage effectif 27O'!IW48+'Pilotage effectif PA'!IW48+'Pilotage effectif EUP'!IW44</f>
        <v>0</v>
      </c>
      <c r="IU45" s="228">
        <f>'Pilotage effectif 27O'!IX48+'Pilotage effectif PA'!IX48+'Pilotage effectif EUP'!IX44</f>
        <v>0</v>
      </c>
      <c r="IV45" s="303">
        <f>'Pilotage effectif 27O'!IY48+'Pilotage effectif PA'!IY48+'Pilotage effectif EUP'!IY44</f>
        <v>0</v>
      </c>
      <c r="IW45" s="265"/>
      <c r="IX45" s="227">
        <f>'Pilotage effectif 27O'!JA48+'Pilotage effectif PA'!JA48+'Pilotage effectif EUP'!JA44</f>
        <v>0</v>
      </c>
      <c r="IY45" s="228">
        <f>'Pilotage effectif 27O'!JB48+'Pilotage effectif PA'!JB48+'Pilotage effectif EUP'!JB44</f>
        <v>0</v>
      </c>
      <c r="IZ45" s="228">
        <f>'Pilotage effectif 27O'!JC48+'Pilotage effectif PA'!JC48+'Pilotage effectif EUP'!JC44</f>
        <v>0</v>
      </c>
      <c r="JA45" s="228">
        <f>'Pilotage effectif 27O'!JD48+'Pilotage effectif PA'!JD48+'Pilotage effectif EUP'!JD44</f>
        <v>0</v>
      </c>
      <c r="JB45" s="228">
        <f>'Pilotage effectif 27O'!JE48+'Pilotage effectif PA'!JE48+'Pilotage effectif EUP'!JE44</f>
        <v>0</v>
      </c>
      <c r="JC45" s="303">
        <f>'Pilotage effectif 27O'!JF48+'Pilotage effectif PA'!JF48+'Pilotage effectif EUP'!JF44</f>
        <v>0</v>
      </c>
      <c r="JD45" s="265"/>
      <c r="JE45" s="227">
        <f>'Pilotage effectif 27O'!JH48+'Pilotage effectif PA'!JH48+'Pilotage effectif EUP'!JH44</f>
        <v>0</v>
      </c>
      <c r="JF45" s="228">
        <f>'Pilotage effectif 27O'!JI48+'Pilotage effectif PA'!JI48+'Pilotage effectif EUP'!JI44</f>
        <v>0</v>
      </c>
      <c r="JG45" s="228">
        <f>'Pilotage effectif 27O'!JJ48+'Pilotage effectif PA'!JJ48+'Pilotage effectif EUP'!JJ44</f>
        <v>0</v>
      </c>
      <c r="JH45" s="228">
        <f>'Pilotage effectif 27O'!JK48+'Pilotage effectif PA'!JK48+'Pilotage effectif EUP'!JK44</f>
        <v>0</v>
      </c>
      <c r="JI45" s="228">
        <f>'Pilotage effectif 27O'!JL48+'Pilotage effectif PA'!JL48+'Pilotage effectif EUP'!JL44</f>
        <v>0</v>
      </c>
      <c r="JJ45" s="303">
        <f>'Pilotage effectif 27O'!JM48+'Pilotage effectif PA'!JM48+'Pilotage effectif EUP'!JM44</f>
        <v>0</v>
      </c>
      <c r="JK45" s="265"/>
      <c r="JL45" s="227">
        <f>'Pilotage effectif 27O'!JO48+'Pilotage effectif PA'!JO48+'Pilotage effectif EUP'!JO44</f>
        <v>0</v>
      </c>
      <c r="JM45" s="228">
        <f>'Pilotage effectif 27O'!JP48+'Pilotage effectif PA'!JP48+'Pilotage effectif EUP'!JP44</f>
        <v>0</v>
      </c>
      <c r="JN45" s="228">
        <f>'Pilotage effectif 27O'!JQ48+'Pilotage effectif PA'!JQ48+'Pilotage effectif EUP'!JQ44</f>
        <v>0</v>
      </c>
      <c r="JO45" s="228">
        <f>'Pilotage effectif 27O'!JR48+'Pilotage effectif PA'!JR48+'Pilotage effectif EUP'!JR44</f>
        <v>0</v>
      </c>
      <c r="JP45" s="228">
        <f>'Pilotage effectif 27O'!JS48+'Pilotage effectif PA'!JS48+'Pilotage effectif EUP'!JS44</f>
        <v>0</v>
      </c>
      <c r="JQ45" s="303">
        <f>'Pilotage effectif 27O'!JT48+'Pilotage effectif PA'!JT48+'Pilotage effectif EUP'!JT44</f>
        <v>0</v>
      </c>
      <c r="JR45" s="265"/>
      <c r="JS45" s="227">
        <f>'Pilotage effectif 27O'!JV48+'Pilotage effectif PA'!JV48+'Pilotage effectif EUP'!JV44</f>
        <v>0</v>
      </c>
      <c r="JT45" s="228">
        <f>'Pilotage effectif 27O'!JW48+'Pilotage effectif PA'!JW48+'Pilotage effectif EUP'!JW44</f>
        <v>0</v>
      </c>
      <c r="JU45" s="228">
        <f>'Pilotage effectif 27O'!JX48+'Pilotage effectif PA'!JX48+'Pilotage effectif EUP'!JX44</f>
        <v>0</v>
      </c>
      <c r="JV45" s="228">
        <f>'Pilotage effectif 27O'!JY48+'Pilotage effectif PA'!JY48+'Pilotage effectif EUP'!JY44</f>
        <v>0</v>
      </c>
      <c r="JW45" s="228">
        <f>'Pilotage effectif 27O'!JZ48+'Pilotage effectif PA'!JZ48+'Pilotage effectif EUP'!JZ44</f>
        <v>0</v>
      </c>
      <c r="JX45" s="303">
        <f>'Pilotage effectif 27O'!KA48+'Pilotage effectif PA'!KA48+'Pilotage effectif EUP'!KA44</f>
        <v>0</v>
      </c>
      <c r="JY45" s="265"/>
      <c r="JZ45" s="227">
        <f>'Pilotage effectif 27O'!KC48+'Pilotage effectif PA'!KC48+'Pilotage effectif EUP'!KC44</f>
        <v>0</v>
      </c>
      <c r="KA45" s="228">
        <f>'Pilotage effectif 27O'!KD48+'Pilotage effectif PA'!KD48+'Pilotage effectif EUP'!KD44</f>
        <v>0</v>
      </c>
      <c r="KB45" s="228">
        <f>'Pilotage effectif 27O'!KE48+'Pilotage effectif PA'!KE48+'Pilotage effectif EUP'!KE44</f>
        <v>0</v>
      </c>
      <c r="KC45" s="228">
        <f>'Pilotage effectif 27O'!KF48+'Pilotage effectif PA'!KF48+'Pilotage effectif EUP'!KF44</f>
        <v>0</v>
      </c>
      <c r="KD45" s="228">
        <f>'Pilotage effectif 27O'!KG48+'Pilotage effectif PA'!KG48+'Pilotage effectif EUP'!KG44</f>
        <v>0</v>
      </c>
      <c r="KE45" s="303">
        <f>'Pilotage effectif 27O'!KH48+'Pilotage effectif PA'!KH48+'Pilotage effectif EUP'!KH44</f>
        <v>0</v>
      </c>
      <c r="KF45" s="265"/>
      <c r="KG45" s="227">
        <f>'Pilotage effectif 27O'!KJ48+'Pilotage effectif PA'!KJ48+'Pilotage effectif EUP'!KJ44</f>
        <v>0</v>
      </c>
      <c r="KH45" s="228">
        <f>'Pilotage effectif 27O'!KK48+'Pilotage effectif PA'!KK48+'Pilotage effectif EUP'!KK44</f>
        <v>0</v>
      </c>
      <c r="KI45" s="228">
        <f>'Pilotage effectif 27O'!KL48+'Pilotage effectif PA'!KL48+'Pilotage effectif EUP'!KL44</f>
        <v>0</v>
      </c>
      <c r="KJ45" s="228">
        <f>'Pilotage effectif 27O'!KM48+'Pilotage effectif PA'!KM48+'Pilotage effectif EUP'!KM44</f>
        <v>0</v>
      </c>
      <c r="KK45" s="228">
        <f>'Pilotage effectif 27O'!KN48+'Pilotage effectif PA'!KN48+'Pilotage effectif EUP'!KN44</f>
        <v>0</v>
      </c>
      <c r="KL45" s="303">
        <f>'Pilotage effectif 27O'!KO48+'Pilotage effectif PA'!KO48+'Pilotage effectif EUP'!KO44</f>
        <v>0</v>
      </c>
      <c r="KM45" s="265"/>
      <c r="KN45" s="227">
        <f>'Pilotage effectif 27O'!KQ48+'Pilotage effectif PA'!KQ48+'Pilotage effectif EUP'!KQ44</f>
        <v>0</v>
      </c>
      <c r="KO45" s="228">
        <f>'Pilotage effectif 27O'!KR48+'Pilotage effectif PA'!KR48+'Pilotage effectif EUP'!KR44</f>
        <v>0</v>
      </c>
      <c r="KP45" s="228">
        <f>'Pilotage effectif 27O'!KS48+'Pilotage effectif PA'!KS48+'Pilotage effectif EUP'!KS44</f>
        <v>0</v>
      </c>
      <c r="KQ45" s="228">
        <f>'Pilotage effectif 27O'!KT48+'Pilotage effectif PA'!KT48+'Pilotage effectif EUP'!KT44</f>
        <v>0</v>
      </c>
      <c r="KR45" s="228">
        <f>'Pilotage effectif 27O'!KU48+'Pilotage effectif PA'!KU48+'Pilotage effectif EUP'!KU44</f>
        <v>0</v>
      </c>
      <c r="KS45" s="303">
        <f>'Pilotage effectif 27O'!KV48+'Pilotage effectif PA'!KV48+'Pilotage effectif EUP'!KV44</f>
        <v>0</v>
      </c>
      <c r="KT45" s="265"/>
      <c r="KU45" s="227">
        <f>'Pilotage effectif 27O'!KX48+'Pilotage effectif PA'!KX48+'Pilotage effectif EUP'!KX44</f>
        <v>0</v>
      </c>
      <c r="KV45" s="228">
        <f>'Pilotage effectif 27O'!KY48+'Pilotage effectif PA'!KY48+'Pilotage effectif EUP'!KY44</f>
        <v>0</v>
      </c>
      <c r="KW45" s="228">
        <f>'Pilotage effectif 27O'!KZ48+'Pilotage effectif PA'!KZ48+'Pilotage effectif EUP'!KZ44</f>
        <v>0</v>
      </c>
      <c r="KX45" s="228">
        <f>'Pilotage effectif 27O'!LA48+'Pilotage effectif PA'!LA48+'Pilotage effectif EUP'!LA44</f>
        <v>0</v>
      </c>
      <c r="KY45" s="228">
        <f>'Pilotage effectif 27O'!LB48+'Pilotage effectif PA'!LB48+'Pilotage effectif EUP'!LB44</f>
        <v>0</v>
      </c>
      <c r="KZ45" s="303">
        <f>'Pilotage effectif 27O'!LC48+'Pilotage effectif PA'!LC48+'Pilotage effectif EUP'!LC44</f>
        <v>0</v>
      </c>
      <c r="LA45" s="265"/>
      <c r="LB45" s="227">
        <f>'Pilotage effectif 27O'!LE48+'Pilotage effectif PA'!LE48+'Pilotage effectif EUP'!LE44</f>
        <v>0</v>
      </c>
      <c r="LC45" s="228">
        <f>'Pilotage effectif 27O'!LF48+'Pilotage effectif PA'!LF48+'Pilotage effectif EUP'!LF44</f>
        <v>0</v>
      </c>
      <c r="LD45" s="228">
        <f>'Pilotage effectif 27O'!LG48+'Pilotage effectif PA'!LG48+'Pilotage effectif EUP'!LG44</f>
        <v>0</v>
      </c>
      <c r="LE45" s="228">
        <f>'Pilotage effectif 27O'!LH48+'Pilotage effectif PA'!LH48+'Pilotage effectif EUP'!LH44</f>
        <v>0</v>
      </c>
      <c r="LF45" s="228">
        <f>'Pilotage effectif 27O'!LI48+'Pilotage effectif PA'!LI48+'Pilotage effectif EUP'!LI44</f>
        <v>0</v>
      </c>
      <c r="LG45" s="303">
        <f>'Pilotage effectif 27O'!LJ48+'Pilotage effectif PA'!LJ48+'Pilotage effectif EUP'!LJ44</f>
        <v>0</v>
      </c>
      <c r="LH45" s="265"/>
      <c r="LI45" s="227">
        <f>'Pilotage effectif 27O'!LL48+'Pilotage effectif PA'!LL48+'Pilotage effectif EUP'!LL44</f>
        <v>0</v>
      </c>
      <c r="LJ45" s="228">
        <f>'Pilotage effectif 27O'!LM48+'Pilotage effectif PA'!LM48+'Pilotage effectif EUP'!LM44</f>
        <v>0</v>
      </c>
      <c r="LK45" s="228">
        <f>'Pilotage effectif 27O'!LN48+'Pilotage effectif PA'!LN48+'Pilotage effectif EUP'!LN44</f>
        <v>0</v>
      </c>
      <c r="LL45" s="228">
        <f>'Pilotage effectif 27O'!LO48+'Pilotage effectif PA'!LO48+'Pilotage effectif EUP'!LO44</f>
        <v>0</v>
      </c>
      <c r="LM45" s="228">
        <f>'Pilotage effectif 27O'!LP48+'Pilotage effectif PA'!LP48+'Pilotage effectif EUP'!LP44</f>
        <v>0</v>
      </c>
      <c r="LN45" s="303">
        <f>'Pilotage effectif 27O'!LQ48+'Pilotage effectif PA'!LQ48+'Pilotage effectif EUP'!LQ44</f>
        <v>0</v>
      </c>
      <c r="LO45" s="265"/>
      <c r="LP45" s="227">
        <f>'Pilotage effectif 27O'!LS48+'Pilotage effectif PA'!LS48+'Pilotage effectif EUP'!LS44</f>
        <v>0</v>
      </c>
      <c r="LQ45" s="228">
        <f>'Pilotage effectif 27O'!LT48+'Pilotage effectif PA'!LT48+'Pilotage effectif EUP'!LT44</f>
        <v>0</v>
      </c>
      <c r="LR45" s="228">
        <f>'Pilotage effectif 27O'!LU48+'Pilotage effectif PA'!LU48+'Pilotage effectif EUP'!LU44</f>
        <v>0</v>
      </c>
      <c r="LS45" s="228">
        <f>'Pilotage effectif 27O'!LV48+'Pilotage effectif PA'!LV48+'Pilotage effectif EUP'!LV44</f>
        <v>0</v>
      </c>
      <c r="LT45" s="228">
        <f>'Pilotage effectif 27O'!LW48+'Pilotage effectif PA'!LW48+'Pilotage effectif EUP'!LW44</f>
        <v>0</v>
      </c>
      <c r="LU45" s="303">
        <f>'Pilotage effectif 27O'!LX48+'Pilotage effectif PA'!LX48+'Pilotage effectif EUP'!LX44</f>
        <v>0</v>
      </c>
      <c r="LV45" s="265"/>
      <c r="LW45" s="227">
        <f>'Pilotage effectif 27O'!LZ48+'Pilotage effectif PA'!LZ48+'Pilotage effectif EUP'!LZ44</f>
        <v>0</v>
      </c>
      <c r="LX45" s="228">
        <f>'Pilotage effectif 27O'!MA48+'Pilotage effectif PA'!MA48+'Pilotage effectif EUP'!MA44</f>
        <v>0</v>
      </c>
      <c r="LY45" s="228">
        <f>'Pilotage effectif 27O'!MB48+'Pilotage effectif PA'!MB48+'Pilotage effectif EUP'!MB44</f>
        <v>0</v>
      </c>
      <c r="LZ45" s="228">
        <f>'Pilotage effectif 27O'!MC48+'Pilotage effectif PA'!MC48+'Pilotage effectif EUP'!MC44</f>
        <v>0</v>
      </c>
      <c r="MA45" s="228">
        <f>'Pilotage effectif 27O'!MD48+'Pilotage effectif PA'!MD48+'Pilotage effectif EUP'!MD44</f>
        <v>0</v>
      </c>
      <c r="MB45" s="303">
        <f>'Pilotage effectif 27O'!ME48+'Pilotage effectif PA'!ME48+'Pilotage effectif EUP'!ME44</f>
        <v>0</v>
      </c>
      <c r="MC45" s="265"/>
      <c r="MD45" s="227">
        <f>'Pilotage effectif 27O'!MG48+'Pilotage effectif PA'!MG48+'Pilotage effectif EUP'!MG44</f>
        <v>0</v>
      </c>
      <c r="ME45" s="228">
        <f>'Pilotage effectif 27O'!MH48+'Pilotage effectif PA'!MH48+'Pilotage effectif EUP'!MH44</f>
        <v>0</v>
      </c>
      <c r="MF45" s="228">
        <f>'Pilotage effectif 27O'!MI48+'Pilotage effectif PA'!MI48+'Pilotage effectif EUP'!MI44</f>
        <v>0</v>
      </c>
      <c r="MG45" s="228">
        <f>'Pilotage effectif 27O'!MJ48+'Pilotage effectif PA'!MJ48+'Pilotage effectif EUP'!MJ44</f>
        <v>0</v>
      </c>
      <c r="MH45" s="228">
        <f>'Pilotage effectif 27O'!MK48+'Pilotage effectif PA'!MK48+'Pilotage effectif EUP'!MK44</f>
        <v>0</v>
      </c>
      <c r="MI45" s="303">
        <f>'Pilotage effectif 27O'!ML48+'Pilotage effectif PA'!ML48+'Pilotage effectif EUP'!ML44</f>
        <v>0</v>
      </c>
      <c r="MJ45" s="265"/>
      <c r="MK45" s="227">
        <f>'Pilotage effectif 27O'!MN48+'Pilotage effectif PA'!MN48+'Pilotage effectif EUP'!MN44</f>
        <v>0</v>
      </c>
      <c r="ML45" s="228">
        <f>'Pilotage effectif 27O'!MO48+'Pilotage effectif PA'!MO48+'Pilotage effectif EUP'!MO44</f>
        <v>0</v>
      </c>
      <c r="MM45" s="228">
        <f>'Pilotage effectif 27O'!MP48+'Pilotage effectif PA'!MP48+'Pilotage effectif EUP'!MP44</f>
        <v>0</v>
      </c>
      <c r="MN45" s="228">
        <f>'Pilotage effectif 27O'!MQ48+'Pilotage effectif PA'!MQ48+'Pilotage effectif EUP'!MQ44</f>
        <v>0</v>
      </c>
      <c r="MO45" s="228">
        <f>'Pilotage effectif 27O'!MR48+'Pilotage effectif PA'!MR48+'Pilotage effectif EUP'!MR44</f>
        <v>0</v>
      </c>
      <c r="MP45" s="303">
        <f>'Pilotage effectif 27O'!MS48+'Pilotage effectif PA'!MS48+'Pilotage effectif EUP'!MS44</f>
        <v>0</v>
      </c>
      <c r="MQ45" s="265"/>
      <c r="MR45" s="227">
        <f>'Pilotage effectif 27O'!MU48+'Pilotage effectif PA'!MU48+'Pilotage effectif EUP'!MU44</f>
        <v>0</v>
      </c>
      <c r="MS45" s="228">
        <f>'Pilotage effectif 27O'!MV48+'Pilotage effectif PA'!MV48+'Pilotage effectif EUP'!MV44</f>
        <v>0</v>
      </c>
      <c r="MT45" s="228">
        <f>'Pilotage effectif 27O'!MW48+'Pilotage effectif PA'!MW48+'Pilotage effectif EUP'!MW44</f>
        <v>0</v>
      </c>
      <c r="MU45" s="228">
        <f>'Pilotage effectif 27O'!MX48+'Pilotage effectif PA'!MX48+'Pilotage effectif EUP'!MX44</f>
        <v>0</v>
      </c>
      <c r="MV45" s="228">
        <f>'Pilotage effectif 27O'!MY48+'Pilotage effectif PA'!MY48+'Pilotage effectif EUP'!MY44</f>
        <v>0</v>
      </c>
      <c r="MW45" s="303">
        <f>'Pilotage effectif 27O'!MZ48+'Pilotage effectif PA'!MZ48+'Pilotage effectif EUP'!MZ44</f>
        <v>0</v>
      </c>
      <c r="MX45" s="265"/>
      <c r="MY45" s="227">
        <f>'Pilotage effectif 27O'!NB48+'Pilotage effectif PA'!NB48+'Pilotage effectif EUP'!NB44</f>
        <v>0</v>
      </c>
      <c r="MZ45" s="228">
        <f>'Pilotage effectif 27O'!NC48+'Pilotage effectif PA'!NC48+'Pilotage effectif EUP'!NC44</f>
        <v>0</v>
      </c>
      <c r="NA45" s="228">
        <f>'Pilotage effectif 27O'!ND48+'Pilotage effectif PA'!ND48+'Pilotage effectif EUP'!ND44</f>
        <v>0</v>
      </c>
      <c r="NB45" s="228">
        <f>'Pilotage effectif 27O'!NE48+'Pilotage effectif PA'!NE48+'Pilotage effectif EUP'!NE44</f>
        <v>0</v>
      </c>
      <c r="NC45" s="228">
        <f>'Pilotage effectif 27O'!NF48+'Pilotage effectif PA'!NF48+'Pilotage effectif EUP'!NF44</f>
        <v>0</v>
      </c>
      <c r="ND45" s="303">
        <f>'Pilotage effectif 27O'!NG48+'Pilotage effectif PA'!NG48+'Pilotage effectif EUP'!NG44</f>
        <v>0</v>
      </c>
      <c r="NE45" s="265"/>
      <c r="NF45" s="227">
        <f>'Pilotage effectif 27O'!NI48+'Pilotage effectif PA'!NI48+'Pilotage effectif EUP'!NI44</f>
        <v>0</v>
      </c>
      <c r="NG45" s="228">
        <f>'Pilotage effectif 27O'!NJ48+'Pilotage effectif PA'!NJ48+'Pilotage effectif EUP'!NJ44</f>
        <v>0</v>
      </c>
      <c r="NH45" s="228">
        <f>'Pilotage effectif 27O'!NK48+'Pilotage effectif PA'!NK48+'Pilotage effectif EUP'!NK44</f>
        <v>0</v>
      </c>
      <c r="NI45" s="228">
        <f>'Pilotage effectif 27O'!NL48+'Pilotage effectif PA'!NL48+'Pilotage effectif EUP'!NL44</f>
        <v>0</v>
      </c>
      <c r="NJ45" s="228">
        <f>'Pilotage effectif 27O'!NM48+'Pilotage effectif PA'!NM48+'Pilotage effectif EUP'!NM44</f>
        <v>0</v>
      </c>
      <c r="NK45" s="303">
        <f>'Pilotage effectif 27O'!NN48+'Pilotage effectif PA'!NN48+'Pilotage effectif EUP'!NN44</f>
        <v>0</v>
      </c>
      <c r="NL45" s="265"/>
      <c r="NM45" s="227">
        <f>'Pilotage effectif 27O'!NP48+'Pilotage effectif PA'!NP43+'Pilotage effectif EUP'!NP44</f>
        <v>0</v>
      </c>
      <c r="NN45" s="228">
        <f>'Pilotage effectif 27O'!NQ48+'Pilotage effectif PA'!NQ43+'Pilotage effectif EUP'!NQ44</f>
        <v>0</v>
      </c>
      <c r="NO45" s="228">
        <f>'Pilotage effectif 27O'!NR48+'Pilotage effectif PA'!NR43+'Pilotage effectif EUP'!NR44</f>
        <v>0</v>
      </c>
      <c r="NP45" s="228">
        <f>'Pilotage effectif 27O'!NS48+'Pilotage effectif PA'!NS43+'Pilotage effectif EUP'!NS44</f>
        <v>0</v>
      </c>
      <c r="NQ45" s="228">
        <f>'Pilotage effectif 27O'!NT48+'Pilotage effectif PA'!NT43+'Pilotage effectif EUP'!NT44</f>
        <v>0</v>
      </c>
      <c r="NR45" s="303">
        <f>'Pilotage effectif 27O'!NU48+'Pilotage effectif PA'!NU43+'Pilotage effectif EUP'!NU44</f>
        <v>0</v>
      </c>
      <c r="NS45" s="283"/>
    </row>
    <row r="46" spans="1:383" s="196" customFormat="1" ht="16.05" customHeight="1" thickBot="1" x14ac:dyDescent="0.35">
      <c r="A46" s="294"/>
      <c r="B46" s="282"/>
      <c r="C46" s="287" t="s">
        <v>690</v>
      </c>
      <c r="D46" s="306"/>
      <c r="E46"/>
      <c r="F46" s="292">
        <f t="shared" ref="F46:K46" si="162">IF(F44&lt;&gt;"",IF(F45-F44&gt;0,"+"&amp;F45-F44,F45-F44),"-")</f>
        <v>-2</v>
      </c>
      <c r="G46" s="293">
        <f t="shared" si="162"/>
        <v>-2</v>
      </c>
      <c r="H46" s="293">
        <f t="shared" si="162"/>
        <v>-5</v>
      </c>
      <c r="I46" s="293">
        <f t="shared" si="162"/>
        <v>-2</v>
      </c>
      <c r="J46" s="293">
        <f t="shared" si="162"/>
        <v>-2</v>
      </c>
      <c r="K46" s="304">
        <f t="shared" si="162"/>
        <v>-13</v>
      </c>
      <c r="L46" s="265"/>
      <c r="M46" s="292">
        <f t="shared" ref="M46:R46" si="163">IF(M44&lt;&gt;"",IF(M45-M44&gt;0,"+"&amp;M45-M44,M45-M44),"-")</f>
        <v>-3</v>
      </c>
      <c r="N46" s="293">
        <f t="shared" si="163"/>
        <v>-3</v>
      </c>
      <c r="O46" s="293">
        <f t="shared" si="163"/>
        <v>-3</v>
      </c>
      <c r="P46" s="293">
        <f t="shared" si="163"/>
        <v>-3</v>
      </c>
      <c r="Q46" s="293">
        <f t="shared" si="163"/>
        <v>-3</v>
      </c>
      <c r="R46" s="304">
        <f t="shared" si="163"/>
        <v>-15</v>
      </c>
      <c r="S46" s="265"/>
      <c r="T46" s="292">
        <f t="shared" ref="T46:Y46" si="164">IF(T44&lt;&gt;"",IF(T45-T44&gt;0,"+"&amp;T45-T44,T45-T44),"-")</f>
        <v>-2</v>
      </c>
      <c r="U46" s="293">
        <f t="shared" si="164"/>
        <v>-2</v>
      </c>
      <c r="V46" s="293">
        <f t="shared" si="164"/>
        <v>-2</v>
      </c>
      <c r="W46" s="293">
        <f t="shared" si="164"/>
        <v>-2</v>
      </c>
      <c r="X46" s="293">
        <f t="shared" si="164"/>
        <v>-2</v>
      </c>
      <c r="Y46" s="304">
        <f t="shared" si="164"/>
        <v>-10</v>
      </c>
      <c r="Z46" s="265"/>
      <c r="AA46" s="292">
        <f t="shared" ref="AA46:AF46" si="165">IF(AA44&lt;&gt;"",IF(AA45-AA44&gt;0,"+"&amp;AA45-AA44,AA45-AA44),"-")</f>
        <v>-2</v>
      </c>
      <c r="AB46" s="293">
        <f t="shared" si="165"/>
        <v>-1</v>
      </c>
      <c r="AC46" s="293">
        <f t="shared" si="165"/>
        <v>-1</v>
      </c>
      <c r="AD46" s="293">
        <f t="shared" si="165"/>
        <v>-1</v>
      </c>
      <c r="AE46" s="293">
        <f t="shared" si="165"/>
        <v>-1</v>
      </c>
      <c r="AF46" s="304">
        <f t="shared" si="165"/>
        <v>-6</v>
      </c>
      <c r="AG46" s="265"/>
      <c r="AH46" s="292">
        <f t="shared" ref="AH46:AM46" si="166">IF(AH44&lt;&gt;"",IF(AH45-AH44&gt;0,"+"&amp;AH45-AH44,AH45-AH44),"-")</f>
        <v>-1</v>
      </c>
      <c r="AI46" s="293">
        <f t="shared" si="166"/>
        <v>-1</v>
      </c>
      <c r="AJ46" s="293">
        <f t="shared" si="166"/>
        <v>-1</v>
      </c>
      <c r="AK46" s="293">
        <f t="shared" si="166"/>
        <v>-1</v>
      </c>
      <c r="AL46" s="293">
        <f t="shared" si="166"/>
        <v>-1</v>
      </c>
      <c r="AM46" s="304">
        <f t="shared" si="166"/>
        <v>-5</v>
      </c>
      <c r="AN46" s="265"/>
      <c r="AO46" s="292">
        <f t="shared" ref="AO46:AT46" si="167">IF(AO44&lt;&gt;"",IF(AO45-AO44&gt;0,"+"&amp;AO45-AO44,AO45-AO44),"-")</f>
        <v>-2</v>
      </c>
      <c r="AP46" s="293">
        <f t="shared" si="167"/>
        <v>-2</v>
      </c>
      <c r="AQ46" s="293">
        <f t="shared" si="167"/>
        <v>-2</v>
      </c>
      <c r="AR46" s="293">
        <f t="shared" si="167"/>
        <v>-2</v>
      </c>
      <c r="AS46" s="293">
        <f t="shared" si="167"/>
        <v>-2</v>
      </c>
      <c r="AT46" s="304">
        <f t="shared" si="167"/>
        <v>-10</v>
      </c>
      <c r="AU46" s="265"/>
      <c r="AV46" s="292">
        <f t="shared" ref="AV46:BA46" si="168">IF(AV44&lt;&gt;"",IF(AV45-AV44&gt;0,"+"&amp;AV45-AV44,AV45-AV44),"-")</f>
        <v>-4</v>
      </c>
      <c r="AW46" s="293">
        <f t="shared" si="168"/>
        <v>-4</v>
      </c>
      <c r="AX46" s="293">
        <f t="shared" si="168"/>
        <v>-4</v>
      </c>
      <c r="AY46" s="293">
        <f t="shared" si="168"/>
        <v>-4</v>
      </c>
      <c r="AZ46" s="293">
        <f t="shared" si="168"/>
        <v>-4</v>
      </c>
      <c r="BA46" s="304">
        <f t="shared" si="168"/>
        <v>-20</v>
      </c>
      <c r="BB46" s="265"/>
      <c r="BC46" s="292">
        <f t="shared" ref="BC46:BH46" si="169">IF(BC44&lt;&gt;"",IF(BC45-BC44&gt;0,"+"&amp;BC45-BC44,BC45-BC44),"-")</f>
        <v>-4</v>
      </c>
      <c r="BD46" s="293">
        <f t="shared" si="169"/>
        <v>-4</v>
      </c>
      <c r="BE46" s="293">
        <f t="shared" si="169"/>
        <v>-4</v>
      </c>
      <c r="BF46" s="293">
        <f t="shared" si="169"/>
        <v>-4</v>
      </c>
      <c r="BG46" s="293">
        <f t="shared" si="169"/>
        <v>-4</v>
      </c>
      <c r="BH46" s="304">
        <f t="shared" si="169"/>
        <v>-20</v>
      </c>
      <c r="BI46" s="265"/>
      <c r="BJ46" s="292">
        <f t="shared" ref="BJ46:BO46" si="170">IF(BJ44&lt;&gt;"",IF(BJ45-BJ44&gt;0,"+"&amp;BJ45-BJ44,BJ45-BJ44),"-")</f>
        <v>-4</v>
      </c>
      <c r="BK46" s="293">
        <f t="shared" si="170"/>
        <v>-4</v>
      </c>
      <c r="BL46" s="293">
        <f t="shared" si="170"/>
        <v>-4</v>
      </c>
      <c r="BM46" s="293">
        <f t="shared" si="170"/>
        <v>-4</v>
      </c>
      <c r="BN46" s="293">
        <f t="shared" si="170"/>
        <v>-4</v>
      </c>
      <c r="BO46" s="304">
        <f t="shared" si="170"/>
        <v>-20</v>
      </c>
      <c r="BP46" s="265"/>
      <c r="BQ46" s="292">
        <f t="shared" ref="BQ46:BV46" si="171">IF(BQ44&lt;&gt;"",IF(BQ45-BQ44&gt;0,"+"&amp;BQ45-BQ44,BQ45-BQ44),"-")</f>
        <v>-4</v>
      </c>
      <c r="BR46" s="293">
        <f t="shared" si="171"/>
        <v>-4</v>
      </c>
      <c r="BS46" s="293">
        <f t="shared" si="171"/>
        <v>-4</v>
      </c>
      <c r="BT46" s="293">
        <f t="shared" si="171"/>
        <v>0</v>
      </c>
      <c r="BU46" s="293">
        <f t="shared" si="171"/>
        <v>-4</v>
      </c>
      <c r="BV46" s="304">
        <f t="shared" si="171"/>
        <v>-16</v>
      </c>
      <c r="BW46" s="265"/>
      <c r="BX46" s="292">
        <f t="shared" ref="BX46:CC46" si="172">IF(BX44&lt;&gt;"",IF(BX45-BX44&gt;0,"+"&amp;BX45-BX44,BX45-BX44),"-")</f>
        <v>-4</v>
      </c>
      <c r="BY46" s="293">
        <f t="shared" si="172"/>
        <v>-4</v>
      </c>
      <c r="BZ46" s="293">
        <f t="shared" si="172"/>
        <v>-4</v>
      </c>
      <c r="CA46" s="293">
        <f t="shared" si="172"/>
        <v>-4</v>
      </c>
      <c r="CB46" s="293">
        <f t="shared" si="172"/>
        <v>-4</v>
      </c>
      <c r="CC46" s="304">
        <f t="shared" si="172"/>
        <v>-20</v>
      </c>
      <c r="CD46" s="265"/>
      <c r="CE46" s="292">
        <f t="shared" ref="CE46:CJ46" si="173">IF(CE44&lt;&gt;"",IF(CE45-CE44&gt;0,"+"&amp;CE45-CE44,CE45-CE44),"-")</f>
        <v>-4</v>
      </c>
      <c r="CF46" s="293">
        <f t="shared" si="173"/>
        <v>-4</v>
      </c>
      <c r="CG46" s="293">
        <f t="shared" si="173"/>
        <v>-4</v>
      </c>
      <c r="CH46" s="293">
        <f t="shared" si="173"/>
        <v>-4</v>
      </c>
      <c r="CI46" s="293">
        <f t="shared" si="173"/>
        <v>-4</v>
      </c>
      <c r="CJ46" s="304">
        <f t="shared" si="173"/>
        <v>-20</v>
      </c>
      <c r="CK46" s="265"/>
      <c r="CL46" s="292">
        <f t="shared" ref="CL46:CQ46" si="174">IF(CL44&lt;&gt;"",IF(CL45-CL44&gt;0,"+"&amp;CL45-CL44,CL45-CL44),"-")</f>
        <v>-4</v>
      </c>
      <c r="CM46" s="293">
        <f t="shared" si="174"/>
        <v>-4</v>
      </c>
      <c r="CN46" s="293">
        <f t="shared" si="174"/>
        <v>-4</v>
      </c>
      <c r="CO46" s="293">
        <f t="shared" si="174"/>
        <v>-4</v>
      </c>
      <c r="CP46" s="293">
        <f t="shared" si="174"/>
        <v>-4</v>
      </c>
      <c r="CQ46" s="304">
        <f t="shared" si="174"/>
        <v>-20</v>
      </c>
      <c r="CR46" s="265"/>
      <c r="CS46" s="292">
        <f t="shared" ref="CS46:CX46" si="175">IF(CS44&lt;&gt;"",IF(CS45-CS44&gt;0,"+"&amp;CS45-CS44,CS45-CS44),"-")</f>
        <v>-4</v>
      </c>
      <c r="CT46" s="293">
        <f t="shared" si="175"/>
        <v>-4</v>
      </c>
      <c r="CU46" s="293">
        <f t="shared" si="175"/>
        <v>-4</v>
      </c>
      <c r="CV46" s="293">
        <f t="shared" si="175"/>
        <v>-4</v>
      </c>
      <c r="CW46" s="293">
        <f t="shared" si="175"/>
        <v>-4</v>
      </c>
      <c r="CX46" s="304">
        <f t="shared" si="175"/>
        <v>-20</v>
      </c>
      <c r="CY46" s="265"/>
      <c r="CZ46" s="292">
        <f t="shared" ref="CZ46:DE46" si="176">IF(CZ44&lt;&gt;"",IF(CZ45-CZ44&gt;0,"+"&amp;CZ45-CZ44,CZ45-CZ44),"-")</f>
        <v>-4</v>
      </c>
      <c r="DA46" s="293">
        <f t="shared" si="176"/>
        <v>-4</v>
      </c>
      <c r="DB46" s="293">
        <f t="shared" si="176"/>
        <v>-4</v>
      </c>
      <c r="DC46" s="293">
        <f t="shared" si="176"/>
        <v>-4</v>
      </c>
      <c r="DD46" s="293">
        <f t="shared" si="176"/>
        <v>-4</v>
      </c>
      <c r="DE46" s="304">
        <f t="shared" si="176"/>
        <v>-20</v>
      </c>
      <c r="DF46" s="265"/>
      <c r="DG46" s="292" t="str">
        <f t="shared" ref="DG46:DL46" si="177">IF(DG44&lt;&gt;"",IF(DG45-DG44&gt;0,"+"&amp;DG45-DG44,DG45-DG44),"-")</f>
        <v>-</v>
      </c>
      <c r="DH46" s="293" t="str">
        <f t="shared" si="177"/>
        <v>-</v>
      </c>
      <c r="DI46" s="293" t="str">
        <f t="shared" si="177"/>
        <v>-</v>
      </c>
      <c r="DJ46" s="293" t="str">
        <f t="shared" si="177"/>
        <v>-</v>
      </c>
      <c r="DK46" s="293" t="str">
        <f t="shared" si="177"/>
        <v>-</v>
      </c>
      <c r="DL46" s="304">
        <f t="shared" si="177"/>
        <v>0</v>
      </c>
      <c r="DM46" s="265"/>
      <c r="DN46" s="292" t="str">
        <f t="shared" ref="DN46:DS46" si="178">IF(DN44&lt;&gt;"",IF(DN45-DN44&gt;0,"+"&amp;DN45-DN44,DN45-DN44),"-")</f>
        <v>-</v>
      </c>
      <c r="DO46" s="293" t="str">
        <f t="shared" si="178"/>
        <v>-</v>
      </c>
      <c r="DP46" s="293" t="str">
        <f t="shared" si="178"/>
        <v>-</v>
      </c>
      <c r="DQ46" s="293" t="str">
        <f t="shared" si="178"/>
        <v>-</v>
      </c>
      <c r="DR46" s="293" t="str">
        <f t="shared" si="178"/>
        <v>-</v>
      </c>
      <c r="DS46" s="304">
        <f t="shared" si="178"/>
        <v>0</v>
      </c>
      <c r="DT46" s="265"/>
      <c r="DU46" s="292" t="str">
        <f t="shared" ref="DU46:DZ46" si="179">IF(DU44&lt;&gt;"",IF(DU45-DU44&gt;0,"+"&amp;DU45-DU44,DU45-DU44),"-")</f>
        <v>-</v>
      </c>
      <c r="DV46" s="293" t="str">
        <f t="shared" si="179"/>
        <v>-</v>
      </c>
      <c r="DW46" s="293" t="str">
        <f t="shared" si="179"/>
        <v>-</v>
      </c>
      <c r="DX46" s="293" t="str">
        <f t="shared" si="179"/>
        <v>-</v>
      </c>
      <c r="DY46" s="293" t="str">
        <f t="shared" si="179"/>
        <v>-</v>
      </c>
      <c r="DZ46" s="304">
        <f t="shared" si="179"/>
        <v>0</v>
      </c>
      <c r="EA46" s="265"/>
      <c r="EB46" s="292" t="str">
        <f t="shared" ref="EB46:EG46" si="180">IF(EB44&lt;&gt;"",IF(EB45-EB44&gt;0,"+"&amp;EB45-EB44,EB45-EB44),"-")</f>
        <v>-</v>
      </c>
      <c r="EC46" s="293" t="str">
        <f t="shared" si="180"/>
        <v>-</v>
      </c>
      <c r="ED46" s="293" t="str">
        <f t="shared" si="180"/>
        <v>-</v>
      </c>
      <c r="EE46" s="293" t="str">
        <f t="shared" si="180"/>
        <v>-</v>
      </c>
      <c r="EF46" s="293" t="str">
        <f t="shared" si="180"/>
        <v>-</v>
      </c>
      <c r="EG46" s="304">
        <f t="shared" si="180"/>
        <v>0</v>
      </c>
      <c r="EH46" s="265"/>
      <c r="EI46" s="292" t="str">
        <f t="shared" ref="EI46:EN46" si="181">IF(EI44&lt;&gt;"",IF(EI45-EI44&gt;0,"+"&amp;EI45-EI44,EI45-EI44),"-")</f>
        <v>-</v>
      </c>
      <c r="EJ46" s="293" t="str">
        <f t="shared" si="181"/>
        <v>-</v>
      </c>
      <c r="EK46" s="293" t="str">
        <f t="shared" si="181"/>
        <v>-</v>
      </c>
      <c r="EL46" s="293" t="str">
        <f t="shared" si="181"/>
        <v>-</v>
      </c>
      <c r="EM46" s="293" t="str">
        <f t="shared" si="181"/>
        <v>-</v>
      </c>
      <c r="EN46" s="304">
        <f t="shared" si="181"/>
        <v>0</v>
      </c>
      <c r="EO46" s="265"/>
      <c r="EP46" s="292" t="str">
        <f t="shared" ref="EP46:EU46" si="182">IF(EP44&lt;&gt;"",IF(EP45-EP44&gt;0,"+"&amp;EP45-EP44,EP45-EP44),"-")</f>
        <v>-</v>
      </c>
      <c r="EQ46" s="293" t="str">
        <f t="shared" si="182"/>
        <v>-</v>
      </c>
      <c r="ER46" s="293" t="str">
        <f t="shared" si="182"/>
        <v>-</v>
      </c>
      <c r="ES46" s="293" t="str">
        <f t="shared" si="182"/>
        <v>-</v>
      </c>
      <c r="ET46" s="293" t="str">
        <f t="shared" si="182"/>
        <v>-</v>
      </c>
      <c r="EU46" s="304">
        <f t="shared" si="182"/>
        <v>0</v>
      </c>
      <c r="EV46" s="265"/>
      <c r="EW46" s="292" t="str">
        <f t="shared" ref="EW46:FB46" si="183">IF(EW44&lt;&gt;"",IF(EW45-EW44&gt;0,"+"&amp;EW45-EW44,EW45-EW44),"-")</f>
        <v>-</v>
      </c>
      <c r="EX46" s="293" t="str">
        <f t="shared" si="183"/>
        <v>-</v>
      </c>
      <c r="EY46" s="293" t="str">
        <f t="shared" si="183"/>
        <v>-</v>
      </c>
      <c r="EZ46" s="293" t="str">
        <f t="shared" si="183"/>
        <v>-</v>
      </c>
      <c r="FA46" s="293" t="str">
        <f t="shared" si="183"/>
        <v>-</v>
      </c>
      <c r="FB46" s="304">
        <f t="shared" si="183"/>
        <v>0</v>
      </c>
      <c r="FC46" s="265"/>
      <c r="FD46" s="292" t="str">
        <f t="shared" ref="FD46:FI46" si="184">IF(FD44&lt;&gt;"",IF(FD45-FD44&gt;0,"+"&amp;FD45-FD44,FD45-FD44),"-")</f>
        <v>-</v>
      </c>
      <c r="FE46" s="293" t="str">
        <f t="shared" si="184"/>
        <v>-</v>
      </c>
      <c r="FF46" s="293" t="str">
        <f t="shared" si="184"/>
        <v>-</v>
      </c>
      <c r="FG46" s="293" t="str">
        <f t="shared" si="184"/>
        <v>-</v>
      </c>
      <c r="FH46" s="293" t="str">
        <f t="shared" si="184"/>
        <v>-</v>
      </c>
      <c r="FI46" s="304">
        <f t="shared" si="184"/>
        <v>0</v>
      </c>
      <c r="FJ46" s="265"/>
      <c r="FK46" s="292" t="str">
        <f t="shared" ref="FK46:FP46" si="185">IF(FK44&lt;&gt;"",IF(FK45-FK44&gt;0,"+"&amp;FK45-FK44,FK45-FK44),"-")</f>
        <v>-</v>
      </c>
      <c r="FL46" s="293" t="str">
        <f t="shared" si="185"/>
        <v>-</v>
      </c>
      <c r="FM46" s="293" t="str">
        <f t="shared" si="185"/>
        <v>-</v>
      </c>
      <c r="FN46" s="293" t="str">
        <f t="shared" si="185"/>
        <v>-</v>
      </c>
      <c r="FO46" s="293" t="str">
        <f t="shared" si="185"/>
        <v>-</v>
      </c>
      <c r="FP46" s="304">
        <f t="shared" si="185"/>
        <v>0</v>
      </c>
      <c r="FQ46" s="265"/>
      <c r="FR46" s="292" t="str">
        <f t="shared" ref="FR46:FW46" si="186">IF(FR44&lt;&gt;"",IF(FR45-FR44&gt;0,"+"&amp;FR45-FR44,FR45-FR44),"-")</f>
        <v>-</v>
      </c>
      <c r="FS46" s="293" t="str">
        <f t="shared" si="186"/>
        <v>-</v>
      </c>
      <c r="FT46" s="293" t="str">
        <f t="shared" si="186"/>
        <v>-</v>
      </c>
      <c r="FU46" s="293" t="str">
        <f t="shared" si="186"/>
        <v>-</v>
      </c>
      <c r="FV46" s="293" t="str">
        <f t="shared" si="186"/>
        <v>-</v>
      </c>
      <c r="FW46" s="304">
        <f t="shared" si="186"/>
        <v>0</v>
      </c>
      <c r="FX46" s="265"/>
      <c r="FY46" s="292" t="str">
        <f t="shared" ref="FY46:GD46" si="187">IF(FY44&lt;&gt;"",IF(FY45-FY44&gt;0,"+"&amp;FY45-FY44,FY45-FY44),"-")</f>
        <v>-</v>
      </c>
      <c r="FZ46" s="293" t="str">
        <f t="shared" si="187"/>
        <v>-</v>
      </c>
      <c r="GA46" s="293" t="str">
        <f t="shared" si="187"/>
        <v>-</v>
      </c>
      <c r="GB46" s="293" t="str">
        <f t="shared" si="187"/>
        <v>-</v>
      </c>
      <c r="GC46" s="293" t="str">
        <f t="shared" si="187"/>
        <v>-</v>
      </c>
      <c r="GD46" s="304">
        <f t="shared" si="187"/>
        <v>0</v>
      </c>
      <c r="GE46" s="265"/>
      <c r="GF46" s="292" t="str">
        <f t="shared" ref="GF46:GK46" si="188">IF(GF44&lt;&gt;"",IF(GF45-GF44&gt;0,"+"&amp;GF45-GF44,GF45-GF44),"-")</f>
        <v>-</v>
      </c>
      <c r="GG46" s="293" t="str">
        <f t="shared" si="188"/>
        <v>-</v>
      </c>
      <c r="GH46" s="293" t="str">
        <f t="shared" si="188"/>
        <v>-</v>
      </c>
      <c r="GI46" s="293" t="str">
        <f t="shared" si="188"/>
        <v>-</v>
      </c>
      <c r="GJ46" s="293" t="str">
        <f t="shared" si="188"/>
        <v>-</v>
      </c>
      <c r="GK46" s="304">
        <f t="shared" si="188"/>
        <v>0</v>
      </c>
      <c r="GL46" s="265"/>
      <c r="GM46" s="292" t="str">
        <f t="shared" ref="GM46:GR46" si="189">IF(GM44&lt;&gt;"",IF(GM45-GM44&gt;0,"+"&amp;GM45-GM44,GM45-GM44),"-")</f>
        <v>-</v>
      </c>
      <c r="GN46" s="293" t="str">
        <f t="shared" si="189"/>
        <v>-</v>
      </c>
      <c r="GO46" s="293" t="str">
        <f t="shared" si="189"/>
        <v>-</v>
      </c>
      <c r="GP46" s="293" t="str">
        <f t="shared" si="189"/>
        <v>-</v>
      </c>
      <c r="GQ46" s="293" t="str">
        <f t="shared" si="189"/>
        <v>-</v>
      </c>
      <c r="GR46" s="304">
        <f t="shared" si="189"/>
        <v>0</v>
      </c>
      <c r="GS46" s="265"/>
      <c r="GT46" s="292" t="str">
        <f t="shared" ref="GT46:GY46" si="190">IF(GT44&lt;&gt;"",IF(GT45-GT44&gt;0,"+"&amp;GT45-GT44,GT45-GT44),"-")</f>
        <v>-</v>
      </c>
      <c r="GU46" s="293" t="str">
        <f t="shared" si="190"/>
        <v>-</v>
      </c>
      <c r="GV46" s="293" t="str">
        <f t="shared" si="190"/>
        <v>-</v>
      </c>
      <c r="GW46" s="293" t="str">
        <f t="shared" si="190"/>
        <v>-</v>
      </c>
      <c r="GX46" s="293" t="str">
        <f t="shared" si="190"/>
        <v>-</v>
      </c>
      <c r="GY46" s="304">
        <f t="shared" si="190"/>
        <v>0</v>
      </c>
      <c r="GZ46" s="283"/>
      <c r="HA46" s="292" t="str">
        <f t="shared" ref="HA46:HF46" si="191">IF(HA44&lt;&gt;"",IF(HA45-HA44&gt;0,"+"&amp;HA45-HA44,HA45-HA44),"-")</f>
        <v>-</v>
      </c>
      <c r="HB46" s="293" t="str">
        <f t="shared" si="191"/>
        <v>-</v>
      </c>
      <c r="HC46" s="293" t="str">
        <f t="shared" si="191"/>
        <v>-</v>
      </c>
      <c r="HD46" s="293" t="str">
        <f t="shared" si="191"/>
        <v>-</v>
      </c>
      <c r="HE46" s="293" t="str">
        <f t="shared" si="191"/>
        <v>-</v>
      </c>
      <c r="HF46" s="304" t="str">
        <f t="shared" si="191"/>
        <v>+10</v>
      </c>
      <c r="HG46" s="265"/>
      <c r="HH46" s="292" t="str">
        <f t="shared" ref="HH46:HM46" si="192">IF(HH44&lt;&gt;"",IF(HH45-HH44&gt;0,"+"&amp;HH45-HH44,HH45-HH44),"-")</f>
        <v>-</v>
      </c>
      <c r="HI46" s="293" t="str">
        <f t="shared" si="192"/>
        <v>-</v>
      </c>
      <c r="HJ46" s="293" t="str">
        <f t="shared" si="192"/>
        <v>-</v>
      </c>
      <c r="HK46" s="293" t="str">
        <f t="shared" si="192"/>
        <v>-</v>
      </c>
      <c r="HL46" s="293" t="str">
        <f t="shared" si="192"/>
        <v>-</v>
      </c>
      <c r="HM46" s="304" t="str">
        <f t="shared" si="192"/>
        <v>+5</v>
      </c>
      <c r="HN46" s="265"/>
      <c r="HO46" s="292" t="str">
        <f t="shared" ref="HO46:HT46" si="193">IF(HO44&lt;&gt;"",IF(HO45-HO44&gt;0,"+"&amp;HO45-HO44,HO45-HO44),"-")</f>
        <v>-</v>
      </c>
      <c r="HP46" s="293" t="str">
        <f t="shared" si="193"/>
        <v>-</v>
      </c>
      <c r="HQ46" s="293" t="str">
        <f t="shared" si="193"/>
        <v>-</v>
      </c>
      <c r="HR46" s="293" t="str">
        <f t="shared" si="193"/>
        <v>-</v>
      </c>
      <c r="HS46" s="293" t="str">
        <f t="shared" si="193"/>
        <v>-</v>
      </c>
      <c r="HT46" s="304">
        <f t="shared" si="193"/>
        <v>0</v>
      </c>
      <c r="HU46" s="265"/>
      <c r="HV46" s="292">
        <f t="shared" ref="HV46:IA46" si="194">IF(HV44&lt;&gt;"",IF(HV45-HV44&gt;0,"+"&amp;HV45-HV44,HV45-HV44),"-")</f>
        <v>-4</v>
      </c>
      <c r="HW46" s="293">
        <f t="shared" si="194"/>
        <v>-4</v>
      </c>
      <c r="HX46" s="293">
        <f t="shared" si="194"/>
        <v>-4</v>
      </c>
      <c r="HY46" s="293">
        <f t="shared" si="194"/>
        <v>-4</v>
      </c>
      <c r="HZ46" s="293">
        <f t="shared" si="194"/>
        <v>-4</v>
      </c>
      <c r="IA46" s="304">
        <f t="shared" si="194"/>
        <v>-20</v>
      </c>
      <c r="IB46" s="265"/>
      <c r="IC46" s="292">
        <f t="shared" ref="IC46:IH46" si="195">IF(IC44&lt;&gt;"",IF(IC45-IC44&gt;0,"+"&amp;IC45-IC44,IC45-IC44),"-")</f>
        <v>-4</v>
      </c>
      <c r="ID46" s="293">
        <f t="shared" si="195"/>
        <v>-4</v>
      </c>
      <c r="IE46" s="293">
        <f t="shared" si="195"/>
        <v>-4</v>
      </c>
      <c r="IF46" s="293">
        <f t="shared" si="195"/>
        <v>-4</v>
      </c>
      <c r="IG46" s="293">
        <f t="shared" si="195"/>
        <v>-4</v>
      </c>
      <c r="IH46" s="304">
        <f t="shared" si="195"/>
        <v>-20</v>
      </c>
      <c r="II46" s="265"/>
      <c r="IJ46" s="292">
        <f t="shared" ref="IJ46:IO46" si="196">IF(IJ44&lt;&gt;"",IF(IJ45-IJ44&gt;0,"+"&amp;IJ45-IJ44,IJ45-IJ44),"-")</f>
        <v>-4</v>
      </c>
      <c r="IK46" s="293">
        <f t="shared" si="196"/>
        <v>-4</v>
      </c>
      <c r="IL46" s="293">
        <f t="shared" si="196"/>
        <v>-4</v>
      </c>
      <c r="IM46" s="293">
        <f t="shared" si="196"/>
        <v>0</v>
      </c>
      <c r="IN46" s="293">
        <f t="shared" si="196"/>
        <v>-4</v>
      </c>
      <c r="IO46" s="304">
        <f t="shared" si="196"/>
        <v>-16</v>
      </c>
      <c r="IP46" s="265"/>
      <c r="IQ46" s="292">
        <f t="shared" ref="IQ46:IV46" si="197">IF(IQ44&lt;&gt;"",IF(IQ45-IQ44&gt;0,"+"&amp;IQ45-IQ44,IQ45-IQ44),"-")</f>
        <v>-4</v>
      </c>
      <c r="IR46" s="293">
        <f t="shared" si="197"/>
        <v>-4</v>
      </c>
      <c r="IS46" s="293">
        <f t="shared" si="197"/>
        <v>-4</v>
      </c>
      <c r="IT46" s="293">
        <f t="shared" si="197"/>
        <v>-4</v>
      </c>
      <c r="IU46" s="293">
        <f t="shared" si="197"/>
        <v>-4</v>
      </c>
      <c r="IV46" s="304">
        <f t="shared" si="197"/>
        <v>-20</v>
      </c>
      <c r="IW46" s="265"/>
      <c r="IX46" s="292">
        <f t="shared" ref="IX46:JC46" si="198">IF(IX44&lt;&gt;"",IF(IX45-IX44&gt;0,"+"&amp;IX45-IX44,IX45-IX44),"-")</f>
        <v>-4</v>
      </c>
      <c r="IY46" s="293">
        <f t="shared" si="198"/>
        <v>-4</v>
      </c>
      <c r="IZ46" s="293">
        <f t="shared" si="198"/>
        <v>-4</v>
      </c>
      <c r="JA46" s="293">
        <f t="shared" si="198"/>
        <v>-4</v>
      </c>
      <c r="JB46" s="293">
        <f t="shared" si="198"/>
        <v>-4</v>
      </c>
      <c r="JC46" s="304">
        <f t="shared" si="198"/>
        <v>-20</v>
      </c>
      <c r="JD46" s="265"/>
      <c r="JE46" s="292">
        <f t="shared" ref="JE46:JJ46" si="199">IF(JE44&lt;&gt;"",IF(JE45-JE44&gt;0,"+"&amp;JE45-JE44,JE45-JE44),"-")</f>
        <v>-4</v>
      </c>
      <c r="JF46" s="293">
        <f t="shared" si="199"/>
        <v>-4</v>
      </c>
      <c r="JG46" s="293">
        <f t="shared" si="199"/>
        <v>-4</v>
      </c>
      <c r="JH46" s="293">
        <f t="shared" si="199"/>
        <v>-4</v>
      </c>
      <c r="JI46" s="293">
        <f t="shared" si="199"/>
        <v>-4</v>
      </c>
      <c r="JJ46" s="304">
        <f t="shared" si="199"/>
        <v>-20</v>
      </c>
      <c r="JK46" s="265"/>
      <c r="JL46" s="292">
        <f t="shared" ref="JL46:JQ46" si="200">IF(JL44&lt;&gt;"",IF(JL45-JL44&gt;0,"+"&amp;JL45-JL44,JL45-JL44),"-")</f>
        <v>-4</v>
      </c>
      <c r="JM46" s="293">
        <f t="shared" si="200"/>
        <v>-4</v>
      </c>
      <c r="JN46" s="293">
        <f t="shared" si="200"/>
        <v>-4</v>
      </c>
      <c r="JO46" s="293">
        <f t="shared" si="200"/>
        <v>-4</v>
      </c>
      <c r="JP46" s="293">
        <f t="shared" si="200"/>
        <v>-4</v>
      </c>
      <c r="JQ46" s="304">
        <f t="shared" si="200"/>
        <v>-20</v>
      </c>
      <c r="JR46" s="265"/>
      <c r="JS46" s="292">
        <f t="shared" ref="JS46:JX46" si="201">IF(JS44&lt;&gt;"",IF(JS45-JS44&gt;0,"+"&amp;JS45-JS44,JS45-JS44),"-")</f>
        <v>-4</v>
      </c>
      <c r="JT46" s="293">
        <f t="shared" si="201"/>
        <v>-4</v>
      </c>
      <c r="JU46" s="293">
        <f t="shared" si="201"/>
        <v>-4</v>
      </c>
      <c r="JV46" s="293">
        <f t="shared" si="201"/>
        <v>-4</v>
      </c>
      <c r="JW46" s="293">
        <f t="shared" si="201"/>
        <v>-4</v>
      </c>
      <c r="JX46" s="304">
        <f t="shared" si="201"/>
        <v>-20</v>
      </c>
      <c r="JY46" s="265"/>
      <c r="JZ46" s="292" t="str">
        <f t="shared" ref="JZ46:KE46" si="202">IF(JZ44&lt;&gt;"",IF(JZ45-JZ44&gt;0,"+"&amp;JZ45-JZ44,JZ45-JZ44),"-")</f>
        <v>-</v>
      </c>
      <c r="KA46" s="293" t="str">
        <f t="shared" si="202"/>
        <v>-</v>
      </c>
      <c r="KB46" s="293" t="str">
        <f t="shared" si="202"/>
        <v>-</v>
      </c>
      <c r="KC46" s="293" t="str">
        <f t="shared" si="202"/>
        <v>-</v>
      </c>
      <c r="KD46" s="293" t="str">
        <f t="shared" si="202"/>
        <v>-</v>
      </c>
      <c r="KE46" s="304">
        <f t="shared" si="202"/>
        <v>0</v>
      </c>
      <c r="KF46" s="265"/>
      <c r="KG46" s="292" t="str">
        <f t="shared" ref="KG46:KL46" si="203">IF(KG44&lt;&gt;"",IF(KG45-KG44&gt;0,"+"&amp;KG45-KG44,KG45-KG44),"-")</f>
        <v>-</v>
      </c>
      <c r="KH46" s="293" t="str">
        <f t="shared" si="203"/>
        <v>-</v>
      </c>
      <c r="KI46" s="293" t="str">
        <f t="shared" si="203"/>
        <v>-</v>
      </c>
      <c r="KJ46" s="293" t="str">
        <f t="shared" si="203"/>
        <v>-</v>
      </c>
      <c r="KK46" s="293" t="str">
        <f t="shared" si="203"/>
        <v>-</v>
      </c>
      <c r="KL46" s="304">
        <f t="shared" si="203"/>
        <v>0</v>
      </c>
      <c r="KM46" s="265"/>
      <c r="KN46" s="292" t="str">
        <f t="shared" ref="KN46:KS46" si="204">IF(KN44&lt;&gt;"",IF(KN45-KN44&gt;0,"+"&amp;KN45-KN44,KN45-KN44),"-")</f>
        <v>-</v>
      </c>
      <c r="KO46" s="293" t="str">
        <f t="shared" si="204"/>
        <v>-</v>
      </c>
      <c r="KP46" s="293" t="str">
        <f t="shared" si="204"/>
        <v>-</v>
      </c>
      <c r="KQ46" s="293" t="str">
        <f t="shared" si="204"/>
        <v>-</v>
      </c>
      <c r="KR46" s="293" t="str">
        <f t="shared" si="204"/>
        <v>-</v>
      </c>
      <c r="KS46" s="304">
        <f t="shared" si="204"/>
        <v>0</v>
      </c>
      <c r="KT46" s="265"/>
      <c r="KU46" s="292" t="str">
        <f t="shared" ref="KU46:KZ46" si="205">IF(KU44&lt;&gt;"",IF(KU45-KU44&gt;0,"+"&amp;KU45-KU44,KU45-KU44),"-")</f>
        <v>-</v>
      </c>
      <c r="KV46" s="293" t="str">
        <f t="shared" si="205"/>
        <v>-</v>
      </c>
      <c r="KW46" s="293" t="str">
        <f t="shared" si="205"/>
        <v>-</v>
      </c>
      <c r="KX46" s="293" t="str">
        <f t="shared" si="205"/>
        <v>-</v>
      </c>
      <c r="KY46" s="293" t="str">
        <f t="shared" si="205"/>
        <v>-</v>
      </c>
      <c r="KZ46" s="304">
        <f t="shared" si="205"/>
        <v>0</v>
      </c>
      <c r="LA46" s="265"/>
      <c r="LB46" s="292" t="str">
        <f t="shared" ref="LB46:LG46" si="206">IF(LB44&lt;&gt;"",IF(LB45-LB44&gt;0,"+"&amp;LB45-LB44,LB45-LB44),"-")</f>
        <v>-</v>
      </c>
      <c r="LC46" s="293" t="str">
        <f t="shared" si="206"/>
        <v>-</v>
      </c>
      <c r="LD46" s="293" t="str">
        <f t="shared" si="206"/>
        <v>-</v>
      </c>
      <c r="LE46" s="293" t="str">
        <f t="shared" si="206"/>
        <v>-</v>
      </c>
      <c r="LF46" s="293" t="str">
        <f t="shared" si="206"/>
        <v>-</v>
      </c>
      <c r="LG46" s="304">
        <f t="shared" si="206"/>
        <v>0</v>
      </c>
      <c r="LH46" s="265"/>
      <c r="LI46" s="292" t="str">
        <f t="shared" ref="LI46:LN46" si="207">IF(LI44&lt;&gt;"",IF(LI45-LI44&gt;0,"+"&amp;LI45-LI44,LI45-LI44),"-")</f>
        <v>-</v>
      </c>
      <c r="LJ46" s="293" t="str">
        <f t="shared" si="207"/>
        <v>-</v>
      </c>
      <c r="LK46" s="293" t="str">
        <f t="shared" si="207"/>
        <v>-</v>
      </c>
      <c r="LL46" s="293" t="str">
        <f t="shared" si="207"/>
        <v>-</v>
      </c>
      <c r="LM46" s="293" t="str">
        <f t="shared" si="207"/>
        <v>-</v>
      </c>
      <c r="LN46" s="304">
        <f t="shared" si="207"/>
        <v>0</v>
      </c>
      <c r="LO46" s="265"/>
      <c r="LP46" s="292" t="str">
        <f t="shared" ref="LP46:LU46" si="208">IF(LP44&lt;&gt;"",IF(LP45-LP44&gt;0,"+"&amp;LP45-LP44,LP45-LP44),"-")</f>
        <v>-</v>
      </c>
      <c r="LQ46" s="293" t="str">
        <f t="shared" si="208"/>
        <v>-</v>
      </c>
      <c r="LR46" s="293" t="str">
        <f t="shared" si="208"/>
        <v>-</v>
      </c>
      <c r="LS46" s="293" t="str">
        <f t="shared" si="208"/>
        <v>-</v>
      </c>
      <c r="LT46" s="293" t="str">
        <f t="shared" si="208"/>
        <v>-</v>
      </c>
      <c r="LU46" s="304">
        <f t="shared" si="208"/>
        <v>0</v>
      </c>
      <c r="LV46" s="265"/>
      <c r="LW46" s="292" t="str">
        <f t="shared" ref="LW46:MB46" si="209">IF(LW44&lt;&gt;"",IF(LW45-LW44&gt;0,"+"&amp;LW45-LW44,LW45-LW44),"-")</f>
        <v>-</v>
      </c>
      <c r="LX46" s="293" t="str">
        <f t="shared" si="209"/>
        <v>-</v>
      </c>
      <c r="LY46" s="293" t="str">
        <f t="shared" si="209"/>
        <v>-</v>
      </c>
      <c r="LZ46" s="293" t="str">
        <f t="shared" si="209"/>
        <v>-</v>
      </c>
      <c r="MA46" s="293" t="str">
        <f t="shared" si="209"/>
        <v>-</v>
      </c>
      <c r="MB46" s="304">
        <f t="shared" si="209"/>
        <v>0</v>
      </c>
      <c r="MC46" s="265"/>
      <c r="MD46" s="292" t="str">
        <f t="shared" ref="MD46:MI46" si="210">IF(MD44&lt;&gt;"",IF(MD45-MD44&gt;0,"+"&amp;MD45-MD44,MD45-MD44),"-")</f>
        <v>-</v>
      </c>
      <c r="ME46" s="293" t="str">
        <f t="shared" si="210"/>
        <v>-</v>
      </c>
      <c r="MF46" s="293" t="str">
        <f t="shared" si="210"/>
        <v>-</v>
      </c>
      <c r="MG46" s="293" t="str">
        <f t="shared" si="210"/>
        <v>-</v>
      </c>
      <c r="MH46" s="293" t="str">
        <f t="shared" si="210"/>
        <v>-</v>
      </c>
      <c r="MI46" s="304">
        <f t="shared" si="210"/>
        <v>0</v>
      </c>
      <c r="MJ46" s="265"/>
      <c r="MK46" s="292" t="str">
        <f t="shared" ref="MK46:MP46" si="211">IF(MK44&lt;&gt;"",IF(MK45-MK44&gt;0,"+"&amp;MK45-MK44,MK45-MK44),"-")</f>
        <v>-</v>
      </c>
      <c r="ML46" s="293" t="str">
        <f t="shared" si="211"/>
        <v>-</v>
      </c>
      <c r="MM46" s="293" t="str">
        <f t="shared" si="211"/>
        <v>-</v>
      </c>
      <c r="MN46" s="293" t="str">
        <f t="shared" si="211"/>
        <v>-</v>
      </c>
      <c r="MO46" s="293" t="str">
        <f t="shared" si="211"/>
        <v>-</v>
      </c>
      <c r="MP46" s="304">
        <f t="shared" si="211"/>
        <v>0</v>
      </c>
      <c r="MQ46" s="265"/>
      <c r="MR46" s="292" t="str">
        <f t="shared" ref="MR46:MW46" si="212">IF(MR44&lt;&gt;"",IF(MR45-MR44&gt;0,"+"&amp;MR45-MR44,MR45-MR44),"-")</f>
        <v>-</v>
      </c>
      <c r="MS46" s="293" t="str">
        <f t="shared" si="212"/>
        <v>-</v>
      </c>
      <c r="MT46" s="293" t="str">
        <f t="shared" si="212"/>
        <v>-</v>
      </c>
      <c r="MU46" s="293" t="str">
        <f t="shared" si="212"/>
        <v>-</v>
      </c>
      <c r="MV46" s="293" t="str">
        <f t="shared" si="212"/>
        <v>-</v>
      </c>
      <c r="MW46" s="304">
        <f t="shared" si="212"/>
        <v>0</v>
      </c>
      <c r="MX46" s="265"/>
      <c r="MY46" s="292" t="str">
        <f t="shared" ref="MY46:ND46" si="213">IF(MY44&lt;&gt;"",IF(MY45-MY44&gt;0,"+"&amp;MY45-MY44,MY45-MY44),"-")</f>
        <v>-</v>
      </c>
      <c r="MZ46" s="293" t="str">
        <f t="shared" si="213"/>
        <v>-</v>
      </c>
      <c r="NA46" s="293" t="str">
        <f t="shared" si="213"/>
        <v>-</v>
      </c>
      <c r="NB46" s="293" t="str">
        <f t="shared" si="213"/>
        <v>-</v>
      </c>
      <c r="NC46" s="293" t="str">
        <f t="shared" si="213"/>
        <v>-</v>
      </c>
      <c r="ND46" s="304">
        <f t="shared" si="213"/>
        <v>0</v>
      </c>
      <c r="NE46" s="265"/>
      <c r="NF46" s="292" t="str">
        <f t="shared" ref="NF46:NK46" si="214">IF(NF44&lt;&gt;"",IF(NF45-NF44&gt;0,"+"&amp;NF45-NF44,NF45-NF44),"-")</f>
        <v>-</v>
      </c>
      <c r="NG46" s="293" t="str">
        <f t="shared" si="214"/>
        <v>-</v>
      </c>
      <c r="NH46" s="293" t="str">
        <f t="shared" si="214"/>
        <v>-</v>
      </c>
      <c r="NI46" s="293" t="str">
        <f t="shared" si="214"/>
        <v>-</v>
      </c>
      <c r="NJ46" s="293" t="str">
        <f t="shared" si="214"/>
        <v>-</v>
      </c>
      <c r="NK46" s="304">
        <f t="shared" si="214"/>
        <v>0</v>
      </c>
      <c r="NL46" s="265"/>
      <c r="NM46" s="292" t="str">
        <f t="shared" ref="NM46:NR46" si="215">IF(NM44&lt;&gt;"",IF(NM45-NM44&gt;0,"+"&amp;NM45-NM44,NM45-NM44),"-")</f>
        <v>-</v>
      </c>
      <c r="NN46" s="293" t="str">
        <f t="shared" si="215"/>
        <v>-</v>
      </c>
      <c r="NO46" s="293" t="str">
        <f t="shared" si="215"/>
        <v>-</v>
      </c>
      <c r="NP46" s="293" t="str">
        <f t="shared" si="215"/>
        <v>-</v>
      </c>
      <c r="NQ46" s="293" t="str">
        <f t="shared" si="215"/>
        <v>-</v>
      </c>
      <c r="NR46" s="304">
        <f t="shared" si="215"/>
        <v>0</v>
      </c>
      <c r="NS46" s="283"/>
    </row>
    <row r="47" spans="1:383" s="196" customFormat="1" ht="16.05" customHeight="1" x14ac:dyDescent="0.3">
      <c r="A47" s="294"/>
      <c r="B47" s="284" t="s">
        <v>432</v>
      </c>
      <c r="C47" s="285" t="s">
        <v>415</v>
      </c>
      <c r="D47" s="338"/>
      <c r="E47"/>
      <c r="F47" s="279">
        <v>1</v>
      </c>
      <c r="G47" s="280">
        <v>1</v>
      </c>
      <c r="H47" s="280">
        <v>1</v>
      </c>
      <c r="I47" s="280">
        <v>1</v>
      </c>
      <c r="J47" s="280">
        <v>1</v>
      </c>
      <c r="K47" s="302">
        <f>SUM(F47:J47)</f>
        <v>5</v>
      </c>
      <c r="L47" s="265"/>
      <c r="M47" s="279"/>
      <c r="N47" s="280"/>
      <c r="O47" s="280"/>
      <c r="P47" s="280"/>
      <c r="Q47" s="280"/>
      <c r="R47" s="302">
        <f>SUM(M47:Q47)</f>
        <v>0</v>
      </c>
      <c r="S47" s="265"/>
      <c r="T47" s="279"/>
      <c r="U47" s="280"/>
      <c r="V47" s="280"/>
      <c r="W47" s="280"/>
      <c r="X47" s="280"/>
      <c r="Y47" s="302">
        <f>SUM(T47:X47)</f>
        <v>0</v>
      </c>
      <c r="Z47" s="265"/>
      <c r="AA47" s="279"/>
      <c r="AB47" s="280"/>
      <c r="AC47" s="280"/>
      <c r="AD47" s="280"/>
      <c r="AE47" s="280"/>
      <c r="AF47" s="302">
        <f>SUM(AA47:AE47)</f>
        <v>0</v>
      </c>
      <c r="AG47" s="265"/>
      <c r="AH47" s="279"/>
      <c r="AI47" s="280"/>
      <c r="AJ47" s="280"/>
      <c r="AK47" s="280"/>
      <c r="AL47" s="280"/>
      <c r="AM47" s="302">
        <f>SUM(AH47:AL47)</f>
        <v>0</v>
      </c>
      <c r="AN47" s="265"/>
      <c r="AO47" s="279">
        <v>1</v>
      </c>
      <c r="AP47" s="280">
        <v>1</v>
      </c>
      <c r="AQ47" s="280">
        <v>1</v>
      </c>
      <c r="AR47" s="280">
        <v>1</v>
      </c>
      <c r="AS47" s="280">
        <v>1</v>
      </c>
      <c r="AT47" s="302">
        <f>SUM(AO47:AS47)</f>
        <v>5</v>
      </c>
      <c r="AU47" s="265"/>
      <c r="AV47" s="279">
        <v>1</v>
      </c>
      <c r="AW47" s="280">
        <v>1</v>
      </c>
      <c r="AX47" s="280">
        <v>1</v>
      </c>
      <c r="AY47" s="280">
        <v>1</v>
      </c>
      <c r="AZ47" s="280">
        <v>1</v>
      </c>
      <c r="BA47" s="302">
        <f>SUM(AV47:AZ47)</f>
        <v>5</v>
      </c>
      <c r="BB47" s="265"/>
      <c r="BC47" s="279">
        <v>1</v>
      </c>
      <c r="BD47" s="280">
        <v>1</v>
      </c>
      <c r="BE47" s="280">
        <v>1</v>
      </c>
      <c r="BF47" s="280">
        <v>1</v>
      </c>
      <c r="BG47" s="280">
        <v>1</v>
      </c>
      <c r="BH47" s="302">
        <f>SUM(BC47:BG47)</f>
        <v>5</v>
      </c>
      <c r="BI47" s="265"/>
      <c r="BJ47" s="279">
        <v>1</v>
      </c>
      <c r="BK47" s="280">
        <v>1</v>
      </c>
      <c r="BL47" s="280">
        <v>1</v>
      </c>
      <c r="BM47" s="280">
        <v>1</v>
      </c>
      <c r="BN47" s="280">
        <v>1</v>
      </c>
      <c r="BO47" s="302">
        <f>SUM(BJ47:BN47)</f>
        <v>5</v>
      </c>
      <c r="BP47" s="265"/>
      <c r="BQ47" s="279">
        <v>1</v>
      </c>
      <c r="BR47" s="280">
        <v>1</v>
      </c>
      <c r="BS47" s="280">
        <v>1</v>
      </c>
      <c r="BT47" s="280">
        <v>0</v>
      </c>
      <c r="BU47" s="280">
        <v>1</v>
      </c>
      <c r="BV47" s="302">
        <f>SUM(BQ47:BU47)</f>
        <v>4</v>
      </c>
      <c r="BW47" s="265"/>
      <c r="BX47" s="279">
        <v>1</v>
      </c>
      <c r="BY47" s="280">
        <v>1</v>
      </c>
      <c r="BZ47" s="280">
        <v>1</v>
      </c>
      <c r="CA47" s="280">
        <v>1</v>
      </c>
      <c r="CB47" s="280">
        <v>1</v>
      </c>
      <c r="CC47" s="302">
        <f>SUM(BX47:CB47)</f>
        <v>5</v>
      </c>
      <c r="CD47" s="265"/>
      <c r="CE47" s="279">
        <v>1</v>
      </c>
      <c r="CF47" s="280">
        <v>1</v>
      </c>
      <c r="CG47" s="280">
        <v>1</v>
      </c>
      <c r="CH47" s="280">
        <v>1</v>
      </c>
      <c r="CI47" s="280">
        <v>1</v>
      </c>
      <c r="CJ47" s="302">
        <f>SUM(CE47:CI47)</f>
        <v>5</v>
      </c>
      <c r="CK47" s="265"/>
      <c r="CL47" s="279">
        <v>1</v>
      </c>
      <c r="CM47" s="280">
        <v>1</v>
      </c>
      <c r="CN47" s="280">
        <v>1</v>
      </c>
      <c r="CO47" s="280">
        <v>1</v>
      </c>
      <c r="CP47" s="280">
        <v>1</v>
      </c>
      <c r="CQ47" s="302">
        <f>SUM(CL47:CP47)</f>
        <v>5</v>
      </c>
      <c r="CR47" s="265"/>
      <c r="CS47" s="279">
        <v>1</v>
      </c>
      <c r="CT47" s="280">
        <v>1</v>
      </c>
      <c r="CU47" s="280">
        <v>1</v>
      </c>
      <c r="CV47" s="280">
        <v>1</v>
      </c>
      <c r="CW47" s="280">
        <v>1</v>
      </c>
      <c r="CX47" s="302">
        <f>SUM(CS47:CW47)</f>
        <v>5</v>
      </c>
      <c r="CY47" s="265"/>
      <c r="CZ47" s="279">
        <v>1</v>
      </c>
      <c r="DA47" s="280">
        <v>1</v>
      </c>
      <c r="DB47" s="280">
        <v>1</v>
      </c>
      <c r="DC47" s="280">
        <v>1</v>
      </c>
      <c r="DD47" s="280">
        <v>1</v>
      </c>
      <c r="DE47" s="302">
        <f>SUM(CZ47:DD47)</f>
        <v>5</v>
      </c>
      <c r="DF47" s="265"/>
      <c r="DG47" s="279">
        <v>1</v>
      </c>
      <c r="DH47" s="280">
        <v>1</v>
      </c>
      <c r="DI47" s="280">
        <v>1</v>
      </c>
      <c r="DJ47" s="280">
        <v>1</v>
      </c>
      <c r="DK47" s="280">
        <v>1</v>
      </c>
      <c r="DL47" s="302">
        <f>SUM(DG47:DK47)</f>
        <v>5</v>
      </c>
      <c r="DM47" s="265"/>
      <c r="DN47" s="279">
        <v>1</v>
      </c>
      <c r="DO47" s="280">
        <v>1</v>
      </c>
      <c r="DP47" s="280">
        <v>1</v>
      </c>
      <c r="DQ47" s="280">
        <v>1</v>
      </c>
      <c r="DR47" s="280">
        <v>1</v>
      </c>
      <c r="DS47" s="302">
        <f>SUM(DN47:DR47)</f>
        <v>5</v>
      </c>
      <c r="DT47" s="265"/>
      <c r="DU47" s="279">
        <v>1</v>
      </c>
      <c r="DV47" s="280">
        <v>1</v>
      </c>
      <c r="DW47" s="280">
        <v>1</v>
      </c>
      <c r="DX47" s="280">
        <v>1</v>
      </c>
      <c r="DY47" s="280">
        <v>1</v>
      </c>
      <c r="DZ47" s="302">
        <f>SUM(DU47:DY47)</f>
        <v>5</v>
      </c>
      <c r="EA47" s="265"/>
      <c r="EB47" s="279"/>
      <c r="EC47" s="280"/>
      <c r="ED47" s="280"/>
      <c r="EE47" s="280"/>
      <c r="EF47" s="280"/>
      <c r="EG47" s="302">
        <f>SUM(EB47:EF47)</f>
        <v>0</v>
      </c>
      <c r="EH47" s="265"/>
      <c r="EI47" s="279"/>
      <c r="EJ47" s="280"/>
      <c r="EK47" s="280"/>
      <c r="EL47" s="280"/>
      <c r="EM47" s="280"/>
      <c r="EN47" s="302">
        <f>SUM(EI47:EM47)</f>
        <v>0</v>
      </c>
      <c r="EO47" s="265"/>
      <c r="EP47" s="279"/>
      <c r="EQ47" s="280"/>
      <c r="ER47" s="280"/>
      <c r="ES47" s="280"/>
      <c r="ET47" s="280"/>
      <c r="EU47" s="302">
        <f>SUM(EP47:ET47)</f>
        <v>0</v>
      </c>
      <c r="EV47" s="265"/>
      <c r="EW47" s="279"/>
      <c r="EX47" s="280"/>
      <c r="EY47" s="280"/>
      <c r="EZ47" s="280"/>
      <c r="FA47" s="280"/>
      <c r="FB47" s="302">
        <f>SUM(EW47:FA47)</f>
        <v>0</v>
      </c>
      <c r="FC47" s="265"/>
      <c r="FD47" s="279"/>
      <c r="FE47" s="280"/>
      <c r="FF47" s="280"/>
      <c r="FG47" s="280"/>
      <c r="FH47" s="280"/>
      <c r="FI47" s="302">
        <f>SUM(FD47:FH47)</f>
        <v>0</v>
      </c>
      <c r="FJ47" s="265"/>
      <c r="FK47" s="279"/>
      <c r="FL47" s="280"/>
      <c r="FM47" s="280"/>
      <c r="FN47" s="280"/>
      <c r="FO47" s="280"/>
      <c r="FP47" s="302">
        <f>SUM(FK47:FO47)</f>
        <v>0</v>
      </c>
      <c r="FQ47" s="265"/>
      <c r="FR47" s="279"/>
      <c r="FS47" s="280"/>
      <c r="FT47" s="280"/>
      <c r="FU47" s="280"/>
      <c r="FV47" s="280"/>
      <c r="FW47" s="302">
        <f>SUM(FR47:FV47)</f>
        <v>0</v>
      </c>
      <c r="FX47" s="265"/>
      <c r="FY47" s="279"/>
      <c r="FZ47" s="280"/>
      <c r="GA47" s="280"/>
      <c r="GB47" s="280"/>
      <c r="GC47" s="280"/>
      <c r="GD47" s="302">
        <f>SUM(FY47:GC47)</f>
        <v>0</v>
      </c>
      <c r="GE47" s="265"/>
      <c r="GF47" s="279"/>
      <c r="GG47" s="280"/>
      <c r="GH47" s="280"/>
      <c r="GI47" s="280"/>
      <c r="GJ47" s="280"/>
      <c r="GK47" s="302">
        <f>SUM(GF47:GJ47)</f>
        <v>0</v>
      </c>
      <c r="GL47" s="265"/>
      <c r="GM47" s="279"/>
      <c r="GN47" s="280"/>
      <c r="GO47" s="280"/>
      <c r="GP47" s="280"/>
      <c r="GQ47" s="280"/>
      <c r="GR47" s="302">
        <f>SUM(GM47:GQ47)</f>
        <v>0</v>
      </c>
      <c r="GS47" s="265"/>
      <c r="GT47" s="279"/>
      <c r="GU47" s="280"/>
      <c r="GV47" s="280"/>
      <c r="GW47" s="280"/>
      <c r="GX47" s="280"/>
      <c r="GY47" s="302">
        <f>SUM(GT47:GX47)</f>
        <v>0</v>
      </c>
      <c r="GZ47" s="283"/>
      <c r="HA47" s="370"/>
      <c r="HB47" s="371"/>
      <c r="HC47" s="371"/>
      <c r="HD47" s="371"/>
      <c r="HE47" s="371"/>
      <c r="HF47" s="302">
        <f>SUM(HA47:HE47)</f>
        <v>0</v>
      </c>
      <c r="HG47" s="265"/>
      <c r="HH47" s="370"/>
      <c r="HI47" s="371"/>
      <c r="HJ47" s="371"/>
      <c r="HK47" s="371"/>
      <c r="HL47" s="371"/>
      <c r="HM47" s="302">
        <f>SUM(HH47:HL47)</f>
        <v>0</v>
      </c>
      <c r="HN47" s="265"/>
      <c r="HO47" s="370"/>
      <c r="HP47" s="371"/>
      <c r="HQ47" s="371"/>
      <c r="HR47" s="371"/>
      <c r="HS47" s="371"/>
      <c r="HT47" s="302">
        <f>SUM(HO47:HS47)</f>
        <v>0</v>
      </c>
      <c r="HU47" s="265"/>
      <c r="HV47" s="370">
        <v>1</v>
      </c>
      <c r="HW47" s="371">
        <v>1</v>
      </c>
      <c r="HX47" s="371">
        <v>1</v>
      </c>
      <c r="HY47" s="371">
        <v>1</v>
      </c>
      <c r="HZ47" s="371">
        <v>1</v>
      </c>
      <c r="IA47" s="302">
        <f>SUM(HV47:HZ47)</f>
        <v>5</v>
      </c>
      <c r="IB47" s="265"/>
      <c r="IC47" s="370">
        <v>1</v>
      </c>
      <c r="ID47" s="371">
        <v>1</v>
      </c>
      <c r="IE47" s="371">
        <v>1</v>
      </c>
      <c r="IF47" s="371">
        <v>1</v>
      </c>
      <c r="IG47" s="371">
        <v>1</v>
      </c>
      <c r="IH47" s="302">
        <f>SUM(IC47:IG47)</f>
        <v>5</v>
      </c>
      <c r="II47" s="265"/>
      <c r="IJ47" s="370">
        <v>1</v>
      </c>
      <c r="IK47" s="371">
        <v>1</v>
      </c>
      <c r="IL47" s="371">
        <v>1</v>
      </c>
      <c r="IM47" s="371">
        <v>0</v>
      </c>
      <c r="IN47" s="371">
        <v>1</v>
      </c>
      <c r="IO47" s="302">
        <f>SUM(IJ47:IN47)</f>
        <v>4</v>
      </c>
      <c r="IP47" s="265"/>
      <c r="IQ47" s="370">
        <v>1</v>
      </c>
      <c r="IR47" s="371">
        <v>1</v>
      </c>
      <c r="IS47" s="371">
        <v>1</v>
      </c>
      <c r="IT47" s="371">
        <v>1</v>
      </c>
      <c r="IU47" s="371">
        <v>1</v>
      </c>
      <c r="IV47" s="302">
        <f>SUM(IQ47:IU47)</f>
        <v>5</v>
      </c>
      <c r="IW47" s="265"/>
      <c r="IX47" s="370">
        <v>1</v>
      </c>
      <c r="IY47" s="371">
        <v>1</v>
      </c>
      <c r="IZ47" s="371">
        <v>1</v>
      </c>
      <c r="JA47" s="371">
        <v>1</v>
      </c>
      <c r="JB47" s="371">
        <v>1</v>
      </c>
      <c r="JC47" s="302">
        <f>SUM(IX47:JB47)</f>
        <v>5</v>
      </c>
      <c r="JD47" s="265"/>
      <c r="JE47" s="370">
        <v>1</v>
      </c>
      <c r="JF47" s="371">
        <v>1</v>
      </c>
      <c r="JG47" s="371">
        <v>1</v>
      </c>
      <c r="JH47" s="371">
        <v>1</v>
      </c>
      <c r="JI47" s="371">
        <v>1</v>
      </c>
      <c r="JJ47" s="302">
        <f>SUM(JE47:JI47)</f>
        <v>5</v>
      </c>
      <c r="JK47" s="265"/>
      <c r="JL47" s="370">
        <v>1</v>
      </c>
      <c r="JM47" s="371">
        <v>1</v>
      </c>
      <c r="JN47" s="371">
        <v>1</v>
      </c>
      <c r="JO47" s="371">
        <v>1</v>
      </c>
      <c r="JP47" s="371">
        <v>1</v>
      </c>
      <c r="JQ47" s="302">
        <f>SUM(JL47:JP47)</f>
        <v>5</v>
      </c>
      <c r="JR47" s="265"/>
      <c r="JS47" s="370">
        <v>1</v>
      </c>
      <c r="JT47" s="371">
        <v>1</v>
      </c>
      <c r="JU47" s="371">
        <v>1</v>
      </c>
      <c r="JV47" s="371">
        <v>1</v>
      </c>
      <c r="JW47" s="371">
        <v>1</v>
      </c>
      <c r="JX47" s="302">
        <f>SUM(JS47:JW47)</f>
        <v>5</v>
      </c>
      <c r="JY47" s="265"/>
      <c r="JZ47" s="370">
        <v>1</v>
      </c>
      <c r="KA47" s="371">
        <v>1</v>
      </c>
      <c r="KB47" s="371">
        <v>1</v>
      </c>
      <c r="KC47" s="371">
        <v>1</v>
      </c>
      <c r="KD47" s="371">
        <v>1</v>
      </c>
      <c r="KE47" s="302">
        <f>SUM(JZ47:KD47)</f>
        <v>5</v>
      </c>
      <c r="KF47" s="265"/>
      <c r="KG47" s="370">
        <v>1</v>
      </c>
      <c r="KH47" s="371">
        <v>1</v>
      </c>
      <c r="KI47" s="371">
        <v>1</v>
      </c>
      <c r="KJ47" s="371">
        <v>1</v>
      </c>
      <c r="KK47" s="371">
        <v>1</v>
      </c>
      <c r="KL47" s="302">
        <f>SUM(KG47:KK47)</f>
        <v>5</v>
      </c>
      <c r="KM47" s="265"/>
      <c r="KN47" s="370">
        <v>1</v>
      </c>
      <c r="KO47" s="371">
        <v>1</v>
      </c>
      <c r="KP47" s="371">
        <v>1</v>
      </c>
      <c r="KQ47" s="371">
        <v>1</v>
      </c>
      <c r="KR47" s="371">
        <v>1</v>
      </c>
      <c r="KS47" s="302">
        <f>SUM(KN47:KR47)</f>
        <v>5</v>
      </c>
      <c r="KT47" s="265"/>
      <c r="KU47" s="370"/>
      <c r="KV47" s="371"/>
      <c r="KW47" s="371"/>
      <c r="KX47" s="371"/>
      <c r="KY47" s="371"/>
      <c r="KZ47" s="302">
        <f>SUM(KU47:KY47)</f>
        <v>0</v>
      </c>
      <c r="LA47" s="265"/>
      <c r="LB47" s="370"/>
      <c r="LC47" s="371"/>
      <c r="LD47" s="371"/>
      <c r="LE47" s="371"/>
      <c r="LF47" s="371"/>
      <c r="LG47" s="302">
        <f>SUM(LB47:LF47)</f>
        <v>0</v>
      </c>
      <c r="LH47" s="265"/>
      <c r="LI47" s="370"/>
      <c r="LJ47" s="371"/>
      <c r="LK47" s="371"/>
      <c r="LL47" s="371"/>
      <c r="LM47" s="371"/>
      <c r="LN47" s="302">
        <f>SUM(LI47:LM47)</f>
        <v>0</v>
      </c>
      <c r="LO47" s="265"/>
      <c r="LP47" s="370"/>
      <c r="LQ47" s="371"/>
      <c r="LR47" s="371"/>
      <c r="LS47" s="371"/>
      <c r="LT47" s="371"/>
      <c r="LU47" s="302">
        <f>SUM(LP47:LT47)</f>
        <v>0</v>
      </c>
      <c r="LV47" s="265"/>
      <c r="LW47" s="370"/>
      <c r="LX47" s="371"/>
      <c r="LY47" s="371"/>
      <c r="LZ47" s="371"/>
      <c r="MA47" s="371"/>
      <c r="MB47" s="302">
        <f>SUM(LW47:MA47)</f>
        <v>0</v>
      </c>
      <c r="MC47" s="265"/>
      <c r="MD47" s="370"/>
      <c r="ME47" s="371"/>
      <c r="MF47" s="371"/>
      <c r="MG47" s="371"/>
      <c r="MH47" s="371"/>
      <c r="MI47" s="302">
        <f>SUM(MD47:MH47)</f>
        <v>0</v>
      </c>
      <c r="MJ47" s="265"/>
      <c r="MK47" s="370"/>
      <c r="ML47" s="371"/>
      <c r="MM47" s="371"/>
      <c r="MN47" s="371"/>
      <c r="MO47" s="371"/>
      <c r="MP47" s="302">
        <f>SUM(MK47:MO47)</f>
        <v>0</v>
      </c>
      <c r="MQ47" s="265"/>
      <c r="MR47" s="370"/>
      <c r="MS47" s="371"/>
      <c r="MT47" s="371"/>
      <c r="MU47" s="371"/>
      <c r="MV47" s="371"/>
      <c r="MW47" s="302">
        <f>SUM(MR47:MV47)</f>
        <v>0</v>
      </c>
      <c r="MX47" s="265"/>
      <c r="MY47" s="370"/>
      <c r="MZ47" s="371"/>
      <c r="NA47" s="371"/>
      <c r="NB47" s="371"/>
      <c r="NC47" s="371"/>
      <c r="ND47" s="302">
        <f>SUM(MY47:NC47)</f>
        <v>0</v>
      </c>
      <c r="NE47" s="265"/>
      <c r="NF47" s="370"/>
      <c r="NG47" s="371"/>
      <c r="NH47" s="371"/>
      <c r="NI47" s="371"/>
      <c r="NJ47" s="371"/>
      <c r="NK47" s="302">
        <f>SUM(NF47:NJ47)</f>
        <v>0</v>
      </c>
      <c r="NL47" s="265"/>
      <c r="NM47" s="370"/>
      <c r="NN47" s="371"/>
      <c r="NO47" s="371"/>
      <c r="NP47" s="371"/>
      <c r="NQ47" s="371"/>
      <c r="NR47" s="302">
        <f>SUM(NM47:NQ47)</f>
        <v>0</v>
      </c>
      <c r="NS47" s="283"/>
    </row>
    <row r="48" spans="1:383" s="196" customFormat="1" ht="16.05" customHeight="1" x14ac:dyDescent="0.3">
      <c r="A48" s="294"/>
      <c r="B48" s="282"/>
      <c r="C48" s="286" t="s">
        <v>416</v>
      </c>
      <c r="D48" s="306"/>
      <c r="E48"/>
      <c r="F48" s="227">
        <f>'Pilotage effectif 27O'!I49</f>
        <v>0</v>
      </c>
      <c r="G48" s="228">
        <f>'Pilotage effectif 27O'!J49</f>
        <v>0</v>
      </c>
      <c r="H48" s="228">
        <f>'Pilotage effectif 27O'!K49</f>
        <v>0</v>
      </c>
      <c r="I48" s="228">
        <f>'Pilotage effectif 27O'!L49</f>
        <v>0</v>
      </c>
      <c r="J48" s="228">
        <f>'Pilotage effectif 27O'!M49</f>
        <v>0</v>
      </c>
      <c r="K48" s="303">
        <f>'Pilotage effectif 27O'!N49</f>
        <v>0</v>
      </c>
      <c r="L48" s="265"/>
      <c r="M48" s="227">
        <f>'Pilotage effectif 27O'!P49</f>
        <v>0</v>
      </c>
      <c r="N48" s="228">
        <f>'Pilotage effectif 27O'!Q49</f>
        <v>0</v>
      </c>
      <c r="O48" s="228">
        <f>'Pilotage effectif 27O'!R49</f>
        <v>0</v>
      </c>
      <c r="P48" s="228">
        <f>'Pilotage effectif 27O'!S49</f>
        <v>0</v>
      </c>
      <c r="Q48" s="228">
        <f>'Pilotage effectif 27O'!T49</f>
        <v>0</v>
      </c>
      <c r="R48" s="303">
        <f>'Pilotage effectif 27O'!U49</f>
        <v>0</v>
      </c>
      <c r="S48" s="265"/>
      <c r="T48" s="227">
        <f>'Pilotage effectif 27O'!W49</f>
        <v>0</v>
      </c>
      <c r="U48" s="228">
        <f>'Pilotage effectif 27O'!X49</f>
        <v>0</v>
      </c>
      <c r="V48" s="228">
        <f>'Pilotage effectif 27O'!Y49</f>
        <v>0</v>
      </c>
      <c r="W48" s="228">
        <f>'Pilotage effectif 27O'!Z49</f>
        <v>0</v>
      </c>
      <c r="X48" s="228">
        <f>'Pilotage effectif 27O'!AA49</f>
        <v>0</v>
      </c>
      <c r="Y48" s="303">
        <f>'Pilotage effectif 27O'!AB49</f>
        <v>0</v>
      </c>
      <c r="Z48" s="265"/>
      <c r="AA48" s="227">
        <f>'Pilotage effectif 27O'!AD49</f>
        <v>0</v>
      </c>
      <c r="AB48" s="228">
        <f>'Pilotage effectif 27O'!AE49</f>
        <v>0</v>
      </c>
      <c r="AC48" s="228">
        <f>'Pilotage effectif 27O'!AF49</f>
        <v>0</v>
      </c>
      <c r="AD48" s="228">
        <f>'Pilotage effectif 27O'!AG49</f>
        <v>0</v>
      </c>
      <c r="AE48" s="228">
        <f>'Pilotage effectif 27O'!AH49</f>
        <v>0</v>
      </c>
      <c r="AF48" s="303">
        <f>'Pilotage effectif 27O'!AI49</f>
        <v>0</v>
      </c>
      <c r="AG48" s="265"/>
      <c r="AH48" s="227">
        <f>'Pilotage effectif 27O'!AK49</f>
        <v>0</v>
      </c>
      <c r="AI48" s="228">
        <f>'Pilotage effectif 27O'!AL49</f>
        <v>0</v>
      </c>
      <c r="AJ48" s="228">
        <f>'Pilotage effectif 27O'!AM49</f>
        <v>0</v>
      </c>
      <c r="AK48" s="228">
        <f>'Pilotage effectif 27O'!AN49</f>
        <v>0</v>
      </c>
      <c r="AL48" s="228">
        <f>'Pilotage effectif 27O'!AO49</f>
        <v>0</v>
      </c>
      <c r="AM48" s="303">
        <f>'Pilotage effectif 27O'!AP49</f>
        <v>0</v>
      </c>
      <c r="AN48" s="265"/>
      <c r="AO48" s="227">
        <f>'Pilotage effectif 27O'!AR49</f>
        <v>1</v>
      </c>
      <c r="AP48" s="228">
        <f>'Pilotage effectif 27O'!AS49</f>
        <v>1</v>
      </c>
      <c r="AQ48" s="228">
        <f>'Pilotage effectif 27O'!AT49</f>
        <v>1</v>
      </c>
      <c r="AR48" s="228">
        <f>'Pilotage effectif 27O'!AU49</f>
        <v>1</v>
      </c>
      <c r="AS48" s="228">
        <f>'Pilotage effectif 27O'!AV49</f>
        <v>1</v>
      </c>
      <c r="AT48" s="303">
        <f>'Pilotage effectif 27O'!AW49</f>
        <v>5</v>
      </c>
      <c r="AU48" s="265"/>
      <c r="AV48" s="227">
        <f>'Pilotage effectif 27O'!AY49</f>
        <v>0</v>
      </c>
      <c r="AW48" s="228">
        <f>'Pilotage effectif 27O'!AZ49</f>
        <v>0</v>
      </c>
      <c r="AX48" s="228">
        <f>'Pilotage effectif 27O'!BA49</f>
        <v>0</v>
      </c>
      <c r="AY48" s="228">
        <f>'Pilotage effectif 27O'!BB49</f>
        <v>0</v>
      </c>
      <c r="AZ48" s="228">
        <f>'Pilotage effectif 27O'!BC49</f>
        <v>0</v>
      </c>
      <c r="BA48" s="303">
        <f>'Pilotage effectif 27O'!BD49</f>
        <v>0</v>
      </c>
      <c r="BB48" s="265"/>
      <c r="BC48" s="227">
        <f>'Pilotage effectif 27O'!BF49</f>
        <v>0</v>
      </c>
      <c r="BD48" s="228">
        <f>'Pilotage effectif 27O'!BG49</f>
        <v>0</v>
      </c>
      <c r="BE48" s="228">
        <f>'Pilotage effectif 27O'!BH49</f>
        <v>0</v>
      </c>
      <c r="BF48" s="228">
        <f>'Pilotage effectif 27O'!BI49</f>
        <v>0</v>
      </c>
      <c r="BG48" s="228">
        <f>'Pilotage effectif 27O'!BJ49</f>
        <v>0</v>
      </c>
      <c r="BH48" s="303">
        <f>'Pilotage effectif 27O'!BK49</f>
        <v>0</v>
      </c>
      <c r="BI48" s="265"/>
      <c r="BJ48" s="227">
        <f>'Pilotage effectif 27O'!BM49</f>
        <v>0</v>
      </c>
      <c r="BK48" s="228">
        <f>'Pilotage effectif 27O'!BN49</f>
        <v>0</v>
      </c>
      <c r="BL48" s="228">
        <f>'Pilotage effectif 27O'!BO49</f>
        <v>0</v>
      </c>
      <c r="BM48" s="228">
        <f>'Pilotage effectif 27O'!BP49</f>
        <v>0</v>
      </c>
      <c r="BN48" s="228">
        <f>'Pilotage effectif 27O'!BQ49</f>
        <v>0</v>
      </c>
      <c r="BO48" s="303">
        <f>'Pilotage effectif 27O'!BR49</f>
        <v>0</v>
      </c>
      <c r="BP48" s="265"/>
      <c r="BQ48" s="227">
        <f>'Pilotage effectif 27O'!BT49</f>
        <v>0</v>
      </c>
      <c r="BR48" s="228">
        <f>'Pilotage effectif 27O'!BU49</f>
        <v>0</v>
      </c>
      <c r="BS48" s="228">
        <f>'Pilotage effectif 27O'!BV49</f>
        <v>0</v>
      </c>
      <c r="BT48" s="228">
        <f>'Pilotage effectif 27O'!BW49</f>
        <v>0</v>
      </c>
      <c r="BU48" s="228">
        <f>'Pilotage effectif 27O'!BX49</f>
        <v>0</v>
      </c>
      <c r="BV48" s="303">
        <f>'Pilotage effectif 27O'!BY49</f>
        <v>0</v>
      </c>
      <c r="BW48" s="265"/>
      <c r="BX48" s="227">
        <f>'Pilotage effectif 27O'!CA49</f>
        <v>0</v>
      </c>
      <c r="BY48" s="228">
        <f>'Pilotage effectif 27O'!CB49</f>
        <v>0</v>
      </c>
      <c r="BZ48" s="228">
        <f>'Pilotage effectif 27O'!CC49</f>
        <v>0</v>
      </c>
      <c r="CA48" s="228">
        <f>'Pilotage effectif 27O'!CD49</f>
        <v>0</v>
      </c>
      <c r="CB48" s="228">
        <f>'Pilotage effectif 27O'!CE49</f>
        <v>0</v>
      </c>
      <c r="CC48" s="303">
        <f>'Pilotage effectif 27O'!CF49</f>
        <v>0</v>
      </c>
      <c r="CD48" s="265"/>
      <c r="CE48" s="227">
        <f>'Pilotage effectif 27O'!CH49</f>
        <v>0</v>
      </c>
      <c r="CF48" s="228">
        <f>'Pilotage effectif 27O'!CI49</f>
        <v>0</v>
      </c>
      <c r="CG48" s="228">
        <f>'Pilotage effectif 27O'!CJ49</f>
        <v>0</v>
      </c>
      <c r="CH48" s="228">
        <f>'Pilotage effectif 27O'!CK49</f>
        <v>0</v>
      </c>
      <c r="CI48" s="228">
        <f>'Pilotage effectif 27O'!CL49</f>
        <v>0</v>
      </c>
      <c r="CJ48" s="303">
        <f>'Pilotage effectif 27O'!CM49</f>
        <v>0</v>
      </c>
      <c r="CK48" s="265"/>
      <c r="CL48" s="227">
        <f>'Pilotage effectif 27O'!CO49</f>
        <v>0</v>
      </c>
      <c r="CM48" s="228">
        <f>'Pilotage effectif 27O'!CP49</f>
        <v>0</v>
      </c>
      <c r="CN48" s="228">
        <f>'Pilotage effectif 27O'!CQ49</f>
        <v>0</v>
      </c>
      <c r="CO48" s="228">
        <f>'Pilotage effectif 27O'!CR49</f>
        <v>0</v>
      </c>
      <c r="CP48" s="228">
        <f>'Pilotage effectif 27O'!CS49</f>
        <v>0</v>
      </c>
      <c r="CQ48" s="303">
        <f>'Pilotage effectif 27O'!CT49</f>
        <v>0</v>
      </c>
      <c r="CR48" s="265"/>
      <c r="CS48" s="227">
        <f>'Pilotage effectif 27O'!CV49</f>
        <v>0</v>
      </c>
      <c r="CT48" s="228">
        <f>'Pilotage effectif 27O'!CW49</f>
        <v>0</v>
      </c>
      <c r="CU48" s="228">
        <f>'Pilotage effectif 27O'!CX49</f>
        <v>0</v>
      </c>
      <c r="CV48" s="228">
        <f>'Pilotage effectif 27O'!CY49</f>
        <v>0</v>
      </c>
      <c r="CW48" s="228">
        <f>'Pilotage effectif 27O'!CZ49</f>
        <v>0</v>
      </c>
      <c r="CX48" s="303">
        <f>'Pilotage effectif 27O'!DA49</f>
        <v>0</v>
      </c>
      <c r="CY48" s="265"/>
      <c r="CZ48" s="227">
        <f>'Pilotage effectif 27O'!DC49</f>
        <v>0</v>
      </c>
      <c r="DA48" s="228">
        <f>'Pilotage effectif 27O'!DD49</f>
        <v>0</v>
      </c>
      <c r="DB48" s="228">
        <f>'Pilotage effectif 27O'!DE49</f>
        <v>0</v>
      </c>
      <c r="DC48" s="228">
        <f>'Pilotage effectif 27O'!DF49</f>
        <v>0</v>
      </c>
      <c r="DD48" s="228">
        <f>'Pilotage effectif 27O'!DG49</f>
        <v>0</v>
      </c>
      <c r="DE48" s="303">
        <f>'Pilotage effectif 27O'!DH49</f>
        <v>0</v>
      </c>
      <c r="DF48" s="265"/>
      <c r="DG48" s="227">
        <f>'Pilotage effectif 27O'!DJ49</f>
        <v>0</v>
      </c>
      <c r="DH48" s="228">
        <f>'Pilotage effectif 27O'!DK49</f>
        <v>0</v>
      </c>
      <c r="DI48" s="228">
        <f>'Pilotage effectif 27O'!DL49</f>
        <v>0</v>
      </c>
      <c r="DJ48" s="228">
        <f>'Pilotage effectif 27O'!DM49</f>
        <v>0</v>
      </c>
      <c r="DK48" s="228">
        <f>'Pilotage effectif 27O'!DN49</f>
        <v>0</v>
      </c>
      <c r="DL48" s="303">
        <f>'Pilotage effectif 27O'!DO49</f>
        <v>0</v>
      </c>
      <c r="DM48" s="265"/>
      <c r="DN48" s="227">
        <f>'Pilotage effectif 27O'!DQ49</f>
        <v>0</v>
      </c>
      <c r="DO48" s="228">
        <f>'Pilotage effectif 27O'!DR49</f>
        <v>0</v>
      </c>
      <c r="DP48" s="228">
        <f>'Pilotage effectif 27O'!DS49</f>
        <v>0</v>
      </c>
      <c r="DQ48" s="228">
        <f>'Pilotage effectif 27O'!DT49</f>
        <v>0</v>
      </c>
      <c r="DR48" s="228">
        <f>'Pilotage effectif 27O'!DU49</f>
        <v>0</v>
      </c>
      <c r="DS48" s="303">
        <f>'Pilotage effectif 27O'!DV49</f>
        <v>0</v>
      </c>
      <c r="DT48" s="265"/>
      <c r="DU48" s="227">
        <f>'Pilotage effectif 27O'!DX49</f>
        <v>0</v>
      </c>
      <c r="DV48" s="228">
        <f>'Pilotage effectif 27O'!DY49</f>
        <v>0</v>
      </c>
      <c r="DW48" s="228">
        <f>'Pilotage effectif 27O'!DZ49</f>
        <v>0</v>
      </c>
      <c r="DX48" s="228">
        <f>'Pilotage effectif 27O'!EA49</f>
        <v>0</v>
      </c>
      <c r="DY48" s="228">
        <f>'Pilotage effectif 27O'!EB49</f>
        <v>0</v>
      </c>
      <c r="DZ48" s="303">
        <f>'Pilotage effectif 27O'!EC49</f>
        <v>0</v>
      </c>
      <c r="EA48" s="265"/>
      <c r="EB48" s="227">
        <f>'Pilotage effectif 27O'!EE49</f>
        <v>0</v>
      </c>
      <c r="EC48" s="228">
        <f>'Pilotage effectif 27O'!EF49</f>
        <v>0</v>
      </c>
      <c r="ED48" s="228">
        <f>'Pilotage effectif 27O'!EG49</f>
        <v>0</v>
      </c>
      <c r="EE48" s="228">
        <f>'Pilotage effectif 27O'!EH49</f>
        <v>0</v>
      </c>
      <c r="EF48" s="228">
        <f>'Pilotage effectif 27O'!EI49</f>
        <v>0</v>
      </c>
      <c r="EG48" s="303">
        <f>'Pilotage effectif 27O'!EJ49</f>
        <v>0</v>
      </c>
      <c r="EH48" s="265"/>
      <c r="EI48" s="227">
        <f>'Pilotage effectif 27O'!EL49</f>
        <v>0</v>
      </c>
      <c r="EJ48" s="228">
        <f>'Pilotage effectif 27O'!EM49</f>
        <v>0</v>
      </c>
      <c r="EK48" s="228">
        <f>'Pilotage effectif 27O'!EN49</f>
        <v>0</v>
      </c>
      <c r="EL48" s="228">
        <f>'Pilotage effectif 27O'!EO49</f>
        <v>0</v>
      </c>
      <c r="EM48" s="228">
        <f>'Pilotage effectif 27O'!EP49</f>
        <v>0</v>
      </c>
      <c r="EN48" s="303">
        <f>'Pilotage effectif 27O'!EQ49</f>
        <v>0</v>
      </c>
      <c r="EO48" s="265"/>
      <c r="EP48" s="227">
        <f>'Pilotage effectif 27O'!ES49</f>
        <v>0</v>
      </c>
      <c r="EQ48" s="228">
        <f>'Pilotage effectif 27O'!ET49</f>
        <v>0</v>
      </c>
      <c r="ER48" s="228">
        <f>'Pilotage effectif 27O'!EU49</f>
        <v>0</v>
      </c>
      <c r="ES48" s="228">
        <f>'Pilotage effectif 27O'!EV49</f>
        <v>0</v>
      </c>
      <c r="ET48" s="228">
        <f>'Pilotage effectif 27O'!EW49</f>
        <v>0</v>
      </c>
      <c r="EU48" s="303">
        <f>'Pilotage effectif 27O'!EX49</f>
        <v>0</v>
      </c>
      <c r="EV48" s="265"/>
      <c r="EW48" s="227">
        <f>'Pilotage effectif 27O'!EZ49</f>
        <v>0</v>
      </c>
      <c r="EX48" s="228">
        <f>'Pilotage effectif 27O'!FA49</f>
        <v>0</v>
      </c>
      <c r="EY48" s="228">
        <f>'Pilotage effectif 27O'!FB49</f>
        <v>0</v>
      </c>
      <c r="EZ48" s="228">
        <f>'Pilotage effectif 27O'!FC49</f>
        <v>0</v>
      </c>
      <c r="FA48" s="228">
        <f>'Pilotage effectif 27O'!FD49</f>
        <v>0</v>
      </c>
      <c r="FB48" s="303">
        <f>'Pilotage effectif 27O'!FE49</f>
        <v>0</v>
      </c>
      <c r="FC48" s="265"/>
      <c r="FD48" s="227">
        <f>'Pilotage effectif 27O'!FG49</f>
        <v>0</v>
      </c>
      <c r="FE48" s="228">
        <f>'Pilotage effectif 27O'!FH49</f>
        <v>0</v>
      </c>
      <c r="FF48" s="228">
        <f>'Pilotage effectif 27O'!FI49</f>
        <v>0</v>
      </c>
      <c r="FG48" s="228">
        <f>'Pilotage effectif 27O'!FJ49</f>
        <v>0</v>
      </c>
      <c r="FH48" s="228">
        <f>'Pilotage effectif 27O'!FK49</f>
        <v>0</v>
      </c>
      <c r="FI48" s="303">
        <f>'Pilotage effectif 27O'!FL49</f>
        <v>0</v>
      </c>
      <c r="FJ48" s="265"/>
      <c r="FK48" s="227">
        <f>'Pilotage effectif 27O'!FN49</f>
        <v>0</v>
      </c>
      <c r="FL48" s="228">
        <f>'Pilotage effectif 27O'!FO49</f>
        <v>0</v>
      </c>
      <c r="FM48" s="228">
        <f>'Pilotage effectif 27O'!FP49</f>
        <v>0</v>
      </c>
      <c r="FN48" s="228">
        <f>'Pilotage effectif 27O'!FQ49</f>
        <v>0</v>
      </c>
      <c r="FO48" s="228">
        <f>'Pilotage effectif 27O'!FR49</f>
        <v>0</v>
      </c>
      <c r="FP48" s="303">
        <f>'Pilotage effectif 27O'!FS49</f>
        <v>0</v>
      </c>
      <c r="FQ48" s="265"/>
      <c r="FR48" s="227">
        <f>'Pilotage effectif 27O'!FU49</f>
        <v>0</v>
      </c>
      <c r="FS48" s="228">
        <f>'Pilotage effectif 27O'!FV49</f>
        <v>0</v>
      </c>
      <c r="FT48" s="228">
        <f>'Pilotage effectif 27O'!FW49</f>
        <v>0</v>
      </c>
      <c r="FU48" s="228">
        <f>'Pilotage effectif 27O'!FX49</f>
        <v>0</v>
      </c>
      <c r="FV48" s="228">
        <f>'Pilotage effectif 27O'!FY49</f>
        <v>0</v>
      </c>
      <c r="FW48" s="303">
        <f>'Pilotage effectif 27O'!FZ49</f>
        <v>0</v>
      </c>
      <c r="FX48" s="265"/>
      <c r="FY48" s="227">
        <f>'Pilotage effectif 27O'!GB49</f>
        <v>0</v>
      </c>
      <c r="FZ48" s="228">
        <f>'Pilotage effectif 27O'!GC49</f>
        <v>0</v>
      </c>
      <c r="GA48" s="228">
        <f>'Pilotage effectif 27O'!GD49</f>
        <v>0</v>
      </c>
      <c r="GB48" s="228">
        <f>'Pilotage effectif 27O'!GE49</f>
        <v>0</v>
      </c>
      <c r="GC48" s="228">
        <f>'Pilotage effectif 27O'!GF49</f>
        <v>0</v>
      </c>
      <c r="GD48" s="303">
        <f>'Pilotage effectif 27O'!GG49</f>
        <v>0</v>
      </c>
      <c r="GE48" s="265"/>
      <c r="GF48" s="227">
        <f>'Pilotage effectif 27O'!GI49</f>
        <v>0</v>
      </c>
      <c r="GG48" s="228">
        <f>'Pilotage effectif 27O'!GJ49</f>
        <v>0</v>
      </c>
      <c r="GH48" s="228">
        <f>'Pilotage effectif 27O'!GK49</f>
        <v>0</v>
      </c>
      <c r="GI48" s="228">
        <f>'Pilotage effectif 27O'!GL49</f>
        <v>0</v>
      </c>
      <c r="GJ48" s="228">
        <f>'Pilotage effectif 27O'!GM49</f>
        <v>0</v>
      </c>
      <c r="GK48" s="303">
        <f>'Pilotage effectif 27O'!GN49</f>
        <v>0</v>
      </c>
      <c r="GL48" s="265"/>
      <c r="GM48" s="227">
        <f>'Pilotage effectif 27O'!GP49</f>
        <v>0</v>
      </c>
      <c r="GN48" s="228">
        <f>'Pilotage effectif 27O'!GQ49</f>
        <v>0</v>
      </c>
      <c r="GO48" s="228">
        <f>'Pilotage effectif 27O'!GR49</f>
        <v>0</v>
      </c>
      <c r="GP48" s="228">
        <f>'Pilotage effectif 27O'!GS49</f>
        <v>0</v>
      </c>
      <c r="GQ48" s="228">
        <f>'Pilotage effectif 27O'!GT49</f>
        <v>0</v>
      </c>
      <c r="GR48" s="303">
        <f>'Pilotage effectif 27O'!GU49</f>
        <v>0</v>
      </c>
      <c r="GS48" s="265"/>
      <c r="GT48" s="227">
        <f>'Pilotage effectif 27O'!GW49</f>
        <v>0</v>
      </c>
      <c r="GU48" s="228">
        <f>'Pilotage effectif 27O'!GX49</f>
        <v>0</v>
      </c>
      <c r="GV48" s="228">
        <f>'Pilotage effectif 27O'!GY49</f>
        <v>0</v>
      </c>
      <c r="GW48" s="228">
        <f>'Pilotage effectif 27O'!GZ49</f>
        <v>0</v>
      </c>
      <c r="GX48" s="228">
        <f>'Pilotage effectif 27O'!HA49</f>
        <v>0</v>
      </c>
      <c r="GY48" s="303">
        <f>'Pilotage effectif 27O'!HB49</f>
        <v>0</v>
      </c>
      <c r="GZ48" s="283"/>
      <c r="HA48" s="227">
        <f>'Pilotage effectif 27O'!HD49</f>
        <v>0</v>
      </c>
      <c r="HB48" s="228">
        <f>'Pilotage effectif 27O'!HE49</f>
        <v>0</v>
      </c>
      <c r="HC48" s="228">
        <f>'Pilotage effectif 27O'!HF49</f>
        <v>0</v>
      </c>
      <c r="HD48" s="228">
        <f>'Pilotage effectif 27O'!HG49</f>
        <v>0</v>
      </c>
      <c r="HE48" s="228">
        <f>'Pilotage effectif 27O'!HH49</f>
        <v>0</v>
      </c>
      <c r="HF48" s="303">
        <f>'Pilotage effectif 27O'!HI49</f>
        <v>0</v>
      </c>
      <c r="HG48" s="265"/>
      <c r="HH48" s="227">
        <f>'Pilotage effectif 27O'!HK49</f>
        <v>1</v>
      </c>
      <c r="HI48" s="228">
        <f>'Pilotage effectif 27O'!HL49</f>
        <v>1</v>
      </c>
      <c r="HJ48" s="228">
        <f>'Pilotage effectif 27O'!HM49</f>
        <v>1</v>
      </c>
      <c r="HK48" s="228">
        <f>'Pilotage effectif 27O'!HN49</f>
        <v>1</v>
      </c>
      <c r="HL48" s="228">
        <f>'Pilotage effectif 27O'!HO49</f>
        <v>1</v>
      </c>
      <c r="HM48" s="303">
        <f>'Pilotage effectif 27O'!HP49</f>
        <v>5</v>
      </c>
      <c r="HN48" s="265"/>
      <c r="HO48" s="227">
        <f>'Pilotage effectif 27O'!HR49</f>
        <v>0</v>
      </c>
      <c r="HP48" s="228">
        <f>'Pilotage effectif 27O'!HS49</f>
        <v>0</v>
      </c>
      <c r="HQ48" s="228">
        <f>'Pilotage effectif 27O'!HT49</f>
        <v>0</v>
      </c>
      <c r="HR48" s="228">
        <f>'Pilotage effectif 27O'!HU49</f>
        <v>0</v>
      </c>
      <c r="HS48" s="228">
        <f>'Pilotage effectif 27O'!HV49</f>
        <v>0</v>
      </c>
      <c r="HT48" s="303">
        <f>'Pilotage effectif 27O'!HW49</f>
        <v>0</v>
      </c>
      <c r="HU48" s="265"/>
      <c r="HV48" s="227">
        <f>'Pilotage effectif 27O'!HY49</f>
        <v>0</v>
      </c>
      <c r="HW48" s="228">
        <f>'Pilotage effectif 27O'!HZ49</f>
        <v>0</v>
      </c>
      <c r="HX48" s="228">
        <f>'Pilotage effectif 27O'!IA49</f>
        <v>0</v>
      </c>
      <c r="HY48" s="228">
        <f>'Pilotage effectif 27O'!IB49</f>
        <v>0</v>
      </c>
      <c r="HZ48" s="228">
        <f>'Pilotage effectif 27O'!IC49</f>
        <v>0</v>
      </c>
      <c r="IA48" s="303">
        <f>'Pilotage effectif 27O'!ID49</f>
        <v>0</v>
      </c>
      <c r="IB48" s="265"/>
      <c r="IC48" s="227">
        <f>'Pilotage effectif 27O'!IF49</f>
        <v>0</v>
      </c>
      <c r="ID48" s="228">
        <f>'Pilotage effectif 27O'!IG49</f>
        <v>0</v>
      </c>
      <c r="IE48" s="228">
        <f>'Pilotage effectif 27O'!IH49</f>
        <v>0</v>
      </c>
      <c r="IF48" s="228">
        <f>'Pilotage effectif 27O'!II49</f>
        <v>0</v>
      </c>
      <c r="IG48" s="228">
        <f>'Pilotage effectif 27O'!IJ49</f>
        <v>0</v>
      </c>
      <c r="IH48" s="303">
        <f>'Pilotage effectif 27O'!IK49</f>
        <v>0</v>
      </c>
      <c r="II48" s="265"/>
      <c r="IJ48" s="227">
        <f>'Pilotage effectif 27O'!IM49</f>
        <v>0</v>
      </c>
      <c r="IK48" s="228">
        <f>'Pilotage effectif 27O'!IN49</f>
        <v>0</v>
      </c>
      <c r="IL48" s="228">
        <f>'Pilotage effectif 27O'!IO49</f>
        <v>0</v>
      </c>
      <c r="IM48" s="228">
        <f>'Pilotage effectif 27O'!IP49</f>
        <v>0</v>
      </c>
      <c r="IN48" s="228">
        <f>'Pilotage effectif 27O'!IQ49</f>
        <v>0</v>
      </c>
      <c r="IO48" s="303">
        <f>'Pilotage effectif 27O'!IR49</f>
        <v>0</v>
      </c>
      <c r="IP48" s="265"/>
      <c r="IQ48" s="227">
        <f>'Pilotage effectif 27O'!IT49</f>
        <v>0</v>
      </c>
      <c r="IR48" s="228">
        <f>'Pilotage effectif 27O'!IU49</f>
        <v>0</v>
      </c>
      <c r="IS48" s="228">
        <f>'Pilotage effectif 27O'!IV49</f>
        <v>0</v>
      </c>
      <c r="IT48" s="228">
        <f>'Pilotage effectif 27O'!IW49</f>
        <v>0</v>
      </c>
      <c r="IU48" s="228">
        <f>'Pilotage effectif 27O'!IX49</f>
        <v>0</v>
      </c>
      <c r="IV48" s="303">
        <f>'Pilotage effectif 27O'!IY49</f>
        <v>0</v>
      </c>
      <c r="IW48" s="265"/>
      <c r="IX48" s="227">
        <f>'Pilotage effectif 27O'!JA49</f>
        <v>0</v>
      </c>
      <c r="IY48" s="228">
        <f>'Pilotage effectif 27O'!JB49</f>
        <v>0</v>
      </c>
      <c r="IZ48" s="228">
        <f>'Pilotage effectif 27O'!JC49</f>
        <v>0</v>
      </c>
      <c r="JA48" s="228">
        <f>'Pilotage effectif 27O'!JD49</f>
        <v>0</v>
      </c>
      <c r="JB48" s="228">
        <f>'Pilotage effectif 27O'!JE49</f>
        <v>0</v>
      </c>
      <c r="JC48" s="303">
        <f>'Pilotage effectif 27O'!JF49</f>
        <v>0</v>
      </c>
      <c r="JD48" s="265"/>
      <c r="JE48" s="227">
        <f>'Pilotage effectif 27O'!JH49</f>
        <v>0</v>
      </c>
      <c r="JF48" s="228">
        <f>'Pilotage effectif 27O'!JI49</f>
        <v>0</v>
      </c>
      <c r="JG48" s="228">
        <f>'Pilotage effectif 27O'!JJ49</f>
        <v>0</v>
      </c>
      <c r="JH48" s="228">
        <f>'Pilotage effectif 27O'!JK49</f>
        <v>0</v>
      </c>
      <c r="JI48" s="228">
        <f>'Pilotage effectif 27O'!JL49</f>
        <v>0</v>
      </c>
      <c r="JJ48" s="303">
        <f>'Pilotage effectif 27O'!JM49</f>
        <v>0</v>
      </c>
      <c r="JK48" s="265"/>
      <c r="JL48" s="227">
        <f>'Pilotage effectif 27O'!JO49</f>
        <v>0</v>
      </c>
      <c r="JM48" s="228">
        <f>'Pilotage effectif 27O'!JP49</f>
        <v>0</v>
      </c>
      <c r="JN48" s="228">
        <f>'Pilotage effectif 27O'!JQ49</f>
        <v>0</v>
      </c>
      <c r="JO48" s="228">
        <f>'Pilotage effectif 27O'!JR49</f>
        <v>0</v>
      </c>
      <c r="JP48" s="228">
        <f>'Pilotage effectif 27O'!JS49</f>
        <v>0</v>
      </c>
      <c r="JQ48" s="303">
        <f>'Pilotage effectif 27O'!JT49</f>
        <v>0</v>
      </c>
      <c r="JR48" s="265"/>
      <c r="JS48" s="227">
        <f>'Pilotage effectif 27O'!JV49</f>
        <v>0</v>
      </c>
      <c r="JT48" s="228">
        <f>'Pilotage effectif 27O'!JW49</f>
        <v>0</v>
      </c>
      <c r="JU48" s="228">
        <f>'Pilotage effectif 27O'!JX49</f>
        <v>0</v>
      </c>
      <c r="JV48" s="228">
        <f>'Pilotage effectif 27O'!JY49</f>
        <v>0</v>
      </c>
      <c r="JW48" s="228">
        <f>'Pilotage effectif 27O'!JZ49</f>
        <v>0</v>
      </c>
      <c r="JX48" s="303">
        <f>'Pilotage effectif 27O'!KA49</f>
        <v>0</v>
      </c>
      <c r="JY48" s="265"/>
      <c r="JZ48" s="227">
        <f>'Pilotage effectif 27O'!KC49</f>
        <v>0</v>
      </c>
      <c r="KA48" s="228">
        <f>'Pilotage effectif 27O'!KD49</f>
        <v>0</v>
      </c>
      <c r="KB48" s="228">
        <f>'Pilotage effectif 27O'!KE49</f>
        <v>0</v>
      </c>
      <c r="KC48" s="228">
        <f>'Pilotage effectif 27O'!KF49</f>
        <v>0</v>
      </c>
      <c r="KD48" s="228">
        <f>'Pilotage effectif 27O'!KG49</f>
        <v>0</v>
      </c>
      <c r="KE48" s="303">
        <f>'Pilotage effectif 27O'!KH49</f>
        <v>0</v>
      </c>
      <c r="KF48" s="265"/>
      <c r="KG48" s="227">
        <f>'Pilotage effectif 27O'!KJ49</f>
        <v>0</v>
      </c>
      <c r="KH48" s="228">
        <f>'Pilotage effectif 27O'!KK49</f>
        <v>0</v>
      </c>
      <c r="KI48" s="228">
        <f>'Pilotage effectif 27O'!KL49</f>
        <v>0</v>
      </c>
      <c r="KJ48" s="228">
        <f>'Pilotage effectif 27O'!KM49</f>
        <v>0</v>
      </c>
      <c r="KK48" s="228">
        <f>'Pilotage effectif 27O'!KN49</f>
        <v>0</v>
      </c>
      <c r="KL48" s="303">
        <f>'Pilotage effectif 27O'!KO49</f>
        <v>0</v>
      </c>
      <c r="KM48" s="265"/>
      <c r="KN48" s="227">
        <f>'Pilotage effectif 27O'!KQ49</f>
        <v>0</v>
      </c>
      <c r="KO48" s="228">
        <f>'Pilotage effectif 27O'!KR49</f>
        <v>0</v>
      </c>
      <c r="KP48" s="228">
        <f>'Pilotage effectif 27O'!KS49</f>
        <v>0</v>
      </c>
      <c r="KQ48" s="228">
        <f>'Pilotage effectif 27O'!KT49</f>
        <v>0</v>
      </c>
      <c r="KR48" s="228">
        <f>'Pilotage effectif 27O'!KU49</f>
        <v>0</v>
      </c>
      <c r="KS48" s="303">
        <f>'Pilotage effectif 27O'!KV49</f>
        <v>0</v>
      </c>
      <c r="KT48" s="265"/>
      <c r="KU48" s="227">
        <f>'Pilotage effectif 27O'!KX49</f>
        <v>0</v>
      </c>
      <c r="KV48" s="228">
        <f>'Pilotage effectif 27O'!KY49</f>
        <v>0</v>
      </c>
      <c r="KW48" s="228">
        <f>'Pilotage effectif 27O'!KZ49</f>
        <v>0</v>
      </c>
      <c r="KX48" s="228">
        <f>'Pilotage effectif 27O'!LA49</f>
        <v>0</v>
      </c>
      <c r="KY48" s="228">
        <f>'Pilotage effectif 27O'!LB49</f>
        <v>0</v>
      </c>
      <c r="KZ48" s="303">
        <f>'Pilotage effectif 27O'!LC49</f>
        <v>0</v>
      </c>
      <c r="LA48" s="265"/>
      <c r="LB48" s="227">
        <f>'Pilotage effectif 27O'!LE49</f>
        <v>0</v>
      </c>
      <c r="LC48" s="228">
        <f>'Pilotage effectif 27O'!LF49</f>
        <v>0</v>
      </c>
      <c r="LD48" s="228">
        <f>'Pilotage effectif 27O'!LG49</f>
        <v>0</v>
      </c>
      <c r="LE48" s="228">
        <f>'Pilotage effectif 27O'!LH49</f>
        <v>0</v>
      </c>
      <c r="LF48" s="228">
        <f>'Pilotage effectif 27O'!LI49</f>
        <v>0</v>
      </c>
      <c r="LG48" s="303">
        <f>'Pilotage effectif 27O'!LJ49</f>
        <v>0</v>
      </c>
      <c r="LH48" s="265"/>
      <c r="LI48" s="227">
        <f>'Pilotage effectif 27O'!LL49</f>
        <v>0</v>
      </c>
      <c r="LJ48" s="228">
        <f>'Pilotage effectif 27O'!LM49</f>
        <v>0</v>
      </c>
      <c r="LK48" s="228">
        <f>'Pilotage effectif 27O'!LN49</f>
        <v>0</v>
      </c>
      <c r="LL48" s="228">
        <f>'Pilotage effectif 27O'!LO49</f>
        <v>0</v>
      </c>
      <c r="LM48" s="228">
        <f>'Pilotage effectif 27O'!LP49</f>
        <v>0</v>
      </c>
      <c r="LN48" s="303">
        <f>'Pilotage effectif 27O'!LQ49</f>
        <v>0</v>
      </c>
      <c r="LO48" s="265"/>
      <c r="LP48" s="227">
        <f>'Pilotage effectif 27O'!LS49</f>
        <v>0</v>
      </c>
      <c r="LQ48" s="228">
        <f>'Pilotage effectif 27O'!LT49</f>
        <v>0</v>
      </c>
      <c r="LR48" s="228">
        <f>'Pilotage effectif 27O'!LU49</f>
        <v>0</v>
      </c>
      <c r="LS48" s="228">
        <f>'Pilotage effectif 27O'!LV49</f>
        <v>0</v>
      </c>
      <c r="LT48" s="228">
        <f>'Pilotage effectif 27O'!LW49</f>
        <v>0</v>
      </c>
      <c r="LU48" s="303">
        <f>'Pilotage effectif 27O'!LX49</f>
        <v>0</v>
      </c>
      <c r="LV48" s="265"/>
      <c r="LW48" s="227">
        <f>'Pilotage effectif 27O'!LZ49</f>
        <v>0</v>
      </c>
      <c r="LX48" s="228">
        <f>'Pilotage effectif 27O'!MA49</f>
        <v>0</v>
      </c>
      <c r="LY48" s="228">
        <f>'Pilotage effectif 27O'!MB49</f>
        <v>0</v>
      </c>
      <c r="LZ48" s="228">
        <f>'Pilotage effectif 27O'!MC49</f>
        <v>0</v>
      </c>
      <c r="MA48" s="228">
        <f>'Pilotage effectif 27O'!MD49</f>
        <v>0</v>
      </c>
      <c r="MB48" s="303">
        <f>'Pilotage effectif 27O'!ME49</f>
        <v>0</v>
      </c>
      <c r="MC48" s="265"/>
      <c r="MD48" s="227">
        <f>'Pilotage effectif 27O'!MG49</f>
        <v>0</v>
      </c>
      <c r="ME48" s="228">
        <f>'Pilotage effectif 27O'!MH49</f>
        <v>0</v>
      </c>
      <c r="MF48" s="228">
        <f>'Pilotage effectif 27O'!MI49</f>
        <v>0</v>
      </c>
      <c r="MG48" s="228">
        <f>'Pilotage effectif 27O'!MJ49</f>
        <v>0</v>
      </c>
      <c r="MH48" s="228">
        <f>'Pilotage effectif 27O'!MK49</f>
        <v>0</v>
      </c>
      <c r="MI48" s="303">
        <f>'Pilotage effectif 27O'!ML49</f>
        <v>0</v>
      </c>
      <c r="MJ48" s="265"/>
      <c r="MK48" s="227">
        <f>'Pilotage effectif 27O'!MN49</f>
        <v>0</v>
      </c>
      <c r="ML48" s="228">
        <f>'Pilotage effectif 27O'!MO49</f>
        <v>0</v>
      </c>
      <c r="MM48" s="228">
        <f>'Pilotage effectif 27O'!MP49</f>
        <v>0</v>
      </c>
      <c r="MN48" s="228">
        <f>'Pilotage effectif 27O'!MQ49</f>
        <v>0</v>
      </c>
      <c r="MO48" s="228">
        <f>'Pilotage effectif 27O'!MR49</f>
        <v>0</v>
      </c>
      <c r="MP48" s="303">
        <f>'Pilotage effectif 27O'!MS49</f>
        <v>0</v>
      </c>
      <c r="MQ48" s="265"/>
      <c r="MR48" s="227">
        <f>'Pilotage effectif 27O'!MU49</f>
        <v>0</v>
      </c>
      <c r="MS48" s="228">
        <f>'Pilotage effectif 27O'!MV49</f>
        <v>0</v>
      </c>
      <c r="MT48" s="228">
        <f>'Pilotage effectif 27O'!MW49</f>
        <v>0</v>
      </c>
      <c r="MU48" s="228">
        <f>'Pilotage effectif 27O'!MX49</f>
        <v>0</v>
      </c>
      <c r="MV48" s="228">
        <f>'Pilotage effectif 27O'!MY49</f>
        <v>0</v>
      </c>
      <c r="MW48" s="303">
        <f>'Pilotage effectif 27O'!MZ49</f>
        <v>0</v>
      </c>
      <c r="MX48" s="265"/>
      <c r="MY48" s="227">
        <f>'Pilotage effectif 27O'!NB49</f>
        <v>0</v>
      </c>
      <c r="MZ48" s="228">
        <f>'Pilotage effectif 27O'!NC49</f>
        <v>0</v>
      </c>
      <c r="NA48" s="228">
        <f>'Pilotage effectif 27O'!ND49</f>
        <v>0</v>
      </c>
      <c r="NB48" s="228">
        <f>'Pilotage effectif 27O'!NE49</f>
        <v>0</v>
      </c>
      <c r="NC48" s="228">
        <f>'Pilotage effectif 27O'!NF49</f>
        <v>0</v>
      </c>
      <c r="ND48" s="303">
        <f>'Pilotage effectif 27O'!NG49</f>
        <v>0</v>
      </c>
      <c r="NE48" s="265"/>
      <c r="NF48" s="227">
        <f>'Pilotage effectif 27O'!NI49</f>
        <v>0</v>
      </c>
      <c r="NG48" s="228">
        <f>'Pilotage effectif 27O'!NJ49</f>
        <v>0</v>
      </c>
      <c r="NH48" s="228">
        <f>'Pilotage effectif 27O'!NK49</f>
        <v>0</v>
      </c>
      <c r="NI48" s="228">
        <f>'Pilotage effectif 27O'!NL49</f>
        <v>0</v>
      </c>
      <c r="NJ48" s="228">
        <f>'Pilotage effectif 27O'!NM49</f>
        <v>0</v>
      </c>
      <c r="NK48" s="303">
        <f>'Pilotage effectif 27O'!NN49</f>
        <v>0</v>
      </c>
      <c r="NL48" s="265"/>
      <c r="NM48" s="227">
        <f>'Pilotage effectif 27O'!NP49</f>
        <v>0</v>
      </c>
      <c r="NN48" s="228">
        <f>'Pilotage effectif 27O'!NQ49</f>
        <v>0</v>
      </c>
      <c r="NO48" s="228">
        <f>'Pilotage effectif 27O'!NR49</f>
        <v>0</v>
      </c>
      <c r="NP48" s="228">
        <f>'Pilotage effectif 27O'!NS49</f>
        <v>0</v>
      </c>
      <c r="NQ48" s="228">
        <f>'Pilotage effectif 27O'!NT49</f>
        <v>0</v>
      </c>
      <c r="NR48" s="303">
        <f>'Pilotage effectif 27O'!NU49</f>
        <v>0</v>
      </c>
      <c r="NS48" s="283"/>
    </row>
    <row r="49" spans="1:383" s="196" customFormat="1" ht="16.05" customHeight="1" thickBot="1" x14ac:dyDescent="0.35">
      <c r="A49" s="294"/>
      <c r="B49" s="288"/>
      <c r="C49" s="289" t="s">
        <v>690</v>
      </c>
      <c r="D49" s="306"/>
      <c r="E49"/>
      <c r="F49" s="292">
        <f t="shared" ref="F49:K49" si="216">IF(F47&lt;&gt;"",IF(F48-F47&gt;0,"+"&amp;F48-F47,F48-F47),"-")</f>
        <v>-1</v>
      </c>
      <c r="G49" s="293">
        <f t="shared" si="216"/>
        <v>-1</v>
      </c>
      <c r="H49" s="293">
        <f t="shared" si="216"/>
        <v>-1</v>
      </c>
      <c r="I49" s="293">
        <f t="shared" si="216"/>
        <v>-1</v>
      </c>
      <c r="J49" s="293">
        <f t="shared" si="216"/>
        <v>-1</v>
      </c>
      <c r="K49" s="304">
        <f t="shared" si="216"/>
        <v>-5</v>
      </c>
      <c r="L49" s="265"/>
      <c r="M49" s="292" t="str">
        <f t="shared" ref="M49:R49" si="217">IF(M47&lt;&gt;"",IF(M48-M47&gt;0,"+"&amp;M48-M47,M48-M47),"-")</f>
        <v>-</v>
      </c>
      <c r="N49" s="293" t="str">
        <f t="shared" si="217"/>
        <v>-</v>
      </c>
      <c r="O49" s="293" t="str">
        <f t="shared" si="217"/>
        <v>-</v>
      </c>
      <c r="P49" s="293" t="str">
        <f t="shared" si="217"/>
        <v>-</v>
      </c>
      <c r="Q49" s="293" t="str">
        <f t="shared" si="217"/>
        <v>-</v>
      </c>
      <c r="R49" s="304">
        <f t="shared" si="217"/>
        <v>0</v>
      </c>
      <c r="S49" s="265"/>
      <c r="T49" s="292" t="str">
        <f t="shared" ref="T49:Y49" si="218">IF(T47&lt;&gt;"",IF(T48-T47&gt;0,"+"&amp;T48-T47,T48-T47),"-")</f>
        <v>-</v>
      </c>
      <c r="U49" s="293" t="str">
        <f t="shared" si="218"/>
        <v>-</v>
      </c>
      <c r="V49" s="293" t="str">
        <f t="shared" si="218"/>
        <v>-</v>
      </c>
      <c r="W49" s="293" t="str">
        <f t="shared" si="218"/>
        <v>-</v>
      </c>
      <c r="X49" s="293" t="str">
        <f t="shared" si="218"/>
        <v>-</v>
      </c>
      <c r="Y49" s="304">
        <f t="shared" si="218"/>
        <v>0</v>
      </c>
      <c r="Z49" s="265"/>
      <c r="AA49" s="292" t="str">
        <f t="shared" ref="AA49:AF49" si="219">IF(AA47&lt;&gt;"",IF(AA48-AA47&gt;0,"+"&amp;AA48-AA47,AA48-AA47),"-")</f>
        <v>-</v>
      </c>
      <c r="AB49" s="293" t="str">
        <f t="shared" si="219"/>
        <v>-</v>
      </c>
      <c r="AC49" s="293" t="str">
        <f t="shared" si="219"/>
        <v>-</v>
      </c>
      <c r="AD49" s="293" t="str">
        <f t="shared" si="219"/>
        <v>-</v>
      </c>
      <c r="AE49" s="293" t="str">
        <f t="shared" si="219"/>
        <v>-</v>
      </c>
      <c r="AF49" s="304">
        <f t="shared" si="219"/>
        <v>0</v>
      </c>
      <c r="AG49" s="265"/>
      <c r="AH49" s="292" t="str">
        <f t="shared" ref="AH49:AM49" si="220">IF(AH47&lt;&gt;"",IF(AH48-AH47&gt;0,"+"&amp;AH48-AH47,AH48-AH47),"-")</f>
        <v>-</v>
      </c>
      <c r="AI49" s="293" t="str">
        <f t="shared" si="220"/>
        <v>-</v>
      </c>
      <c r="AJ49" s="293" t="str">
        <f t="shared" si="220"/>
        <v>-</v>
      </c>
      <c r="AK49" s="293" t="str">
        <f t="shared" si="220"/>
        <v>-</v>
      </c>
      <c r="AL49" s="293" t="str">
        <f t="shared" si="220"/>
        <v>-</v>
      </c>
      <c r="AM49" s="304">
        <f t="shared" si="220"/>
        <v>0</v>
      </c>
      <c r="AN49" s="265"/>
      <c r="AO49" s="292">
        <f t="shared" ref="AO49:AT49" si="221">IF(AO47&lt;&gt;"",IF(AO48-AO47&gt;0,"+"&amp;AO48-AO47,AO48-AO47),"-")</f>
        <v>0</v>
      </c>
      <c r="AP49" s="293">
        <f t="shared" si="221"/>
        <v>0</v>
      </c>
      <c r="AQ49" s="293">
        <f t="shared" si="221"/>
        <v>0</v>
      </c>
      <c r="AR49" s="293">
        <f t="shared" si="221"/>
        <v>0</v>
      </c>
      <c r="AS49" s="293">
        <f t="shared" si="221"/>
        <v>0</v>
      </c>
      <c r="AT49" s="304">
        <f t="shared" si="221"/>
        <v>0</v>
      </c>
      <c r="AU49" s="265"/>
      <c r="AV49" s="292">
        <f t="shared" ref="AV49:BA49" si="222">IF(AV47&lt;&gt;"",IF(AV48-AV47&gt;0,"+"&amp;AV48-AV47,AV48-AV47),"-")</f>
        <v>-1</v>
      </c>
      <c r="AW49" s="293">
        <f t="shared" si="222"/>
        <v>-1</v>
      </c>
      <c r="AX49" s="293">
        <f t="shared" si="222"/>
        <v>-1</v>
      </c>
      <c r="AY49" s="293">
        <f t="shared" si="222"/>
        <v>-1</v>
      </c>
      <c r="AZ49" s="293">
        <f t="shared" si="222"/>
        <v>-1</v>
      </c>
      <c r="BA49" s="304">
        <f t="shared" si="222"/>
        <v>-5</v>
      </c>
      <c r="BB49" s="265"/>
      <c r="BC49" s="292">
        <f t="shared" ref="BC49:BH49" si="223">IF(BC47&lt;&gt;"",IF(BC48-BC47&gt;0,"+"&amp;BC48-BC47,BC48-BC47),"-")</f>
        <v>-1</v>
      </c>
      <c r="BD49" s="293">
        <f t="shared" si="223"/>
        <v>-1</v>
      </c>
      <c r="BE49" s="293">
        <f t="shared" si="223"/>
        <v>-1</v>
      </c>
      <c r="BF49" s="293">
        <f t="shared" si="223"/>
        <v>-1</v>
      </c>
      <c r="BG49" s="293">
        <f t="shared" si="223"/>
        <v>-1</v>
      </c>
      <c r="BH49" s="304">
        <f t="shared" si="223"/>
        <v>-5</v>
      </c>
      <c r="BI49" s="265"/>
      <c r="BJ49" s="292">
        <f t="shared" ref="BJ49:BO49" si="224">IF(BJ47&lt;&gt;"",IF(BJ48-BJ47&gt;0,"+"&amp;BJ48-BJ47,BJ48-BJ47),"-")</f>
        <v>-1</v>
      </c>
      <c r="BK49" s="293">
        <f t="shared" si="224"/>
        <v>-1</v>
      </c>
      <c r="BL49" s="293">
        <f t="shared" si="224"/>
        <v>-1</v>
      </c>
      <c r="BM49" s="293">
        <f t="shared" si="224"/>
        <v>-1</v>
      </c>
      <c r="BN49" s="293">
        <f t="shared" si="224"/>
        <v>-1</v>
      </c>
      <c r="BO49" s="304">
        <f t="shared" si="224"/>
        <v>-5</v>
      </c>
      <c r="BP49" s="265"/>
      <c r="BQ49" s="292">
        <f t="shared" ref="BQ49:BV49" si="225">IF(BQ47&lt;&gt;"",IF(BQ48-BQ47&gt;0,"+"&amp;BQ48-BQ47,BQ48-BQ47),"-")</f>
        <v>-1</v>
      </c>
      <c r="BR49" s="293">
        <f t="shared" si="225"/>
        <v>-1</v>
      </c>
      <c r="BS49" s="293">
        <f t="shared" si="225"/>
        <v>-1</v>
      </c>
      <c r="BT49" s="293">
        <f t="shared" si="225"/>
        <v>0</v>
      </c>
      <c r="BU49" s="293">
        <f t="shared" si="225"/>
        <v>-1</v>
      </c>
      <c r="BV49" s="304">
        <f t="shared" si="225"/>
        <v>-4</v>
      </c>
      <c r="BW49" s="265"/>
      <c r="BX49" s="292">
        <f t="shared" ref="BX49:CC49" si="226">IF(BX47&lt;&gt;"",IF(BX48-BX47&gt;0,"+"&amp;BX48-BX47,BX48-BX47),"-")</f>
        <v>-1</v>
      </c>
      <c r="BY49" s="293">
        <f t="shared" si="226"/>
        <v>-1</v>
      </c>
      <c r="BZ49" s="293">
        <f t="shared" si="226"/>
        <v>-1</v>
      </c>
      <c r="CA49" s="293">
        <f t="shared" si="226"/>
        <v>-1</v>
      </c>
      <c r="CB49" s="293">
        <f t="shared" si="226"/>
        <v>-1</v>
      </c>
      <c r="CC49" s="304">
        <f t="shared" si="226"/>
        <v>-5</v>
      </c>
      <c r="CD49" s="265"/>
      <c r="CE49" s="292">
        <f t="shared" ref="CE49:CJ49" si="227">IF(CE47&lt;&gt;"",IF(CE48-CE47&gt;0,"+"&amp;CE48-CE47,CE48-CE47),"-")</f>
        <v>-1</v>
      </c>
      <c r="CF49" s="293">
        <f t="shared" si="227"/>
        <v>-1</v>
      </c>
      <c r="CG49" s="293">
        <f t="shared" si="227"/>
        <v>-1</v>
      </c>
      <c r="CH49" s="293">
        <f t="shared" si="227"/>
        <v>-1</v>
      </c>
      <c r="CI49" s="293">
        <f t="shared" si="227"/>
        <v>-1</v>
      </c>
      <c r="CJ49" s="304">
        <f t="shared" si="227"/>
        <v>-5</v>
      </c>
      <c r="CK49" s="265"/>
      <c r="CL49" s="292">
        <f t="shared" ref="CL49:CQ49" si="228">IF(CL47&lt;&gt;"",IF(CL48-CL47&gt;0,"+"&amp;CL48-CL47,CL48-CL47),"-")</f>
        <v>-1</v>
      </c>
      <c r="CM49" s="293">
        <f t="shared" si="228"/>
        <v>-1</v>
      </c>
      <c r="CN49" s="293">
        <f t="shared" si="228"/>
        <v>-1</v>
      </c>
      <c r="CO49" s="293">
        <f t="shared" si="228"/>
        <v>-1</v>
      </c>
      <c r="CP49" s="293">
        <f t="shared" si="228"/>
        <v>-1</v>
      </c>
      <c r="CQ49" s="304">
        <f t="shared" si="228"/>
        <v>-5</v>
      </c>
      <c r="CR49" s="265"/>
      <c r="CS49" s="292">
        <f t="shared" ref="CS49:CX49" si="229">IF(CS47&lt;&gt;"",IF(CS48-CS47&gt;0,"+"&amp;CS48-CS47,CS48-CS47),"-")</f>
        <v>-1</v>
      </c>
      <c r="CT49" s="293">
        <f t="shared" si="229"/>
        <v>-1</v>
      </c>
      <c r="CU49" s="293">
        <f t="shared" si="229"/>
        <v>-1</v>
      </c>
      <c r="CV49" s="293">
        <f t="shared" si="229"/>
        <v>-1</v>
      </c>
      <c r="CW49" s="293">
        <f t="shared" si="229"/>
        <v>-1</v>
      </c>
      <c r="CX49" s="304">
        <f t="shared" si="229"/>
        <v>-5</v>
      </c>
      <c r="CY49" s="265"/>
      <c r="CZ49" s="292">
        <f t="shared" ref="CZ49:DE49" si="230">IF(CZ47&lt;&gt;"",IF(CZ48-CZ47&gt;0,"+"&amp;CZ48-CZ47,CZ48-CZ47),"-")</f>
        <v>-1</v>
      </c>
      <c r="DA49" s="293">
        <f t="shared" si="230"/>
        <v>-1</v>
      </c>
      <c r="DB49" s="293">
        <f t="shared" si="230"/>
        <v>-1</v>
      </c>
      <c r="DC49" s="293">
        <f t="shared" si="230"/>
        <v>-1</v>
      </c>
      <c r="DD49" s="293">
        <f t="shared" si="230"/>
        <v>-1</v>
      </c>
      <c r="DE49" s="304">
        <f t="shared" si="230"/>
        <v>-5</v>
      </c>
      <c r="DF49" s="265"/>
      <c r="DG49" s="292">
        <f t="shared" ref="DG49:DL49" si="231">IF(DG47&lt;&gt;"",IF(DG48-DG47&gt;0,"+"&amp;DG48-DG47,DG48-DG47),"-")</f>
        <v>-1</v>
      </c>
      <c r="DH49" s="293">
        <f t="shared" si="231"/>
        <v>-1</v>
      </c>
      <c r="DI49" s="293">
        <f t="shared" si="231"/>
        <v>-1</v>
      </c>
      <c r="DJ49" s="293">
        <f t="shared" si="231"/>
        <v>-1</v>
      </c>
      <c r="DK49" s="293">
        <f t="shared" si="231"/>
        <v>-1</v>
      </c>
      <c r="DL49" s="304">
        <f t="shared" si="231"/>
        <v>-5</v>
      </c>
      <c r="DM49" s="265"/>
      <c r="DN49" s="292">
        <f t="shared" ref="DN49:DS49" si="232">IF(DN47&lt;&gt;"",IF(DN48-DN47&gt;0,"+"&amp;DN48-DN47,DN48-DN47),"-")</f>
        <v>-1</v>
      </c>
      <c r="DO49" s="293">
        <f t="shared" si="232"/>
        <v>-1</v>
      </c>
      <c r="DP49" s="293">
        <f t="shared" si="232"/>
        <v>-1</v>
      </c>
      <c r="DQ49" s="293">
        <f t="shared" si="232"/>
        <v>-1</v>
      </c>
      <c r="DR49" s="293">
        <f t="shared" si="232"/>
        <v>-1</v>
      </c>
      <c r="DS49" s="304">
        <f t="shared" si="232"/>
        <v>-5</v>
      </c>
      <c r="DT49" s="265"/>
      <c r="DU49" s="292">
        <f t="shared" ref="DU49:DZ49" si="233">IF(DU47&lt;&gt;"",IF(DU48-DU47&gt;0,"+"&amp;DU48-DU47,DU48-DU47),"-")</f>
        <v>-1</v>
      </c>
      <c r="DV49" s="293">
        <f t="shared" si="233"/>
        <v>-1</v>
      </c>
      <c r="DW49" s="293">
        <f t="shared" si="233"/>
        <v>-1</v>
      </c>
      <c r="DX49" s="293">
        <f t="shared" si="233"/>
        <v>-1</v>
      </c>
      <c r="DY49" s="293">
        <f t="shared" si="233"/>
        <v>-1</v>
      </c>
      <c r="DZ49" s="304">
        <f t="shared" si="233"/>
        <v>-5</v>
      </c>
      <c r="EA49" s="265"/>
      <c r="EB49" s="292" t="str">
        <f t="shared" ref="EB49:EG49" si="234">IF(EB47&lt;&gt;"",IF(EB48-EB47&gt;0,"+"&amp;EB48-EB47,EB48-EB47),"-")</f>
        <v>-</v>
      </c>
      <c r="EC49" s="293" t="str">
        <f t="shared" si="234"/>
        <v>-</v>
      </c>
      <c r="ED49" s="293" t="str">
        <f t="shared" si="234"/>
        <v>-</v>
      </c>
      <c r="EE49" s="293" t="str">
        <f t="shared" si="234"/>
        <v>-</v>
      </c>
      <c r="EF49" s="293" t="str">
        <f t="shared" si="234"/>
        <v>-</v>
      </c>
      <c r="EG49" s="304">
        <f t="shared" si="234"/>
        <v>0</v>
      </c>
      <c r="EH49" s="265"/>
      <c r="EI49" s="292" t="str">
        <f t="shared" ref="EI49:EN49" si="235">IF(EI47&lt;&gt;"",IF(EI48-EI47&gt;0,"+"&amp;EI48-EI47,EI48-EI47),"-")</f>
        <v>-</v>
      </c>
      <c r="EJ49" s="293" t="str">
        <f t="shared" si="235"/>
        <v>-</v>
      </c>
      <c r="EK49" s="293" t="str">
        <f t="shared" si="235"/>
        <v>-</v>
      </c>
      <c r="EL49" s="293" t="str">
        <f t="shared" si="235"/>
        <v>-</v>
      </c>
      <c r="EM49" s="293" t="str">
        <f t="shared" si="235"/>
        <v>-</v>
      </c>
      <c r="EN49" s="304">
        <f t="shared" si="235"/>
        <v>0</v>
      </c>
      <c r="EO49" s="265"/>
      <c r="EP49" s="292" t="str">
        <f t="shared" ref="EP49:EU49" si="236">IF(EP47&lt;&gt;"",IF(EP48-EP47&gt;0,"+"&amp;EP48-EP47,EP48-EP47),"-")</f>
        <v>-</v>
      </c>
      <c r="EQ49" s="293" t="str">
        <f t="shared" si="236"/>
        <v>-</v>
      </c>
      <c r="ER49" s="293" t="str">
        <f t="shared" si="236"/>
        <v>-</v>
      </c>
      <c r="ES49" s="293" t="str">
        <f t="shared" si="236"/>
        <v>-</v>
      </c>
      <c r="ET49" s="293" t="str">
        <f t="shared" si="236"/>
        <v>-</v>
      </c>
      <c r="EU49" s="304">
        <f t="shared" si="236"/>
        <v>0</v>
      </c>
      <c r="EV49" s="265"/>
      <c r="EW49" s="292" t="str">
        <f t="shared" ref="EW49:FB49" si="237">IF(EW47&lt;&gt;"",IF(EW48-EW47&gt;0,"+"&amp;EW48-EW47,EW48-EW47),"-")</f>
        <v>-</v>
      </c>
      <c r="EX49" s="293" t="str">
        <f t="shared" si="237"/>
        <v>-</v>
      </c>
      <c r="EY49" s="293" t="str">
        <f t="shared" si="237"/>
        <v>-</v>
      </c>
      <c r="EZ49" s="293" t="str">
        <f t="shared" si="237"/>
        <v>-</v>
      </c>
      <c r="FA49" s="293" t="str">
        <f t="shared" si="237"/>
        <v>-</v>
      </c>
      <c r="FB49" s="304">
        <f t="shared" si="237"/>
        <v>0</v>
      </c>
      <c r="FC49" s="265"/>
      <c r="FD49" s="292" t="str">
        <f t="shared" ref="FD49:FI49" si="238">IF(FD47&lt;&gt;"",IF(FD48-FD47&gt;0,"+"&amp;FD48-FD47,FD48-FD47),"-")</f>
        <v>-</v>
      </c>
      <c r="FE49" s="293" t="str">
        <f t="shared" si="238"/>
        <v>-</v>
      </c>
      <c r="FF49" s="293" t="str">
        <f t="shared" si="238"/>
        <v>-</v>
      </c>
      <c r="FG49" s="293" t="str">
        <f t="shared" si="238"/>
        <v>-</v>
      </c>
      <c r="FH49" s="293" t="str">
        <f t="shared" si="238"/>
        <v>-</v>
      </c>
      <c r="FI49" s="304">
        <f t="shared" si="238"/>
        <v>0</v>
      </c>
      <c r="FJ49" s="265"/>
      <c r="FK49" s="292" t="str">
        <f t="shared" ref="FK49:FP49" si="239">IF(FK47&lt;&gt;"",IF(FK48-FK47&gt;0,"+"&amp;FK48-FK47,FK48-FK47),"-")</f>
        <v>-</v>
      </c>
      <c r="FL49" s="293" t="str">
        <f t="shared" si="239"/>
        <v>-</v>
      </c>
      <c r="FM49" s="293" t="str">
        <f t="shared" si="239"/>
        <v>-</v>
      </c>
      <c r="FN49" s="293" t="str">
        <f t="shared" si="239"/>
        <v>-</v>
      </c>
      <c r="FO49" s="293" t="str">
        <f t="shared" si="239"/>
        <v>-</v>
      </c>
      <c r="FP49" s="304">
        <f t="shared" si="239"/>
        <v>0</v>
      </c>
      <c r="FQ49" s="265"/>
      <c r="FR49" s="292" t="str">
        <f t="shared" ref="FR49:FW49" si="240">IF(FR47&lt;&gt;"",IF(FR48-FR47&gt;0,"+"&amp;FR48-FR47,FR48-FR47),"-")</f>
        <v>-</v>
      </c>
      <c r="FS49" s="293" t="str">
        <f t="shared" si="240"/>
        <v>-</v>
      </c>
      <c r="FT49" s="293" t="str">
        <f t="shared" si="240"/>
        <v>-</v>
      </c>
      <c r="FU49" s="293" t="str">
        <f t="shared" si="240"/>
        <v>-</v>
      </c>
      <c r="FV49" s="293" t="str">
        <f t="shared" si="240"/>
        <v>-</v>
      </c>
      <c r="FW49" s="304">
        <f t="shared" si="240"/>
        <v>0</v>
      </c>
      <c r="FX49" s="265"/>
      <c r="FY49" s="292" t="str">
        <f t="shared" ref="FY49:GD49" si="241">IF(FY47&lt;&gt;"",IF(FY48-FY47&gt;0,"+"&amp;FY48-FY47,FY48-FY47),"-")</f>
        <v>-</v>
      </c>
      <c r="FZ49" s="293" t="str">
        <f t="shared" si="241"/>
        <v>-</v>
      </c>
      <c r="GA49" s="293" t="str">
        <f t="shared" si="241"/>
        <v>-</v>
      </c>
      <c r="GB49" s="293" t="str">
        <f t="shared" si="241"/>
        <v>-</v>
      </c>
      <c r="GC49" s="293" t="str">
        <f t="shared" si="241"/>
        <v>-</v>
      </c>
      <c r="GD49" s="304">
        <f t="shared" si="241"/>
        <v>0</v>
      </c>
      <c r="GE49" s="265"/>
      <c r="GF49" s="292" t="str">
        <f t="shared" ref="GF49:GK49" si="242">IF(GF47&lt;&gt;"",IF(GF48-GF47&gt;0,"+"&amp;GF48-GF47,GF48-GF47),"-")</f>
        <v>-</v>
      </c>
      <c r="GG49" s="293" t="str">
        <f t="shared" si="242"/>
        <v>-</v>
      </c>
      <c r="GH49" s="293" t="str">
        <f t="shared" si="242"/>
        <v>-</v>
      </c>
      <c r="GI49" s="293" t="str">
        <f t="shared" si="242"/>
        <v>-</v>
      </c>
      <c r="GJ49" s="293" t="str">
        <f t="shared" si="242"/>
        <v>-</v>
      </c>
      <c r="GK49" s="304">
        <f t="shared" si="242"/>
        <v>0</v>
      </c>
      <c r="GL49" s="265"/>
      <c r="GM49" s="292" t="str">
        <f t="shared" ref="GM49:GR49" si="243">IF(GM47&lt;&gt;"",IF(GM48-GM47&gt;0,"+"&amp;GM48-GM47,GM48-GM47),"-")</f>
        <v>-</v>
      </c>
      <c r="GN49" s="293" t="str">
        <f t="shared" si="243"/>
        <v>-</v>
      </c>
      <c r="GO49" s="293" t="str">
        <f t="shared" si="243"/>
        <v>-</v>
      </c>
      <c r="GP49" s="293" t="str">
        <f t="shared" si="243"/>
        <v>-</v>
      </c>
      <c r="GQ49" s="293" t="str">
        <f t="shared" si="243"/>
        <v>-</v>
      </c>
      <c r="GR49" s="304">
        <f t="shared" si="243"/>
        <v>0</v>
      </c>
      <c r="GS49" s="265"/>
      <c r="GT49" s="292" t="str">
        <f t="shared" ref="GT49:GY49" si="244">IF(GT47&lt;&gt;"",IF(GT48-GT47&gt;0,"+"&amp;GT48-GT47,GT48-GT47),"-")</f>
        <v>-</v>
      </c>
      <c r="GU49" s="293" t="str">
        <f t="shared" si="244"/>
        <v>-</v>
      </c>
      <c r="GV49" s="293" t="str">
        <f t="shared" si="244"/>
        <v>-</v>
      </c>
      <c r="GW49" s="293" t="str">
        <f t="shared" si="244"/>
        <v>-</v>
      </c>
      <c r="GX49" s="293" t="str">
        <f t="shared" si="244"/>
        <v>-</v>
      </c>
      <c r="GY49" s="304">
        <f t="shared" si="244"/>
        <v>0</v>
      </c>
      <c r="GZ49" s="283"/>
      <c r="HA49" s="292" t="str">
        <f t="shared" ref="HA49:HF49" si="245">IF(HA47&lt;&gt;"",IF(HA48-HA47&gt;0,"+"&amp;HA48-HA47,HA48-HA47),"-")</f>
        <v>-</v>
      </c>
      <c r="HB49" s="293" t="str">
        <f t="shared" si="245"/>
        <v>-</v>
      </c>
      <c r="HC49" s="293" t="str">
        <f t="shared" si="245"/>
        <v>-</v>
      </c>
      <c r="HD49" s="293" t="str">
        <f t="shared" si="245"/>
        <v>-</v>
      </c>
      <c r="HE49" s="293" t="str">
        <f t="shared" si="245"/>
        <v>-</v>
      </c>
      <c r="HF49" s="304">
        <f t="shared" si="245"/>
        <v>0</v>
      </c>
      <c r="HG49" s="265"/>
      <c r="HH49" s="292" t="str">
        <f t="shared" ref="HH49:HM49" si="246">IF(HH47&lt;&gt;"",IF(HH48-HH47&gt;0,"+"&amp;HH48-HH47,HH48-HH47),"-")</f>
        <v>-</v>
      </c>
      <c r="HI49" s="293" t="str">
        <f t="shared" si="246"/>
        <v>-</v>
      </c>
      <c r="HJ49" s="293" t="str">
        <f t="shared" si="246"/>
        <v>-</v>
      </c>
      <c r="HK49" s="293" t="str">
        <f t="shared" si="246"/>
        <v>-</v>
      </c>
      <c r="HL49" s="293" t="str">
        <f t="shared" si="246"/>
        <v>-</v>
      </c>
      <c r="HM49" s="304" t="str">
        <f t="shared" si="246"/>
        <v>+5</v>
      </c>
      <c r="HN49" s="265"/>
      <c r="HO49" s="292" t="str">
        <f t="shared" ref="HO49:HT49" si="247">IF(HO47&lt;&gt;"",IF(HO48-HO47&gt;0,"+"&amp;HO48-HO47,HO48-HO47),"-")</f>
        <v>-</v>
      </c>
      <c r="HP49" s="293" t="str">
        <f t="shared" si="247"/>
        <v>-</v>
      </c>
      <c r="HQ49" s="293" t="str">
        <f t="shared" si="247"/>
        <v>-</v>
      </c>
      <c r="HR49" s="293" t="str">
        <f t="shared" si="247"/>
        <v>-</v>
      </c>
      <c r="HS49" s="293" t="str">
        <f t="shared" si="247"/>
        <v>-</v>
      </c>
      <c r="HT49" s="304">
        <f t="shared" si="247"/>
        <v>0</v>
      </c>
      <c r="HU49" s="265"/>
      <c r="HV49" s="292">
        <f t="shared" ref="HV49:IA49" si="248">IF(HV47&lt;&gt;"",IF(HV48-HV47&gt;0,"+"&amp;HV48-HV47,HV48-HV47),"-")</f>
        <v>-1</v>
      </c>
      <c r="HW49" s="293">
        <f t="shared" si="248"/>
        <v>-1</v>
      </c>
      <c r="HX49" s="293">
        <f t="shared" si="248"/>
        <v>-1</v>
      </c>
      <c r="HY49" s="293">
        <f t="shared" si="248"/>
        <v>-1</v>
      </c>
      <c r="HZ49" s="293">
        <f t="shared" si="248"/>
        <v>-1</v>
      </c>
      <c r="IA49" s="304">
        <f t="shared" si="248"/>
        <v>-5</v>
      </c>
      <c r="IB49" s="265"/>
      <c r="IC49" s="292">
        <f t="shared" ref="IC49:IH49" si="249">IF(IC47&lt;&gt;"",IF(IC48-IC47&gt;0,"+"&amp;IC48-IC47,IC48-IC47),"-")</f>
        <v>-1</v>
      </c>
      <c r="ID49" s="293">
        <f t="shared" si="249"/>
        <v>-1</v>
      </c>
      <c r="IE49" s="293">
        <f t="shared" si="249"/>
        <v>-1</v>
      </c>
      <c r="IF49" s="293">
        <f t="shared" si="249"/>
        <v>-1</v>
      </c>
      <c r="IG49" s="293">
        <f t="shared" si="249"/>
        <v>-1</v>
      </c>
      <c r="IH49" s="304">
        <f t="shared" si="249"/>
        <v>-5</v>
      </c>
      <c r="II49" s="265"/>
      <c r="IJ49" s="292">
        <f t="shared" ref="IJ49:IO49" si="250">IF(IJ47&lt;&gt;"",IF(IJ48-IJ47&gt;0,"+"&amp;IJ48-IJ47,IJ48-IJ47),"-")</f>
        <v>-1</v>
      </c>
      <c r="IK49" s="293">
        <f t="shared" si="250"/>
        <v>-1</v>
      </c>
      <c r="IL49" s="293">
        <f t="shared" si="250"/>
        <v>-1</v>
      </c>
      <c r="IM49" s="293">
        <f t="shared" si="250"/>
        <v>0</v>
      </c>
      <c r="IN49" s="293">
        <f t="shared" si="250"/>
        <v>-1</v>
      </c>
      <c r="IO49" s="304">
        <f t="shared" si="250"/>
        <v>-4</v>
      </c>
      <c r="IP49" s="265"/>
      <c r="IQ49" s="292">
        <f t="shared" ref="IQ49:IV49" si="251">IF(IQ47&lt;&gt;"",IF(IQ48-IQ47&gt;0,"+"&amp;IQ48-IQ47,IQ48-IQ47),"-")</f>
        <v>-1</v>
      </c>
      <c r="IR49" s="293">
        <f t="shared" si="251"/>
        <v>-1</v>
      </c>
      <c r="IS49" s="293">
        <f t="shared" si="251"/>
        <v>-1</v>
      </c>
      <c r="IT49" s="293">
        <f t="shared" si="251"/>
        <v>-1</v>
      </c>
      <c r="IU49" s="293">
        <f t="shared" si="251"/>
        <v>-1</v>
      </c>
      <c r="IV49" s="304">
        <f t="shared" si="251"/>
        <v>-5</v>
      </c>
      <c r="IW49" s="265"/>
      <c r="IX49" s="292">
        <f t="shared" ref="IX49:JC49" si="252">IF(IX47&lt;&gt;"",IF(IX48-IX47&gt;0,"+"&amp;IX48-IX47,IX48-IX47),"-")</f>
        <v>-1</v>
      </c>
      <c r="IY49" s="293">
        <f t="shared" si="252"/>
        <v>-1</v>
      </c>
      <c r="IZ49" s="293">
        <f t="shared" si="252"/>
        <v>-1</v>
      </c>
      <c r="JA49" s="293">
        <f t="shared" si="252"/>
        <v>-1</v>
      </c>
      <c r="JB49" s="293">
        <f t="shared" si="252"/>
        <v>-1</v>
      </c>
      <c r="JC49" s="304">
        <f t="shared" si="252"/>
        <v>-5</v>
      </c>
      <c r="JD49" s="265"/>
      <c r="JE49" s="292">
        <f t="shared" ref="JE49:JJ49" si="253">IF(JE47&lt;&gt;"",IF(JE48-JE47&gt;0,"+"&amp;JE48-JE47,JE48-JE47),"-")</f>
        <v>-1</v>
      </c>
      <c r="JF49" s="293">
        <f t="shared" si="253"/>
        <v>-1</v>
      </c>
      <c r="JG49" s="293">
        <f t="shared" si="253"/>
        <v>-1</v>
      </c>
      <c r="JH49" s="293">
        <f t="shared" si="253"/>
        <v>-1</v>
      </c>
      <c r="JI49" s="293">
        <f t="shared" si="253"/>
        <v>-1</v>
      </c>
      <c r="JJ49" s="304">
        <f t="shared" si="253"/>
        <v>-5</v>
      </c>
      <c r="JK49" s="265"/>
      <c r="JL49" s="292">
        <f t="shared" ref="JL49:JQ49" si="254">IF(JL47&lt;&gt;"",IF(JL48-JL47&gt;0,"+"&amp;JL48-JL47,JL48-JL47),"-")</f>
        <v>-1</v>
      </c>
      <c r="JM49" s="293">
        <f t="shared" si="254"/>
        <v>-1</v>
      </c>
      <c r="JN49" s="293">
        <f t="shared" si="254"/>
        <v>-1</v>
      </c>
      <c r="JO49" s="293">
        <f t="shared" si="254"/>
        <v>-1</v>
      </c>
      <c r="JP49" s="293">
        <f t="shared" si="254"/>
        <v>-1</v>
      </c>
      <c r="JQ49" s="304">
        <f t="shared" si="254"/>
        <v>-5</v>
      </c>
      <c r="JR49" s="265"/>
      <c r="JS49" s="292">
        <f t="shared" ref="JS49:JX49" si="255">IF(JS47&lt;&gt;"",IF(JS48-JS47&gt;0,"+"&amp;JS48-JS47,JS48-JS47),"-")</f>
        <v>-1</v>
      </c>
      <c r="JT49" s="293">
        <f t="shared" si="255"/>
        <v>-1</v>
      </c>
      <c r="JU49" s="293">
        <f t="shared" si="255"/>
        <v>-1</v>
      </c>
      <c r="JV49" s="293">
        <f t="shared" si="255"/>
        <v>-1</v>
      </c>
      <c r="JW49" s="293">
        <f t="shared" si="255"/>
        <v>-1</v>
      </c>
      <c r="JX49" s="304">
        <f t="shared" si="255"/>
        <v>-5</v>
      </c>
      <c r="JY49" s="265"/>
      <c r="JZ49" s="292">
        <f t="shared" ref="JZ49:KE49" si="256">IF(JZ47&lt;&gt;"",IF(JZ48-JZ47&gt;0,"+"&amp;JZ48-JZ47,JZ48-JZ47),"-")</f>
        <v>-1</v>
      </c>
      <c r="KA49" s="293">
        <f t="shared" si="256"/>
        <v>-1</v>
      </c>
      <c r="KB49" s="293">
        <f t="shared" si="256"/>
        <v>-1</v>
      </c>
      <c r="KC49" s="293">
        <f t="shared" si="256"/>
        <v>-1</v>
      </c>
      <c r="KD49" s="293">
        <f t="shared" si="256"/>
        <v>-1</v>
      </c>
      <c r="KE49" s="304">
        <f t="shared" si="256"/>
        <v>-5</v>
      </c>
      <c r="KF49" s="265"/>
      <c r="KG49" s="292">
        <f t="shared" ref="KG49:KL49" si="257">IF(KG47&lt;&gt;"",IF(KG48-KG47&gt;0,"+"&amp;KG48-KG47,KG48-KG47),"-")</f>
        <v>-1</v>
      </c>
      <c r="KH49" s="293">
        <f t="shared" si="257"/>
        <v>-1</v>
      </c>
      <c r="KI49" s="293">
        <f t="shared" si="257"/>
        <v>-1</v>
      </c>
      <c r="KJ49" s="293">
        <f t="shared" si="257"/>
        <v>-1</v>
      </c>
      <c r="KK49" s="293">
        <f t="shared" si="257"/>
        <v>-1</v>
      </c>
      <c r="KL49" s="304">
        <f t="shared" si="257"/>
        <v>-5</v>
      </c>
      <c r="KM49" s="265"/>
      <c r="KN49" s="292">
        <f t="shared" ref="KN49:KS49" si="258">IF(KN47&lt;&gt;"",IF(KN48-KN47&gt;0,"+"&amp;KN48-KN47,KN48-KN47),"-")</f>
        <v>-1</v>
      </c>
      <c r="KO49" s="293">
        <f t="shared" si="258"/>
        <v>-1</v>
      </c>
      <c r="KP49" s="293">
        <f t="shared" si="258"/>
        <v>-1</v>
      </c>
      <c r="KQ49" s="293">
        <f t="shared" si="258"/>
        <v>-1</v>
      </c>
      <c r="KR49" s="293">
        <f t="shared" si="258"/>
        <v>-1</v>
      </c>
      <c r="KS49" s="304">
        <f t="shared" si="258"/>
        <v>-5</v>
      </c>
      <c r="KT49" s="265"/>
      <c r="KU49" s="292" t="str">
        <f t="shared" ref="KU49:KZ49" si="259">IF(KU47&lt;&gt;"",IF(KU48-KU47&gt;0,"+"&amp;KU48-KU47,KU48-KU47),"-")</f>
        <v>-</v>
      </c>
      <c r="KV49" s="293" t="str">
        <f t="shared" si="259"/>
        <v>-</v>
      </c>
      <c r="KW49" s="293" t="str">
        <f t="shared" si="259"/>
        <v>-</v>
      </c>
      <c r="KX49" s="293" t="str">
        <f t="shared" si="259"/>
        <v>-</v>
      </c>
      <c r="KY49" s="293" t="str">
        <f t="shared" si="259"/>
        <v>-</v>
      </c>
      <c r="KZ49" s="304">
        <f t="shared" si="259"/>
        <v>0</v>
      </c>
      <c r="LA49" s="265"/>
      <c r="LB49" s="292" t="str">
        <f t="shared" ref="LB49:LG49" si="260">IF(LB47&lt;&gt;"",IF(LB48-LB47&gt;0,"+"&amp;LB48-LB47,LB48-LB47),"-")</f>
        <v>-</v>
      </c>
      <c r="LC49" s="293" t="str">
        <f t="shared" si="260"/>
        <v>-</v>
      </c>
      <c r="LD49" s="293" t="str">
        <f t="shared" si="260"/>
        <v>-</v>
      </c>
      <c r="LE49" s="293" t="str">
        <f t="shared" si="260"/>
        <v>-</v>
      </c>
      <c r="LF49" s="293" t="str">
        <f t="shared" si="260"/>
        <v>-</v>
      </c>
      <c r="LG49" s="304">
        <f t="shared" si="260"/>
        <v>0</v>
      </c>
      <c r="LH49" s="265"/>
      <c r="LI49" s="292" t="str">
        <f t="shared" ref="LI49:LN49" si="261">IF(LI47&lt;&gt;"",IF(LI48-LI47&gt;0,"+"&amp;LI48-LI47,LI48-LI47),"-")</f>
        <v>-</v>
      </c>
      <c r="LJ49" s="293" t="str">
        <f t="shared" si="261"/>
        <v>-</v>
      </c>
      <c r="LK49" s="293" t="str">
        <f t="shared" si="261"/>
        <v>-</v>
      </c>
      <c r="LL49" s="293" t="str">
        <f t="shared" si="261"/>
        <v>-</v>
      </c>
      <c r="LM49" s="293" t="str">
        <f t="shared" si="261"/>
        <v>-</v>
      </c>
      <c r="LN49" s="304">
        <f t="shared" si="261"/>
        <v>0</v>
      </c>
      <c r="LO49" s="265"/>
      <c r="LP49" s="292" t="str">
        <f t="shared" ref="LP49:LU49" si="262">IF(LP47&lt;&gt;"",IF(LP48-LP47&gt;0,"+"&amp;LP48-LP47,LP48-LP47),"-")</f>
        <v>-</v>
      </c>
      <c r="LQ49" s="293" t="str">
        <f t="shared" si="262"/>
        <v>-</v>
      </c>
      <c r="LR49" s="293" t="str">
        <f t="shared" si="262"/>
        <v>-</v>
      </c>
      <c r="LS49" s="293" t="str">
        <f t="shared" si="262"/>
        <v>-</v>
      </c>
      <c r="LT49" s="293" t="str">
        <f t="shared" si="262"/>
        <v>-</v>
      </c>
      <c r="LU49" s="304">
        <f t="shared" si="262"/>
        <v>0</v>
      </c>
      <c r="LV49" s="265"/>
      <c r="LW49" s="292" t="str">
        <f t="shared" ref="LW49:MB49" si="263">IF(LW47&lt;&gt;"",IF(LW48-LW47&gt;0,"+"&amp;LW48-LW47,LW48-LW47),"-")</f>
        <v>-</v>
      </c>
      <c r="LX49" s="293" t="str">
        <f t="shared" si="263"/>
        <v>-</v>
      </c>
      <c r="LY49" s="293" t="str">
        <f t="shared" si="263"/>
        <v>-</v>
      </c>
      <c r="LZ49" s="293" t="str">
        <f t="shared" si="263"/>
        <v>-</v>
      </c>
      <c r="MA49" s="293" t="str">
        <f t="shared" si="263"/>
        <v>-</v>
      </c>
      <c r="MB49" s="304">
        <f t="shared" si="263"/>
        <v>0</v>
      </c>
      <c r="MC49" s="265"/>
      <c r="MD49" s="292" t="str">
        <f t="shared" ref="MD49:MI49" si="264">IF(MD47&lt;&gt;"",IF(MD48-MD47&gt;0,"+"&amp;MD48-MD47,MD48-MD47),"-")</f>
        <v>-</v>
      </c>
      <c r="ME49" s="293" t="str">
        <f t="shared" si="264"/>
        <v>-</v>
      </c>
      <c r="MF49" s="293" t="str">
        <f t="shared" si="264"/>
        <v>-</v>
      </c>
      <c r="MG49" s="293" t="str">
        <f t="shared" si="264"/>
        <v>-</v>
      </c>
      <c r="MH49" s="293" t="str">
        <f t="shared" si="264"/>
        <v>-</v>
      </c>
      <c r="MI49" s="304">
        <f t="shared" si="264"/>
        <v>0</v>
      </c>
      <c r="MJ49" s="265"/>
      <c r="MK49" s="292" t="str">
        <f t="shared" ref="MK49:MP49" si="265">IF(MK47&lt;&gt;"",IF(MK48-MK47&gt;0,"+"&amp;MK48-MK47,MK48-MK47),"-")</f>
        <v>-</v>
      </c>
      <c r="ML49" s="293" t="str">
        <f t="shared" si="265"/>
        <v>-</v>
      </c>
      <c r="MM49" s="293" t="str">
        <f t="shared" si="265"/>
        <v>-</v>
      </c>
      <c r="MN49" s="293" t="str">
        <f t="shared" si="265"/>
        <v>-</v>
      </c>
      <c r="MO49" s="293" t="str">
        <f t="shared" si="265"/>
        <v>-</v>
      </c>
      <c r="MP49" s="304">
        <f t="shared" si="265"/>
        <v>0</v>
      </c>
      <c r="MQ49" s="265"/>
      <c r="MR49" s="292" t="str">
        <f t="shared" ref="MR49:MW49" si="266">IF(MR47&lt;&gt;"",IF(MR48-MR47&gt;0,"+"&amp;MR48-MR47,MR48-MR47),"-")</f>
        <v>-</v>
      </c>
      <c r="MS49" s="293" t="str">
        <f t="shared" si="266"/>
        <v>-</v>
      </c>
      <c r="MT49" s="293" t="str">
        <f t="shared" si="266"/>
        <v>-</v>
      </c>
      <c r="MU49" s="293" t="str">
        <f t="shared" si="266"/>
        <v>-</v>
      </c>
      <c r="MV49" s="293" t="str">
        <f t="shared" si="266"/>
        <v>-</v>
      </c>
      <c r="MW49" s="304">
        <f t="shared" si="266"/>
        <v>0</v>
      </c>
      <c r="MX49" s="265"/>
      <c r="MY49" s="292" t="str">
        <f t="shared" ref="MY49:ND49" si="267">IF(MY47&lt;&gt;"",IF(MY48-MY47&gt;0,"+"&amp;MY48-MY47,MY48-MY47),"-")</f>
        <v>-</v>
      </c>
      <c r="MZ49" s="293" t="str">
        <f t="shared" si="267"/>
        <v>-</v>
      </c>
      <c r="NA49" s="293" t="str">
        <f t="shared" si="267"/>
        <v>-</v>
      </c>
      <c r="NB49" s="293" t="str">
        <f t="shared" si="267"/>
        <v>-</v>
      </c>
      <c r="NC49" s="293" t="str">
        <f t="shared" si="267"/>
        <v>-</v>
      </c>
      <c r="ND49" s="304">
        <f t="shared" si="267"/>
        <v>0</v>
      </c>
      <c r="NE49" s="265"/>
      <c r="NF49" s="292" t="str">
        <f t="shared" ref="NF49:NK49" si="268">IF(NF47&lt;&gt;"",IF(NF48-NF47&gt;0,"+"&amp;NF48-NF47,NF48-NF47),"-")</f>
        <v>-</v>
      </c>
      <c r="NG49" s="293" t="str">
        <f t="shared" si="268"/>
        <v>-</v>
      </c>
      <c r="NH49" s="293" t="str">
        <f t="shared" si="268"/>
        <v>-</v>
      </c>
      <c r="NI49" s="293" t="str">
        <f t="shared" si="268"/>
        <v>-</v>
      </c>
      <c r="NJ49" s="293" t="str">
        <f t="shared" si="268"/>
        <v>-</v>
      </c>
      <c r="NK49" s="304">
        <f t="shared" si="268"/>
        <v>0</v>
      </c>
      <c r="NL49" s="265"/>
      <c r="NM49" s="292" t="str">
        <f t="shared" ref="NM49:NR49" si="269">IF(NM47&lt;&gt;"",IF(NM48-NM47&gt;0,"+"&amp;NM48-NM47,NM48-NM47),"-")</f>
        <v>-</v>
      </c>
      <c r="NN49" s="293" t="str">
        <f t="shared" si="269"/>
        <v>-</v>
      </c>
      <c r="NO49" s="293" t="str">
        <f t="shared" si="269"/>
        <v>-</v>
      </c>
      <c r="NP49" s="293" t="str">
        <f t="shared" si="269"/>
        <v>-</v>
      </c>
      <c r="NQ49" s="293" t="str">
        <f t="shared" si="269"/>
        <v>-</v>
      </c>
      <c r="NR49" s="304">
        <f t="shared" si="269"/>
        <v>0</v>
      </c>
      <c r="NS49" s="283"/>
    </row>
    <row r="50" spans="1:383" s="196" customFormat="1" ht="16.05" customHeight="1" x14ac:dyDescent="0.3">
      <c r="A50" s="294"/>
      <c r="B50" s="284" t="s">
        <v>430</v>
      </c>
      <c r="C50" s="285" t="s">
        <v>415</v>
      </c>
      <c r="D50" s="338"/>
      <c r="E50"/>
      <c r="F50" s="279">
        <v>1</v>
      </c>
      <c r="G50" s="280">
        <v>1</v>
      </c>
      <c r="H50" s="280">
        <v>1</v>
      </c>
      <c r="I50" s="280">
        <v>1</v>
      </c>
      <c r="J50" s="280">
        <v>1</v>
      </c>
      <c r="K50" s="302">
        <f>SUM(F50:J50)</f>
        <v>5</v>
      </c>
      <c r="L50" s="265"/>
      <c r="M50" s="279"/>
      <c r="N50" s="280"/>
      <c r="O50" s="280"/>
      <c r="P50" s="280"/>
      <c r="Q50" s="280"/>
      <c r="R50" s="302">
        <f>SUM(M50:Q50)</f>
        <v>0</v>
      </c>
      <c r="S50" s="265"/>
      <c r="T50" s="279">
        <v>1</v>
      </c>
      <c r="U50" s="280">
        <v>1</v>
      </c>
      <c r="V50" s="280">
        <v>1</v>
      </c>
      <c r="W50" s="280">
        <v>1</v>
      </c>
      <c r="X50" s="280">
        <v>1</v>
      </c>
      <c r="Y50" s="302">
        <f>SUM(T50:X50)</f>
        <v>5</v>
      </c>
      <c r="Z50" s="265"/>
      <c r="AA50" s="279">
        <v>1</v>
      </c>
      <c r="AB50" s="280">
        <v>1</v>
      </c>
      <c r="AC50" s="280">
        <v>1</v>
      </c>
      <c r="AD50" s="280">
        <v>1</v>
      </c>
      <c r="AE50" s="280">
        <v>1</v>
      </c>
      <c r="AF50" s="302">
        <f>SUM(AA50:AE50)</f>
        <v>5</v>
      </c>
      <c r="AG50" s="265"/>
      <c r="AH50" s="279">
        <v>1</v>
      </c>
      <c r="AI50" s="280">
        <v>1</v>
      </c>
      <c r="AJ50" s="280">
        <v>1</v>
      </c>
      <c r="AK50" s="280">
        <v>1</v>
      </c>
      <c r="AL50" s="280">
        <v>1</v>
      </c>
      <c r="AM50" s="302">
        <f>SUM(AH50:AL50)</f>
        <v>5</v>
      </c>
      <c r="AN50" s="265"/>
      <c r="AO50" s="279">
        <v>1</v>
      </c>
      <c r="AP50" s="280">
        <v>1</v>
      </c>
      <c r="AQ50" s="280">
        <v>1</v>
      </c>
      <c r="AR50" s="280">
        <v>1</v>
      </c>
      <c r="AS50" s="280">
        <v>1</v>
      </c>
      <c r="AT50" s="302">
        <f>SUM(AO50:AS50)</f>
        <v>5</v>
      </c>
      <c r="AU50" s="265"/>
      <c r="AV50" s="279">
        <v>1</v>
      </c>
      <c r="AW50" s="280">
        <v>1</v>
      </c>
      <c r="AX50" s="280">
        <v>1</v>
      </c>
      <c r="AY50" s="280">
        <v>1</v>
      </c>
      <c r="AZ50" s="280">
        <v>1</v>
      </c>
      <c r="BA50" s="302">
        <f>SUM(AV50:AZ50)</f>
        <v>5</v>
      </c>
      <c r="BB50" s="265"/>
      <c r="BC50" s="279">
        <v>1</v>
      </c>
      <c r="BD50" s="280">
        <v>1</v>
      </c>
      <c r="BE50" s="280">
        <v>1</v>
      </c>
      <c r="BF50" s="280">
        <v>1</v>
      </c>
      <c r="BG50" s="280">
        <v>1</v>
      </c>
      <c r="BH50" s="302">
        <f>SUM(BC50:BG50)</f>
        <v>5</v>
      </c>
      <c r="BI50" s="265"/>
      <c r="BJ50" s="279">
        <v>1</v>
      </c>
      <c r="BK50" s="280">
        <v>1</v>
      </c>
      <c r="BL50" s="280">
        <v>1</v>
      </c>
      <c r="BM50" s="280">
        <v>1</v>
      </c>
      <c r="BN50" s="280">
        <v>1</v>
      </c>
      <c r="BO50" s="302">
        <f>SUM(BJ50:BN50)</f>
        <v>5</v>
      </c>
      <c r="BP50" s="265"/>
      <c r="BQ50" s="279">
        <v>1</v>
      </c>
      <c r="BR50" s="280">
        <v>1</v>
      </c>
      <c r="BS50" s="280">
        <v>1</v>
      </c>
      <c r="BT50" s="280">
        <v>0</v>
      </c>
      <c r="BU50" s="280">
        <v>1</v>
      </c>
      <c r="BV50" s="302">
        <f>SUM(BQ50:BU50)</f>
        <v>4</v>
      </c>
      <c r="BW50" s="265"/>
      <c r="BX50" s="279">
        <v>1</v>
      </c>
      <c r="BY50" s="280">
        <v>1</v>
      </c>
      <c r="BZ50" s="280">
        <v>1</v>
      </c>
      <c r="CA50" s="280">
        <v>1</v>
      </c>
      <c r="CB50" s="280">
        <v>1</v>
      </c>
      <c r="CC50" s="302">
        <f>SUM(BX50:CB50)</f>
        <v>5</v>
      </c>
      <c r="CD50" s="265"/>
      <c r="CE50" s="279">
        <v>1</v>
      </c>
      <c r="CF50" s="280">
        <v>1</v>
      </c>
      <c r="CG50" s="280">
        <v>1</v>
      </c>
      <c r="CH50" s="280">
        <v>1</v>
      </c>
      <c r="CI50" s="280">
        <v>1</v>
      </c>
      <c r="CJ50" s="302">
        <f>SUM(CE50:CI50)</f>
        <v>5</v>
      </c>
      <c r="CK50" s="265"/>
      <c r="CL50" s="279">
        <v>1</v>
      </c>
      <c r="CM50" s="280">
        <v>1</v>
      </c>
      <c r="CN50" s="280">
        <v>1</v>
      </c>
      <c r="CO50" s="280">
        <v>1</v>
      </c>
      <c r="CP50" s="280">
        <v>1</v>
      </c>
      <c r="CQ50" s="302">
        <f>SUM(CL50:CP50)</f>
        <v>5</v>
      </c>
      <c r="CR50" s="265"/>
      <c r="CS50" s="279"/>
      <c r="CT50" s="280"/>
      <c r="CU50" s="280"/>
      <c r="CV50" s="280"/>
      <c r="CW50" s="280"/>
      <c r="CX50" s="302">
        <f>SUM(CS50:CW50)</f>
        <v>0</v>
      </c>
      <c r="CY50" s="265"/>
      <c r="CZ50" s="279"/>
      <c r="DA50" s="280"/>
      <c r="DB50" s="280"/>
      <c r="DC50" s="280"/>
      <c r="DD50" s="280"/>
      <c r="DE50" s="302">
        <f>SUM(CZ50:DD50)</f>
        <v>0</v>
      </c>
      <c r="DF50" s="265"/>
      <c r="DG50" s="279"/>
      <c r="DH50" s="280"/>
      <c r="DI50" s="280"/>
      <c r="DJ50" s="280"/>
      <c r="DK50" s="280"/>
      <c r="DL50" s="302">
        <f>SUM(DG50:DK50)</f>
        <v>0</v>
      </c>
      <c r="DM50" s="265"/>
      <c r="DN50" s="279"/>
      <c r="DO50" s="280"/>
      <c r="DP50" s="280"/>
      <c r="DQ50" s="280"/>
      <c r="DR50" s="280"/>
      <c r="DS50" s="302">
        <f>SUM(DN50:DR50)</f>
        <v>0</v>
      </c>
      <c r="DT50" s="265"/>
      <c r="DU50" s="279"/>
      <c r="DV50" s="280"/>
      <c r="DW50" s="280"/>
      <c r="DX50" s="280"/>
      <c r="DY50" s="280"/>
      <c r="DZ50" s="302">
        <f>SUM(DU50:DY50)</f>
        <v>0</v>
      </c>
      <c r="EA50" s="265"/>
      <c r="EB50" s="279"/>
      <c r="EC50" s="280"/>
      <c r="ED50" s="280"/>
      <c r="EE50" s="280"/>
      <c r="EF50" s="280"/>
      <c r="EG50" s="302">
        <f>SUM(EB50:EF50)</f>
        <v>0</v>
      </c>
      <c r="EH50" s="265"/>
      <c r="EI50" s="279"/>
      <c r="EJ50" s="280"/>
      <c r="EK50" s="280"/>
      <c r="EL50" s="280"/>
      <c r="EM50" s="280"/>
      <c r="EN50" s="302">
        <f>SUM(EI50:EM50)</f>
        <v>0</v>
      </c>
      <c r="EO50" s="265"/>
      <c r="EP50" s="279"/>
      <c r="EQ50" s="280"/>
      <c r="ER50" s="280"/>
      <c r="ES50" s="280"/>
      <c r="ET50" s="280"/>
      <c r="EU50" s="302">
        <f>SUM(EP50:ET50)</f>
        <v>0</v>
      </c>
      <c r="EV50" s="265"/>
      <c r="EW50" s="279"/>
      <c r="EX50" s="280"/>
      <c r="EY50" s="280"/>
      <c r="EZ50" s="280"/>
      <c r="FA50" s="280"/>
      <c r="FB50" s="302">
        <f>SUM(EW50:FA50)</f>
        <v>0</v>
      </c>
      <c r="FC50" s="265"/>
      <c r="FD50" s="279"/>
      <c r="FE50" s="280"/>
      <c r="FF50" s="280"/>
      <c r="FG50" s="280"/>
      <c r="FH50" s="280"/>
      <c r="FI50" s="302">
        <f>SUM(FD50:FH50)</f>
        <v>0</v>
      </c>
      <c r="FJ50" s="265"/>
      <c r="FK50" s="279"/>
      <c r="FL50" s="280"/>
      <c r="FM50" s="280"/>
      <c r="FN50" s="280"/>
      <c r="FO50" s="280"/>
      <c r="FP50" s="302">
        <f>SUM(FK50:FO50)</f>
        <v>0</v>
      </c>
      <c r="FQ50" s="265"/>
      <c r="FR50" s="279"/>
      <c r="FS50" s="280"/>
      <c r="FT50" s="280"/>
      <c r="FU50" s="280"/>
      <c r="FV50" s="280"/>
      <c r="FW50" s="302">
        <f>SUM(FR50:FV50)</f>
        <v>0</v>
      </c>
      <c r="FX50" s="265"/>
      <c r="FY50" s="279"/>
      <c r="FZ50" s="280"/>
      <c r="GA50" s="280"/>
      <c r="GB50" s="280"/>
      <c r="GC50" s="280"/>
      <c r="GD50" s="302">
        <f>SUM(FY50:GC50)</f>
        <v>0</v>
      </c>
      <c r="GE50" s="265"/>
      <c r="GF50" s="279"/>
      <c r="GG50" s="280"/>
      <c r="GH50" s="280"/>
      <c r="GI50" s="280"/>
      <c r="GJ50" s="280"/>
      <c r="GK50" s="302">
        <f>SUM(GF50:GJ50)</f>
        <v>0</v>
      </c>
      <c r="GL50" s="265"/>
      <c r="GM50" s="279"/>
      <c r="GN50" s="280"/>
      <c r="GO50" s="280"/>
      <c r="GP50" s="280"/>
      <c r="GQ50" s="280"/>
      <c r="GR50" s="302">
        <f>SUM(GM50:GQ50)</f>
        <v>0</v>
      </c>
      <c r="GS50" s="265"/>
      <c r="GT50" s="279"/>
      <c r="GU50" s="280"/>
      <c r="GV50" s="280"/>
      <c r="GW50" s="280"/>
      <c r="GX50" s="280"/>
      <c r="GY50" s="302">
        <f>SUM(GT50:GX50)</f>
        <v>0</v>
      </c>
      <c r="GZ50" s="283"/>
      <c r="HA50" s="370"/>
      <c r="HB50" s="371"/>
      <c r="HC50" s="371"/>
      <c r="HD50" s="371"/>
      <c r="HE50" s="371"/>
      <c r="HF50" s="302">
        <f>SUM(HA50:HE50)</f>
        <v>0</v>
      </c>
      <c r="HG50" s="265"/>
      <c r="HH50" s="370"/>
      <c r="HI50" s="371"/>
      <c r="HJ50" s="371"/>
      <c r="HK50" s="371"/>
      <c r="HL50" s="371"/>
      <c r="HM50" s="302">
        <f>SUM(HH50:HL50)</f>
        <v>0</v>
      </c>
      <c r="HN50" s="265"/>
      <c r="HO50" s="370"/>
      <c r="HP50" s="371"/>
      <c r="HQ50" s="371"/>
      <c r="HR50" s="371"/>
      <c r="HS50" s="371"/>
      <c r="HT50" s="302">
        <f>SUM(HO50:HS50)</f>
        <v>0</v>
      </c>
      <c r="HU50" s="265"/>
      <c r="HV50" s="370">
        <v>1</v>
      </c>
      <c r="HW50" s="371">
        <v>1</v>
      </c>
      <c r="HX50" s="371">
        <v>1</v>
      </c>
      <c r="HY50" s="371">
        <v>1</v>
      </c>
      <c r="HZ50" s="371">
        <v>1</v>
      </c>
      <c r="IA50" s="302">
        <f>SUM(HV50:HZ50)</f>
        <v>5</v>
      </c>
      <c r="IB50" s="265"/>
      <c r="IC50" s="370">
        <v>1</v>
      </c>
      <c r="ID50" s="371">
        <v>1</v>
      </c>
      <c r="IE50" s="371">
        <v>1</v>
      </c>
      <c r="IF50" s="371">
        <v>1</v>
      </c>
      <c r="IG50" s="371">
        <v>1</v>
      </c>
      <c r="IH50" s="302">
        <f>SUM(IC50:IG50)</f>
        <v>5</v>
      </c>
      <c r="II50" s="265"/>
      <c r="IJ50" s="370">
        <v>1</v>
      </c>
      <c r="IK50" s="371">
        <v>1</v>
      </c>
      <c r="IL50" s="371">
        <v>1</v>
      </c>
      <c r="IM50" s="371">
        <v>0</v>
      </c>
      <c r="IN50" s="371">
        <v>1</v>
      </c>
      <c r="IO50" s="302">
        <f>SUM(IJ50:IN50)</f>
        <v>4</v>
      </c>
      <c r="IP50" s="265"/>
      <c r="IQ50" s="370">
        <v>1</v>
      </c>
      <c r="IR50" s="371">
        <v>1</v>
      </c>
      <c r="IS50" s="371">
        <v>1</v>
      </c>
      <c r="IT50" s="371">
        <v>1</v>
      </c>
      <c r="IU50" s="371">
        <v>1</v>
      </c>
      <c r="IV50" s="302">
        <f>SUM(IQ50:IU50)</f>
        <v>5</v>
      </c>
      <c r="IW50" s="265"/>
      <c r="IX50" s="370">
        <v>1</v>
      </c>
      <c r="IY50" s="371">
        <v>1</v>
      </c>
      <c r="IZ50" s="371">
        <v>1</v>
      </c>
      <c r="JA50" s="371">
        <v>1</v>
      </c>
      <c r="JB50" s="371">
        <v>1</v>
      </c>
      <c r="JC50" s="302">
        <f>SUM(IX50:JB50)</f>
        <v>5</v>
      </c>
      <c r="JD50" s="265"/>
      <c r="JE50" s="370">
        <v>1</v>
      </c>
      <c r="JF50" s="371">
        <v>1</v>
      </c>
      <c r="JG50" s="371">
        <v>1</v>
      </c>
      <c r="JH50" s="371">
        <v>1</v>
      </c>
      <c r="JI50" s="371">
        <v>1</v>
      </c>
      <c r="JJ50" s="302">
        <f>SUM(JE50:JI50)</f>
        <v>5</v>
      </c>
      <c r="JK50" s="265"/>
      <c r="JL50" s="370"/>
      <c r="JM50" s="371"/>
      <c r="JN50" s="371"/>
      <c r="JO50" s="371"/>
      <c r="JP50" s="371"/>
      <c r="JQ50" s="302">
        <f>SUM(JL50:JP50)</f>
        <v>0</v>
      </c>
      <c r="JR50" s="265"/>
      <c r="JS50" s="370"/>
      <c r="JT50" s="371"/>
      <c r="JU50" s="371"/>
      <c r="JV50" s="371"/>
      <c r="JW50" s="371"/>
      <c r="JX50" s="302">
        <f>SUM(JS50:JW50)</f>
        <v>0</v>
      </c>
      <c r="JY50" s="265"/>
      <c r="JZ50" s="370"/>
      <c r="KA50" s="371"/>
      <c r="KB50" s="371"/>
      <c r="KC50" s="371"/>
      <c r="KD50" s="371"/>
      <c r="KE50" s="302">
        <f>SUM(JZ50:KD50)</f>
        <v>0</v>
      </c>
      <c r="KF50" s="265"/>
      <c r="KG50" s="370"/>
      <c r="KH50" s="371"/>
      <c r="KI50" s="371"/>
      <c r="KJ50" s="371"/>
      <c r="KK50" s="371"/>
      <c r="KL50" s="302">
        <f>SUM(KG50:KK50)</f>
        <v>0</v>
      </c>
      <c r="KM50" s="265"/>
      <c r="KN50" s="370"/>
      <c r="KO50" s="371"/>
      <c r="KP50" s="371"/>
      <c r="KQ50" s="371"/>
      <c r="KR50" s="371"/>
      <c r="KS50" s="302">
        <f>SUM(KN50:KR50)</f>
        <v>0</v>
      </c>
      <c r="KT50" s="265"/>
      <c r="KU50" s="370"/>
      <c r="KV50" s="371"/>
      <c r="KW50" s="371"/>
      <c r="KX50" s="371"/>
      <c r="KY50" s="371"/>
      <c r="KZ50" s="302">
        <f>SUM(KU50:KY50)</f>
        <v>0</v>
      </c>
      <c r="LA50" s="265"/>
      <c r="LB50" s="370"/>
      <c r="LC50" s="371"/>
      <c r="LD50" s="371"/>
      <c r="LE50" s="371"/>
      <c r="LF50" s="371"/>
      <c r="LG50" s="302">
        <f>SUM(LB50:LF50)</f>
        <v>0</v>
      </c>
      <c r="LH50" s="265"/>
      <c r="LI50" s="370"/>
      <c r="LJ50" s="371"/>
      <c r="LK50" s="371"/>
      <c r="LL50" s="371"/>
      <c r="LM50" s="371"/>
      <c r="LN50" s="302">
        <f>SUM(LI50:LM50)</f>
        <v>0</v>
      </c>
      <c r="LO50" s="265"/>
      <c r="LP50" s="370"/>
      <c r="LQ50" s="371"/>
      <c r="LR50" s="371"/>
      <c r="LS50" s="371"/>
      <c r="LT50" s="371"/>
      <c r="LU50" s="302">
        <f>SUM(LP50:LT50)</f>
        <v>0</v>
      </c>
      <c r="LV50" s="265"/>
      <c r="LW50" s="370"/>
      <c r="LX50" s="371"/>
      <c r="LY50" s="371"/>
      <c r="LZ50" s="371"/>
      <c r="MA50" s="371"/>
      <c r="MB50" s="302">
        <f>SUM(LW50:MA50)</f>
        <v>0</v>
      </c>
      <c r="MC50" s="265"/>
      <c r="MD50" s="370"/>
      <c r="ME50" s="371"/>
      <c r="MF50" s="371"/>
      <c r="MG50" s="371"/>
      <c r="MH50" s="371"/>
      <c r="MI50" s="302">
        <f>SUM(MD50:MH50)</f>
        <v>0</v>
      </c>
      <c r="MJ50" s="265"/>
      <c r="MK50" s="370"/>
      <c r="ML50" s="371"/>
      <c r="MM50" s="371"/>
      <c r="MN50" s="371"/>
      <c r="MO50" s="371"/>
      <c r="MP50" s="302">
        <f>SUM(MK50:MO50)</f>
        <v>0</v>
      </c>
      <c r="MQ50" s="265"/>
      <c r="MR50" s="370"/>
      <c r="MS50" s="371"/>
      <c r="MT50" s="371"/>
      <c r="MU50" s="371"/>
      <c r="MV50" s="371"/>
      <c r="MW50" s="302">
        <f>SUM(MR50:MV50)</f>
        <v>0</v>
      </c>
      <c r="MX50" s="265"/>
      <c r="MY50" s="370"/>
      <c r="MZ50" s="371"/>
      <c r="NA50" s="371"/>
      <c r="NB50" s="371"/>
      <c r="NC50" s="371"/>
      <c r="ND50" s="302">
        <f>SUM(MY50:NC50)</f>
        <v>0</v>
      </c>
      <c r="NE50" s="265"/>
      <c r="NF50" s="370"/>
      <c r="NG50" s="371"/>
      <c r="NH50" s="371"/>
      <c r="NI50" s="371"/>
      <c r="NJ50" s="371"/>
      <c r="NK50" s="302">
        <f>SUM(NF50:NJ50)</f>
        <v>0</v>
      </c>
      <c r="NL50" s="265"/>
      <c r="NM50" s="370"/>
      <c r="NN50" s="371"/>
      <c r="NO50" s="371"/>
      <c r="NP50" s="371"/>
      <c r="NQ50" s="371"/>
      <c r="NR50" s="302">
        <f>SUM(NM50:NQ50)</f>
        <v>0</v>
      </c>
      <c r="NS50" s="283"/>
    </row>
    <row r="51" spans="1:383" s="196" customFormat="1" ht="16.05" customHeight="1" x14ac:dyDescent="0.3">
      <c r="A51" s="294"/>
      <c r="B51" s="282"/>
      <c r="C51" s="286" t="s">
        <v>416</v>
      </c>
      <c r="D51" s="306"/>
      <c r="E51"/>
      <c r="F51" s="227">
        <f>'Pilotage effectif 27O'!I47</f>
        <v>1</v>
      </c>
      <c r="G51" s="228">
        <f>'Pilotage effectif 27O'!J47</f>
        <v>1</v>
      </c>
      <c r="H51" s="228">
        <f>'Pilotage effectif 27O'!K47</f>
        <v>0</v>
      </c>
      <c r="I51" s="228">
        <f>'Pilotage effectif 27O'!L47</f>
        <v>1</v>
      </c>
      <c r="J51" s="228">
        <f>'Pilotage effectif 27O'!M47</f>
        <v>1</v>
      </c>
      <c r="K51" s="303">
        <f>'Pilotage effectif 27O'!N47</f>
        <v>4</v>
      </c>
      <c r="L51" s="265"/>
      <c r="M51" s="227">
        <f>'Pilotage effectif 27O'!P47</f>
        <v>0</v>
      </c>
      <c r="N51" s="228">
        <f>'Pilotage effectif 27O'!Q47</f>
        <v>0</v>
      </c>
      <c r="O51" s="228">
        <f>'Pilotage effectif 27O'!R47</f>
        <v>0</v>
      </c>
      <c r="P51" s="228">
        <f>'Pilotage effectif 27O'!S47</f>
        <v>0</v>
      </c>
      <c r="Q51" s="228">
        <f>'Pilotage effectif 27O'!T47</f>
        <v>0</v>
      </c>
      <c r="R51" s="303">
        <f>'Pilotage effectif 27O'!U47</f>
        <v>0</v>
      </c>
      <c r="S51" s="265"/>
      <c r="T51" s="227">
        <f>'Pilotage effectif 27O'!W47</f>
        <v>0</v>
      </c>
      <c r="U51" s="228">
        <f>'Pilotage effectif 27O'!X47</f>
        <v>0</v>
      </c>
      <c r="V51" s="228">
        <f>'Pilotage effectif 27O'!Y47</f>
        <v>0</v>
      </c>
      <c r="W51" s="228">
        <f>'Pilotage effectif 27O'!Z47</f>
        <v>0</v>
      </c>
      <c r="X51" s="228">
        <f>'Pilotage effectif 27O'!AA47</f>
        <v>0</v>
      </c>
      <c r="Y51" s="303">
        <f>'Pilotage effectif 27O'!AB47</f>
        <v>0</v>
      </c>
      <c r="Z51" s="265"/>
      <c r="AA51" s="227">
        <f>'Pilotage effectif 27O'!AD47</f>
        <v>0</v>
      </c>
      <c r="AB51" s="228">
        <f>'Pilotage effectif 27O'!AE47</f>
        <v>0</v>
      </c>
      <c r="AC51" s="228">
        <f>'Pilotage effectif 27O'!AF47</f>
        <v>0</v>
      </c>
      <c r="AD51" s="228">
        <f>'Pilotage effectif 27O'!AG47</f>
        <v>0</v>
      </c>
      <c r="AE51" s="228">
        <f>'Pilotage effectif 27O'!AH47</f>
        <v>0</v>
      </c>
      <c r="AF51" s="303">
        <f>'Pilotage effectif 27O'!AI47</f>
        <v>0</v>
      </c>
      <c r="AG51" s="265"/>
      <c r="AH51" s="227">
        <f>'Pilotage effectif 27O'!AK47</f>
        <v>0</v>
      </c>
      <c r="AI51" s="228">
        <f>'Pilotage effectif 27O'!AL47</f>
        <v>0</v>
      </c>
      <c r="AJ51" s="228">
        <f>'Pilotage effectif 27O'!AM47</f>
        <v>0</v>
      </c>
      <c r="AK51" s="228">
        <f>'Pilotage effectif 27O'!AN47</f>
        <v>0</v>
      </c>
      <c r="AL51" s="228">
        <f>'Pilotage effectif 27O'!AO47</f>
        <v>0</v>
      </c>
      <c r="AM51" s="303">
        <f>'Pilotage effectif 27O'!AP47</f>
        <v>0</v>
      </c>
      <c r="AN51" s="265"/>
      <c r="AO51" s="227">
        <f>'Pilotage effectif 27O'!AR47</f>
        <v>0</v>
      </c>
      <c r="AP51" s="228">
        <f>'Pilotage effectif 27O'!AS47</f>
        <v>0</v>
      </c>
      <c r="AQ51" s="228">
        <f>'Pilotage effectif 27O'!AT47</f>
        <v>0</v>
      </c>
      <c r="AR51" s="228">
        <f>'Pilotage effectif 27O'!AU47</f>
        <v>0</v>
      </c>
      <c r="AS51" s="228">
        <f>'Pilotage effectif 27O'!AV47</f>
        <v>0</v>
      </c>
      <c r="AT51" s="303">
        <f>'Pilotage effectif 27O'!AW47</f>
        <v>0</v>
      </c>
      <c r="AU51" s="265"/>
      <c r="AV51" s="227">
        <f>'Pilotage effectif 27O'!AY47</f>
        <v>0</v>
      </c>
      <c r="AW51" s="228">
        <f>'Pilotage effectif 27O'!AZ47</f>
        <v>0</v>
      </c>
      <c r="AX51" s="228">
        <f>'Pilotage effectif 27O'!BA47</f>
        <v>0</v>
      </c>
      <c r="AY51" s="228">
        <f>'Pilotage effectif 27O'!BB47</f>
        <v>0</v>
      </c>
      <c r="AZ51" s="228">
        <f>'Pilotage effectif 27O'!BC47</f>
        <v>0</v>
      </c>
      <c r="BA51" s="303">
        <f>'Pilotage effectif 27O'!BD47</f>
        <v>0</v>
      </c>
      <c r="BB51" s="265"/>
      <c r="BC51" s="227">
        <f>'Pilotage effectif 27O'!BF47</f>
        <v>0</v>
      </c>
      <c r="BD51" s="228">
        <f>'Pilotage effectif 27O'!BG47</f>
        <v>0</v>
      </c>
      <c r="BE51" s="228">
        <f>'Pilotage effectif 27O'!BH47</f>
        <v>0</v>
      </c>
      <c r="BF51" s="228">
        <f>'Pilotage effectif 27O'!BI47</f>
        <v>0</v>
      </c>
      <c r="BG51" s="228">
        <f>'Pilotage effectif 27O'!BJ47</f>
        <v>0</v>
      </c>
      <c r="BH51" s="303">
        <f>'Pilotage effectif 27O'!BK47</f>
        <v>0</v>
      </c>
      <c r="BI51" s="265"/>
      <c r="BJ51" s="227">
        <f>'Pilotage effectif 27O'!BM47</f>
        <v>0</v>
      </c>
      <c r="BK51" s="228">
        <f>'Pilotage effectif 27O'!BN47</f>
        <v>0</v>
      </c>
      <c r="BL51" s="228">
        <f>'Pilotage effectif 27O'!BO47</f>
        <v>0</v>
      </c>
      <c r="BM51" s="228">
        <f>'Pilotage effectif 27O'!BP47</f>
        <v>0</v>
      </c>
      <c r="BN51" s="228">
        <f>'Pilotage effectif 27O'!BQ47</f>
        <v>0</v>
      </c>
      <c r="BO51" s="303">
        <f>'Pilotage effectif 27O'!BR47</f>
        <v>0</v>
      </c>
      <c r="BP51" s="265"/>
      <c r="BQ51" s="227">
        <f>'Pilotage effectif 27O'!BT47</f>
        <v>0</v>
      </c>
      <c r="BR51" s="228">
        <f>'Pilotage effectif 27O'!BU47</f>
        <v>0</v>
      </c>
      <c r="BS51" s="228">
        <f>'Pilotage effectif 27O'!BV47</f>
        <v>0</v>
      </c>
      <c r="BT51" s="228">
        <f>'Pilotage effectif 27O'!BW47</f>
        <v>0</v>
      </c>
      <c r="BU51" s="228">
        <f>'Pilotage effectif 27O'!BX47</f>
        <v>0</v>
      </c>
      <c r="BV51" s="303">
        <f>'Pilotage effectif 27O'!BY47</f>
        <v>0</v>
      </c>
      <c r="BW51" s="265"/>
      <c r="BX51" s="227">
        <f>'Pilotage effectif 27O'!CA47</f>
        <v>0</v>
      </c>
      <c r="BY51" s="228">
        <f>'Pilotage effectif 27O'!CB47</f>
        <v>0</v>
      </c>
      <c r="BZ51" s="228">
        <f>'Pilotage effectif 27O'!CC47</f>
        <v>0</v>
      </c>
      <c r="CA51" s="228">
        <f>'Pilotage effectif 27O'!CD47</f>
        <v>0</v>
      </c>
      <c r="CB51" s="228">
        <f>'Pilotage effectif 27O'!CE47</f>
        <v>0</v>
      </c>
      <c r="CC51" s="303">
        <f>'Pilotage effectif 27O'!CF47</f>
        <v>0</v>
      </c>
      <c r="CD51" s="265"/>
      <c r="CE51" s="227">
        <f>'Pilotage effectif 27O'!CH47</f>
        <v>0</v>
      </c>
      <c r="CF51" s="228">
        <f>'Pilotage effectif 27O'!CI47</f>
        <v>0</v>
      </c>
      <c r="CG51" s="228">
        <f>'Pilotage effectif 27O'!CJ47</f>
        <v>0</v>
      </c>
      <c r="CH51" s="228">
        <f>'Pilotage effectif 27O'!CK47</f>
        <v>0</v>
      </c>
      <c r="CI51" s="228">
        <f>'Pilotage effectif 27O'!CL47</f>
        <v>0</v>
      </c>
      <c r="CJ51" s="303">
        <f>'Pilotage effectif 27O'!CM47</f>
        <v>0</v>
      </c>
      <c r="CK51" s="265"/>
      <c r="CL51" s="227">
        <f>'Pilotage effectif 27O'!CO47</f>
        <v>0</v>
      </c>
      <c r="CM51" s="228">
        <f>'Pilotage effectif 27O'!CP47</f>
        <v>0</v>
      </c>
      <c r="CN51" s="228">
        <f>'Pilotage effectif 27O'!CQ47</f>
        <v>0</v>
      </c>
      <c r="CO51" s="228">
        <f>'Pilotage effectif 27O'!CR47</f>
        <v>0</v>
      </c>
      <c r="CP51" s="228">
        <f>'Pilotage effectif 27O'!CS47</f>
        <v>0</v>
      </c>
      <c r="CQ51" s="303">
        <f>'Pilotage effectif 27O'!CT47</f>
        <v>0</v>
      </c>
      <c r="CR51" s="265"/>
      <c r="CS51" s="227">
        <f>'Pilotage effectif 27O'!CV47</f>
        <v>0</v>
      </c>
      <c r="CT51" s="228">
        <f>'Pilotage effectif 27O'!CW47</f>
        <v>0</v>
      </c>
      <c r="CU51" s="228">
        <f>'Pilotage effectif 27O'!CX47</f>
        <v>0</v>
      </c>
      <c r="CV51" s="228">
        <f>'Pilotage effectif 27O'!CY47</f>
        <v>0</v>
      </c>
      <c r="CW51" s="228">
        <f>'Pilotage effectif 27O'!CZ47</f>
        <v>0</v>
      </c>
      <c r="CX51" s="303">
        <f>'Pilotage effectif 27O'!DA47</f>
        <v>0</v>
      </c>
      <c r="CY51" s="265"/>
      <c r="CZ51" s="227">
        <f>'Pilotage effectif 27O'!DC47</f>
        <v>0</v>
      </c>
      <c r="DA51" s="228">
        <f>'Pilotage effectif 27O'!DD47</f>
        <v>0</v>
      </c>
      <c r="DB51" s="228">
        <f>'Pilotage effectif 27O'!DE47</f>
        <v>0</v>
      </c>
      <c r="DC51" s="228">
        <f>'Pilotage effectif 27O'!DF47</f>
        <v>0</v>
      </c>
      <c r="DD51" s="228">
        <f>'Pilotage effectif 27O'!DG47</f>
        <v>0</v>
      </c>
      <c r="DE51" s="303">
        <f>'Pilotage effectif 27O'!DH47</f>
        <v>0</v>
      </c>
      <c r="DF51" s="265"/>
      <c r="DG51" s="227">
        <f>'Pilotage effectif 27O'!DJ47</f>
        <v>0</v>
      </c>
      <c r="DH51" s="228">
        <f>'Pilotage effectif 27O'!DK47</f>
        <v>0</v>
      </c>
      <c r="DI51" s="228">
        <f>'Pilotage effectif 27O'!DL47</f>
        <v>0</v>
      </c>
      <c r="DJ51" s="228">
        <f>'Pilotage effectif 27O'!DM47</f>
        <v>0</v>
      </c>
      <c r="DK51" s="228">
        <f>'Pilotage effectif 27O'!DN47</f>
        <v>0</v>
      </c>
      <c r="DL51" s="303">
        <f>'Pilotage effectif 27O'!DO47</f>
        <v>0</v>
      </c>
      <c r="DM51" s="265"/>
      <c r="DN51" s="227">
        <f>'Pilotage effectif 27O'!DQ47</f>
        <v>0</v>
      </c>
      <c r="DO51" s="228">
        <f>'Pilotage effectif 27O'!DR47</f>
        <v>0</v>
      </c>
      <c r="DP51" s="228">
        <f>'Pilotage effectif 27O'!DS47</f>
        <v>0</v>
      </c>
      <c r="DQ51" s="228">
        <f>'Pilotage effectif 27O'!DT47</f>
        <v>0</v>
      </c>
      <c r="DR51" s="228">
        <f>'Pilotage effectif 27O'!DU47</f>
        <v>0</v>
      </c>
      <c r="DS51" s="303">
        <f>'Pilotage effectif 27O'!DV47</f>
        <v>0</v>
      </c>
      <c r="DT51" s="265"/>
      <c r="DU51" s="227">
        <f>'Pilotage effectif 27O'!DX47</f>
        <v>0</v>
      </c>
      <c r="DV51" s="228">
        <f>'Pilotage effectif 27O'!DY47</f>
        <v>0</v>
      </c>
      <c r="DW51" s="228">
        <f>'Pilotage effectif 27O'!DZ47</f>
        <v>0</v>
      </c>
      <c r="DX51" s="228">
        <f>'Pilotage effectif 27O'!EA47</f>
        <v>0</v>
      </c>
      <c r="DY51" s="228">
        <f>'Pilotage effectif 27O'!EB47</f>
        <v>0</v>
      </c>
      <c r="DZ51" s="303">
        <f>'Pilotage effectif 27O'!EC47</f>
        <v>0</v>
      </c>
      <c r="EA51" s="265"/>
      <c r="EB51" s="227">
        <f>'Pilotage effectif 27O'!EE47</f>
        <v>0</v>
      </c>
      <c r="EC51" s="228">
        <f>'Pilotage effectif 27O'!EF47</f>
        <v>0</v>
      </c>
      <c r="ED51" s="228">
        <f>'Pilotage effectif 27O'!EG47</f>
        <v>0</v>
      </c>
      <c r="EE51" s="228">
        <f>'Pilotage effectif 27O'!EH47</f>
        <v>0</v>
      </c>
      <c r="EF51" s="228">
        <f>'Pilotage effectif 27O'!EI47</f>
        <v>0</v>
      </c>
      <c r="EG51" s="303">
        <f>'Pilotage effectif 27O'!EJ47</f>
        <v>0</v>
      </c>
      <c r="EH51" s="265"/>
      <c r="EI51" s="227">
        <f>'Pilotage effectif 27O'!EL47</f>
        <v>0</v>
      </c>
      <c r="EJ51" s="228">
        <f>'Pilotage effectif 27O'!EM47</f>
        <v>0</v>
      </c>
      <c r="EK51" s="228">
        <f>'Pilotage effectif 27O'!EN47</f>
        <v>0</v>
      </c>
      <c r="EL51" s="228">
        <f>'Pilotage effectif 27O'!EO47</f>
        <v>0</v>
      </c>
      <c r="EM51" s="228">
        <f>'Pilotage effectif 27O'!EP47</f>
        <v>0</v>
      </c>
      <c r="EN51" s="303">
        <f>'Pilotage effectif 27O'!EQ47</f>
        <v>0</v>
      </c>
      <c r="EO51" s="265"/>
      <c r="EP51" s="227">
        <f>'Pilotage effectif 27O'!ES47</f>
        <v>0</v>
      </c>
      <c r="EQ51" s="228">
        <f>'Pilotage effectif 27O'!ET47</f>
        <v>0</v>
      </c>
      <c r="ER51" s="228">
        <f>'Pilotage effectif 27O'!EU47</f>
        <v>0</v>
      </c>
      <c r="ES51" s="228">
        <f>'Pilotage effectif 27O'!EV47</f>
        <v>0</v>
      </c>
      <c r="ET51" s="228">
        <f>'Pilotage effectif 27O'!EW47</f>
        <v>0</v>
      </c>
      <c r="EU51" s="303">
        <f>'Pilotage effectif 27O'!EX47</f>
        <v>0</v>
      </c>
      <c r="EV51" s="265"/>
      <c r="EW51" s="227">
        <f>'Pilotage effectif 27O'!EZ47</f>
        <v>0</v>
      </c>
      <c r="EX51" s="228">
        <f>'Pilotage effectif 27O'!FA47</f>
        <v>0</v>
      </c>
      <c r="EY51" s="228">
        <f>'Pilotage effectif 27O'!FB47</f>
        <v>0</v>
      </c>
      <c r="EZ51" s="228">
        <f>'Pilotage effectif 27O'!FC47</f>
        <v>0</v>
      </c>
      <c r="FA51" s="228">
        <f>'Pilotage effectif 27O'!FD47</f>
        <v>0</v>
      </c>
      <c r="FB51" s="303">
        <f>'Pilotage effectif 27O'!FE47</f>
        <v>0</v>
      </c>
      <c r="FC51" s="265"/>
      <c r="FD51" s="227">
        <f>'Pilotage effectif 27O'!FG47</f>
        <v>0</v>
      </c>
      <c r="FE51" s="228">
        <f>'Pilotage effectif 27O'!FH47</f>
        <v>0</v>
      </c>
      <c r="FF51" s="228">
        <f>'Pilotage effectif 27O'!FI47</f>
        <v>0</v>
      </c>
      <c r="FG51" s="228">
        <f>'Pilotage effectif 27O'!FJ47</f>
        <v>0</v>
      </c>
      <c r="FH51" s="228">
        <f>'Pilotage effectif 27O'!FK47</f>
        <v>0</v>
      </c>
      <c r="FI51" s="303">
        <f>'Pilotage effectif 27O'!FL47</f>
        <v>0</v>
      </c>
      <c r="FJ51" s="265"/>
      <c r="FK51" s="227">
        <f>'Pilotage effectif 27O'!FN47</f>
        <v>0</v>
      </c>
      <c r="FL51" s="228">
        <f>'Pilotage effectif 27O'!FO47</f>
        <v>0</v>
      </c>
      <c r="FM51" s="228">
        <f>'Pilotage effectif 27O'!FP47</f>
        <v>0</v>
      </c>
      <c r="FN51" s="228">
        <f>'Pilotage effectif 27O'!FQ47</f>
        <v>0</v>
      </c>
      <c r="FO51" s="228">
        <f>'Pilotage effectif 27O'!FR47</f>
        <v>0</v>
      </c>
      <c r="FP51" s="303">
        <f>'Pilotage effectif 27O'!FS47</f>
        <v>0</v>
      </c>
      <c r="FQ51" s="265"/>
      <c r="FR51" s="227">
        <f>'Pilotage effectif 27O'!FU47</f>
        <v>0</v>
      </c>
      <c r="FS51" s="228">
        <f>'Pilotage effectif 27O'!FV47</f>
        <v>0</v>
      </c>
      <c r="FT51" s="228">
        <f>'Pilotage effectif 27O'!FW47</f>
        <v>0</v>
      </c>
      <c r="FU51" s="228">
        <f>'Pilotage effectif 27O'!FX47</f>
        <v>0</v>
      </c>
      <c r="FV51" s="228">
        <f>'Pilotage effectif 27O'!FY47</f>
        <v>0</v>
      </c>
      <c r="FW51" s="303">
        <f>'Pilotage effectif 27O'!FZ47</f>
        <v>0</v>
      </c>
      <c r="FX51" s="265"/>
      <c r="FY51" s="227">
        <f>'Pilotage effectif 27O'!GB47</f>
        <v>0</v>
      </c>
      <c r="FZ51" s="228">
        <f>'Pilotage effectif 27O'!GC47</f>
        <v>0</v>
      </c>
      <c r="GA51" s="228">
        <f>'Pilotage effectif 27O'!GD47</f>
        <v>0</v>
      </c>
      <c r="GB51" s="228">
        <f>'Pilotage effectif 27O'!GE47</f>
        <v>0</v>
      </c>
      <c r="GC51" s="228">
        <f>'Pilotage effectif 27O'!GF47</f>
        <v>0</v>
      </c>
      <c r="GD51" s="303">
        <f>'Pilotage effectif 27O'!GG47</f>
        <v>0</v>
      </c>
      <c r="GE51" s="265"/>
      <c r="GF51" s="227">
        <f>'Pilotage effectif 27O'!GI47</f>
        <v>0</v>
      </c>
      <c r="GG51" s="228">
        <f>'Pilotage effectif 27O'!GJ47</f>
        <v>0</v>
      </c>
      <c r="GH51" s="228">
        <f>'Pilotage effectif 27O'!GK47</f>
        <v>0</v>
      </c>
      <c r="GI51" s="228">
        <f>'Pilotage effectif 27O'!GL47</f>
        <v>0</v>
      </c>
      <c r="GJ51" s="228">
        <f>'Pilotage effectif 27O'!GM47</f>
        <v>0</v>
      </c>
      <c r="GK51" s="303">
        <f>'Pilotage effectif 27O'!GN47</f>
        <v>0</v>
      </c>
      <c r="GL51" s="265"/>
      <c r="GM51" s="227">
        <f>'Pilotage effectif 27O'!GP47</f>
        <v>0</v>
      </c>
      <c r="GN51" s="228">
        <f>'Pilotage effectif 27O'!GQ47</f>
        <v>0</v>
      </c>
      <c r="GO51" s="228">
        <f>'Pilotage effectif 27O'!GR47</f>
        <v>0</v>
      </c>
      <c r="GP51" s="228">
        <f>'Pilotage effectif 27O'!GS47</f>
        <v>0</v>
      </c>
      <c r="GQ51" s="228">
        <f>'Pilotage effectif 27O'!GT47</f>
        <v>0</v>
      </c>
      <c r="GR51" s="303">
        <f>'Pilotage effectif 27O'!GU47</f>
        <v>0</v>
      </c>
      <c r="GS51" s="265"/>
      <c r="GT51" s="227">
        <f>'Pilotage effectif 27O'!GW47</f>
        <v>0</v>
      </c>
      <c r="GU51" s="228">
        <f>'Pilotage effectif 27O'!GX47</f>
        <v>0</v>
      </c>
      <c r="GV51" s="228">
        <f>'Pilotage effectif 27O'!GY47</f>
        <v>0</v>
      </c>
      <c r="GW51" s="228">
        <f>'Pilotage effectif 27O'!GZ47</f>
        <v>0</v>
      </c>
      <c r="GX51" s="228">
        <f>'Pilotage effectif 27O'!HA47</f>
        <v>0</v>
      </c>
      <c r="GY51" s="303">
        <f>'Pilotage effectif 27O'!HB47</f>
        <v>0</v>
      </c>
      <c r="GZ51" s="283"/>
      <c r="HA51" s="227">
        <f>'Pilotage effectif 27O'!HD47</f>
        <v>0</v>
      </c>
      <c r="HB51" s="228">
        <f>'Pilotage effectif 27O'!HE47</f>
        <v>0</v>
      </c>
      <c r="HC51" s="228">
        <f>'Pilotage effectif 27O'!HF47</f>
        <v>0</v>
      </c>
      <c r="HD51" s="228">
        <f>'Pilotage effectif 27O'!HG47</f>
        <v>0</v>
      </c>
      <c r="HE51" s="228">
        <f>'Pilotage effectif 27O'!HH47</f>
        <v>0</v>
      </c>
      <c r="HF51" s="303">
        <f>'Pilotage effectif 27O'!HI47</f>
        <v>0</v>
      </c>
      <c r="HG51" s="265"/>
      <c r="HH51" s="227">
        <f>'Pilotage effectif 27O'!HK47</f>
        <v>0</v>
      </c>
      <c r="HI51" s="228">
        <f>'Pilotage effectif 27O'!HL47</f>
        <v>0</v>
      </c>
      <c r="HJ51" s="228">
        <f>'Pilotage effectif 27O'!HM47</f>
        <v>0</v>
      </c>
      <c r="HK51" s="228">
        <f>'Pilotage effectif 27O'!HN47</f>
        <v>0</v>
      </c>
      <c r="HL51" s="228">
        <f>'Pilotage effectif 27O'!HO47</f>
        <v>0</v>
      </c>
      <c r="HM51" s="303">
        <f>'Pilotage effectif 27O'!HP47</f>
        <v>0</v>
      </c>
      <c r="HN51" s="265"/>
      <c r="HO51" s="227">
        <f>'Pilotage effectif 27O'!HR47</f>
        <v>0</v>
      </c>
      <c r="HP51" s="228">
        <f>'Pilotage effectif 27O'!HS47</f>
        <v>0</v>
      </c>
      <c r="HQ51" s="228">
        <f>'Pilotage effectif 27O'!HT47</f>
        <v>0</v>
      </c>
      <c r="HR51" s="228">
        <f>'Pilotage effectif 27O'!HU47</f>
        <v>0</v>
      </c>
      <c r="HS51" s="228">
        <f>'Pilotage effectif 27O'!HV47</f>
        <v>0</v>
      </c>
      <c r="HT51" s="303">
        <f>'Pilotage effectif 27O'!HW47</f>
        <v>0</v>
      </c>
      <c r="HU51" s="265"/>
      <c r="HV51" s="227">
        <f>'Pilotage effectif 27O'!HY47</f>
        <v>0</v>
      </c>
      <c r="HW51" s="228">
        <f>'Pilotage effectif 27O'!HZ47</f>
        <v>0</v>
      </c>
      <c r="HX51" s="228">
        <f>'Pilotage effectif 27O'!IA47</f>
        <v>0</v>
      </c>
      <c r="HY51" s="228">
        <f>'Pilotage effectif 27O'!IB47</f>
        <v>0</v>
      </c>
      <c r="HZ51" s="228">
        <f>'Pilotage effectif 27O'!IC47</f>
        <v>0</v>
      </c>
      <c r="IA51" s="303">
        <f>'Pilotage effectif 27O'!ID47</f>
        <v>0</v>
      </c>
      <c r="IB51" s="265"/>
      <c r="IC51" s="227">
        <f>'Pilotage effectif 27O'!IF47</f>
        <v>0</v>
      </c>
      <c r="ID51" s="228">
        <f>'Pilotage effectif 27O'!IG47</f>
        <v>0</v>
      </c>
      <c r="IE51" s="228">
        <f>'Pilotage effectif 27O'!IH47</f>
        <v>0</v>
      </c>
      <c r="IF51" s="228">
        <f>'Pilotage effectif 27O'!II47</f>
        <v>0</v>
      </c>
      <c r="IG51" s="228">
        <f>'Pilotage effectif 27O'!IJ47</f>
        <v>0</v>
      </c>
      <c r="IH51" s="303">
        <f>'Pilotage effectif 27O'!IK47</f>
        <v>0</v>
      </c>
      <c r="II51" s="265"/>
      <c r="IJ51" s="227">
        <f>'Pilotage effectif 27O'!IM47</f>
        <v>0</v>
      </c>
      <c r="IK51" s="228">
        <f>'Pilotage effectif 27O'!IN47</f>
        <v>0</v>
      </c>
      <c r="IL51" s="228">
        <f>'Pilotage effectif 27O'!IO47</f>
        <v>0</v>
      </c>
      <c r="IM51" s="228">
        <f>'Pilotage effectif 27O'!IP47</f>
        <v>0</v>
      </c>
      <c r="IN51" s="228">
        <f>'Pilotage effectif 27O'!IQ47</f>
        <v>0</v>
      </c>
      <c r="IO51" s="303">
        <f>'Pilotage effectif 27O'!IR47</f>
        <v>0</v>
      </c>
      <c r="IP51" s="265"/>
      <c r="IQ51" s="227">
        <f>'Pilotage effectif 27O'!IT47</f>
        <v>0</v>
      </c>
      <c r="IR51" s="228">
        <f>'Pilotage effectif 27O'!IU47</f>
        <v>0</v>
      </c>
      <c r="IS51" s="228">
        <f>'Pilotage effectif 27O'!IV47</f>
        <v>0</v>
      </c>
      <c r="IT51" s="228">
        <f>'Pilotage effectif 27O'!IW47</f>
        <v>0</v>
      </c>
      <c r="IU51" s="228">
        <f>'Pilotage effectif 27O'!IX47</f>
        <v>0</v>
      </c>
      <c r="IV51" s="303">
        <f>'Pilotage effectif 27O'!IY47</f>
        <v>0</v>
      </c>
      <c r="IW51" s="265"/>
      <c r="IX51" s="227">
        <f>'Pilotage effectif 27O'!JA47</f>
        <v>0</v>
      </c>
      <c r="IY51" s="228">
        <f>'Pilotage effectif 27O'!JB47</f>
        <v>0</v>
      </c>
      <c r="IZ51" s="228">
        <f>'Pilotage effectif 27O'!JC47</f>
        <v>0</v>
      </c>
      <c r="JA51" s="228">
        <f>'Pilotage effectif 27O'!JD47</f>
        <v>0</v>
      </c>
      <c r="JB51" s="228">
        <f>'Pilotage effectif 27O'!JE47</f>
        <v>0</v>
      </c>
      <c r="JC51" s="303">
        <f>'Pilotage effectif 27O'!JF47</f>
        <v>0</v>
      </c>
      <c r="JD51" s="265"/>
      <c r="JE51" s="227">
        <f>'Pilotage effectif 27O'!JH47</f>
        <v>0</v>
      </c>
      <c r="JF51" s="228">
        <f>'Pilotage effectif 27O'!JI47</f>
        <v>0</v>
      </c>
      <c r="JG51" s="228">
        <f>'Pilotage effectif 27O'!JJ47</f>
        <v>0</v>
      </c>
      <c r="JH51" s="228">
        <f>'Pilotage effectif 27O'!JK47</f>
        <v>0</v>
      </c>
      <c r="JI51" s="228">
        <f>'Pilotage effectif 27O'!JL47</f>
        <v>0</v>
      </c>
      <c r="JJ51" s="303">
        <f>'Pilotage effectif 27O'!JM47</f>
        <v>0</v>
      </c>
      <c r="JK51" s="265"/>
      <c r="JL51" s="227">
        <f>'Pilotage effectif 27O'!JO47</f>
        <v>0</v>
      </c>
      <c r="JM51" s="228">
        <f>'Pilotage effectif 27O'!JP47</f>
        <v>0</v>
      </c>
      <c r="JN51" s="228">
        <f>'Pilotage effectif 27O'!JQ47</f>
        <v>0</v>
      </c>
      <c r="JO51" s="228">
        <f>'Pilotage effectif 27O'!JR47</f>
        <v>0</v>
      </c>
      <c r="JP51" s="228">
        <f>'Pilotage effectif 27O'!JS47</f>
        <v>0</v>
      </c>
      <c r="JQ51" s="303">
        <f>'Pilotage effectif 27O'!JT47</f>
        <v>0</v>
      </c>
      <c r="JR51" s="265"/>
      <c r="JS51" s="227">
        <f>'Pilotage effectif 27O'!JV47</f>
        <v>0</v>
      </c>
      <c r="JT51" s="228">
        <f>'Pilotage effectif 27O'!JW47</f>
        <v>0</v>
      </c>
      <c r="JU51" s="228">
        <f>'Pilotage effectif 27O'!JX47</f>
        <v>0</v>
      </c>
      <c r="JV51" s="228">
        <f>'Pilotage effectif 27O'!JY47</f>
        <v>0</v>
      </c>
      <c r="JW51" s="228">
        <f>'Pilotage effectif 27O'!JZ47</f>
        <v>0</v>
      </c>
      <c r="JX51" s="303">
        <f>'Pilotage effectif 27O'!KA47</f>
        <v>0</v>
      </c>
      <c r="JY51" s="265"/>
      <c r="JZ51" s="227">
        <f>'Pilotage effectif 27O'!KC47</f>
        <v>0</v>
      </c>
      <c r="KA51" s="228">
        <f>'Pilotage effectif 27O'!KD47</f>
        <v>0</v>
      </c>
      <c r="KB51" s="228">
        <f>'Pilotage effectif 27O'!KE47</f>
        <v>0</v>
      </c>
      <c r="KC51" s="228">
        <f>'Pilotage effectif 27O'!KF47</f>
        <v>0</v>
      </c>
      <c r="KD51" s="228">
        <f>'Pilotage effectif 27O'!KG47</f>
        <v>0</v>
      </c>
      <c r="KE51" s="303">
        <f>'Pilotage effectif 27O'!KH47</f>
        <v>0</v>
      </c>
      <c r="KF51" s="265"/>
      <c r="KG51" s="227">
        <f>'Pilotage effectif 27O'!KJ47</f>
        <v>0</v>
      </c>
      <c r="KH51" s="228">
        <f>'Pilotage effectif 27O'!KK47</f>
        <v>0</v>
      </c>
      <c r="KI51" s="228">
        <f>'Pilotage effectif 27O'!KL47</f>
        <v>0</v>
      </c>
      <c r="KJ51" s="228">
        <f>'Pilotage effectif 27O'!KM47</f>
        <v>0</v>
      </c>
      <c r="KK51" s="228">
        <f>'Pilotage effectif 27O'!KN47</f>
        <v>0</v>
      </c>
      <c r="KL51" s="303">
        <f>'Pilotage effectif 27O'!KO47</f>
        <v>0</v>
      </c>
      <c r="KM51" s="265"/>
      <c r="KN51" s="227">
        <f>'Pilotage effectif 27O'!KQ47</f>
        <v>0</v>
      </c>
      <c r="KO51" s="228">
        <f>'Pilotage effectif 27O'!KR47</f>
        <v>0</v>
      </c>
      <c r="KP51" s="228">
        <f>'Pilotage effectif 27O'!KS47</f>
        <v>0</v>
      </c>
      <c r="KQ51" s="228">
        <f>'Pilotage effectif 27O'!KT47</f>
        <v>0</v>
      </c>
      <c r="KR51" s="228">
        <f>'Pilotage effectif 27O'!KU47</f>
        <v>0</v>
      </c>
      <c r="KS51" s="303">
        <f>'Pilotage effectif 27O'!KV47</f>
        <v>0</v>
      </c>
      <c r="KT51" s="265"/>
      <c r="KU51" s="227">
        <f>'Pilotage effectif 27O'!KX47</f>
        <v>0</v>
      </c>
      <c r="KV51" s="228">
        <f>'Pilotage effectif 27O'!KY47</f>
        <v>0</v>
      </c>
      <c r="KW51" s="228">
        <f>'Pilotage effectif 27O'!KZ47</f>
        <v>0</v>
      </c>
      <c r="KX51" s="228">
        <f>'Pilotage effectif 27O'!LA47</f>
        <v>0</v>
      </c>
      <c r="KY51" s="228">
        <f>'Pilotage effectif 27O'!LB47</f>
        <v>0</v>
      </c>
      <c r="KZ51" s="303">
        <f>'Pilotage effectif 27O'!LC47</f>
        <v>0</v>
      </c>
      <c r="LA51" s="265"/>
      <c r="LB51" s="227">
        <f>'Pilotage effectif 27O'!LE47</f>
        <v>0</v>
      </c>
      <c r="LC51" s="228">
        <f>'Pilotage effectif 27O'!LF47</f>
        <v>0</v>
      </c>
      <c r="LD51" s="228">
        <f>'Pilotage effectif 27O'!LG47</f>
        <v>0</v>
      </c>
      <c r="LE51" s="228">
        <f>'Pilotage effectif 27O'!LH47</f>
        <v>0</v>
      </c>
      <c r="LF51" s="228">
        <f>'Pilotage effectif 27O'!LI47</f>
        <v>0</v>
      </c>
      <c r="LG51" s="303">
        <f>'Pilotage effectif 27O'!LJ47</f>
        <v>0</v>
      </c>
      <c r="LH51" s="265"/>
      <c r="LI51" s="227">
        <f>'Pilotage effectif 27O'!LL47</f>
        <v>0</v>
      </c>
      <c r="LJ51" s="228">
        <f>'Pilotage effectif 27O'!LM47</f>
        <v>0</v>
      </c>
      <c r="LK51" s="228">
        <f>'Pilotage effectif 27O'!LN47</f>
        <v>0</v>
      </c>
      <c r="LL51" s="228">
        <f>'Pilotage effectif 27O'!LO47</f>
        <v>0</v>
      </c>
      <c r="LM51" s="228">
        <f>'Pilotage effectif 27O'!LP47</f>
        <v>0</v>
      </c>
      <c r="LN51" s="303">
        <f>'Pilotage effectif 27O'!LQ47</f>
        <v>0</v>
      </c>
      <c r="LO51" s="265"/>
      <c r="LP51" s="227">
        <f>'Pilotage effectif 27O'!LS47</f>
        <v>0</v>
      </c>
      <c r="LQ51" s="228">
        <f>'Pilotage effectif 27O'!LT47</f>
        <v>0</v>
      </c>
      <c r="LR51" s="228">
        <f>'Pilotage effectif 27O'!LU47</f>
        <v>0</v>
      </c>
      <c r="LS51" s="228">
        <f>'Pilotage effectif 27O'!LV47</f>
        <v>0</v>
      </c>
      <c r="LT51" s="228">
        <f>'Pilotage effectif 27O'!LW47</f>
        <v>0</v>
      </c>
      <c r="LU51" s="303">
        <f>'Pilotage effectif 27O'!LX47</f>
        <v>0</v>
      </c>
      <c r="LV51" s="265"/>
      <c r="LW51" s="227">
        <f>'Pilotage effectif 27O'!LZ47</f>
        <v>0</v>
      </c>
      <c r="LX51" s="228">
        <f>'Pilotage effectif 27O'!MA47</f>
        <v>0</v>
      </c>
      <c r="LY51" s="228">
        <f>'Pilotage effectif 27O'!MB47</f>
        <v>0</v>
      </c>
      <c r="LZ51" s="228">
        <f>'Pilotage effectif 27O'!MC47</f>
        <v>0</v>
      </c>
      <c r="MA51" s="228">
        <f>'Pilotage effectif 27O'!MD47</f>
        <v>0</v>
      </c>
      <c r="MB51" s="303">
        <f>'Pilotage effectif 27O'!ME47</f>
        <v>0</v>
      </c>
      <c r="MC51" s="265"/>
      <c r="MD51" s="227">
        <f>'Pilotage effectif 27O'!MG47</f>
        <v>0</v>
      </c>
      <c r="ME51" s="228">
        <f>'Pilotage effectif 27O'!MH47</f>
        <v>0</v>
      </c>
      <c r="MF51" s="228">
        <f>'Pilotage effectif 27O'!MI47</f>
        <v>0</v>
      </c>
      <c r="MG51" s="228">
        <f>'Pilotage effectif 27O'!MJ47</f>
        <v>0</v>
      </c>
      <c r="MH51" s="228">
        <f>'Pilotage effectif 27O'!MK47</f>
        <v>0</v>
      </c>
      <c r="MI51" s="303">
        <f>'Pilotage effectif 27O'!ML47</f>
        <v>0</v>
      </c>
      <c r="MJ51" s="265"/>
      <c r="MK51" s="227">
        <f>'Pilotage effectif 27O'!MN47</f>
        <v>0</v>
      </c>
      <c r="ML51" s="228">
        <f>'Pilotage effectif 27O'!MO47</f>
        <v>0</v>
      </c>
      <c r="MM51" s="228">
        <f>'Pilotage effectif 27O'!MP47</f>
        <v>0</v>
      </c>
      <c r="MN51" s="228">
        <f>'Pilotage effectif 27O'!MQ47</f>
        <v>0</v>
      </c>
      <c r="MO51" s="228">
        <f>'Pilotage effectif 27O'!MR47</f>
        <v>0</v>
      </c>
      <c r="MP51" s="303">
        <f>'Pilotage effectif 27O'!MS47</f>
        <v>0</v>
      </c>
      <c r="MQ51" s="265"/>
      <c r="MR51" s="227">
        <f>'Pilotage effectif 27O'!MU47</f>
        <v>0</v>
      </c>
      <c r="MS51" s="228">
        <f>'Pilotage effectif 27O'!MV47</f>
        <v>0</v>
      </c>
      <c r="MT51" s="228">
        <f>'Pilotage effectif 27O'!MW47</f>
        <v>0</v>
      </c>
      <c r="MU51" s="228">
        <f>'Pilotage effectif 27O'!MX47</f>
        <v>0</v>
      </c>
      <c r="MV51" s="228">
        <f>'Pilotage effectif 27O'!MY47</f>
        <v>0</v>
      </c>
      <c r="MW51" s="303">
        <f>'Pilotage effectif 27O'!MZ47</f>
        <v>0</v>
      </c>
      <c r="MX51" s="265"/>
      <c r="MY51" s="227">
        <f>'Pilotage effectif 27O'!NB47</f>
        <v>0</v>
      </c>
      <c r="MZ51" s="228">
        <f>'Pilotage effectif 27O'!NC47</f>
        <v>0</v>
      </c>
      <c r="NA51" s="228">
        <f>'Pilotage effectif 27O'!ND47</f>
        <v>0</v>
      </c>
      <c r="NB51" s="228">
        <f>'Pilotage effectif 27O'!NE47</f>
        <v>0</v>
      </c>
      <c r="NC51" s="228">
        <f>'Pilotage effectif 27O'!NF47</f>
        <v>0</v>
      </c>
      <c r="ND51" s="303">
        <f>'Pilotage effectif 27O'!NG47</f>
        <v>0</v>
      </c>
      <c r="NE51" s="265"/>
      <c r="NF51" s="227">
        <f>'Pilotage effectif 27O'!NI47</f>
        <v>0</v>
      </c>
      <c r="NG51" s="228">
        <f>'Pilotage effectif 27O'!NJ47</f>
        <v>0</v>
      </c>
      <c r="NH51" s="228">
        <f>'Pilotage effectif 27O'!NK47</f>
        <v>0</v>
      </c>
      <c r="NI51" s="228">
        <f>'Pilotage effectif 27O'!NL47</f>
        <v>0</v>
      </c>
      <c r="NJ51" s="228">
        <f>'Pilotage effectif 27O'!NM47</f>
        <v>0</v>
      </c>
      <c r="NK51" s="303">
        <f>'Pilotage effectif 27O'!NN47</f>
        <v>0</v>
      </c>
      <c r="NL51" s="265"/>
      <c r="NM51" s="227">
        <f>'Pilotage effectif 27O'!NP47</f>
        <v>0</v>
      </c>
      <c r="NN51" s="228">
        <f>'Pilotage effectif 27O'!NQ47</f>
        <v>0</v>
      </c>
      <c r="NO51" s="228">
        <f>'Pilotage effectif 27O'!NR47</f>
        <v>0</v>
      </c>
      <c r="NP51" s="228">
        <f>'Pilotage effectif 27O'!NS47</f>
        <v>0</v>
      </c>
      <c r="NQ51" s="228">
        <f>'Pilotage effectif 27O'!NT47</f>
        <v>0</v>
      </c>
      <c r="NR51" s="303">
        <f>'Pilotage effectif 27O'!NU47</f>
        <v>0</v>
      </c>
      <c r="NS51" s="283"/>
    </row>
    <row r="52" spans="1:383" s="196" customFormat="1" ht="16.05" customHeight="1" thickBot="1" x14ac:dyDescent="0.35">
      <c r="A52" s="294"/>
      <c r="B52" s="288"/>
      <c r="C52" s="289" t="s">
        <v>690</v>
      </c>
      <c r="D52" s="306"/>
      <c r="E52"/>
      <c r="F52" s="292">
        <f t="shared" ref="F52:K52" si="270">IF(F50&lt;&gt;"",IF(F51-F50&gt;0,"+"&amp;F51-F50,F51-F50),"-")</f>
        <v>0</v>
      </c>
      <c r="G52" s="293">
        <f t="shared" si="270"/>
        <v>0</v>
      </c>
      <c r="H52" s="293">
        <f t="shared" si="270"/>
        <v>-1</v>
      </c>
      <c r="I52" s="293">
        <f t="shared" si="270"/>
        <v>0</v>
      </c>
      <c r="J52" s="293">
        <f t="shared" si="270"/>
        <v>0</v>
      </c>
      <c r="K52" s="304">
        <f t="shared" si="270"/>
        <v>-1</v>
      </c>
      <c r="L52" s="263"/>
      <c r="M52" s="292" t="str">
        <f t="shared" ref="M52:R52" si="271">IF(M50&lt;&gt;"",IF(M51-M50&gt;0,"+"&amp;M51-M50,M51-M50),"-")</f>
        <v>-</v>
      </c>
      <c r="N52" s="293" t="str">
        <f t="shared" si="271"/>
        <v>-</v>
      </c>
      <c r="O52" s="293" t="str">
        <f t="shared" si="271"/>
        <v>-</v>
      </c>
      <c r="P52" s="293" t="str">
        <f t="shared" si="271"/>
        <v>-</v>
      </c>
      <c r="Q52" s="293" t="str">
        <f t="shared" si="271"/>
        <v>-</v>
      </c>
      <c r="R52" s="304">
        <f t="shared" si="271"/>
        <v>0</v>
      </c>
      <c r="S52" s="263"/>
      <c r="T52" s="292">
        <f t="shared" ref="T52:Y52" si="272">IF(T50&lt;&gt;"",IF(T51-T50&gt;0,"+"&amp;T51-T50,T51-T50),"-")</f>
        <v>-1</v>
      </c>
      <c r="U52" s="293">
        <f t="shared" si="272"/>
        <v>-1</v>
      </c>
      <c r="V52" s="293">
        <f t="shared" si="272"/>
        <v>-1</v>
      </c>
      <c r="W52" s="293">
        <f t="shared" si="272"/>
        <v>-1</v>
      </c>
      <c r="X52" s="293">
        <f t="shared" si="272"/>
        <v>-1</v>
      </c>
      <c r="Y52" s="304">
        <f t="shared" si="272"/>
        <v>-5</v>
      </c>
      <c r="Z52" s="265"/>
      <c r="AA52" s="292">
        <f t="shared" ref="AA52:AF52" si="273">IF(AA50&lt;&gt;"",IF(AA51-AA50&gt;0,"+"&amp;AA51-AA50,AA51-AA50),"-")</f>
        <v>-1</v>
      </c>
      <c r="AB52" s="293">
        <f t="shared" si="273"/>
        <v>-1</v>
      </c>
      <c r="AC52" s="293">
        <f t="shared" si="273"/>
        <v>-1</v>
      </c>
      <c r="AD52" s="293">
        <f t="shared" si="273"/>
        <v>-1</v>
      </c>
      <c r="AE52" s="293">
        <f t="shared" si="273"/>
        <v>-1</v>
      </c>
      <c r="AF52" s="304">
        <f t="shared" si="273"/>
        <v>-5</v>
      </c>
      <c r="AG52" s="265"/>
      <c r="AH52" s="292">
        <f t="shared" ref="AH52:AM52" si="274">IF(AH50&lt;&gt;"",IF(AH51-AH50&gt;0,"+"&amp;AH51-AH50,AH51-AH50),"-")</f>
        <v>-1</v>
      </c>
      <c r="AI52" s="293">
        <f t="shared" si="274"/>
        <v>-1</v>
      </c>
      <c r="AJ52" s="293">
        <f t="shared" si="274"/>
        <v>-1</v>
      </c>
      <c r="AK52" s="293">
        <f t="shared" si="274"/>
        <v>-1</v>
      </c>
      <c r="AL52" s="293">
        <f t="shared" si="274"/>
        <v>-1</v>
      </c>
      <c r="AM52" s="304">
        <f t="shared" si="274"/>
        <v>-5</v>
      </c>
      <c r="AN52" s="263"/>
      <c r="AO52" s="292">
        <f t="shared" ref="AO52:AT52" si="275">IF(AO50&lt;&gt;"",IF(AO51-AO50&gt;0,"+"&amp;AO51-AO50,AO51-AO50),"-")</f>
        <v>-1</v>
      </c>
      <c r="AP52" s="293">
        <f t="shared" si="275"/>
        <v>-1</v>
      </c>
      <c r="AQ52" s="293">
        <f t="shared" si="275"/>
        <v>-1</v>
      </c>
      <c r="AR52" s="293">
        <f t="shared" si="275"/>
        <v>-1</v>
      </c>
      <c r="AS52" s="293">
        <f t="shared" si="275"/>
        <v>-1</v>
      </c>
      <c r="AT52" s="304">
        <f t="shared" si="275"/>
        <v>-5</v>
      </c>
      <c r="AU52" s="263"/>
      <c r="AV52" s="292">
        <f t="shared" ref="AV52:BA52" si="276">IF(AV50&lt;&gt;"",IF(AV51-AV50&gt;0,"+"&amp;AV51-AV50,AV51-AV50),"-")</f>
        <v>-1</v>
      </c>
      <c r="AW52" s="293">
        <f t="shared" si="276"/>
        <v>-1</v>
      </c>
      <c r="AX52" s="293">
        <f t="shared" si="276"/>
        <v>-1</v>
      </c>
      <c r="AY52" s="293">
        <f t="shared" si="276"/>
        <v>-1</v>
      </c>
      <c r="AZ52" s="293">
        <f t="shared" si="276"/>
        <v>-1</v>
      </c>
      <c r="BA52" s="304">
        <f t="shared" si="276"/>
        <v>-5</v>
      </c>
      <c r="BB52" s="263"/>
      <c r="BC52" s="292">
        <f t="shared" ref="BC52:BH52" si="277">IF(BC50&lt;&gt;"",IF(BC51-BC50&gt;0,"+"&amp;BC51-BC50,BC51-BC50),"-")</f>
        <v>-1</v>
      </c>
      <c r="BD52" s="293">
        <f t="shared" si="277"/>
        <v>-1</v>
      </c>
      <c r="BE52" s="293">
        <f t="shared" si="277"/>
        <v>-1</v>
      </c>
      <c r="BF52" s="293">
        <f t="shared" si="277"/>
        <v>-1</v>
      </c>
      <c r="BG52" s="293">
        <f t="shared" si="277"/>
        <v>-1</v>
      </c>
      <c r="BH52" s="304">
        <f t="shared" si="277"/>
        <v>-5</v>
      </c>
      <c r="BI52" s="263"/>
      <c r="BJ52" s="292">
        <f t="shared" ref="BJ52:BO52" si="278">IF(BJ50&lt;&gt;"",IF(BJ51-BJ50&gt;0,"+"&amp;BJ51-BJ50,BJ51-BJ50),"-")</f>
        <v>-1</v>
      </c>
      <c r="BK52" s="293">
        <f t="shared" si="278"/>
        <v>-1</v>
      </c>
      <c r="BL52" s="293">
        <f t="shared" si="278"/>
        <v>-1</v>
      </c>
      <c r="BM52" s="293">
        <f t="shared" si="278"/>
        <v>-1</v>
      </c>
      <c r="BN52" s="293">
        <f t="shared" si="278"/>
        <v>-1</v>
      </c>
      <c r="BO52" s="304">
        <f t="shared" si="278"/>
        <v>-5</v>
      </c>
      <c r="BP52" s="265"/>
      <c r="BQ52" s="292">
        <f t="shared" ref="BQ52:BV52" si="279">IF(BQ50&lt;&gt;"",IF(BQ51-BQ50&gt;0,"+"&amp;BQ51-BQ50,BQ51-BQ50),"-")</f>
        <v>-1</v>
      </c>
      <c r="BR52" s="293">
        <f t="shared" si="279"/>
        <v>-1</v>
      </c>
      <c r="BS52" s="293">
        <f t="shared" si="279"/>
        <v>-1</v>
      </c>
      <c r="BT52" s="293">
        <f t="shared" si="279"/>
        <v>0</v>
      </c>
      <c r="BU52" s="293">
        <f t="shared" si="279"/>
        <v>-1</v>
      </c>
      <c r="BV52" s="304">
        <f t="shared" si="279"/>
        <v>-4</v>
      </c>
      <c r="BW52" s="265"/>
      <c r="BX52" s="292">
        <f t="shared" ref="BX52:CC52" si="280">IF(BX50&lt;&gt;"",IF(BX51-BX50&gt;0,"+"&amp;BX51-BX50,BX51-BX50),"-")</f>
        <v>-1</v>
      </c>
      <c r="BY52" s="293">
        <f t="shared" si="280"/>
        <v>-1</v>
      </c>
      <c r="BZ52" s="293">
        <f t="shared" si="280"/>
        <v>-1</v>
      </c>
      <c r="CA52" s="293">
        <f t="shared" si="280"/>
        <v>-1</v>
      </c>
      <c r="CB52" s="293">
        <f t="shared" si="280"/>
        <v>-1</v>
      </c>
      <c r="CC52" s="304">
        <f t="shared" si="280"/>
        <v>-5</v>
      </c>
      <c r="CD52" s="263"/>
      <c r="CE52" s="292">
        <f t="shared" ref="CE52:CJ52" si="281">IF(CE50&lt;&gt;"",IF(CE51-CE50&gt;0,"+"&amp;CE51-CE50,CE51-CE50),"-")</f>
        <v>-1</v>
      </c>
      <c r="CF52" s="293">
        <f t="shared" si="281"/>
        <v>-1</v>
      </c>
      <c r="CG52" s="293">
        <f t="shared" si="281"/>
        <v>-1</v>
      </c>
      <c r="CH52" s="293">
        <f t="shared" si="281"/>
        <v>-1</v>
      </c>
      <c r="CI52" s="293">
        <f t="shared" si="281"/>
        <v>-1</v>
      </c>
      <c r="CJ52" s="304">
        <f t="shared" si="281"/>
        <v>-5</v>
      </c>
      <c r="CK52" s="265"/>
      <c r="CL52" s="292">
        <f t="shared" ref="CL52:CQ52" si="282">IF(CL50&lt;&gt;"",IF(CL51-CL50&gt;0,"+"&amp;CL51-CL50,CL51-CL50),"-")</f>
        <v>-1</v>
      </c>
      <c r="CM52" s="293">
        <f t="shared" si="282"/>
        <v>-1</v>
      </c>
      <c r="CN52" s="293">
        <f t="shared" si="282"/>
        <v>-1</v>
      </c>
      <c r="CO52" s="293">
        <f t="shared" si="282"/>
        <v>-1</v>
      </c>
      <c r="CP52" s="293">
        <f t="shared" si="282"/>
        <v>-1</v>
      </c>
      <c r="CQ52" s="304">
        <f t="shared" si="282"/>
        <v>-5</v>
      </c>
      <c r="CR52" s="263"/>
      <c r="CS52" s="292" t="str">
        <f t="shared" ref="CS52:CX52" si="283">IF(CS50&lt;&gt;"",IF(CS51-CS50&gt;0,"+"&amp;CS51-CS50,CS51-CS50),"-")</f>
        <v>-</v>
      </c>
      <c r="CT52" s="293" t="str">
        <f t="shared" si="283"/>
        <v>-</v>
      </c>
      <c r="CU52" s="293" t="str">
        <f t="shared" si="283"/>
        <v>-</v>
      </c>
      <c r="CV52" s="293" t="str">
        <f t="shared" si="283"/>
        <v>-</v>
      </c>
      <c r="CW52" s="293" t="str">
        <f t="shared" si="283"/>
        <v>-</v>
      </c>
      <c r="CX52" s="304">
        <f t="shared" si="283"/>
        <v>0</v>
      </c>
      <c r="CY52" s="263"/>
      <c r="CZ52" s="292" t="str">
        <f t="shared" ref="CZ52:DE52" si="284">IF(CZ50&lt;&gt;"",IF(CZ51-CZ50&gt;0,"+"&amp;CZ51-CZ50,CZ51-CZ50),"-")</f>
        <v>-</v>
      </c>
      <c r="DA52" s="293" t="str">
        <f t="shared" si="284"/>
        <v>-</v>
      </c>
      <c r="DB52" s="293" t="str">
        <f t="shared" si="284"/>
        <v>-</v>
      </c>
      <c r="DC52" s="293" t="str">
        <f t="shared" si="284"/>
        <v>-</v>
      </c>
      <c r="DD52" s="293" t="str">
        <f t="shared" si="284"/>
        <v>-</v>
      </c>
      <c r="DE52" s="304">
        <f t="shared" si="284"/>
        <v>0</v>
      </c>
      <c r="DF52" s="265"/>
      <c r="DG52" s="292" t="str">
        <f t="shared" ref="DG52:DL52" si="285">IF(DG50&lt;&gt;"",IF(DG51-DG50&gt;0,"+"&amp;DG51-DG50,DG51-DG50),"-")</f>
        <v>-</v>
      </c>
      <c r="DH52" s="293" t="str">
        <f t="shared" si="285"/>
        <v>-</v>
      </c>
      <c r="DI52" s="293" t="str">
        <f t="shared" si="285"/>
        <v>-</v>
      </c>
      <c r="DJ52" s="293" t="str">
        <f t="shared" si="285"/>
        <v>-</v>
      </c>
      <c r="DK52" s="293" t="str">
        <f t="shared" si="285"/>
        <v>-</v>
      </c>
      <c r="DL52" s="304">
        <f t="shared" si="285"/>
        <v>0</v>
      </c>
      <c r="DM52" s="265"/>
      <c r="DN52" s="292" t="str">
        <f t="shared" ref="DN52:DS52" si="286">IF(DN50&lt;&gt;"",IF(DN51-DN50&gt;0,"+"&amp;DN51-DN50,DN51-DN50),"-")</f>
        <v>-</v>
      </c>
      <c r="DO52" s="293" t="str">
        <f t="shared" si="286"/>
        <v>-</v>
      </c>
      <c r="DP52" s="293" t="str">
        <f t="shared" si="286"/>
        <v>-</v>
      </c>
      <c r="DQ52" s="293" t="str">
        <f t="shared" si="286"/>
        <v>-</v>
      </c>
      <c r="DR52" s="293" t="str">
        <f t="shared" si="286"/>
        <v>-</v>
      </c>
      <c r="DS52" s="304">
        <f t="shared" si="286"/>
        <v>0</v>
      </c>
      <c r="DT52" s="263"/>
      <c r="DU52" s="292" t="str">
        <f t="shared" ref="DU52:DZ52" si="287">IF(DU50&lt;&gt;"",IF(DU51-DU50&gt;0,"+"&amp;DU51-DU50,DU51-DU50),"-")</f>
        <v>-</v>
      </c>
      <c r="DV52" s="293" t="str">
        <f t="shared" si="287"/>
        <v>-</v>
      </c>
      <c r="DW52" s="293" t="str">
        <f t="shared" si="287"/>
        <v>-</v>
      </c>
      <c r="DX52" s="293" t="str">
        <f t="shared" si="287"/>
        <v>-</v>
      </c>
      <c r="DY52" s="293" t="str">
        <f t="shared" si="287"/>
        <v>-</v>
      </c>
      <c r="DZ52" s="304">
        <f t="shared" si="287"/>
        <v>0</v>
      </c>
      <c r="EA52" s="263"/>
      <c r="EB52" s="292" t="str">
        <f t="shared" ref="EB52:EG52" si="288">IF(EB50&lt;&gt;"",IF(EB51-EB50&gt;0,"+"&amp;EB51-EB50,EB51-EB50),"-")</f>
        <v>-</v>
      </c>
      <c r="EC52" s="293" t="str">
        <f t="shared" si="288"/>
        <v>-</v>
      </c>
      <c r="ED52" s="293" t="str">
        <f t="shared" si="288"/>
        <v>-</v>
      </c>
      <c r="EE52" s="293" t="str">
        <f t="shared" si="288"/>
        <v>-</v>
      </c>
      <c r="EF52" s="293" t="str">
        <f t="shared" si="288"/>
        <v>-</v>
      </c>
      <c r="EG52" s="304">
        <f t="shared" si="288"/>
        <v>0</v>
      </c>
      <c r="EH52" s="263"/>
      <c r="EI52" s="292" t="str">
        <f t="shared" ref="EI52:EN52" si="289">IF(EI50&lt;&gt;"",IF(EI51-EI50&gt;0,"+"&amp;EI51-EI50,EI51-EI50),"-")</f>
        <v>-</v>
      </c>
      <c r="EJ52" s="293" t="str">
        <f t="shared" si="289"/>
        <v>-</v>
      </c>
      <c r="EK52" s="293" t="str">
        <f t="shared" si="289"/>
        <v>-</v>
      </c>
      <c r="EL52" s="293" t="str">
        <f t="shared" si="289"/>
        <v>-</v>
      </c>
      <c r="EM52" s="293" t="str">
        <f t="shared" si="289"/>
        <v>-</v>
      </c>
      <c r="EN52" s="304">
        <f t="shared" si="289"/>
        <v>0</v>
      </c>
      <c r="EO52" s="263"/>
      <c r="EP52" s="292" t="str">
        <f t="shared" ref="EP52:EU52" si="290">IF(EP50&lt;&gt;"",IF(EP51-EP50&gt;0,"+"&amp;EP51-EP50,EP51-EP50),"-")</f>
        <v>-</v>
      </c>
      <c r="EQ52" s="293" t="str">
        <f t="shared" si="290"/>
        <v>-</v>
      </c>
      <c r="ER52" s="293" t="str">
        <f t="shared" si="290"/>
        <v>-</v>
      </c>
      <c r="ES52" s="293" t="str">
        <f t="shared" si="290"/>
        <v>-</v>
      </c>
      <c r="ET52" s="293" t="str">
        <f t="shared" si="290"/>
        <v>-</v>
      </c>
      <c r="EU52" s="304">
        <f t="shared" si="290"/>
        <v>0</v>
      </c>
      <c r="EV52" s="265"/>
      <c r="EW52" s="292" t="str">
        <f t="shared" ref="EW52:FB52" si="291">IF(EW50&lt;&gt;"",IF(EW51-EW50&gt;0,"+"&amp;EW51-EW50,EW51-EW50),"-")</f>
        <v>-</v>
      </c>
      <c r="EX52" s="293" t="str">
        <f t="shared" si="291"/>
        <v>-</v>
      </c>
      <c r="EY52" s="293" t="str">
        <f t="shared" si="291"/>
        <v>-</v>
      </c>
      <c r="EZ52" s="293" t="str">
        <f t="shared" si="291"/>
        <v>-</v>
      </c>
      <c r="FA52" s="293" t="str">
        <f t="shared" si="291"/>
        <v>-</v>
      </c>
      <c r="FB52" s="304">
        <f t="shared" si="291"/>
        <v>0</v>
      </c>
      <c r="FC52" s="265"/>
      <c r="FD52" s="292" t="str">
        <f t="shared" ref="FD52:FI52" si="292">IF(FD50&lt;&gt;"",IF(FD51-FD50&gt;0,"+"&amp;FD51-FD50,FD51-FD50),"-")</f>
        <v>-</v>
      </c>
      <c r="FE52" s="293" t="str">
        <f t="shared" si="292"/>
        <v>-</v>
      </c>
      <c r="FF52" s="293" t="str">
        <f t="shared" si="292"/>
        <v>-</v>
      </c>
      <c r="FG52" s="293" t="str">
        <f t="shared" si="292"/>
        <v>-</v>
      </c>
      <c r="FH52" s="293" t="str">
        <f t="shared" si="292"/>
        <v>-</v>
      </c>
      <c r="FI52" s="304">
        <f t="shared" si="292"/>
        <v>0</v>
      </c>
      <c r="FJ52" s="263"/>
      <c r="FK52" s="292" t="str">
        <f t="shared" ref="FK52:FP52" si="293">IF(FK50&lt;&gt;"",IF(FK51-FK50&gt;0,"+"&amp;FK51-FK50,FK51-FK50),"-")</f>
        <v>-</v>
      </c>
      <c r="FL52" s="293" t="str">
        <f t="shared" si="293"/>
        <v>-</v>
      </c>
      <c r="FM52" s="293" t="str">
        <f t="shared" si="293"/>
        <v>-</v>
      </c>
      <c r="FN52" s="293" t="str">
        <f t="shared" si="293"/>
        <v>-</v>
      </c>
      <c r="FO52" s="293" t="str">
        <f t="shared" si="293"/>
        <v>-</v>
      </c>
      <c r="FP52" s="304">
        <f t="shared" si="293"/>
        <v>0</v>
      </c>
      <c r="FQ52" s="265"/>
      <c r="FR52" s="292" t="str">
        <f t="shared" ref="FR52:FW52" si="294">IF(FR50&lt;&gt;"",IF(FR51-FR50&gt;0,"+"&amp;FR51-FR50,FR51-FR50),"-")</f>
        <v>-</v>
      </c>
      <c r="FS52" s="293" t="str">
        <f t="shared" si="294"/>
        <v>-</v>
      </c>
      <c r="FT52" s="293" t="str">
        <f t="shared" si="294"/>
        <v>-</v>
      </c>
      <c r="FU52" s="293" t="str">
        <f t="shared" si="294"/>
        <v>-</v>
      </c>
      <c r="FV52" s="293" t="str">
        <f t="shared" si="294"/>
        <v>-</v>
      </c>
      <c r="FW52" s="304">
        <f t="shared" si="294"/>
        <v>0</v>
      </c>
      <c r="FX52" s="263"/>
      <c r="FY52" s="292" t="str">
        <f t="shared" ref="FY52:GD52" si="295">IF(FY50&lt;&gt;"",IF(FY51-FY50&gt;0,"+"&amp;FY51-FY50,FY51-FY50),"-")</f>
        <v>-</v>
      </c>
      <c r="FZ52" s="293" t="str">
        <f t="shared" si="295"/>
        <v>-</v>
      </c>
      <c r="GA52" s="293" t="str">
        <f t="shared" si="295"/>
        <v>-</v>
      </c>
      <c r="GB52" s="293" t="str">
        <f t="shared" si="295"/>
        <v>-</v>
      </c>
      <c r="GC52" s="293" t="str">
        <f t="shared" si="295"/>
        <v>-</v>
      </c>
      <c r="GD52" s="304">
        <f t="shared" si="295"/>
        <v>0</v>
      </c>
      <c r="GE52" s="263"/>
      <c r="GF52" s="292" t="str">
        <f t="shared" ref="GF52:GK52" si="296">IF(GF50&lt;&gt;"",IF(GF51-GF50&gt;0,"+"&amp;GF51-GF50,GF51-GF50),"-")</f>
        <v>-</v>
      </c>
      <c r="GG52" s="293" t="str">
        <f t="shared" si="296"/>
        <v>-</v>
      </c>
      <c r="GH52" s="293" t="str">
        <f t="shared" si="296"/>
        <v>-</v>
      </c>
      <c r="GI52" s="293" t="str">
        <f t="shared" si="296"/>
        <v>-</v>
      </c>
      <c r="GJ52" s="293" t="str">
        <f t="shared" si="296"/>
        <v>-</v>
      </c>
      <c r="GK52" s="304">
        <f t="shared" si="296"/>
        <v>0</v>
      </c>
      <c r="GL52" s="265"/>
      <c r="GM52" s="292" t="str">
        <f t="shared" ref="GM52:GR52" si="297">IF(GM50&lt;&gt;"",IF(GM51-GM50&gt;0,"+"&amp;GM51-GM50,GM51-GM50),"-")</f>
        <v>-</v>
      </c>
      <c r="GN52" s="293" t="str">
        <f t="shared" si="297"/>
        <v>-</v>
      </c>
      <c r="GO52" s="293" t="str">
        <f t="shared" si="297"/>
        <v>-</v>
      </c>
      <c r="GP52" s="293" t="str">
        <f t="shared" si="297"/>
        <v>-</v>
      </c>
      <c r="GQ52" s="293" t="str">
        <f t="shared" si="297"/>
        <v>-</v>
      </c>
      <c r="GR52" s="304">
        <f t="shared" si="297"/>
        <v>0</v>
      </c>
      <c r="GS52" s="265"/>
      <c r="GT52" s="292" t="str">
        <f t="shared" ref="GT52:GY52" si="298">IF(GT50&lt;&gt;"",IF(GT51-GT50&gt;0,"+"&amp;GT51-GT50,GT51-GT50),"-")</f>
        <v>-</v>
      </c>
      <c r="GU52" s="293" t="str">
        <f t="shared" si="298"/>
        <v>-</v>
      </c>
      <c r="GV52" s="293" t="str">
        <f t="shared" si="298"/>
        <v>-</v>
      </c>
      <c r="GW52" s="293" t="str">
        <f t="shared" si="298"/>
        <v>-</v>
      </c>
      <c r="GX52" s="293" t="str">
        <f t="shared" si="298"/>
        <v>-</v>
      </c>
      <c r="GY52" s="304">
        <f t="shared" si="298"/>
        <v>0</v>
      </c>
      <c r="GZ52" s="263"/>
      <c r="HA52" s="292" t="str">
        <f t="shared" ref="HA52:HF52" si="299">IF(HA50&lt;&gt;"",IF(HA51-HA50&gt;0,"+"&amp;HA51-HA50,HA51-HA50),"-")</f>
        <v>-</v>
      </c>
      <c r="HB52" s="293" t="str">
        <f t="shared" si="299"/>
        <v>-</v>
      </c>
      <c r="HC52" s="293" t="str">
        <f t="shared" si="299"/>
        <v>-</v>
      </c>
      <c r="HD52" s="293" t="str">
        <f t="shared" si="299"/>
        <v>-</v>
      </c>
      <c r="HE52" s="293" t="str">
        <f t="shared" si="299"/>
        <v>-</v>
      </c>
      <c r="HF52" s="304">
        <f t="shared" si="299"/>
        <v>0</v>
      </c>
      <c r="HG52" s="263"/>
      <c r="HH52" s="292" t="str">
        <f t="shared" ref="HH52:HM52" si="300">IF(HH50&lt;&gt;"",IF(HH51-HH50&gt;0,"+"&amp;HH51-HH50,HH51-HH50),"-")</f>
        <v>-</v>
      </c>
      <c r="HI52" s="293" t="str">
        <f t="shared" si="300"/>
        <v>-</v>
      </c>
      <c r="HJ52" s="293" t="str">
        <f t="shared" si="300"/>
        <v>-</v>
      </c>
      <c r="HK52" s="293" t="str">
        <f t="shared" si="300"/>
        <v>-</v>
      </c>
      <c r="HL52" s="293" t="str">
        <f t="shared" si="300"/>
        <v>-</v>
      </c>
      <c r="HM52" s="304">
        <f t="shared" si="300"/>
        <v>0</v>
      </c>
      <c r="HN52" s="263"/>
      <c r="HO52" s="292" t="str">
        <f t="shared" ref="HO52:HT52" si="301">IF(HO50&lt;&gt;"",IF(HO51-HO50&gt;0,"+"&amp;HO51-HO50,HO51-HO50),"-")</f>
        <v>-</v>
      </c>
      <c r="HP52" s="293" t="str">
        <f t="shared" si="301"/>
        <v>-</v>
      </c>
      <c r="HQ52" s="293" t="str">
        <f t="shared" si="301"/>
        <v>-</v>
      </c>
      <c r="HR52" s="293" t="str">
        <f t="shared" si="301"/>
        <v>-</v>
      </c>
      <c r="HS52" s="293" t="str">
        <f t="shared" si="301"/>
        <v>-</v>
      </c>
      <c r="HT52" s="304">
        <f t="shared" si="301"/>
        <v>0</v>
      </c>
      <c r="HU52" s="263"/>
      <c r="HV52" s="292">
        <f t="shared" ref="HV52:IA52" si="302">IF(HV50&lt;&gt;"",IF(HV51-HV50&gt;0,"+"&amp;HV51-HV50,HV51-HV50),"-")</f>
        <v>-1</v>
      </c>
      <c r="HW52" s="293">
        <f t="shared" si="302"/>
        <v>-1</v>
      </c>
      <c r="HX52" s="293">
        <f t="shared" si="302"/>
        <v>-1</v>
      </c>
      <c r="HY52" s="293">
        <f t="shared" si="302"/>
        <v>-1</v>
      </c>
      <c r="HZ52" s="293">
        <f t="shared" si="302"/>
        <v>-1</v>
      </c>
      <c r="IA52" s="304">
        <f t="shared" si="302"/>
        <v>-5</v>
      </c>
      <c r="IB52" s="263"/>
      <c r="IC52" s="292">
        <f t="shared" ref="IC52:IH52" si="303">IF(IC50&lt;&gt;"",IF(IC51-IC50&gt;0,"+"&amp;IC51-IC50,IC51-IC50),"-")</f>
        <v>-1</v>
      </c>
      <c r="ID52" s="293">
        <f t="shared" si="303"/>
        <v>-1</v>
      </c>
      <c r="IE52" s="293">
        <f t="shared" si="303"/>
        <v>-1</v>
      </c>
      <c r="IF52" s="293">
        <f t="shared" si="303"/>
        <v>-1</v>
      </c>
      <c r="IG52" s="293">
        <f t="shared" si="303"/>
        <v>-1</v>
      </c>
      <c r="IH52" s="304">
        <f t="shared" si="303"/>
        <v>-5</v>
      </c>
      <c r="II52" s="265"/>
      <c r="IJ52" s="292">
        <f t="shared" ref="IJ52:IO52" si="304">IF(IJ50&lt;&gt;"",IF(IJ51-IJ50&gt;0,"+"&amp;IJ51-IJ50,IJ51-IJ50),"-")</f>
        <v>-1</v>
      </c>
      <c r="IK52" s="293">
        <f t="shared" si="304"/>
        <v>-1</v>
      </c>
      <c r="IL52" s="293">
        <f t="shared" si="304"/>
        <v>-1</v>
      </c>
      <c r="IM52" s="293">
        <f t="shared" si="304"/>
        <v>0</v>
      </c>
      <c r="IN52" s="293">
        <f t="shared" si="304"/>
        <v>-1</v>
      </c>
      <c r="IO52" s="304">
        <f t="shared" si="304"/>
        <v>-4</v>
      </c>
      <c r="IP52" s="265"/>
      <c r="IQ52" s="292">
        <f t="shared" ref="IQ52:IV52" si="305">IF(IQ50&lt;&gt;"",IF(IQ51-IQ50&gt;0,"+"&amp;IQ51-IQ50,IQ51-IQ50),"-")</f>
        <v>-1</v>
      </c>
      <c r="IR52" s="293">
        <f t="shared" si="305"/>
        <v>-1</v>
      </c>
      <c r="IS52" s="293">
        <f t="shared" si="305"/>
        <v>-1</v>
      </c>
      <c r="IT52" s="293">
        <f t="shared" si="305"/>
        <v>-1</v>
      </c>
      <c r="IU52" s="293">
        <f t="shared" si="305"/>
        <v>-1</v>
      </c>
      <c r="IV52" s="304">
        <f t="shared" si="305"/>
        <v>-5</v>
      </c>
      <c r="IW52" s="263"/>
      <c r="IX52" s="292">
        <f t="shared" ref="IX52:JC52" si="306">IF(IX50&lt;&gt;"",IF(IX51-IX50&gt;0,"+"&amp;IX51-IX50,IX51-IX50),"-")</f>
        <v>-1</v>
      </c>
      <c r="IY52" s="293">
        <f t="shared" si="306"/>
        <v>-1</v>
      </c>
      <c r="IZ52" s="293">
        <f t="shared" si="306"/>
        <v>-1</v>
      </c>
      <c r="JA52" s="293">
        <f t="shared" si="306"/>
        <v>-1</v>
      </c>
      <c r="JB52" s="293">
        <f t="shared" si="306"/>
        <v>-1</v>
      </c>
      <c r="JC52" s="304">
        <f t="shared" si="306"/>
        <v>-5</v>
      </c>
      <c r="JD52" s="265"/>
      <c r="JE52" s="292">
        <f t="shared" ref="JE52:JJ52" si="307">IF(JE50&lt;&gt;"",IF(JE51-JE50&gt;0,"+"&amp;JE51-JE50,JE51-JE50),"-")</f>
        <v>-1</v>
      </c>
      <c r="JF52" s="293">
        <f t="shared" si="307"/>
        <v>-1</v>
      </c>
      <c r="JG52" s="293">
        <f t="shared" si="307"/>
        <v>-1</v>
      </c>
      <c r="JH52" s="293">
        <f t="shared" si="307"/>
        <v>-1</v>
      </c>
      <c r="JI52" s="293">
        <f t="shared" si="307"/>
        <v>-1</v>
      </c>
      <c r="JJ52" s="304">
        <f t="shared" si="307"/>
        <v>-5</v>
      </c>
      <c r="JK52" s="263"/>
      <c r="JL52" s="292" t="str">
        <f t="shared" ref="JL52:JQ52" si="308">IF(JL50&lt;&gt;"",IF(JL51-JL50&gt;0,"+"&amp;JL51-JL50,JL51-JL50),"-")</f>
        <v>-</v>
      </c>
      <c r="JM52" s="293" t="str">
        <f t="shared" si="308"/>
        <v>-</v>
      </c>
      <c r="JN52" s="293" t="str">
        <f t="shared" si="308"/>
        <v>-</v>
      </c>
      <c r="JO52" s="293" t="str">
        <f t="shared" si="308"/>
        <v>-</v>
      </c>
      <c r="JP52" s="293" t="str">
        <f t="shared" si="308"/>
        <v>-</v>
      </c>
      <c r="JQ52" s="304">
        <f t="shared" si="308"/>
        <v>0</v>
      </c>
      <c r="JR52" s="263"/>
      <c r="JS52" s="292" t="str">
        <f t="shared" ref="JS52:JX52" si="309">IF(JS50&lt;&gt;"",IF(JS51-JS50&gt;0,"+"&amp;JS51-JS50,JS51-JS50),"-")</f>
        <v>-</v>
      </c>
      <c r="JT52" s="293" t="str">
        <f t="shared" si="309"/>
        <v>-</v>
      </c>
      <c r="JU52" s="293" t="str">
        <f t="shared" si="309"/>
        <v>-</v>
      </c>
      <c r="JV52" s="293" t="str">
        <f t="shared" si="309"/>
        <v>-</v>
      </c>
      <c r="JW52" s="293" t="str">
        <f t="shared" si="309"/>
        <v>-</v>
      </c>
      <c r="JX52" s="304">
        <f t="shared" si="309"/>
        <v>0</v>
      </c>
      <c r="JY52" s="265"/>
      <c r="JZ52" s="292" t="str">
        <f t="shared" ref="JZ52:KE52" si="310">IF(JZ50&lt;&gt;"",IF(JZ51-JZ50&gt;0,"+"&amp;JZ51-JZ50,JZ51-JZ50),"-")</f>
        <v>-</v>
      </c>
      <c r="KA52" s="293" t="str">
        <f t="shared" si="310"/>
        <v>-</v>
      </c>
      <c r="KB52" s="293" t="str">
        <f t="shared" si="310"/>
        <v>-</v>
      </c>
      <c r="KC52" s="293" t="str">
        <f t="shared" si="310"/>
        <v>-</v>
      </c>
      <c r="KD52" s="293" t="str">
        <f t="shared" si="310"/>
        <v>-</v>
      </c>
      <c r="KE52" s="304">
        <f t="shared" si="310"/>
        <v>0</v>
      </c>
      <c r="KF52" s="265"/>
      <c r="KG52" s="292" t="str">
        <f t="shared" ref="KG52:KL52" si="311">IF(KG50&lt;&gt;"",IF(KG51-KG50&gt;0,"+"&amp;KG51-KG50,KG51-KG50),"-")</f>
        <v>-</v>
      </c>
      <c r="KH52" s="293" t="str">
        <f t="shared" si="311"/>
        <v>-</v>
      </c>
      <c r="KI52" s="293" t="str">
        <f t="shared" si="311"/>
        <v>-</v>
      </c>
      <c r="KJ52" s="293" t="str">
        <f t="shared" si="311"/>
        <v>-</v>
      </c>
      <c r="KK52" s="293" t="str">
        <f t="shared" si="311"/>
        <v>-</v>
      </c>
      <c r="KL52" s="304">
        <f t="shared" si="311"/>
        <v>0</v>
      </c>
      <c r="KM52" s="263"/>
      <c r="KN52" s="292" t="str">
        <f t="shared" ref="KN52:KS52" si="312">IF(KN50&lt;&gt;"",IF(KN51-KN50&gt;0,"+"&amp;KN51-KN50,KN51-KN50),"-")</f>
        <v>-</v>
      </c>
      <c r="KO52" s="293" t="str">
        <f t="shared" si="312"/>
        <v>-</v>
      </c>
      <c r="KP52" s="293" t="str">
        <f t="shared" si="312"/>
        <v>-</v>
      </c>
      <c r="KQ52" s="293" t="str">
        <f t="shared" si="312"/>
        <v>-</v>
      </c>
      <c r="KR52" s="293" t="str">
        <f t="shared" si="312"/>
        <v>-</v>
      </c>
      <c r="KS52" s="304">
        <f t="shared" si="312"/>
        <v>0</v>
      </c>
      <c r="KT52" s="263"/>
      <c r="KU52" s="292" t="str">
        <f t="shared" ref="KU52:KZ52" si="313">IF(KU50&lt;&gt;"",IF(KU51-KU50&gt;0,"+"&amp;KU51-KU50,KU51-KU50),"-")</f>
        <v>-</v>
      </c>
      <c r="KV52" s="293" t="str">
        <f t="shared" si="313"/>
        <v>-</v>
      </c>
      <c r="KW52" s="293" t="str">
        <f t="shared" si="313"/>
        <v>-</v>
      </c>
      <c r="KX52" s="293" t="str">
        <f t="shared" si="313"/>
        <v>-</v>
      </c>
      <c r="KY52" s="293" t="str">
        <f t="shared" si="313"/>
        <v>-</v>
      </c>
      <c r="KZ52" s="304">
        <f t="shared" si="313"/>
        <v>0</v>
      </c>
      <c r="LA52" s="263"/>
      <c r="LB52" s="292" t="str">
        <f t="shared" ref="LB52:LG52" si="314">IF(LB50&lt;&gt;"",IF(LB51-LB50&gt;0,"+"&amp;LB51-LB50,LB51-LB50),"-")</f>
        <v>-</v>
      </c>
      <c r="LC52" s="293" t="str">
        <f t="shared" si="314"/>
        <v>-</v>
      </c>
      <c r="LD52" s="293" t="str">
        <f t="shared" si="314"/>
        <v>-</v>
      </c>
      <c r="LE52" s="293" t="str">
        <f t="shared" si="314"/>
        <v>-</v>
      </c>
      <c r="LF52" s="293" t="str">
        <f t="shared" si="314"/>
        <v>-</v>
      </c>
      <c r="LG52" s="304">
        <f t="shared" si="314"/>
        <v>0</v>
      </c>
      <c r="LH52" s="263"/>
      <c r="LI52" s="292" t="str">
        <f t="shared" ref="LI52:LN52" si="315">IF(LI50&lt;&gt;"",IF(LI51-LI50&gt;0,"+"&amp;LI51-LI50,LI51-LI50),"-")</f>
        <v>-</v>
      </c>
      <c r="LJ52" s="293" t="str">
        <f t="shared" si="315"/>
        <v>-</v>
      </c>
      <c r="LK52" s="293" t="str">
        <f t="shared" si="315"/>
        <v>-</v>
      </c>
      <c r="LL52" s="293" t="str">
        <f t="shared" si="315"/>
        <v>-</v>
      </c>
      <c r="LM52" s="293" t="str">
        <f t="shared" si="315"/>
        <v>-</v>
      </c>
      <c r="LN52" s="304">
        <f t="shared" si="315"/>
        <v>0</v>
      </c>
      <c r="LO52" s="265"/>
      <c r="LP52" s="292" t="str">
        <f t="shared" ref="LP52:LU52" si="316">IF(LP50&lt;&gt;"",IF(LP51-LP50&gt;0,"+"&amp;LP51-LP50,LP51-LP50),"-")</f>
        <v>-</v>
      </c>
      <c r="LQ52" s="293" t="str">
        <f t="shared" si="316"/>
        <v>-</v>
      </c>
      <c r="LR52" s="293" t="str">
        <f t="shared" si="316"/>
        <v>-</v>
      </c>
      <c r="LS52" s="293" t="str">
        <f t="shared" si="316"/>
        <v>-</v>
      </c>
      <c r="LT52" s="293" t="str">
        <f t="shared" si="316"/>
        <v>-</v>
      </c>
      <c r="LU52" s="304">
        <f t="shared" si="316"/>
        <v>0</v>
      </c>
      <c r="LV52" s="265"/>
      <c r="LW52" s="292" t="str">
        <f t="shared" ref="LW52:MB52" si="317">IF(LW50&lt;&gt;"",IF(LW51-LW50&gt;0,"+"&amp;LW51-LW50,LW51-LW50),"-")</f>
        <v>-</v>
      </c>
      <c r="LX52" s="293" t="str">
        <f t="shared" si="317"/>
        <v>-</v>
      </c>
      <c r="LY52" s="293" t="str">
        <f t="shared" si="317"/>
        <v>-</v>
      </c>
      <c r="LZ52" s="293" t="str">
        <f t="shared" si="317"/>
        <v>-</v>
      </c>
      <c r="MA52" s="293" t="str">
        <f t="shared" si="317"/>
        <v>-</v>
      </c>
      <c r="MB52" s="304">
        <f t="shared" si="317"/>
        <v>0</v>
      </c>
      <c r="MC52" s="263"/>
      <c r="MD52" s="292" t="str">
        <f t="shared" ref="MD52:MI52" si="318">IF(MD50&lt;&gt;"",IF(MD51-MD50&gt;0,"+"&amp;MD51-MD50,MD51-MD50),"-")</f>
        <v>-</v>
      </c>
      <c r="ME52" s="293" t="str">
        <f t="shared" si="318"/>
        <v>-</v>
      </c>
      <c r="MF52" s="293" t="str">
        <f t="shared" si="318"/>
        <v>-</v>
      </c>
      <c r="MG52" s="293" t="str">
        <f t="shared" si="318"/>
        <v>-</v>
      </c>
      <c r="MH52" s="293" t="str">
        <f t="shared" si="318"/>
        <v>-</v>
      </c>
      <c r="MI52" s="304">
        <f t="shared" si="318"/>
        <v>0</v>
      </c>
      <c r="MJ52" s="265"/>
      <c r="MK52" s="292" t="str">
        <f t="shared" ref="MK52:MP52" si="319">IF(MK50&lt;&gt;"",IF(MK51-MK50&gt;0,"+"&amp;MK51-MK50,MK51-MK50),"-")</f>
        <v>-</v>
      </c>
      <c r="ML52" s="293" t="str">
        <f t="shared" si="319"/>
        <v>-</v>
      </c>
      <c r="MM52" s="293" t="str">
        <f t="shared" si="319"/>
        <v>-</v>
      </c>
      <c r="MN52" s="293" t="str">
        <f t="shared" si="319"/>
        <v>-</v>
      </c>
      <c r="MO52" s="293" t="str">
        <f t="shared" si="319"/>
        <v>-</v>
      </c>
      <c r="MP52" s="304">
        <f t="shared" si="319"/>
        <v>0</v>
      </c>
      <c r="MQ52" s="263"/>
      <c r="MR52" s="292" t="str">
        <f t="shared" ref="MR52:MW52" si="320">IF(MR50&lt;&gt;"",IF(MR51-MR50&gt;0,"+"&amp;MR51-MR50,MR51-MR50),"-")</f>
        <v>-</v>
      </c>
      <c r="MS52" s="293" t="str">
        <f t="shared" si="320"/>
        <v>-</v>
      </c>
      <c r="MT52" s="293" t="str">
        <f t="shared" si="320"/>
        <v>-</v>
      </c>
      <c r="MU52" s="293" t="str">
        <f t="shared" si="320"/>
        <v>-</v>
      </c>
      <c r="MV52" s="293" t="str">
        <f t="shared" si="320"/>
        <v>-</v>
      </c>
      <c r="MW52" s="304">
        <f t="shared" si="320"/>
        <v>0</v>
      </c>
      <c r="MX52" s="263"/>
      <c r="MY52" s="292" t="str">
        <f t="shared" ref="MY52:ND52" si="321">IF(MY50&lt;&gt;"",IF(MY51-MY50&gt;0,"+"&amp;MY51-MY50,MY51-MY50),"-")</f>
        <v>-</v>
      </c>
      <c r="MZ52" s="293" t="str">
        <f t="shared" si="321"/>
        <v>-</v>
      </c>
      <c r="NA52" s="293" t="str">
        <f t="shared" si="321"/>
        <v>-</v>
      </c>
      <c r="NB52" s="293" t="str">
        <f t="shared" si="321"/>
        <v>-</v>
      </c>
      <c r="NC52" s="293" t="str">
        <f t="shared" si="321"/>
        <v>-</v>
      </c>
      <c r="ND52" s="304">
        <f t="shared" si="321"/>
        <v>0</v>
      </c>
      <c r="NE52" s="265"/>
      <c r="NF52" s="292" t="str">
        <f t="shared" ref="NF52:NK52" si="322">IF(NF50&lt;&gt;"",IF(NF51-NF50&gt;0,"+"&amp;NF51-NF50,NF51-NF50),"-")</f>
        <v>-</v>
      </c>
      <c r="NG52" s="293" t="str">
        <f t="shared" si="322"/>
        <v>-</v>
      </c>
      <c r="NH52" s="293" t="str">
        <f t="shared" si="322"/>
        <v>-</v>
      </c>
      <c r="NI52" s="293" t="str">
        <f t="shared" si="322"/>
        <v>-</v>
      </c>
      <c r="NJ52" s="293" t="str">
        <f t="shared" si="322"/>
        <v>-</v>
      </c>
      <c r="NK52" s="304">
        <f t="shared" si="322"/>
        <v>0</v>
      </c>
      <c r="NL52" s="265"/>
      <c r="NM52" s="292" t="str">
        <f t="shared" ref="NM52:NR52" si="323">IF(NM50&lt;&gt;"",IF(NM51-NM50&gt;0,"+"&amp;NM51-NM50,NM51-NM50),"-")</f>
        <v>-</v>
      </c>
      <c r="NN52" s="293" t="str">
        <f t="shared" si="323"/>
        <v>-</v>
      </c>
      <c r="NO52" s="293" t="str">
        <f t="shared" si="323"/>
        <v>-</v>
      </c>
      <c r="NP52" s="293" t="str">
        <f t="shared" si="323"/>
        <v>-</v>
      </c>
      <c r="NQ52" s="293" t="str">
        <f t="shared" si="323"/>
        <v>-</v>
      </c>
      <c r="NR52" s="304">
        <f t="shared" si="323"/>
        <v>0</v>
      </c>
      <c r="NS52" s="263"/>
    </row>
    <row r="53" spans="1:383" s="196" customFormat="1" x14ac:dyDescent="0.3">
      <c r="A53" s="294"/>
      <c r="B53" s="305"/>
      <c r="C53" s="305"/>
      <c r="D53" s="306"/>
      <c r="E53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</row>
    <row r="54" spans="1:383" s="196" customFormat="1" x14ac:dyDescent="0.3">
      <c r="A54" s="294"/>
      <c r="B54" s="305"/>
      <c r="C54" s="305"/>
      <c r="D54" s="305"/>
      <c r="E5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</row>
    <row r="55" spans="1:383" s="196" customFormat="1" x14ac:dyDescent="0.3">
      <c r="A55" s="294"/>
      <c r="B55" s="305"/>
      <c r="C55" s="305"/>
      <c r="D55" s="305"/>
      <c r="E55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</row>
  </sheetData>
  <mergeCells count="2274">
    <mergeCell ref="LP32:LU32"/>
    <mergeCell ref="LW32:MB32"/>
    <mergeCell ref="MD32:MI32"/>
    <mergeCell ref="MK32:MP32"/>
    <mergeCell ref="MR32:MW32"/>
    <mergeCell ref="MY32:ND32"/>
    <mergeCell ref="NF32:NK32"/>
    <mergeCell ref="NM32:NR32"/>
    <mergeCell ref="HA32:HF32"/>
    <mergeCell ref="HH32:HM32"/>
    <mergeCell ref="HO32:HT32"/>
    <mergeCell ref="HV32:IA32"/>
    <mergeCell ref="IC32:IH32"/>
    <mergeCell ref="IJ32:IO32"/>
    <mergeCell ref="IQ32:IV32"/>
    <mergeCell ref="IX32:JC32"/>
    <mergeCell ref="JE32:JJ32"/>
    <mergeCell ref="JL32:JQ32"/>
    <mergeCell ref="JS32:JX32"/>
    <mergeCell ref="JZ32:KE32"/>
    <mergeCell ref="KG32:KL32"/>
    <mergeCell ref="KN32:KS32"/>
    <mergeCell ref="KU32:KZ32"/>
    <mergeCell ref="LB32:LG32"/>
    <mergeCell ref="LI32:LN32"/>
    <mergeCell ref="LL30:LM30"/>
    <mergeCell ref="LQ30:LR30"/>
    <mergeCell ref="LS30:LT30"/>
    <mergeCell ref="LX30:LY30"/>
    <mergeCell ref="LZ30:MA30"/>
    <mergeCell ref="ME30:MF30"/>
    <mergeCell ref="MG30:MH30"/>
    <mergeCell ref="ML30:MM30"/>
    <mergeCell ref="MN30:MO30"/>
    <mergeCell ref="MS30:MT30"/>
    <mergeCell ref="MU30:MV30"/>
    <mergeCell ref="MZ30:NA30"/>
    <mergeCell ref="NB30:NC30"/>
    <mergeCell ref="NG30:NH30"/>
    <mergeCell ref="NI30:NJ30"/>
    <mergeCell ref="NN30:NO30"/>
    <mergeCell ref="NP30:NQ30"/>
    <mergeCell ref="JF30:JG30"/>
    <mergeCell ref="JH30:JI30"/>
    <mergeCell ref="JM30:JN30"/>
    <mergeCell ref="JO30:JP30"/>
    <mergeCell ref="JT30:JU30"/>
    <mergeCell ref="JV30:JW30"/>
    <mergeCell ref="KA30:KB30"/>
    <mergeCell ref="KC30:KD30"/>
    <mergeCell ref="KH30:KI30"/>
    <mergeCell ref="KJ30:KK30"/>
    <mergeCell ref="KO30:KP30"/>
    <mergeCell ref="KQ30:KR30"/>
    <mergeCell ref="KV30:KW30"/>
    <mergeCell ref="KX30:KY30"/>
    <mergeCell ref="LC30:LD30"/>
    <mergeCell ref="LE30:LF30"/>
    <mergeCell ref="LJ30:LK30"/>
    <mergeCell ref="LQ29:LR29"/>
    <mergeCell ref="LS29:LT29"/>
    <mergeCell ref="LX29:LY29"/>
    <mergeCell ref="LZ29:MA29"/>
    <mergeCell ref="ME29:MF29"/>
    <mergeCell ref="MG29:MH29"/>
    <mergeCell ref="ML29:MM29"/>
    <mergeCell ref="MN29:MO29"/>
    <mergeCell ref="MS29:MT29"/>
    <mergeCell ref="MU29:MV29"/>
    <mergeCell ref="MZ29:NA29"/>
    <mergeCell ref="NB29:NC29"/>
    <mergeCell ref="NG29:NH29"/>
    <mergeCell ref="NI29:NJ29"/>
    <mergeCell ref="NN29:NO29"/>
    <mergeCell ref="NP29:NQ29"/>
    <mergeCell ref="HB30:HC30"/>
    <mergeCell ref="HD30:HE30"/>
    <mergeCell ref="HI30:HJ30"/>
    <mergeCell ref="HK30:HL30"/>
    <mergeCell ref="HP30:HQ30"/>
    <mergeCell ref="HR30:HS30"/>
    <mergeCell ref="HW30:HX30"/>
    <mergeCell ref="HY30:HZ30"/>
    <mergeCell ref="ID30:IE30"/>
    <mergeCell ref="IF30:IG30"/>
    <mergeCell ref="IK30:IL30"/>
    <mergeCell ref="IM30:IN30"/>
    <mergeCell ref="IR30:IS30"/>
    <mergeCell ref="IT30:IU30"/>
    <mergeCell ref="IY30:IZ30"/>
    <mergeCell ref="JA30:JB30"/>
    <mergeCell ref="JH29:JI29"/>
    <mergeCell ref="JM29:JN29"/>
    <mergeCell ref="JO29:JP29"/>
    <mergeCell ref="JT29:JU29"/>
    <mergeCell ref="JV29:JW29"/>
    <mergeCell ref="KA29:KB29"/>
    <mergeCell ref="KC29:KD29"/>
    <mergeCell ref="KH29:KI29"/>
    <mergeCell ref="KJ29:KK29"/>
    <mergeCell ref="KO29:KP29"/>
    <mergeCell ref="KQ29:KR29"/>
    <mergeCell ref="KV29:KW29"/>
    <mergeCell ref="KX29:KY29"/>
    <mergeCell ref="LC29:LD29"/>
    <mergeCell ref="LE29:LF29"/>
    <mergeCell ref="LJ29:LK29"/>
    <mergeCell ref="LL29:LM29"/>
    <mergeCell ref="HB29:HC29"/>
    <mergeCell ref="HD29:HE29"/>
    <mergeCell ref="HI29:HJ29"/>
    <mergeCell ref="HK29:HL29"/>
    <mergeCell ref="HP29:HQ29"/>
    <mergeCell ref="HR29:HS29"/>
    <mergeCell ref="HW29:HX29"/>
    <mergeCell ref="HY29:HZ29"/>
    <mergeCell ref="ID29:IE29"/>
    <mergeCell ref="IF29:IG29"/>
    <mergeCell ref="IK29:IL29"/>
    <mergeCell ref="IM29:IN29"/>
    <mergeCell ref="IR29:IS29"/>
    <mergeCell ref="IT29:IU29"/>
    <mergeCell ref="IY29:IZ29"/>
    <mergeCell ref="JA29:JB29"/>
    <mergeCell ref="JF29:JG29"/>
    <mergeCell ref="LL28:LM28"/>
    <mergeCell ref="LQ28:LR28"/>
    <mergeCell ref="LS28:LT28"/>
    <mergeCell ref="LX28:LY28"/>
    <mergeCell ref="LZ28:MA28"/>
    <mergeCell ref="ME28:MF28"/>
    <mergeCell ref="MG28:MH28"/>
    <mergeCell ref="ML28:MM28"/>
    <mergeCell ref="MN28:MO28"/>
    <mergeCell ref="MS28:MT28"/>
    <mergeCell ref="MU28:MV28"/>
    <mergeCell ref="MZ28:NA28"/>
    <mergeCell ref="NB28:NC28"/>
    <mergeCell ref="NG28:NH28"/>
    <mergeCell ref="NI28:NJ28"/>
    <mergeCell ref="NN28:NO28"/>
    <mergeCell ref="NP28:NQ28"/>
    <mergeCell ref="JF28:JG28"/>
    <mergeCell ref="JH28:JI28"/>
    <mergeCell ref="JM28:JN28"/>
    <mergeCell ref="JO28:JP28"/>
    <mergeCell ref="JT28:JU28"/>
    <mergeCell ref="JV28:JW28"/>
    <mergeCell ref="KA28:KB28"/>
    <mergeCell ref="KC28:KD28"/>
    <mergeCell ref="KH28:KI28"/>
    <mergeCell ref="KJ28:KK28"/>
    <mergeCell ref="KO28:KP28"/>
    <mergeCell ref="KQ28:KR28"/>
    <mergeCell ref="KV28:KW28"/>
    <mergeCell ref="KX28:KY28"/>
    <mergeCell ref="LC28:LD28"/>
    <mergeCell ref="LE28:LF28"/>
    <mergeCell ref="LJ28:LK28"/>
    <mergeCell ref="LQ27:LR27"/>
    <mergeCell ref="LS27:LT27"/>
    <mergeCell ref="LX27:LY27"/>
    <mergeCell ref="LZ27:MA27"/>
    <mergeCell ref="ME27:MF27"/>
    <mergeCell ref="MG27:MH27"/>
    <mergeCell ref="ML27:MM27"/>
    <mergeCell ref="MN27:MO27"/>
    <mergeCell ref="MS27:MT27"/>
    <mergeCell ref="MU27:MV27"/>
    <mergeCell ref="MZ27:NA27"/>
    <mergeCell ref="NB27:NC27"/>
    <mergeCell ref="NG27:NH27"/>
    <mergeCell ref="NI27:NJ27"/>
    <mergeCell ref="NN27:NO27"/>
    <mergeCell ref="NP27:NQ27"/>
    <mergeCell ref="HB28:HC28"/>
    <mergeCell ref="HD28:HE28"/>
    <mergeCell ref="HI28:HJ28"/>
    <mergeCell ref="HK28:HL28"/>
    <mergeCell ref="HP28:HQ28"/>
    <mergeCell ref="HR28:HS28"/>
    <mergeCell ref="HW28:HX28"/>
    <mergeCell ref="HY28:HZ28"/>
    <mergeCell ref="ID28:IE28"/>
    <mergeCell ref="IF28:IG28"/>
    <mergeCell ref="IK28:IL28"/>
    <mergeCell ref="IM28:IN28"/>
    <mergeCell ref="IR28:IS28"/>
    <mergeCell ref="IT28:IU28"/>
    <mergeCell ref="IY28:IZ28"/>
    <mergeCell ref="JA28:JB28"/>
    <mergeCell ref="JH27:JI27"/>
    <mergeCell ref="JM27:JN27"/>
    <mergeCell ref="JO27:JP27"/>
    <mergeCell ref="JT27:JU27"/>
    <mergeCell ref="JV27:JW27"/>
    <mergeCell ref="KA27:KB27"/>
    <mergeCell ref="KC27:KD27"/>
    <mergeCell ref="KH27:KI27"/>
    <mergeCell ref="KJ27:KK27"/>
    <mergeCell ref="KO27:KP27"/>
    <mergeCell ref="KQ27:KR27"/>
    <mergeCell ref="KV27:KW27"/>
    <mergeCell ref="KX27:KY27"/>
    <mergeCell ref="LC27:LD27"/>
    <mergeCell ref="LE27:LF27"/>
    <mergeCell ref="LJ27:LK27"/>
    <mergeCell ref="LL27:LM27"/>
    <mergeCell ref="HB27:HC27"/>
    <mergeCell ref="HD27:HE27"/>
    <mergeCell ref="HI27:HJ27"/>
    <mergeCell ref="HK27:HL27"/>
    <mergeCell ref="HP27:HQ27"/>
    <mergeCell ref="HR27:HS27"/>
    <mergeCell ref="HW27:HX27"/>
    <mergeCell ref="HY27:HZ27"/>
    <mergeCell ref="ID27:IE27"/>
    <mergeCell ref="IF27:IG27"/>
    <mergeCell ref="IK27:IL27"/>
    <mergeCell ref="IM27:IN27"/>
    <mergeCell ref="IR27:IS27"/>
    <mergeCell ref="IT27:IU27"/>
    <mergeCell ref="IY27:IZ27"/>
    <mergeCell ref="JA27:JB27"/>
    <mergeCell ref="JF27:JG27"/>
    <mergeCell ref="ML25:MM25"/>
    <mergeCell ref="MS25:MT25"/>
    <mergeCell ref="MZ25:NA25"/>
    <mergeCell ref="NG25:NH25"/>
    <mergeCell ref="NN25:NO25"/>
    <mergeCell ref="HB26:HC26"/>
    <mergeCell ref="HI26:HJ26"/>
    <mergeCell ref="HP26:HQ26"/>
    <mergeCell ref="HW26:HX26"/>
    <mergeCell ref="ID26:IE26"/>
    <mergeCell ref="IK26:IL26"/>
    <mergeCell ref="IR26:IS26"/>
    <mergeCell ref="IY26:IZ26"/>
    <mergeCell ref="JF26:JG26"/>
    <mergeCell ref="JM26:JN26"/>
    <mergeCell ref="JT26:JU26"/>
    <mergeCell ref="KA26:KB26"/>
    <mergeCell ref="KH26:KI26"/>
    <mergeCell ref="KO26:KP26"/>
    <mergeCell ref="KV26:KW26"/>
    <mergeCell ref="LC26:LD26"/>
    <mergeCell ref="LJ26:LK26"/>
    <mergeCell ref="LQ26:LR26"/>
    <mergeCell ref="LX26:LY26"/>
    <mergeCell ref="ME26:MF26"/>
    <mergeCell ref="ML26:MM26"/>
    <mergeCell ref="MS26:MT26"/>
    <mergeCell ref="MZ26:NA26"/>
    <mergeCell ref="NG26:NH26"/>
    <mergeCell ref="NN26:NO26"/>
    <mergeCell ref="ME23:MF23"/>
    <mergeCell ref="MG23:MH23"/>
    <mergeCell ref="ML23:MM23"/>
    <mergeCell ref="MN23:MO23"/>
    <mergeCell ref="MS23:MT23"/>
    <mergeCell ref="MU23:MV23"/>
    <mergeCell ref="MZ23:NA23"/>
    <mergeCell ref="NB23:NC23"/>
    <mergeCell ref="NG23:NH23"/>
    <mergeCell ref="NI23:NJ23"/>
    <mergeCell ref="NN23:NO23"/>
    <mergeCell ref="NP23:NQ23"/>
    <mergeCell ref="HB25:HC25"/>
    <mergeCell ref="HI25:HJ25"/>
    <mergeCell ref="HP25:HQ25"/>
    <mergeCell ref="HW25:HX25"/>
    <mergeCell ref="ID25:IE25"/>
    <mergeCell ref="IK25:IL25"/>
    <mergeCell ref="IR25:IS25"/>
    <mergeCell ref="IY25:IZ25"/>
    <mergeCell ref="JF25:JG25"/>
    <mergeCell ref="JM25:JN25"/>
    <mergeCell ref="JT25:JU25"/>
    <mergeCell ref="KA25:KB25"/>
    <mergeCell ref="KH25:KI25"/>
    <mergeCell ref="KO25:KP25"/>
    <mergeCell ref="KV25:KW25"/>
    <mergeCell ref="LC25:LD25"/>
    <mergeCell ref="LJ25:LK25"/>
    <mergeCell ref="LQ25:LR25"/>
    <mergeCell ref="LX25:LY25"/>
    <mergeCell ref="ME25:MF25"/>
    <mergeCell ref="JV23:JW23"/>
    <mergeCell ref="KA23:KB23"/>
    <mergeCell ref="KC23:KD23"/>
    <mergeCell ref="KH23:KI23"/>
    <mergeCell ref="KJ23:KK23"/>
    <mergeCell ref="KO23:KP23"/>
    <mergeCell ref="KQ23:KR23"/>
    <mergeCell ref="KV23:KW23"/>
    <mergeCell ref="KX23:KY23"/>
    <mergeCell ref="LC23:LD23"/>
    <mergeCell ref="LE23:LF23"/>
    <mergeCell ref="LJ23:LK23"/>
    <mergeCell ref="LL23:LM23"/>
    <mergeCell ref="LQ23:LR23"/>
    <mergeCell ref="LS23:LT23"/>
    <mergeCell ref="LX23:LY23"/>
    <mergeCell ref="LZ23:MA23"/>
    <mergeCell ref="MG22:MH22"/>
    <mergeCell ref="ML22:MM22"/>
    <mergeCell ref="MN22:MO22"/>
    <mergeCell ref="MS22:MT22"/>
    <mergeCell ref="MU22:MV22"/>
    <mergeCell ref="MZ22:NA22"/>
    <mergeCell ref="NB22:NC22"/>
    <mergeCell ref="NG22:NH22"/>
    <mergeCell ref="NI22:NJ22"/>
    <mergeCell ref="NN22:NO22"/>
    <mergeCell ref="NP22:NQ22"/>
    <mergeCell ref="HB23:HC23"/>
    <mergeCell ref="HD23:HE23"/>
    <mergeCell ref="HI23:HJ23"/>
    <mergeCell ref="HK23:HL23"/>
    <mergeCell ref="HP23:HQ23"/>
    <mergeCell ref="HR23:HS23"/>
    <mergeCell ref="HW23:HX23"/>
    <mergeCell ref="HY23:HZ23"/>
    <mergeCell ref="ID23:IE23"/>
    <mergeCell ref="IF23:IG23"/>
    <mergeCell ref="IK23:IL23"/>
    <mergeCell ref="IM23:IN23"/>
    <mergeCell ref="IR23:IS23"/>
    <mergeCell ref="IT23:IU23"/>
    <mergeCell ref="IY23:IZ23"/>
    <mergeCell ref="JA23:JB23"/>
    <mergeCell ref="JF23:JG23"/>
    <mergeCell ref="JH23:JI23"/>
    <mergeCell ref="JM23:JN23"/>
    <mergeCell ref="JO23:JP23"/>
    <mergeCell ref="JT23:JU23"/>
    <mergeCell ref="KA22:KB22"/>
    <mergeCell ref="KC22:KD22"/>
    <mergeCell ref="KH22:KI22"/>
    <mergeCell ref="KJ22:KK22"/>
    <mergeCell ref="KO22:KP22"/>
    <mergeCell ref="KQ22:KR22"/>
    <mergeCell ref="KV22:KW22"/>
    <mergeCell ref="KX22:KY22"/>
    <mergeCell ref="LC22:LD22"/>
    <mergeCell ref="LE22:LF22"/>
    <mergeCell ref="LJ22:LK22"/>
    <mergeCell ref="LL22:LM22"/>
    <mergeCell ref="LQ22:LR22"/>
    <mergeCell ref="LS22:LT22"/>
    <mergeCell ref="LX22:LY22"/>
    <mergeCell ref="LZ22:MA22"/>
    <mergeCell ref="ME22:MF22"/>
    <mergeCell ref="ML21:MM21"/>
    <mergeCell ref="MN21:MO21"/>
    <mergeCell ref="MS21:MT21"/>
    <mergeCell ref="MU21:MV21"/>
    <mergeCell ref="MZ21:NA21"/>
    <mergeCell ref="NB21:NC21"/>
    <mergeCell ref="NG21:NH21"/>
    <mergeCell ref="NI21:NJ21"/>
    <mergeCell ref="NN21:NO21"/>
    <mergeCell ref="NP21:NQ21"/>
    <mergeCell ref="HB22:HC22"/>
    <mergeCell ref="HD22:HE22"/>
    <mergeCell ref="HI22:HJ22"/>
    <mergeCell ref="HK22:HL22"/>
    <mergeCell ref="HP22:HQ22"/>
    <mergeCell ref="HR22:HS22"/>
    <mergeCell ref="HW22:HX22"/>
    <mergeCell ref="HY22:HZ22"/>
    <mergeCell ref="ID22:IE22"/>
    <mergeCell ref="IF22:IG22"/>
    <mergeCell ref="IK22:IL22"/>
    <mergeCell ref="IM22:IN22"/>
    <mergeCell ref="IR22:IS22"/>
    <mergeCell ref="IT22:IU22"/>
    <mergeCell ref="IY22:IZ22"/>
    <mergeCell ref="JA22:JB22"/>
    <mergeCell ref="JF22:JG22"/>
    <mergeCell ref="JH22:JI22"/>
    <mergeCell ref="JM22:JN22"/>
    <mergeCell ref="JO22:JP22"/>
    <mergeCell ref="JT22:JU22"/>
    <mergeCell ref="JV22:JW22"/>
    <mergeCell ref="KC21:KD21"/>
    <mergeCell ref="KH21:KI21"/>
    <mergeCell ref="KJ21:KK21"/>
    <mergeCell ref="KO21:KP21"/>
    <mergeCell ref="KQ21:KR21"/>
    <mergeCell ref="KV21:KW21"/>
    <mergeCell ref="KX21:KY21"/>
    <mergeCell ref="LC21:LD21"/>
    <mergeCell ref="LE21:LF21"/>
    <mergeCell ref="LJ21:LK21"/>
    <mergeCell ref="LL21:LM21"/>
    <mergeCell ref="LQ21:LR21"/>
    <mergeCell ref="LS21:LT21"/>
    <mergeCell ref="LX21:LY21"/>
    <mergeCell ref="LZ21:MA21"/>
    <mergeCell ref="ME21:MF21"/>
    <mergeCell ref="MG21:MH21"/>
    <mergeCell ref="MN20:MO20"/>
    <mergeCell ref="MS20:MT20"/>
    <mergeCell ref="MU20:MV20"/>
    <mergeCell ref="MZ20:NA20"/>
    <mergeCell ref="NB20:NC20"/>
    <mergeCell ref="NG20:NH20"/>
    <mergeCell ref="NI20:NJ20"/>
    <mergeCell ref="NN20:NO20"/>
    <mergeCell ref="NP20:NQ20"/>
    <mergeCell ref="HB21:HC21"/>
    <mergeCell ref="HD21:HE21"/>
    <mergeCell ref="HI21:HJ21"/>
    <mergeCell ref="HK21:HL21"/>
    <mergeCell ref="HP21:HQ21"/>
    <mergeCell ref="HR21:HS21"/>
    <mergeCell ref="HW21:HX21"/>
    <mergeCell ref="HY21:HZ21"/>
    <mergeCell ref="ID21:IE21"/>
    <mergeCell ref="IF21:IG21"/>
    <mergeCell ref="IK21:IL21"/>
    <mergeCell ref="IM21:IN21"/>
    <mergeCell ref="IR21:IS21"/>
    <mergeCell ref="IT21:IU21"/>
    <mergeCell ref="IY21:IZ21"/>
    <mergeCell ref="JA21:JB21"/>
    <mergeCell ref="JF21:JG21"/>
    <mergeCell ref="JH21:JI21"/>
    <mergeCell ref="JM21:JN21"/>
    <mergeCell ref="JO21:JP21"/>
    <mergeCell ref="JT21:JU21"/>
    <mergeCell ref="JV21:JW21"/>
    <mergeCell ref="KA21:KB21"/>
    <mergeCell ref="KH20:KI20"/>
    <mergeCell ref="KJ20:KK20"/>
    <mergeCell ref="KO20:KP20"/>
    <mergeCell ref="KQ20:KR20"/>
    <mergeCell ref="KV20:KW20"/>
    <mergeCell ref="KX20:KY20"/>
    <mergeCell ref="LC20:LD20"/>
    <mergeCell ref="LE20:LF20"/>
    <mergeCell ref="LJ20:LK20"/>
    <mergeCell ref="LL20:LM20"/>
    <mergeCell ref="LQ20:LR20"/>
    <mergeCell ref="LS20:LT20"/>
    <mergeCell ref="LX20:LY20"/>
    <mergeCell ref="LZ20:MA20"/>
    <mergeCell ref="ME20:MF20"/>
    <mergeCell ref="MG20:MH20"/>
    <mergeCell ref="ML20:MM20"/>
    <mergeCell ref="LQ19:LR19"/>
    <mergeCell ref="LX19:LY19"/>
    <mergeCell ref="ME19:MF19"/>
    <mergeCell ref="ML19:MM19"/>
    <mergeCell ref="MS19:MT19"/>
    <mergeCell ref="MZ19:NA19"/>
    <mergeCell ref="NG19:NH19"/>
    <mergeCell ref="NN19:NO19"/>
    <mergeCell ref="HB20:HC20"/>
    <mergeCell ref="HD20:HE20"/>
    <mergeCell ref="HI20:HJ20"/>
    <mergeCell ref="HK20:HL20"/>
    <mergeCell ref="HP20:HQ20"/>
    <mergeCell ref="HR20:HS20"/>
    <mergeCell ref="HW20:HX20"/>
    <mergeCell ref="HY20:HZ20"/>
    <mergeCell ref="ID20:IE20"/>
    <mergeCell ref="IF20:IG20"/>
    <mergeCell ref="IK20:IL20"/>
    <mergeCell ref="IM20:IN20"/>
    <mergeCell ref="IR20:IS20"/>
    <mergeCell ref="IT20:IU20"/>
    <mergeCell ref="IY20:IZ20"/>
    <mergeCell ref="JA20:JB20"/>
    <mergeCell ref="JF20:JG20"/>
    <mergeCell ref="JH20:JI20"/>
    <mergeCell ref="JM20:JN20"/>
    <mergeCell ref="JO20:JP20"/>
    <mergeCell ref="JT20:JU20"/>
    <mergeCell ref="JV20:JW20"/>
    <mergeCell ref="KA20:KB20"/>
    <mergeCell ref="KC20:KD20"/>
    <mergeCell ref="HB19:HC19"/>
    <mergeCell ref="HI19:HJ19"/>
    <mergeCell ref="HP19:HQ19"/>
    <mergeCell ref="HW19:HX19"/>
    <mergeCell ref="ID19:IE19"/>
    <mergeCell ref="IK19:IL19"/>
    <mergeCell ref="IR19:IS19"/>
    <mergeCell ref="IY19:IZ19"/>
    <mergeCell ref="JF19:JG19"/>
    <mergeCell ref="JM19:JN19"/>
    <mergeCell ref="JT19:JU19"/>
    <mergeCell ref="KA19:KB19"/>
    <mergeCell ref="KH19:KI19"/>
    <mergeCell ref="KO19:KP19"/>
    <mergeCell ref="KV19:KW19"/>
    <mergeCell ref="LC19:LD19"/>
    <mergeCell ref="LJ19:LK19"/>
    <mergeCell ref="NG16:NH16"/>
    <mergeCell ref="NI16:NJ16"/>
    <mergeCell ref="NN16:NO16"/>
    <mergeCell ref="NP16:NQ16"/>
    <mergeCell ref="HB18:HC18"/>
    <mergeCell ref="HI18:HJ18"/>
    <mergeCell ref="HP18:HQ18"/>
    <mergeCell ref="HW18:HX18"/>
    <mergeCell ref="ID18:IE18"/>
    <mergeCell ref="IK18:IL18"/>
    <mergeCell ref="IR18:IS18"/>
    <mergeCell ref="IY18:IZ18"/>
    <mergeCell ref="JF18:JG18"/>
    <mergeCell ref="JM18:JN18"/>
    <mergeCell ref="JT18:JU18"/>
    <mergeCell ref="KA18:KB18"/>
    <mergeCell ref="KH18:KI18"/>
    <mergeCell ref="KO18:KP18"/>
    <mergeCell ref="KV18:KW18"/>
    <mergeCell ref="LC18:LD18"/>
    <mergeCell ref="LJ18:LK18"/>
    <mergeCell ref="LQ18:LR18"/>
    <mergeCell ref="LX18:LY18"/>
    <mergeCell ref="ME18:MF18"/>
    <mergeCell ref="ML18:MM18"/>
    <mergeCell ref="MS18:MT18"/>
    <mergeCell ref="MZ18:NA18"/>
    <mergeCell ref="NG18:NH18"/>
    <mergeCell ref="NN18:NO18"/>
    <mergeCell ref="KQ16:KR16"/>
    <mergeCell ref="KX16:KY16"/>
    <mergeCell ref="LC16:LD16"/>
    <mergeCell ref="LE16:LF16"/>
    <mergeCell ref="LJ16:LK16"/>
    <mergeCell ref="LL16:LM16"/>
    <mergeCell ref="LQ16:LR16"/>
    <mergeCell ref="LS16:LT16"/>
    <mergeCell ref="LX16:LY16"/>
    <mergeCell ref="LZ16:MA16"/>
    <mergeCell ref="ME16:MF16"/>
    <mergeCell ref="MG16:MH16"/>
    <mergeCell ref="ML16:MM16"/>
    <mergeCell ref="MN16:MO16"/>
    <mergeCell ref="MS16:MT16"/>
    <mergeCell ref="MU16:MV16"/>
    <mergeCell ref="NB15:NC15"/>
    <mergeCell ref="KX15:KY15"/>
    <mergeCell ref="LC15:LD15"/>
    <mergeCell ref="LE15:LF15"/>
    <mergeCell ref="LJ15:LK15"/>
    <mergeCell ref="LL15:LM15"/>
    <mergeCell ref="LQ15:LR15"/>
    <mergeCell ref="LS15:LT15"/>
    <mergeCell ref="LX15:LY15"/>
    <mergeCell ref="LZ15:MA15"/>
    <mergeCell ref="ME15:MF15"/>
    <mergeCell ref="MG15:MH15"/>
    <mergeCell ref="ML15:MM15"/>
    <mergeCell ref="MN15:MO15"/>
    <mergeCell ref="MS15:MT15"/>
    <mergeCell ref="MU15:MV15"/>
    <mergeCell ref="MZ16:NA16"/>
    <mergeCell ref="NB16:NC16"/>
    <mergeCell ref="NI15:NJ15"/>
    <mergeCell ref="NN15:NO15"/>
    <mergeCell ref="NP15:NQ15"/>
    <mergeCell ref="HB16:HC16"/>
    <mergeCell ref="HD16:HE16"/>
    <mergeCell ref="HI16:HJ16"/>
    <mergeCell ref="HK16:HL16"/>
    <mergeCell ref="HP16:HQ16"/>
    <mergeCell ref="HR16:HS16"/>
    <mergeCell ref="HW16:HX16"/>
    <mergeCell ref="HY16:HZ16"/>
    <mergeCell ref="ID16:IE16"/>
    <mergeCell ref="IF16:IG16"/>
    <mergeCell ref="IK16:IL16"/>
    <mergeCell ref="IM16:IN16"/>
    <mergeCell ref="IR16:IS16"/>
    <mergeCell ref="IT16:IU16"/>
    <mergeCell ref="IY16:IZ16"/>
    <mergeCell ref="JA16:JB16"/>
    <mergeCell ref="JF16:JG16"/>
    <mergeCell ref="JH16:JI16"/>
    <mergeCell ref="JM16:JN16"/>
    <mergeCell ref="JO16:JP16"/>
    <mergeCell ref="JT16:JU16"/>
    <mergeCell ref="JV16:JW16"/>
    <mergeCell ref="KA16:KB16"/>
    <mergeCell ref="KC16:KD16"/>
    <mergeCell ref="KH16:KI16"/>
    <mergeCell ref="KJ16:KK16"/>
    <mergeCell ref="KO16:KP16"/>
    <mergeCell ref="KV15:KW15"/>
    <mergeCell ref="KV16:KW16"/>
    <mergeCell ref="NG14:NH14"/>
    <mergeCell ref="NI14:NJ14"/>
    <mergeCell ref="NN14:NO14"/>
    <mergeCell ref="NP14:NQ14"/>
    <mergeCell ref="HB15:HC15"/>
    <mergeCell ref="HD15:HE15"/>
    <mergeCell ref="HI15:HJ15"/>
    <mergeCell ref="HK15:HL15"/>
    <mergeCell ref="HP15:HQ15"/>
    <mergeCell ref="HR15:HS15"/>
    <mergeCell ref="HW15:HX15"/>
    <mergeCell ref="HY15:HZ15"/>
    <mergeCell ref="ID15:IE15"/>
    <mergeCell ref="IF15:IG15"/>
    <mergeCell ref="IK15:IL15"/>
    <mergeCell ref="IM15:IN15"/>
    <mergeCell ref="IR15:IS15"/>
    <mergeCell ref="IT15:IU15"/>
    <mergeCell ref="IY15:IZ15"/>
    <mergeCell ref="JA15:JB15"/>
    <mergeCell ref="JF15:JG15"/>
    <mergeCell ref="JH15:JI15"/>
    <mergeCell ref="JM15:JN15"/>
    <mergeCell ref="JO15:JP15"/>
    <mergeCell ref="JT15:JU15"/>
    <mergeCell ref="JV15:JW15"/>
    <mergeCell ref="KA15:KB15"/>
    <mergeCell ref="KC15:KD15"/>
    <mergeCell ref="KH15:KI15"/>
    <mergeCell ref="KJ15:KK15"/>
    <mergeCell ref="KO15:KP15"/>
    <mergeCell ref="NG15:NH15"/>
    <mergeCell ref="KQ15:KR15"/>
    <mergeCell ref="KX14:KY14"/>
    <mergeCell ref="LC14:LD14"/>
    <mergeCell ref="LE14:LF14"/>
    <mergeCell ref="LJ14:LK14"/>
    <mergeCell ref="LL14:LM14"/>
    <mergeCell ref="LQ14:LR14"/>
    <mergeCell ref="LS14:LT14"/>
    <mergeCell ref="LX14:LY14"/>
    <mergeCell ref="LZ14:MA14"/>
    <mergeCell ref="ME14:MF14"/>
    <mergeCell ref="MG14:MH14"/>
    <mergeCell ref="ML14:MM14"/>
    <mergeCell ref="MN14:MO14"/>
    <mergeCell ref="MS14:MT14"/>
    <mergeCell ref="MU14:MV14"/>
    <mergeCell ref="MZ14:NA14"/>
    <mergeCell ref="KV14:KW14"/>
    <mergeCell ref="MZ15:NA15"/>
    <mergeCell ref="NB14:NC14"/>
    <mergeCell ref="NI13:NJ13"/>
    <mergeCell ref="NN13:NO13"/>
    <mergeCell ref="NP13:NQ13"/>
    <mergeCell ref="HB14:HC14"/>
    <mergeCell ref="HD14:HE14"/>
    <mergeCell ref="HI14:HJ14"/>
    <mergeCell ref="HK14:HL14"/>
    <mergeCell ref="HP14:HQ14"/>
    <mergeCell ref="HR14:HS14"/>
    <mergeCell ref="HW14:HX14"/>
    <mergeCell ref="HY14:HZ14"/>
    <mergeCell ref="ID14:IE14"/>
    <mergeCell ref="IF14:IG14"/>
    <mergeCell ref="IK14:IL14"/>
    <mergeCell ref="IM14:IN14"/>
    <mergeCell ref="IR14:IS14"/>
    <mergeCell ref="IT14:IU14"/>
    <mergeCell ref="IY14:IZ14"/>
    <mergeCell ref="JA14:JB14"/>
    <mergeCell ref="JF14:JG14"/>
    <mergeCell ref="JH14:JI14"/>
    <mergeCell ref="JM14:JN14"/>
    <mergeCell ref="JO14:JP14"/>
    <mergeCell ref="JT14:JU14"/>
    <mergeCell ref="JV14:JW14"/>
    <mergeCell ref="KA14:KB14"/>
    <mergeCell ref="KC14:KD14"/>
    <mergeCell ref="KH14:KI14"/>
    <mergeCell ref="KJ14:KK14"/>
    <mergeCell ref="KO14:KP14"/>
    <mergeCell ref="KQ14:KR14"/>
    <mergeCell ref="LC13:LD13"/>
    <mergeCell ref="LE13:LF13"/>
    <mergeCell ref="LJ13:LK13"/>
    <mergeCell ref="LL13:LM13"/>
    <mergeCell ref="LQ13:LR13"/>
    <mergeCell ref="LS13:LT13"/>
    <mergeCell ref="LX13:LY13"/>
    <mergeCell ref="LZ13:MA13"/>
    <mergeCell ref="ME13:MF13"/>
    <mergeCell ref="MG13:MH13"/>
    <mergeCell ref="ML13:MM13"/>
    <mergeCell ref="MN13:MO13"/>
    <mergeCell ref="MS13:MT13"/>
    <mergeCell ref="MU13:MV13"/>
    <mergeCell ref="MZ13:NA13"/>
    <mergeCell ref="NB13:NC13"/>
    <mergeCell ref="NG13:NH13"/>
    <mergeCell ref="NG12:NH12"/>
    <mergeCell ref="NN12:NO12"/>
    <mergeCell ref="HB13:HC13"/>
    <mergeCell ref="HD13:HE13"/>
    <mergeCell ref="HI13:HJ13"/>
    <mergeCell ref="HK13:HL13"/>
    <mergeCell ref="HP13:HQ13"/>
    <mergeCell ref="HR13:HS13"/>
    <mergeCell ref="HW13:HX13"/>
    <mergeCell ref="HY13:HZ13"/>
    <mergeCell ref="ID13:IE13"/>
    <mergeCell ref="IF13:IG13"/>
    <mergeCell ref="IK13:IL13"/>
    <mergeCell ref="IM13:IN13"/>
    <mergeCell ref="IR13:IS13"/>
    <mergeCell ref="IT13:IU13"/>
    <mergeCell ref="IY13:IZ13"/>
    <mergeCell ref="JA13:JB13"/>
    <mergeCell ref="JF13:JG13"/>
    <mergeCell ref="JH13:JI13"/>
    <mergeCell ref="JM13:JN13"/>
    <mergeCell ref="JO13:JP13"/>
    <mergeCell ref="JT13:JU13"/>
    <mergeCell ref="JV13:JW13"/>
    <mergeCell ref="KA13:KB13"/>
    <mergeCell ref="KC13:KD13"/>
    <mergeCell ref="KH13:KI13"/>
    <mergeCell ref="KJ13:KK13"/>
    <mergeCell ref="KO13:KP13"/>
    <mergeCell ref="KQ13:KR13"/>
    <mergeCell ref="KV13:KW13"/>
    <mergeCell ref="KX13:KY13"/>
    <mergeCell ref="LQ11:LR11"/>
    <mergeCell ref="LX11:LY11"/>
    <mergeCell ref="ME11:MF11"/>
    <mergeCell ref="ML11:MM11"/>
    <mergeCell ref="MS11:MT11"/>
    <mergeCell ref="MZ11:NA11"/>
    <mergeCell ref="NG11:NH11"/>
    <mergeCell ref="NN11:NO11"/>
    <mergeCell ref="HB12:HC12"/>
    <mergeCell ref="HI12:HJ12"/>
    <mergeCell ref="HK12:HL12"/>
    <mergeCell ref="HP12:HQ12"/>
    <mergeCell ref="HW12:HX12"/>
    <mergeCell ref="ID12:IE12"/>
    <mergeCell ref="IK12:IL12"/>
    <mergeCell ref="IR12:IS12"/>
    <mergeCell ref="IY12:IZ12"/>
    <mergeCell ref="JF12:JG12"/>
    <mergeCell ref="JM12:JN12"/>
    <mergeCell ref="JT12:JU12"/>
    <mergeCell ref="KA12:KB12"/>
    <mergeCell ref="KH12:KI12"/>
    <mergeCell ref="KO12:KP12"/>
    <mergeCell ref="KV12:KW12"/>
    <mergeCell ref="LC12:LD12"/>
    <mergeCell ref="LJ12:LK12"/>
    <mergeCell ref="LQ12:LR12"/>
    <mergeCell ref="LX12:LY12"/>
    <mergeCell ref="ME12:MF12"/>
    <mergeCell ref="ML12:MM12"/>
    <mergeCell ref="MS12:MT12"/>
    <mergeCell ref="MZ12:NA12"/>
    <mergeCell ref="HB11:HC11"/>
    <mergeCell ref="HI11:HJ11"/>
    <mergeCell ref="HP11:HQ11"/>
    <mergeCell ref="HW11:HX11"/>
    <mergeCell ref="ID11:IE11"/>
    <mergeCell ref="IK11:IL11"/>
    <mergeCell ref="IR11:IS11"/>
    <mergeCell ref="IY11:IZ11"/>
    <mergeCell ref="JF11:JG11"/>
    <mergeCell ref="JM11:JN11"/>
    <mergeCell ref="JT11:JU11"/>
    <mergeCell ref="KA11:KB11"/>
    <mergeCell ref="KH11:KI11"/>
    <mergeCell ref="KO11:KP11"/>
    <mergeCell ref="KV11:KW11"/>
    <mergeCell ref="LC11:LD11"/>
    <mergeCell ref="LJ11:LK11"/>
    <mergeCell ref="LL9:LM9"/>
    <mergeCell ref="LQ9:LR9"/>
    <mergeCell ref="LS9:LT9"/>
    <mergeCell ref="LX9:LY9"/>
    <mergeCell ref="LZ9:MA9"/>
    <mergeCell ref="ME9:MF9"/>
    <mergeCell ref="MG9:MH9"/>
    <mergeCell ref="ML9:MM9"/>
    <mergeCell ref="MN9:MO9"/>
    <mergeCell ref="MS9:MT9"/>
    <mergeCell ref="MU9:MV9"/>
    <mergeCell ref="MZ9:NA9"/>
    <mergeCell ref="NB9:NC9"/>
    <mergeCell ref="NG9:NH9"/>
    <mergeCell ref="NI9:NJ9"/>
    <mergeCell ref="NN9:NO9"/>
    <mergeCell ref="NP9:NQ9"/>
    <mergeCell ref="JF9:JG9"/>
    <mergeCell ref="JH9:JI9"/>
    <mergeCell ref="JM9:JN9"/>
    <mergeCell ref="JO9:JP9"/>
    <mergeCell ref="JT9:JU9"/>
    <mergeCell ref="JV9:JW9"/>
    <mergeCell ref="KA9:KB9"/>
    <mergeCell ref="KC9:KD9"/>
    <mergeCell ref="KH9:KI9"/>
    <mergeCell ref="KJ9:KK9"/>
    <mergeCell ref="KO9:KP9"/>
    <mergeCell ref="KQ9:KR9"/>
    <mergeCell ref="KV9:KW9"/>
    <mergeCell ref="KX9:KY9"/>
    <mergeCell ref="LC9:LD9"/>
    <mergeCell ref="LE9:LF9"/>
    <mergeCell ref="LJ9:LK9"/>
    <mergeCell ref="LQ8:LR8"/>
    <mergeCell ref="LS8:LT8"/>
    <mergeCell ref="LX8:LY8"/>
    <mergeCell ref="LZ8:MA8"/>
    <mergeCell ref="ME8:MF8"/>
    <mergeCell ref="MG8:MH8"/>
    <mergeCell ref="ML8:MM8"/>
    <mergeCell ref="MN8:MO8"/>
    <mergeCell ref="MS8:MT8"/>
    <mergeCell ref="MU8:MV8"/>
    <mergeCell ref="MZ8:NA8"/>
    <mergeCell ref="NB8:NC8"/>
    <mergeCell ref="NG8:NH8"/>
    <mergeCell ref="NI8:NJ8"/>
    <mergeCell ref="NN8:NO8"/>
    <mergeCell ref="NP8:NQ8"/>
    <mergeCell ref="HB9:HC9"/>
    <mergeCell ref="HD9:HE9"/>
    <mergeCell ref="HI9:HJ9"/>
    <mergeCell ref="HK9:HL9"/>
    <mergeCell ref="HP9:HQ9"/>
    <mergeCell ref="HR9:HS9"/>
    <mergeCell ref="HW9:HX9"/>
    <mergeCell ref="HY9:HZ9"/>
    <mergeCell ref="ID9:IE9"/>
    <mergeCell ref="IF9:IG9"/>
    <mergeCell ref="IK9:IL9"/>
    <mergeCell ref="IM9:IN9"/>
    <mergeCell ref="IR9:IS9"/>
    <mergeCell ref="IT9:IU9"/>
    <mergeCell ref="IY9:IZ9"/>
    <mergeCell ref="JA9:JB9"/>
    <mergeCell ref="JH8:JI8"/>
    <mergeCell ref="JM8:JN8"/>
    <mergeCell ref="JO8:JP8"/>
    <mergeCell ref="JT8:JU8"/>
    <mergeCell ref="JV8:JW8"/>
    <mergeCell ref="KA8:KB8"/>
    <mergeCell ref="KC8:KD8"/>
    <mergeCell ref="KH8:KI8"/>
    <mergeCell ref="KJ8:KK8"/>
    <mergeCell ref="KO8:KP8"/>
    <mergeCell ref="KQ8:KR8"/>
    <mergeCell ref="KV8:KW8"/>
    <mergeCell ref="KX8:KY8"/>
    <mergeCell ref="LC8:LD8"/>
    <mergeCell ref="LE8:LF8"/>
    <mergeCell ref="LJ8:LK8"/>
    <mergeCell ref="LL8:LM8"/>
    <mergeCell ref="HB8:HC8"/>
    <mergeCell ref="HD8:HE8"/>
    <mergeCell ref="HI8:HJ8"/>
    <mergeCell ref="HK8:HL8"/>
    <mergeCell ref="HP8:HQ8"/>
    <mergeCell ref="HR8:HS8"/>
    <mergeCell ref="HW8:HX8"/>
    <mergeCell ref="HY8:HZ8"/>
    <mergeCell ref="ID8:IE8"/>
    <mergeCell ref="IF8:IG8"/>
    <mergeCell ref="IK8:IL8"/>
    <mergeCell ref="IM8:IN8"/>
    <mergeCell ref="IR8:IS8"/>
    <mergeCell ref="IT8:IU8"/>
    <mergeCell ref="IY8:IZ8"/>
    <mergeCell ref="JA8:JB8"/>
    <mergeCell ref="JF8:JG8"/>
    <mergeCell ref="LL7:LM7"/>
    <mergeCell ref="LQ7:LR7"/>
    <mergeCell ref="LS7:LT7"/>
    <mergeCell ref="LX7:LY7"/>
    <mergeCell ref="LZ7:MA7"/>
    <mergeCell ref="ME7:MF7"/>
    <mergeCell ref="MG7:MH7"/>
    <mergeCell ref="ML7:MM7"/>
    <mergeCell ref="MN7:MO7"/>
    <mergeCell ref="MS7:MT7"/>
    <mergeCell ref="MU7:MV7"/>
    <mergeCell ref="MZ7:NA7"/>
    <mergeCell ref="NB7:NC7"/>
    <mergeCell ref="NG7:NH7"/>
    <mergeCell ref="NI7:NJ7"/>
    <mergeCell ref="NN7:NO7"/>
    <mergeCell ref="NP7:NQ7"/>
    <mergeCell ref="JF7:JG7"/>
    <mergeCell ref="JH7:JI7"/>
    <mergeCell ref="JM7:JN7"/>
    <mergeCell ref="JO7:JP7"/>
    <mergeCell ref="JT7:JU7"/>
    <mergeCell ref="JV7:JW7"/>
    <mergeCell ref="KA7:KB7"/>
    <mergeCell ref="KC7:KD7"/>
    <mergeCell ref="KH7:KI7"/>
    <mergeCell ref="KJ7:KK7"/>
    <mergeCell ref="KO7:KP7"/>
    <mergeCell ref="KQ7:KR7"/>
    <mergeCell ref="KV7:KW7"/>
    <mergeCell ref="KX7:KY7"/>
    <mergeCell ref="LC7:LD7"/>
    <mergeCell ref="LE7:LF7"/>
    <mergeCell ref="LJ7:LK7"/>
    <mergeCell ref="LQ6:LR6"/>
    <mergeCell ref="LS6:LT6"/>
    <mergeCell ref="LX6:LY6"/>
    <mergeCell ref="LZ6:MA6"/>
    <mergeCell ref="ME6:MF6"/>
    <mergeCell ref="MG6:MH6"/>
    <mergeCell ref="ML6:MM6"/>
    <mergeCell ref="MN6:MO6"/>
    <mergeCell ref="MS6:MT6"/>
    <mergeCell ref="MU6:MV6"/>
    <mergeCell ref="MZ6:NA6"/>
    <mergeCell ref="NB6:NC6"/>
    <mergeCell ref="NG6:NH6"/>
    <mergeCell ref="NI6:NJ6"/>
    <mergeCell ref="NN6:NO6"/>
    <mergeCell ref="NP6:NQ6"/>
    <mergeCell ref="HB7:HC7"/>
    <mergeCell ref="HD7:HE7"/>
    <mergeCell ref="HI7:HJ7"/>
    <mergeCell ref="HK7:HL7"/>
    <mergeCell ref="HP7:HQ7"/>
    <mergeCell ref="HR7:HS7"/>
    <mergeCell ref="HW7:HX7"/>
    <mergeCell ref="HY7:HZ7"/>
    <mergeCell ref="ID7:IE7"/>
    <mergeCell ref="IF7:IG7"/>
    <mergeCell ref="IK7:IL7"/>
    <mergeCell ref="IM7:IN7"/>
    <mergeCell ref="IR7:IS7"/>
    <mergeCell ref="IT7:IU7"/>
    <mergeCell ref="IY7:IZ7"/>
    <mergeCell ref="JA7:JB7"/>
    <mergeCell ref="JH6:JI6"/>
    <mergeCell ref="JM6:JN6"/>
    <mergeCell ref="JO6:JP6"/>
    <mergeCell ref="JT6:JU6"/>
    <mergeCell ref="JV6:JW6"/>
    <mergeCell ref="KA6:KB6"/>
    <mergeCell ref="KC6:KD6"/>
    <mergeCell ref="KH6:KI6"/>
    <mergeCell ref="KJ6:KK6"/>
    <mergeCell ref="KO6:KP6"/>
    <mergeCell ref="KQ6:KR6"/>
    <mergeCell ref="KV6:KW6"/>
    <mergeCell ref="KX6:KY6"/>
    <mergeCell ref="LC6:LD6"/>
    <mergeCell ref="LE6:LF6"/>
    <mergeCell ref="LJ6:LK6"/>
    <mergeCell ref="LL6:LM6"/>
    <mergeCell ref="HB6:HC6"/>
    <mergeCell ref="HD6:HE6"/>
    <mergeCell ref="HI6:HJ6"/>
    <mergeCell ref="HK6:HL6"/>
    <mergeCell ref="HP6:HQ6"/>
    <mergeCell ref="HR6:HS6"/>
    <mergeCell ref="HW6:HX6"/>
    <mergeCell ref="HY6:HZ6"/>
    <mergeCell ref="ID6:IE6"/>
    <mergeCell ref="IF6:IG6"/>
    <mergeCell ref="IK6:IL6"/>
    <mergeCell ref="IM6:IN6"/>
    <mergeCell ref="IR6:IS6"/>
    <mergeCell ref="IT6:IU6"/>
    <mergeCell ref="IY6:IZ6"/>
    <mergeCell ref="JA6:JB6"/>
    <mergeCell ref="JF6:JG6"/>
    <mergeCell ref="NN4:NO4"/>
    <mergeCell ref="HB5:HC5"/>
    <mergeCell ref="HI5:HJ5"/>
    <mergeCell ref="HP5:HQ5"/>
    <mergeCell ref="HW5:HX5"/>
    <mergeCell ref="ID5:IE5"/>
    <mergeCell ref="IK5:IL5"/>
    <mergeCell ref="IR5:IS5"/>
    <mergeCell ref="IY5:IZ5"/>
    <mergeCell ref="JF5:JG5"/>
    <mergeCell ref="JM5:JN5"/>
    <mergeCell ref="JT5:JU5"/>
    <mergeCell ref="KA5:KB5"/>
    <mergeCell ref="KH5:KI5"/>
    <mergeCell ref="KO5:KP5"/>
    <mergeCell ref="KV5:KW5"/>
    <mergeCell ref="LC5:LD5"/>
    <mergeCell ref="LJ5:LK5"/>
    <mergeCell ref="LQ5:LR5"/>
    <mergeCell ref="LX5:LY5"/>
    <mergeCell ref="ME5:MF5"/>
    <mergeCell ref="ML5:MM5"/>
    <mergeCell ref="MS5:MT5"/>
    <mergeCell ref="MZ5:NA5"/>
    <mergeCell ref="NG5:NH5"/>
    <mergeCell ref="NN5:NO5"/>
    <mergeCell ref="LP2:LU2"/>
    <mergeCell ref="LW2:MB2"/>
    <mergeCell ref="MD2:MI2"/>
    <mergeCell ref="MK2:MP2"/>
    <mergeCell ref="MR2:MW2"/>
    <mergeCell ref="MY2:ND2"/>
    <mergeCell ref="NF2:NK2"/>
    <mergeCell ref="NM2:NR2"/>
    <mergeCell ref="HB4:HC4"/>
    <mergeCell ref="HI4:HJ4"/>
    <mergeCell ref="HP4:HQ4"/>
    <mergeCell ref="HW4:HX4"/>
    <mergeCell ref="ID4:IE4"/>
    <mergeCell ref="IK4:IL4"/>
    <mergeCell ref="IR4:IS4"/>
    <mergeCell ref="IY4:IZ4"/>
    <mergeCell ref="JF4:JG4"/>
    <mergeCell ref="JM4:JN4"/>
    <mergeCell ref="JT4:JU4"/>
    <mergeCell ref="KA4:KB4"/>
    <mergeCell ref="KH4:KI4"/>
    <mergeCell ref="KO4:KP4"/>
    <mergeCell ref="KV4:KW4"/>
    <mergeCell ref="LC4:LD4"/>
    <mergeCell ref="LJ4:LK4"/>
    <mergeCell ref="LQ4:LR4"/>
    <mergeCell ref="LX4:LY4"/>
    <mergeCell ref="ME4:MF4"/>
    <mergeCell ref="ML4:MM4"/>
    <mergeCell ref="MS4:MT4"/>
    <mergeCell ref="MZ4:NA4"/>
    <mergeCell ref="NG4:NH4"/>
    <mergeCell ref="HA2:HF2"/>
    <mergeCell ref="HH2:HM2"/>
    <mergeCell ref="HO2:HT2"/>
    <mergeCell ref="HV2:IA2"/>
    <mergeCell ref="IC2:IH2"/>
    <mergeCell ref="IJ2:IO2"/>
    <mergeCell ref="IQ2:IV2"/>
    <mergeCell ref="IX2:JC2"/>
    <mergeCell ref="JE2:JJ2"/>
    <mergeCell ref="JL2:JQ2"/>
    <mergeCell ref="JS2:JX2"/>
    <mergeCell ref="JZ2:KE2"/>
    <mergeCell ref="KG2:KL2"/>
    <mergeCell ref="KN2:KS2"/>
    <mergeCell ref="KU2:KZ2"/>
    <mergeCell ref="LB2:LG2"/>
    <mergeCell ref="LI2:LN2"/>
    <mergeCell ref="FY2:GD2"/>
    <mergeCell ref="GF2:GK2"/>
    <mergeCell ref="GM2:GR2"/>
    <mergeCell ref="GT2:GY2"/>
    <mergeCell ref="C6:C9"/>
    <mergeCell ref="G6:H6"/>
    <mergeCell ref="I6:J6"/>
    <mergeCell ref="N6:O6"/>
    <mergeCell ref="P6:Q6"/>
    <mergeCell ref="EB2:EG2"/>
    <mergeCell ref="EI2:EN2"/>
    <mergeCell ref="EP2:EU2"/>
    <mergeCell ref="EW2:FB2"/>
    <mergeCell ref="FD2:FI2"/>
    <mergeCell ref="FK2:FP2"/>
    <mergeCell ref="CL2:CQ2"/>
    <mergeCell ref="CS2:CX2"/>
    <mergeCell ref="CZ2:DE2"/>
    <mergeCell ref="DG2:DL2"/>
    <mergeCell ref="DN2:DS2"/>
    <mergeCell ref="DU2:DZ2"/>
    <mergeCell ref="AV2:BA2"/>
    <mergeCell ref="BC2:BH2"/>
    <mergeCell ref="BJ2:BO2"/>
    <mergeCell ref="BQ2:BV2"/>
    <mergeCell ref="BX2:CC2"/>
    <mergeCell ref="CE2:CJ2"/>
    <mergeCell ref="F2:K2"/>
    <mergeCell ref="M2:R2"/>
    <mergeCell ref="T2:Y2"/>
    <mergeCell ref="AA2:AF2"/>
    <mergeCell ref="BR6:BS6"/>
    <mergeCell ref="U6:V6"/>
    <mergeCell ref="W6:X6"/>
    <mergeCell ref="AB6:AC6"/>
    <mergeCell ref="AD6:AE6"/>
    <mergeCell ref="AI6:AJ6"/>
    <mergeCell ref="AK6:AL6"/>
    <mergeCell ref="FR2:FW2"/>
    <mergeCell ref="AH2:AM2"/>
    <mergeCell ref="AO2:AT2"/>
    <mergeCell ref="DV6:DW6"/>
    <mergeCell ref="DX6:DY6"/>
    <mergeCell ref="EC6:ED6"/>
    <mergeCell ref="EE6:EF6"/>
    <mergeCell ref="EJ6:EK6"/>
    <mergeCell ref="EL6:EM6"/>
    <mergeCell ref="DA6:DB6"/>
    <mergeCell ref="DC6:DD6"/>
    <mergeCell ref="DH6:DI6"/>
    <mergeCell ref="DJ6:DK6"/>
    <mergeCell ref="DO6:DP6"/>
    <mergeCell ref="DQ6:DR6"/>
    <mergeCell ref="CF6:CG6"/>
    <mergeCell ref="CH6:CI6"/>
    <mergeCell ref="CM6:CN6"/>
    <mergeCell ref="CO6:CP6"/>
    <mergeCell ref="CT6:CU6"/>
    <mergeCell ref="CV6:CW6"/>
    <mergeCell ref="AP4:AQ4"/>
    <mergeCell ref="AP5:AQ5"/>
    <mergeCell ref="BK4:BL4"/>
    <mergeCell ref="BR4:BS4"/>
    <mergeCell ref="BY4:BZ4"/>
    <mergeCell ref="CF4:CG4"/>
    <mergeCell ref="BK5:BL5"/>
    <mergeCell ref="BR5:BS5"/>
    <mergeCell ref="BY5:BZ5"/>
    <mergeCell ref="CF5:CG5"/>
    <mergeCell ref="BK6:BL6"/>
    <mergeCell ref="BM6:BN6"/>
    <mergeCell ref="GG6:GH6"/>
    <mergeCell ref="BT6:BU6"/>
    <mergeCell ref="BY6:BZ6"/>
    <mergeCell ref="CA6:CB6"/>
    <mergeCell ref="AP6:AQ6"/>
    <mergeCell ref="AR6:AS6"/>
    <mergeCell ref="AW6:AX6"/>
    <mergeCell ref="AY6:AZ6"/>
    <mergeCell ref="BD6:BE6"/>
    <mergeCell ref="BF6:BG6"/>
    <mergeCell ref="EQ4:ER4"/>
    <mergeCell ref="EX4:EY4"/>
    <mergeCell ref="FE4:FF4"/>
    <mergeCell ref="FL4:FM4"/>
    <mergeCell ref="EQ5:ER5"/>
    <mergeCell ref="EX5:EY5"/>
    <mergeCell ref="FE5:FF5"/>
    <mergeCell ref="FL5:FM5"/>
    <mergeCell ref="GI6:GJ6"/>
    <mergeCell ref="GN6:GO6"/>
    <mergeCell ref="GP6:GQ6"/>
    <mergeCell ref="GU6:GV6"/>
    <mergeCell ref="GW6:GX6"/>
    <mergeCell ref="FL6:FM6"/>
    <mergeCell ref="FN6:FO6"/>
    <mergeCell ref="FS6:FT6"/>
    <mergeCell ref="FU6:FV6"/>
    <mergeCell ref="FZ6:GA6"/>
    <mergeCell ref="GB6:GC6"/>
    <mergeCell ref="EQ6:ER6"/>
    <mergeCell ref="ES6:ET6"/>
    <mergeCell ref="EX6:EY6"/>
    <mergeCell ref="EZ6:FA6"/>
    <mergeCell ref="FE6:FF6"/>
    <mergeCell ref="FG6:FH6"/>
    <mergeCell ref="AW7:AX7"/>
    <mergeCell ref="AY7:AZ7"/>
    <mergeCell ref="BD7:BE7"/>
    <mergeCell ref="BF7:BG7"/>
    <mergeCell ref="BK7:BL7"/>
    <mergeCell ref="BM7:BN7"/>
    <mergeCell ref="AB7:AC7"/>
    <mergeCell ref="AD7:AE7"/>
    <mergeCell ref="AI7:AJ7"/>
    <mergeCell ref="AK7:AL7"/>
    <mergeCell ref="AP7:AQ7"/>
    <mergeCell ref="AR7:AS7"/>
    <mergeCell ref="G7:H7"/>
    <mergeCell ref="I7:J7"/>
    <mergeCell ref="N7:O7"/>
    <mergeCell ref="P7:Q7"/>
    <mergeCell ref="U7:V7"/>
    <mergeCell ref="W7:X7"/>
    <mergeCell ref="DH7:DI7"/>
    <mergeCell ref="DJ7:DK7"/>
    <mergeCell ref="DO7:DP7"/>
    <mergeCell ref="DQ7:DR7"/>
    <mergeCell ref="DV7:DW7"/>
    <mergeCell ref="DX7:DY7"/>
    <mergeCell ref="CM7:CN7"/>
    <mergeCell ref="CO7:CP7"/>
    <mergeCell ref="CT7:CU7"/>
    <mergeCell ref="CV7:CW7"/>
    <mergeCell ref="DA7:DB7"/>
    <mergeCell ref="DC7:DD7"/>
    <mergeCell ref="BR7:BS7"/>
    <mergeCell ref="BT7:BU7"/>
    <mergeCell ref="BY7:BZ7"/>
    <mergeCell ref="CA7:CB7"/>
    <mergeCell ref="CF7:CG7"/>
    <mergeCell ref="CH7:CI7"/>
    <mergeCell ref="AB8:AC8"/>
    <mergeCell ref="AD8:AE8"/>
    <mergeCell ref="AI8:AJ8"/>
    <mergeCell ref="AK8:AL8"/>
    <mergeCell ref="AP8:AQ8"/>
    <mergeCell ref="AR8:AS8"/>
    <mergeCell ref="GN7:GO7"/>
    <mergeCell ref="GP7:GQ7"/>
    <mergeCell ref="GU7:GV7"/>
    <mergeCell ref="GW7:GX7"/>
    <mergeCell ref="G8:H8"/>
    <mergeCell ref="I8:J8"/>
    <mergeCell ref="N8:O8"/>
    <mergeCell ref="P8:Q8"/>
    <mergeCell ref="U8:V8"/>
    <mergeCell ref="W8:X8"/>
    <mergeCell ref="FS7:FT7"/>
    <mergeCell ref="FU7:FV7"/>
    <mergeCell ref="FZ7:GA7"/>
    <mergeCell ref="GB7:GC7"/>
    <mergeCell ref="GG7:GH7"/>
    <mergeCell ref="GI7:GJ7"/>
    <mergeCell ref="EX7:EY7"/>
    <mergeCell ref="EZ7:FA7"/>
    <mergeCell ref="FE7:FF7"/>
    <mergeCell ref="FG7:FH7"/>
    <mergeCell ref="FL7:FM7"/>
    <mergeCell ref="FN7:FO7"/>
    <mergeCell ref="EC7:ED7"/>
    <mergeCell ref="EE7:EF7"/>
    <mergeCell ref="EJ7:EK7"/>
    <mergeCell ref="EL7:EM7"/>
    <mergeCell ref="DX8:DY8"/>
    <mergeCell ref="CM8:CN8"/>
    <mergeCell ref="CO8:CP8"/>
    <mergeCell ref="CT8:CU8"/>
    <mergeCell ref="CV8:CW8"/>
    <mergeCell ref="DA8:DB8"/>
    <mergeCell ref="DC8:DD8"/>
    <mergeCell ref="BR8:BS8"/>
    <mergeCell ref="BT8:BU8"/>
    <mergeCell ref="BY8:BZ8"/>
    <mergeCell ref="CA8:CB8"/>
    <mergeCell ref="CF8:CG8"/>
    <mergeCell ref="CH8:CI8"/>
    <mergeCell ref="AW8:AX8"/>
    <mergeCell ref="AY8:AZ8"/>
    <mergeCell ref="BD8:BE8"/>
    <mergeCell ref="BF8:BG8"/>
    <mergeCell ref="BK8:BL8"/>
    <mergeCell ref="BM8:BN8"/>
    <mergeCell ref="GP8:GQ8"/>
    <mergeCell ref="GU8:GV8"/>
    <mergeCell ref="GW8:GX8"/>
    <mergeCell ref="G9:H9"/>
    <mergeCell ref="I9:J9"/>
    <mergeCell ref="N9:O9"/>
    <mergeCell ref="P9:Q9"/>
    <mergeCell ref="U9:V9"/>
    <mergeCell ref="W9:X9"/>
    <mergeCell ref="FS8:FT8"/>
    <mergeCell ref="FU8:FV8"/>
    <mergeCell ref="FZ8:GA8"/>
    <mergeCell ref="GB8:GC8"/>
    <mergeCell ref="GG8:GH8"/>
    <mergeCell ref="GI8:GJ8"/>
    <mergeCell ref="EX8:EY8"/>
    <mergeCell ref="EZ8:FA8"/>
    <mergeCell ref="FE8:FF8"/>
    <mergeCell ref="FG8:FH8"/>
    <mergeCell ref="FL8:FM8"/>
    <mergeCell ref="FN8:FO8"/>
    <mergeCell ref="EC8:ED8"/>
    <mergeCell ref="EE8:EF8"/>
    <mergeCell ref="EJ8:EK8"/>
    <mergeCell ref="EL8:EM8"/>
    <mergeCell ref="EQ8:ER8"/>
    <mergeCell ref="ES8:ET8"/>
    <mergeCell ref="DH8:DI8"/>
    <mergeCell ref="DJ8:DK8"/>
    <mergeCell ref="DO8:DP8"/>
    <mergeCell ref="DQ8:DR8"/>
    <mergeCell ref="DV8:DW8"/>
    <mergeCell ref="BR9:BS9"/>
    <mergeCell ref="BT9:BU9"/>
    <mergeCell ref="BY9:BZ9"/>
    <mergeCell ref="CA9:CB9"/>
    <mergeCell ref="CF9:CG9"/>
    <mergeCell ref="CH9:CI9"/>
    <mergeCell ref="AW9:AX9"/>
    <mergeCell ref="AY9:AZ9"/>
    <mergeCell ref="BD9:BE9"/>
    <mergeCell ref="BF9:BG9"/>
    <mergeCell ref="BK9:BL9"/>
    <mergeCell ref="BM9:BN9"/>
    <mergeCell ref="AB9:AC9"/>
    <mergeCell ref="AD9:AE9"/>
    <mergeCell ref="AI9:AJ9"/>
    <mergeCell ref="AK9:AL9"/>
    <mergeCell ref="AP9:AQ9"/>
    <mergeCell ref="AR9:AS9"/>
    <mergeCell ref="EC9:ED9"/>
    <mergeCell ref="EE9:EF9"/>
    <mergeCell ref="EJ9:EK9"/>
    <mergeCell ref="EL9:EM9"/>
    <mergeCell ref="EQ9:ER9"/>
    <mergeCell ref="ES9:ET9"/>
    <mergeCell ref="DH9:DI9"/>
    <mergeCell ref="DJ9:DK9"/>
    <mergeCell ref="DO9:DP9"/>
    <mergeCell ref="DQ9:DR9"/>
    <mergeCell ref="DV9:DW9"/>
    <mergeCell ref="DX9:DY9"/>
    <mergeCell ref="CM9:CN9"/>
    <mergeCell ref="CO9:CP9"/>
    <mergeCell ref="CT9:CU9"/>
    <mergeCell ref="CV9:CW9"/>
    <mergeCell ref="DA9:DB9"/>
    <mergeCell ref="DC9:DD9"/>
    <mergeCell ref="AW13:AX13"/>
    <mergeCell ref="AY13:AZ13"/>
    <mergeCell ref="BD13:BE13"/>
    <mergeCell ref="BF13:BG13"/>
    <mergeCell ref="BK13:BL13"/>
    <mergeCell ref="W13:X13"/>
    <mergeCell ref="AB13:AC13"/>
    <mergeCell ref="AD13:AE13"/>
    <mergeCell ref="AI13:AJ13"/>
    <mergeCell ref="AK13:AL13"/>
    <mergeCell ref="AP13:AQ13"/>
    <mergeCell ref="GN9:GO9"/>
    <mergeCell ref="GP9:GQ9"/>
    <mergeCell ref="GU9:GV9"/>
    <mergeCell ref="GW9:GX9"/>
    <mergeCell ref="C13:C16"/>
    <mergeCell ref="G13:H13"/>
    <mergeCell ref="I13:J13"/>
    <mergeCell ref="N13:O13"/>
    <mergeCell ref="P13:Q13"/>
    <mergeCell ref="U13:V13"/>
    <mergeCell ref="FS9:FT9"/>
    <mergeCell ref="FU9:FV9"/>
    <mergeCell ref="FZ9:GA9"/>
    <mergeCell ref="GB9:GC9"/>
    <mergeCell ref="GG9:GH9"/>
    <mergeCell ref="GI9:GJ9"/>
    <mergeCell ref="EX9:EY9"/>
    <mergeCell ref="EZ9:FA9"/>
    <mergeCell ref="FE9:FF9"/>
    <mergeCell ref="FG9:FH9"/>
    <mergeCell ref="FL9:FM9"/>
    <mergeCell ref="DC13:DD13"/>
    <mergeCell ref="DH13:DI13"/>
    <mergeCell ref="DJ13:DK13"/>
    <mergeCell ref="DO13:DP13"/>
    <mergeCell ref="DQ13:DR13"/>
    <mergeCell ref="DV13:DW13"/>
    <mergeCell ref="CH13:CI13"/>
    <mergeCell ref="CM13:CN13"/>
    <mergeCell ref="CO13:CP13"/>
    <mergeCell ref="CT13:CU13"/>
    <mergeCell ref="CV13:CW13"/>
    <mergeCell ref="DA13:DB13"/>
    <mergeCell ref="BM13:BN13"/>
    <mergeCell ref="BR13:BS13"/>
    <mergeCell ref="BT13:BU13"/>
    <mergeCell ref="BY13:BZ13"/>
    <mergeCell ref="CA13:CB13"/>
    <mergeCell ref="CF13:CG13"/>
    <mergeCell ref="AB14:AC14"/>
    <mergeCell ref="AD14:AE14"/>
    <mergeCell ref="AI14:AJ14"/>
    <mergeCell ref="AK14:AL14"/>
    <mergeCell ref="AP14:AQ14"/>
    <mergeCell ref="GI13:GJ13"/>
    <mergeCell ref="GN13:GO13"/>
    <mergeCell ref="GP13:GQ13"/>
    <mergeCell ref="GU13:GV13"/>
    <mergeCell ref="GW13:GX13"/>
    <mergeCell ref="G14:H14"/>
    <mergeCell ref="I14:J14"/>
    <mergeCell ref="N14:O14"/>
    <mergeCell ref="P14:Q14"/>
    <mergeCell ref="U14:V14"/>
    <mergeCell ref="FN13:FO13"/>
    <mergeCell ref="FS13:FT13"/>
    <mergeCell ref="FU13:FV13"/>
    <mergeCell ref="FZ13:GA13"/>
    <mergeCell ref="GB13:GC13"/>
    <mergeCell ref="GG13:GH13"/>
    <mergeCell ref="ES13:ET13"/>
    <mergeCell ref="EX13:EY13"/>
    <mergeCell ref="EZ13:FA13"/>
    <mergeCell ref="FE13:FF13"/>
    <mergeCell ref="FG13:FH13"/>
    <mergeCell ref="FL13:FM13"/>
    <mergeCell ref="DX13:DY13"/>
    <mergeCell ref="EC13:ED13"/>
    <mergeCell ref="EE13:EF13"/>
    <mergeCell ref="EJ13:EK13"/>
    <mergeCell ref="EL13:EM13"/>
    <mergeCell ref="DJ14:DK14"/>
    <mergeCell ref="DO14:DP14"/>
    <mergeCell ref="DQ14:DR14"/>
    <mergeCell ref="DV14:DW14"/>
    <mergeCell ref="CH14:CI14"/>
    <mergeCell ref="CM14:CN14"/>
    <mergeCell ref="CO14:CP14"/>
    <mergeCell ref="CT14:CU14"/>
    <mergeCell ref="CV14:CW14"/>
    <mergeCell ref="DA14:DB14"/>
    <mergeCell ref="BM14:BN14"/>
    <mergeCell ref="BR14:BS14"/>
    <mergeCell ref="BT14:BU14"/>
    <mergeCell ref="BY14:BZ14"/>
    <mergeCell ref="CA14:CB14"/>
    <mergeCell ref="CF14:CG14"/>
    <mergeCell ref="AR14:AS14"/>
    <mergeCell ref="AW14:AX14"/>
    <mergeCell ref="AY14:AZ14"/>
    <mergeCell ref="BD14:BE14"/>
    <mergeCell ref="BF14:BG14"/>
    <mergeCell ref="BK14:BL14"/>
    <mergeCell ref="AK15:AL15"/>
    <mergeCell ref="AP15:AQ15"/>
    <mergeCell ref="GI14:GJ14"/>
    <mergeCell ref="GN14:GO14"/>
    <mergeCell ref="GP14:GQ14"/>
    <mergeCell ref="GU14:GV14"/>
    <mergeCell ref="GW14:GX14"/>
    <mergeCell ref="G15:H15"/>
    <mergeCell ref="I15:J15"/>
    <mergeCell ref="N15:O15"/>
    <mergeCell ref="P15:Q15"/>
    <mergeCell ref="U15:V15"/>
    <mergeCell ref="FN14:FO14"/>
    <mergeCell ref="FS14:FT14"/>
    <mergeCell ref="FU14:FV14"/>
    <mergeCell ref="FZ14:GA14"/>
    <mergeCell ref="GB14:GC14"/>
    <mergeCell ref="GG14:GH14"/>
    <mergeCell ref="ES14:ET14"/>
    <mergeCell ref="EX14:EY14"/>
    <mergeCell ref="EZ14:FA14"/>
    <mergeCell ref="FE14:FF14"/>
    <mergeCell ref="FG14:FH14"/>
    <mergeCell ref="FL14:FM14"/>
    <mergeCell ref="DX14:DY14"/>
    <mergeCell ref="EC14:ED14"/>
    <mergeCell ref="EE14:EF14"/>
    <mergeCell ref="EJ14:EK14"/>
    <mergeCell ref="EL14:EM14"/>
    <mergeCell ref="EQ14:ER14"/>
    <mergeCell ref="DC14:DD14"/>
    <mergeCell ref="DH14:DI14"/>
    <mergeCell ref="CH15:CI15"/>
    <mergeCell ref="CM15:CN15"/>
    <mergeCell ref="CO15:CP15"/>
    <mergeCell ref="CT15:CU15"/>
    <mergeCell ref="CV15:CW15"/>
    <mergeCell ref="DA15:DB15"/>
    <mergeCell ref="BM15:BN15"/>
    <mergeCell ref="BR15:BS15"/>
    <mergeCell ref="BT15:BU15"/>
    <mergeCell ref="BY15:BZ15"/>
    <mergeCell ref="CA15:CB15"/>
    <mergeCell ref="CF15:CG15"/>
    <mergeCell ref="AR15:AS15"/>
    <mergeCell ref="AW15:AX15"/>
    <mergeCell ref="AY15:AZ15"/>
    <mergeCell ref="BD15:BE15"/>
    <mergeCell ref="BF15:BG15"/>
    <mergeCell ref="BK15:BL15"/>
    <mergeCell ref="GP15:GQ15"/>
    <mergeCell ref="GU15:GV15"/>
    <mergeCell ref="GW15:GX15"/>
    <mergeCell ref="G16:H16"/>
    <mergeCell ref="I16:J16"/>
    <mergeCell ref="N16:O16"/>
    <mergeCell ref="P16:Q16"/>
    <mergeCell ref="U16:V16"/>
    <mergeCell ref="FN15:FO15"/>
    <mergeCell ref="FS15:FT15"/>
    <mergeCell ref="FU15:FV15"/>
    <mergeCell ref="FZ15:GA15"/>
    <mergeCell ref="GB15:GC15"/>
    <mergeCell ref="GG15:GH15"/>
    <mergeCell ref="ES15:ET15"/>
    <mergeCell ref="EX15:EY15"/>
    <mergeCell ref="EZ15:FA15"/>
    <mergeCell ref="FE15:FF15"/>
    <mergeCell ref="FG15:FH15"/>
    <mergeCell ref="FL15:FM15"/>
    <mergeCell ref="DX15:DY15"/>
    <mergeCell ref="EC15:ED15"/>
    <mergeCell ref="EE15:EF15"/>
    <mergeCell ref="EJ15:EK15"/>
    <mergeCell ref="EL15:EM15"/>
    <mergeCell ref="EQ15:ER15"/>
    <mergeCell ref="DC15:DD15"/>
    <mergeCell ref="DH15:DI15"/>
    <mergeCell ref="DJ15:DK15"/>
    <mergeCell ref="DO15:DP15"/>
    <mergeCell ref="DQ15:DR15"/>
    <mergeCell ref="DV15:DW15"/>
    <mergeCell ref="GW16:GX16"/>
    <mergeCell ref="C20:C23"/>
    <mergeCell ref="G20:H20"/>
    <mergeCell ref="I20:J20"/>
    <mergeCell ref="N20:O20"/>
    <mergeCell ref="P20:Q20"/>
    <mergeCell ref="FN16:FO16"/>
    <mergeCell ref="FS16:FT16"/>
    <mergeCell ref="FU16:FV16"/>
    <mergeCell ref="FZ16:GA16"/>
    <mergeCell ref="GB16:GC16"/>
    <mergeCell ref="GG16:GH16"/>
    <mergeCell ref="ES16:ET16"/>
    <mergeCell ref="EX16:EY16"/>
    <mergeCell ref="EZ16:FA16"/>
    <mergeCell ref="FE16:FF16"/>
    <mergeCell ref="FG16:FH16"/>
    <mergeCell ref="FL16:FM16"/>
    <mergeCell ref="DX16:DY16"/>
    <mergeCell ref="EC16:ED16"/>
    <mergeCell ref="EE16:EF16"/>
    <mergeCell ref="EJ16:EK16"/>
    <mergeCell ref="EL16:EM16"/>
    <mergeCell ref="EQ16:ER16"/>
    <mergeCell ref="DC16:DD16"/>
    <mergeCell ref="DH16:DI16"/>
    <mergeCell ref="DJ16:DK16"/>
    <mergeCell ref="DO16:DP16"/>
    <mergeCell ref="DQ16:DR16"/>
    <mergeCell ref="DV16:DW16"/>
    <mergeCell ref="DH20:DI20"/>
    <mergeCell ref="DJ20:DK20"/>
    <mergeCell ref="W16:X16"/>
    <mergeCell ref="AB16:AC16"/>
    <mergeCell ref="AD16:AE16"/>
    <mergeCell ref="AI16:AJ16"/>
    <mergeCell ref="AK16:AL16"/>
    <mergeCell ref="GP16:GQ16"/>
    <mergeCell ref="GU16:GV16"/>
    <mergeCell ref="CH16:CI16"/>
    <mergeCell ref="CM16:CN16"/>
    <mergeCell ref="CO16:CP16"/>
    <mergeCell ref="CT16:CU16"/>
    <mergeCell ref="CV16:CW16"/>
    <mergeCell ref="DA16:DB16"/>
    <mergeCell ref="BM16:BN16"/>
    <mergeCell ref="BR16:BS16"/>
    <mergeCell ref="BT16:BU16"/>
    <mergeCell ref="BY16:BZ16"/>
    <mergeCell ref="CA16:CB16"/>
    <mergeCell ref="CF16:CG16"/>
    <mergeCell ref="AR16:AS16"/>
    <mergeCell ref="AW16:AX16"/>
    <mergeCell ref="AY16:AZ16"/>
    <mergeCell ref="BD16:BE16"/>
    <mergeCell ref="BF16:BG16"/>
    <mergeCell ref="BK16:BL16"/>
    <mergeCell ref="CV20:CW20"/>
    <mergeCell ref="BK20:BL20"/>
    <mergeCell ref="BM20:BN20"/>
    <mergeCell ref="BR20:BS20"/>
    <mergeCell ref="BT20:BU20"/>
    <mergeCell ref="BY20:BZ20"/>
    <mergeCell ref="CA20:CB20"/>
    <mergeCell ref="GW20:GX20"/>
    <mergeCell ref="FL20:FM20"/>
    <mergeCell ref="FN20:FO20"/>
    <mergeCell ref="FS20:FT20"/>
    <mergeCell ref="FU20:FV20"/>
    <mergeCell ref="FZ20:GA20"/>
    <mergeCell ref="GB20:GC20"/>
    <mergeCell ref="EQ20:ER20"/>
    <mergeCell ref="ES20:ET20"/>
    <mergeCell ref="EX20:EY20"/>
    <mergeCell ref="EZ20:FA20"/>
    <mergeCell ref="FE20:FF20"/>
    <mergeCell ref="FG20:FH20"/>
    <mergeCell ref="DV20:DW20"/>
    <mergeCell ref="DX20:DY20"/>
    <mergeCell ref="EC20:ED20"/>
    <mergeCell ref="GP20:GQ20"/>
    <mergeCell ref="GU20:GV20"/>
    <mergeCell ref="DO20:DP20"/>
    <mergeCell ref="DQ20:DR20"/>
    <mergeCell ref="CF20:CG20"/>
    <mergeCell ref="CH20:CI20"/>
    <mergeCell ref="CM20:CN20"/>
    <mergeCell ref="CO20:CP20"/>
    <mergeCell ref="CT20:CU20"/>
    <mergeCell ref="AY21:AZ21"/>
    <mergeCell ref="BD21:BE21"/>
    <mergeCell ref="BF21:BG21"/>
    <mergeCell ref="BK21:BL21"/>
    <mergeCell ref="BM21:BN21"/>
    <mergeCell ref="AK21:AL21"/>
    <mergeCell ref="AP21:AQ21"/>
    <mergeCell ref="AR21:AS21"/>
    <mergeCell ref="G21:H21"/>
    <mergeCell ref="I21:J21"/>
    <mergeCell ref="N21:O21"/>
    <mergeCell ref="P21:Q21"/>
    <mergeCell ref="U21:V21"/>
    <mergeCell ref="W21:X21"/>
    <mergeCell ref="GG20:GH20"/>
    <mergeCell ref="BF20:BG20"/>
    <mergeCell ref="U20:V20"/>
    <mergeCell ref="W20:X20"/>
    <mergeCell ref="AB20:AC20"/>
    <mergeCell ref="AD20:AE20"/>
    <mergeCell ref="AI20:AJ20"/>
    <mergeCell ref="AK20:AL20"/>
    <mergeCell ref="FL21:FM21"/>
    <mergeCell ref="FN21:FO21"/>
    <mergeCell ref="EC21:ED21"/>
    <mergeCell ref="EE21:EF21"/>
    <mergeCell ref="EJ21:EK21"/>
    <mergeCell ref="EL21:EM21"/>
    <mergeCell ref="EQ21:ER21"/>
    <mergeCell ref="ES21:ET21"/>
    <mergeCell ref="DA20:DB20"/>
    <mergeCell ref="DC20:DD20"/>
    <mergeCell ref="DH21:DI21"/>
    <mergeCell ref="DJ21:DK21"/>
    <mergeCell ref="DO21:DP21"/>
    <mergeCell ref="DQ21:DR21"/>
    <mergeCell ref="DV21:DW21"/>
    <mergeCell ref="DX21:DY21"/>
    <mergeCell ref="CM21:CN21"/>
    <mergeCell ref="CO21:CP21"/>
    <mergeCell ref="CT21:CU21"/>
    <mergeCell ref="CV21:CW21"/>
    <mergeCell ref="DA21:DB21"/>
    <mergeCell ref="DC21:DD21"/>
    <mergeCell ref="AW22:AX22"/>
    <mergeCell ref="AY22:AZ22"/>
    <mergeCell ref="BD22:BE22"/>
    <mergeCell ref="BF22:BG22"/>
    <mergeCell ref="BK22:BL22"/>
    <mergeCell ref="BM22:BN22"/>
    <mergeCell ref="CM22:CN22"/>
    <mergeCell ref="CO22:CP22"/>
    <mergeCell ref="CT22:CU22"/>
    <mergeCell ref="CV22:CW22"/>
    <mergeCell ref="DA22:DB22"/>
    <mergeCell ref="DC22:DD22"/>
    <mergeCell ref="BR22:BS22"/>
    <mergeCell ref="BT22:BU22"/>
    <mergeCell ref="BY22:BZ22"/>
    <mergeCell ref="CA22:CB22"/>
    <mergeCell ref="CF22:CG22"/>
    <mergeCell ref="CH22:CI22"/>
    <mergeCell ref="CH21:CI21"/>
    <mergeCell ref="AW21:AX21"/>
    <mergeCell ref="AB22:AC22"/>
    <mergeCell ref="AD22:AE22"/>
    <mergeCell ref="AI22:AJ22"/>
    <mergeCell ref="AK22:AL22"/>
    <mergeCell ref="AP22:AQ22"/>
    <mergeCell ref="AR22:AS22"/>
    <mergeCell ref="GN21:GO21"/>
    <mergeCell ref="GP21:GQ21"/>
    <mergeCell ref="GU21:GV21"/>
    <mergeCell ref="GW21:GX21"/>
    <mergeCell ref="G22:H22"/>
    <mergeCell ref="I22:J22"/>
    <mergeCell ref="N22:O22"/>
    <mergeCell ref="P22:Q22"/>
    <mergeCell ref="U22:V22"/>
    <mergeCell ref="W22:X22"/>
    <mergeCell ref="FS21:FT21"/>
    <mergeCell ref="FU21:FV21"/>
    <mergeCell ref="FZ21:GA21"/>
    <mergeCell ref="GB21:GC21"/>
    <mergeCell ref="GG21:GH21"/>
    <mergeCell ref="GI21:GJ21"/>
    <mergeCell ref="EX21:EY21"/>
    <mergeCell ref="EZ21:FA21"/>
    <mergeCell ref="FE21:FF21"/>
    <mergeCell ref="FG21:FH21"/>
    <mergeCell ref="DH22:DI22"/>
    <mergeCell ref="DJ22:DK22"/>
    <mergeCell ref="DO22:DP22"/>
    <mergeCell ref="DQ22:DR22"/>
    <mergeCell ref="DV22:DW22"/>
    <mergeCell ref="DX22:DY22"/>
    <mergeCell ref="BF23:BG23"/>
    <mergeCell ref="BK23:BL23"/>
    <mergeCell ref="BM23:BN23"/>
    <mergeCell ref="AB23:AC23"/>
    <mergeCell ref="AD23:AE23"/>
    <mergeCell ref="AI23:AJ23"/>
    <mergeCell ref="AK23:AL23"/>
    <mergeCell ref="AP23:AQ23"/>
    <mergeCell ref="AR23:AS23"/>
    <mergeCell ref="GN22:GO22"/>
    <mergeCell ref="GP22:GQ22"/>
    <mergeCell ref="GU22:GV22"/>
    <mergeCell ref="GW22:GX22"/>
    <mergeCell ref="G23:H23"/>
    <mergeCell ref="I23:J23"/>
    <mergeCell ref="N23:O23"/>
    <mergeCell ref="P23:Q23"/>
    <mergeCell ref="U23:V23"/>
    <mergeCell ref="W23:X23"/>
    <mergeCell ref="FS22:FT22"/>
    <mergeCell ref="FU22:FV22"/>
    <mergeCell ref="FZ22:GA22"/>
    <mergeCell ref="GB22:GC22"/>
    <mergeCell ref="GG22:GH22"/>
    <mergeCell ref="GI22:GJ22"/>
    <mergeCell ref="EX22:EY22"/>
    <mergeCell ref="EZ22:FA22"/>
    <mergeCell ref="FE22:FF22"/>
    <mergeCell ref="FG22:FH22"/>
    <mergeCell ref="FL22:FM22"/>
    <mergeCell ref="FN22:FO22"/>
    <mergeCell ref="EC22:ED22"/>
    <mergeCell ref="DH23:DI23"/>
    <mergeCell ref="DJ23:DK23"/>
    <mergeCell ref="DO23:DP23"/>
    <mergeCell ref="DQ23:DR23"/>
    <mergeCell ref="DV23:DW23"/>
    <mergeCell ref="DX23:DY23"/>
    <mergeCell ref="CM23:CN23"/>
    <mergeCell ref="CO23:CP23"/>
    <mergeCell ref="CT23:CU23"/>
    <mergeCell ref="CV23:CW23"/>
    <mergeCell ref="DA23:DB23"/>
    <mergeCell ref="DC23:DD23"/>
    <mergeCell ref="BR23:BS23"/>
    <mergeCell ref="BT23:BU23"/>
    <mergeCell ref="BY23:BZ23"/>
    <mergeCell ref="CA23:CB23"/>
    <mergeCell ref="CF23:CG23"/>
    <mergeCell ref="CH23:CI23"/>
    <mergeCell ref="W27:X27"/>
    <mergeCell ref="AB27:AC27"/>
    <mergeCell ref="AD27:AE27"/>
    <mergeCell ref="AI27:AJ27"/>
    <mergeCell ref="AK27:AL27"/>
    <mergeCell ref="AP27:AQ27"/>
    <mergeCell ref="GN23:GO23"/>
    <mergeCell ref="GP23:GQ23"/>
    <mergeCell ref="GU23:GV23"/>
    <mergeCell ref="GW23:GX23"/>
    <mergeCell ref="C27:C30"/>
    <mergeCell ref="G27:H27"/>
    <mergeCell ref="I27:J27"/>
    <mergeCell ref="N27:O27"/>
    <mergeCell ref="P27:Q27"/>
    <mergeCell ref="U27:V27"/>
    <mergeCell ref="FS23:FT23"/>
    <mergeCell ref="FU23:FV23"/>
    <mergeCell ref="FZ23:GA23"/>
    <mergeCell ref="GB23:GC23"/>
    <mergeCell ref="GG23:GH23"/>
    <mergeCell ref="GI23:GJ23"/>
    <mergeCell ref="EX23:EY23"/>
    <mergeCell ref="EZ23:FA23"/>
    <mergeCell ref="FE23:FF23"/>
    <mergeCell ref="FG23:FH23"/>
    <mergeCell ref="FL23:FM23"/>
    <mergeCell ref="FN23:FO23"/>
    <mergeCell ref="EC23:ED23"/>
    <mergeCell ref="EE23:EF23"/>
    <mergeCell ref="EJ23:EK23"/>
    <mergeCell ref="EL23:EM23"/>
    <mergeCell ref="G28:H28"/>
    <mergeCell ref="I28:J28"/>
    <mergeCell ref="N28:O28"/>
    <mergeCell ref="P28:Q28"/>
    <mergeCell ref="U28:V28"/>
    <mergeCell ref="FN27:FO27"/>
    <mergeCell ref="FS27:FT27"/>
    <mergeCell ref="FU27:FV27"/>
    <mergeCell ref="FZ27:GA27"/>
    <mergeCell ref="GB27:GC27"/>
    <mergeCell ref="GG27:GH27"/>
    <mergeCell ref="ES27:ET27"/>
    <mergeCell ref="EX27:EY27"/>
    <mergeCell ref="EZ27:FA27"/>
    <mergeCell ref="FE27:FF27"/>
    <mergeCell ref="FG27:FH27"/>
    <mergeCell ref="FL27:FM27"/>
    <mergeCell ref="DX27:DY27"/>
    <mergeCell ref="EC27:ED27"/>
    <mergeCell ref="EE27:EF27"/>
    <mergeCell ref="EJ27:EK27"/>
    <mergeCell ref="EL27:EM27"/>
    <mergeCell ref="EQ27:ER27"/>
    <mergeCell ref="DC27:DD27"/>
    <mergeCell ref="DH27:DI27"/>
    <mergeCell ref="DJ27:DK27"/>
    <mergeCell ref="DO27:DP27"/>
    <mergeCell ref="DQ27:DR27"/>
    <mergeCell ref="DV27:DW27"/>
    <mergeCell ref="CH27:CI27"/>
    <mergeCell ref="CM27:CN27"/>
    <mergeCell ref="CO27:CP27"/>
    <mergeCell ref="AR28:AS28"/>
    <mergeCell ref="AW28:AX28"/>
    <mergeCell ref="AY28:AZ28"/>
    <mergeCell ref="BD28:BE28"/>
    <mergeCell ref="BF28:BG28"/>
    <mergeCell ref="BK28:BL28"/>
    <mergeCell ref="W28:X28"/>
    <mergeCell ref="AB28:AC28"/>
    <mergeCell ref="AD28:AE28"/>
    <mergeCell ref="AI28:AJ28"/>
    <mergeCell ref="AK28:AL28"/>
    <mergeCell ref="AP28:AQ28"/>
    <mergeCell ref="GI27:GJ27"/>
    <mergeCell ref="GN27:GO27"/>
    <mergeCell ref="GP27:GQ27"/>
    <mergeCell ref="GU27:GV27"/>
    <mergeCell ref="GW27:GX27"/>
    <mergeCell ref="CT27:CU27"/>
    <mergeCell ref="CV27:CW27"/>
    <mergeCell ref="DA27:DB27"/>
    <mergeCell ref="BM27:BN27"/>
    <mergeCell ref="BR27:BS27"/>
    <mergeCell ref="BT27:BU27"/>
    <mergeCell ref="BY27:BZ27"/>
    <mergeCell ref="CA27:CB27"/>
    <mergeCell ref="CF27:CG27"/>
    <mergeCell ref="AR27:AS27"/>
    <mergeCell ref="AW27:AX27"/>
    <mergeCell ref="AY27:AZ27"/>
    <mergeCell ref="BD27:BE27"/>
    <mergeCell ref="BF27:BG27"/>
    <mergeCell ref="BK27:BL27"/>
    <mergeCell ref="EL28:EM28"/>
    <mergeCell ref="EQ28:ER28"/>
    <mergeCell ref="DC28:DD28"/>
    <mergeCell ref="DH28:DI28"/>
    <mergeCell ref="DJ28:DK28"/>
    <mergeCell ref="DO28:DP28"/>
    <mergeCell ref="DQ28:DR28"/>
    <mergeCell ref="DV28:DW28"/>
    <mergeCell ref="CH28:CI28"/>
    <mergeCell ref="CM28:CN28"/>
    <mergeCell ref="CO28:CP28"/>
    <mergeCell ref="CT28:CU28"/>
    <mergeCell ref="CV28:CW28"/>
    <mergeCell ref="DA28:DB28"/>
    <mergeCell ref="BM28:BN28"/>
    <mergeCell ref="BR28:BS28"/>
    <mergeCell ref="BT28:BU28"/>
    <mergeCell ref="BY28:BZ28"/>
    <mergeCell ref="CA28:CB28"/>
    <mergeCell ref="CF28:CG28"/>
    <mergeCell ref="W29:X29"/>
    <mergeCell ref="AB29:AC29"/>
    <mergeCell ref="AD29:AE29"/>
    <mergeCell ref="AI29:AJ29"/>
    <mergeCell ref="AK29:AL29"/>
    <mergeCell ref="AP29:AQ29"/>
    <mergeCell ref="GI28:GJ28"/>
    <mergeCell ref="GN28:GO28"/>
    <mergeCell ref="GP28:GQ28"/>
    <mergeCell ref="GU28:GV28"/>
    <mergeCell ref="GW28:GX28"/>
    <mergeCell ref="G29:H29"/>
    <mergeCell ref="I29:J29"/>
    <mergeCell ref="N29:O29"/>
    <mergeCell ref="P29:Q29"/>
    <mergeCell ref="U29:V29"/>
    <mergeCell ref="FN28:FO28"/>
    <mergeCell ref="FS28:FT28"/>
    <mergeCell ref="FU28:FV28"/>
    <mergeCell ref="FZ28:GA28"/>
    <mergeCell ref="GB28:GC28"/>
    <mergeCell ref="GG28:GH28"/>
    <mergeCell ref="ES28:ET28"/>
    <mergeCell ref="EX28:EY28"/>
    <mergeCell ref="EZ28:FA28"/>
    <mergeCell ref="FE28:FF28"/>
    <mergeCell ref="FG28:FH28"/>
    <mergeCell ref="FL28:FM28"/>
    <mergeCell ref="DX28:DY28"/>
    <mergeCell ref="EC28:ED28"/>
    <mergeCell ref="EE28:EF28"/>
    <mergeCell ref="EJ28:EK28"/>
    <mergeCell ref="DQ29:DR29"/>
    <mergeCell ref="DV29:DW29"/>
    <mergeCell ref="CH29:CI29"/>
    <mergeCell ref="CM29:CN29"/>
    <mergeCell ref="CO29:CP29"/>
    <mergeCell ref="CT29:CU29"/>
    <mergeCell ref="CV29:CW29"/>
    <mergeCell ref="DA29:DB29"/>
    <mergeCell ref="BM29:BN29"/>
    <mergeCell ref="BR29:BS29"/>
    <mergeCell ref="BT29:BU29"/>
    <mergeCell ref="BY29:BZ29"/>
    <mergeCell ref="CA29:CB29"/>
    <mergeCell ref="CF29:CG29"/>
    <mergeCell ref="AR29:AS29"/>
    <mergeCell ref="AW29:AX29"/>
    <mergeCell ref="AY29:AZ29"/>
    <mergeCell ref="BD29:BE29"/>
    <mergeCell ref="BF29:BG29"/>
    <mergeCell ref="BK29:BL29"/>
    <mergeCell ref="GI29:GJ29"/>
    <mergeCell ref="GN29:GO29"/>
    <mergeCell ref="GP29:GQ29"/>
    <mergeCell ref="GU29:GV29"/>
    <mergeCell ref="GW29:GX29"/>
    <mergeCell ref="G30:H30"/>
    <mergeCell ref="I30:J30"/>
    <mergeCell ref="N30:O30"/>
    <mergeCell ref="P30:Q30"/>
    <mergeCell ref="U30:V30"/>
    <mergeCell ref="FN29:FO29"/>
    <mergeCell ref="FS29:FT29"/>
    <mergeCell ref="FU29:FV29"/>
    <mergeCell ref="FZ29:GA29"/>
    <mergeCell ref="GB29:GC29"/>
    <mergeCell ref="GG29:GH29"/>
    <mergeCell ref="ES29:ET29"/>
    <mergeCell ref="EX29:EY29"/>
    <mergeCell ref="EZ29:FA29"/>
    <mergeCell ref="FE29:FF29"/>
    <mergeCell ref="FG29:FH29"/>
    <mergeCell ref="FL29:FM29"/>
    <mergeCell ref="DX29:DY29"/>
    <mergeCell ref="EC29:ED29"/>
    <mergeCell ref="EE29:EF29"/>
    <mergeCell ref="EJ29:EK29"/>
    <mergeCell ref="EL29:EM29"/>
    <mergeCell ref="EQ29:ER29"/>
    <mergeCell ref="DC29:DD29"/>
    <mergeCell ref="DH29:DI29"/>
    <mergeCell ref="DJ29:DK29"/>
    <mergeCell ref="DO29:DP29"/>
    <mergeCell ref="BR30:BS30"/>
    <mergeCell ref="BT30:BU30"/>
    <mergeCell ref="BY30:BZ30"/>
    <mergeCell ref="CA30:CB30"/>
    <mergeCell ref="CF30:CG30"/>
    <mergeCell ref="AR30:AS30"/>
    <mergeCell ref="AW30:AX30"/>
    <mergeCell ref="AY30:AZ30"/>
    <mergeCell ref="BD30:BE30"/>
    <mergeCell ref="BF30:BG30"/>
    <mergeCell ref="BK30:BL30"/>
    <mergeCell ref="W30:X30"/>
    <mergeCell ref="AB30:AC30"/>
    <mergeCell ref="AD30:AE30"/>
    <mergeCell ref="AI30:AJ30"/>
    <mergeCell ref="AK30:AL30"/>
    <mergeCell ref="AP30:AQ30"/>
    <mergeCell ref="GI30:GJ30"/>
    <mergeCell ref="GN30:GO30"/>
    <mergeCell ref="GP30:GQ30"/>
    <mergeCell ref="GU30:GV30"/>
    <mergeCell ref="GW30:GX30"/>
    <mergeCell ref="F32:K32"/>
    <mergeCell ref="M32:R32"/>
    <mergeCell ref="T32:Y32"/>
    <mergeCell ref="AA32:AF32"/>
    <mergeCell ref="AH32:AM32"/>
    <mergeCell ref="FN30:FO30"/>
    <mergeCell ref="FS30:FT30"/>
    <mergeCell ref="FU30:FV30"/>
    <mergeCell ref="FZ30:GA30"/>
    <mergeCell ref="GB30:GC30"/>
    <mergeCell ref="GG30:GH30"/>
    <mergeCell ref="ES30:ET30"/>
    <mergeCell ref="EX30:EY30"/>
    <mergeCell ref="EZ30:FA30"/>
    <mergeCell ref="FE30:FF30"/>
    <mergeCell ref="FG30:FH30"/>
    <mergeCell ref="FL30:FM30"/>
    <mergeCell ref="DX30:DY30"/>
    <mergeCell ref="EC30:ED30"/>
    <mergeCell ref="EE30:EF30"/>
    <mergeCell ref="EJ30:EK30"/>
    <mergeCell ref="EL30:EM30"/>
    <mergeCell ref="EQ30:ER30"/>
    <mergeCell ref="DC30:DD30"/>
    <mergeCell ref="DH30:DI30"/>
    <mergeCell ref="DJ30:DK30"/>
    <mergeCell ref="DO30:DP30"/>
    <mergeCell ref="FR32:FW32"/>
    <mergeCell ref="FY32:GD32"/>
    <mergeCell ref="GF32:GK32"/>
    <mergeCell ref="GM32:GR32"/>
    <mergeCell ref="GT32:GY32"/>
    <mergeCell ref="DU32:DZ32"/>
    <mergeCell ref="EB32:EG32"/>
    <mergeCell ref="EI32:EN32"/>
    <mergeCell ref="EP32:EU32"/>
    <mergeCell ref="EW32:FB32"/>
    <mergeCell ref="FD32:FI32"/>
    <mergeCell ref="CE32:CJ32"/>
    <mergeCell ref="CL32:CQ32"/>
    <mergeCell ref="CS32:CX32"/>
    <mergeCell ref="CZ32:DE32"/>
    <mergeCell ref="DG32:DL32"/>
    <mergeCell ref="DN32:DS32"/>
    <mergeCell ref="G25:H25"/>
    <mergeCell ref="N25:O25"/>
    <mergeCell ref="G26:H26"/>
    <mergeCell ref="N26:O26"/>
    <mergeCell ref="G12:H12"/>
    <mergeCell ref="N12:O12"/>
    <mergeCell ref="G18:H18"/>
    <mergeCell ref="N18:O18"/>
    <mergeCell ref="G19:H19"/>
    <mergeCell ref="N19:O19"/>
    <mergeCell ref="G4:H4"/>
    <mergeCell ref="G5:H5"/>
    <mergeCell ref="N4:O4"/>
    <mergeCell ref="N5:O5"/>
    <mergeCell ref="G11:H11"/>
    <mergeCell ref="N11:O11"/>
    <mergeCell ref="FK32:FP32"/>
    <mergeCell ref="AO32:AT32"/>
    <mergeCell ref="AV32:BA32"/>
    <mergeCell ref="BC32:BH32"/>
    <mergeCell ref="BJ32:BO32"/>
    <mergeCell ref="BQ32:BV32"/>
    <mergeCell ref="BX32:CC32"/>
    <mergeCell ref="DQ30:DR30"/>
    <mergeCell ref="DV30:DW30"/>
    <mergeCell ref="CH30:CI30"/>
    <mergeCell ref="CM30:CN30"/>
    <mergeCell ref="CO30:CP30"/>
    <mergeCell ref="CT30:CU30"/>
    <mergeCell ref="CV30:CW30"/>
    <mergeCell ref="DA30:DB30"/>
    <mergeCell ref="BM30:BN30"/>
    <mergeCell ref="U4:V4"/>
    <mergeCell ref="U5:V5"/>
    <mergeCell ref="U11:V11"/>
    <mergeCell ref="U12:V12"/>
    <mergeCell ref="U18:V18"/>
    <mergeCell ref="U19:V19"/>
    <mergeCell ref="U25:V25"/>
    <mergeCell ref="U26:V26"/>
    <mergeCell ref="AB4:AC4"/>
    <mergeCell ref="AB5:AC5"/>
    <mergeCell ref="AB11:AC11"/>
    <mergeCell ref="AB12:AC12"/>
    <mergeCell ref="AB18:AC18"/>
    <mergeCell ref="AB19:AC19"/>
    <mergeCell ref="AB25:AC25"/>
    <mergeCell ref="AB26:AC26"/>
    <mergeCell ref="AI4:AJ4"/>
    <mergeCell ref="AI5:AJ5"/>
    <mergeCell ref="AI11:AJ11"/>
    <mergeCell ref="AI12:AJ12"/>
    <mergeCell ref="AI18:AJ18"/>
    <mergeCell ref="AI19:AJ19"/>
    <mergeCell ref="AI25:AJ25"/>
    <mergeCell ref="AI26:AJ26"/>
    <mergeCell ref="AB21:AC21"/>
    <mergeCell ref="AD21:AE21"/>
    <mergeCell ref="AI21:AJ21"/>
    <mergeCell ref="W15:X15"/>
    <mergeCell ref="AB15:AC15"/>
    <mergeCell ref="AD15:AE15"/>
    <mergeCell ref="AI15:AJ15"/>
    <mergeCell ref="W14:X14"/>
    <mergeCell ref="AP11:AQ11"/>
    <mergeCell ref="AP12:AQ12"/>
    <mergeCell ref="AP18:AQ18"/>
    <mergeCell ref="AP19:AQ19"/>
    <mergeCell ref="AP25:AQ25"/>
    <mergeCell ref="AP26:AQ26"/>
    <mergeCell ref="AW4:AX4"/>
    <mergeCell ref="AW5:AX5"/>
    <mergeCell ref="AW11:AX11"/>
    <mergeCell ref="AW12:AX12"/>
    <mergeCell ref="AW18:AX18"/>
    <mergeCell ref="AW19:AX19"/>
    <mergeCell ref="AW25:AX25"/>
    <mergeCell ref="AW26:AX26"/>
    <mergeCell ref="BD4:BE4"/>
    <mergeCell ref="BD5:BE5"/>
    <mergeCell ref="BD11:BE11"/>
    <mergeCell ref="BD12:BE12"/>
    <mergeCell ref="BD18:BE18"/>
    <mergeCell ref="BD19:BE19"/>
    <mergeCell ref="BD25:BE25"/>
    <mergeCell ref="BD26:BE26"/>
    <mergeCell ref="AW23:AX23"/>
    <mergeCell ref="AY23:AZ23"/>
    <mergeCell ref="BD23:BE23"/>
    <mergeCell ref="AP20:AQ20"/>
    <mergeCell ref="AR20:AS20"/>
    <mergeCell ref="AW20:AX20"/>
    <mergeCell ref="AY20:AZ20"/>
    <mergeCell ref="BD20:BE20"/>
    <mergeCell ref="AP16:AQ16"/>
    <mergeCell ref="AR13:AS13"/>
    <mergeCell ref="BK11:BL11"/>
    <mergeCell ref="BR11:BS11"/>
    <mergeCell ref="BY11:BZ11"/>
    <mergeCell ref="CF11:CG11"/>
    <mergeCell ref="BK12:BL12"/>
    <mergeCell ref="BR12:BS12"/>
    <mergeCell ref="BY12:BZ12"/>
    <mergeCell ref="CF12:CG12"/>
    <mergeCell ref="BK18:BL18"/>
    <mergeCell ref="BR18:BS18"/>
    <mergeCell ref="BY18:BZ18"/>
    <mergeCell ref="CF18:CG18"/>
    <mergeCell ref="BK19:BL19"/>
    <mergeCell ref="BR19:BS19"/>
    <mergeCell ref="BY19:BZ19"/>
    <mergeCell ref="CF19:CG19"/>
    <mergeCell ref="BK25:BL25"/>
    <mergeCell ref="BR25:BS25"/>
    <mergeCell ref="BY25:BZ25"/>
    <mergeCell ref="CF25:CG25"/>
    <mergeCell ref="BR21:BS21"/>
    <mergeCell ref="BT21:BU21"/>
    <mergeCell ref="BY21:BZ21"/>
    <mergeCell ref="CA21:CB21"/>
    <mergeCell ref="CF21:CG21"/>
    <mergeCell ref="BK26:BL26"/>
    <mergeCell ref="BR26:BS26"/>
    <mergeCell ref="BY26:BZ26"/>
    <mergeCell ref="CF26:CG26"/>
    <mergeCell ref="CM4:CN4"/>
    <mergeCell ref="CT4:CU4"/>
    <mergeCell ref="DA4:DB4"/>
    <mergeCell ref="DH4:DI4"/>
    <mergeCell ref="CM5:CN5"/>
    <mergeCell ref="CT5:CU5"/>
    <mergeCell ref="DA5:DB5"/>
    <mergeCell ref="DH5:DI5"/>
    <mergeCell ref="CM11:CN11"/>
    <mergeCell ref="CT11:CU11"/>
    <mergeCell ref="DA11:DB11"/>
    <mergeCell ref="DH11:DI11"/>
    <mergeCell ref="CM12:CN12"/>
    <mergeCell ref="CT12:CU12"/>
    <mergeCell ref="DA12:DB12"/>
    <mergeCell ref="DH12:DI12"/>
    <mergeCell ref="CM18:CN18"/>
    <mergeCell ref="CT18:CU18"/>
    <mergeCell ref="DA18:DB18"/>
    <mergeCell ref="DH18:DI18"/>
    <mergeCell ref="CM19:CN19"/>
    <mergeCell ref="CT19:CU19"/>
    <mergeCell ref="DA19:DB19"/>
    <mergeCell ref="DH19:DI19"/>
    <mergeCell ref="CM25:CN25"/>
    <mergeCell ref="CT25:CU25"/>
    <mergeCell ref="DA25:DB25"/>
    <mergeCell ref="DH25:DI25"/>
    <mergeCell ref="CM26:CN26"/>
    <mergeCell ref="CT26:CU26"/>
    <mergeCell ref="DA26:DB26"/>
    <mergeCell ref="DH26:DI26"/>
    <mergeCell ref="DO4:DP4"/>
    <mergeCell ref="DV4:DW4"/>
    <mergeCell ref="EC4:ED4"/>
    <mergeCell ref="EJ4:EK4"/>
    <mergeCell ref="DO5:DP5"/>
    <mergeCell ref="DV5:DW5"/>
    <mergeCell ref="EC5:ED5"/>
    <mergeCell ref="EJ5:EK5"/>
    <mergeCell ref="DO11:DP11"/>
    <mergeCell ref="DV11:DW11"/>
    <mergeCell ref="EC11:ED11"/>
    <mergeCell ref="EJ11:EK11"/>
    <mergeCell ref="DO12:DP12"/>
    <mergeCell ref="DV12:DW12"/>
    <mergeCell ref="EC12:ED12"/>
    <mergeCell ref="EJ12:EK12"/>
    <mergeCell ref="DO18:DP18"/>
    <mergeCell ref="DV18:DW18"/>
    <mergeCell ref="EC18:ED18"/>
    <mergeCell ref="EJ18:EK18"/>
    <mergeCell ref="DO19:DP19"/>
    <mergeCell ref="DV19:DW19"/>
    <mergeCell ref="EC19:ED19"/>
    <mergeCell ref="EJ19:EK19"/>
    <mergeCell ref="DO25:DP25"/>
    <mergeCell ref="DV25:DW25"/>
    <mergeCell ref="EC25:ED25"/>
    <mergeCell ref="EJ25:EK25"/>
    <mergeCell ref="EQ11:ER11"/>
    <mergeCell ref="EX11:EY11"/>
    <mergeCell ref="FE11:FF11"/>
    <mergeCell ref="FL11:FM11"/>
    <mergeCell ref="EQ12:ER12"/>
    <mergeCell ref="EX12:EY12"/>
    <mergeCell ref="FE12:FF12"/>
    <mergeCell ref="FL12:FM12"/>
    <mergeCell ref="EQ18:ER18"/>
    <mergeCell ref="EX18:EY18"/>
    <mergeCell ref="FE18:FF18"/>
    <mergeCell ref="FL18:FM18"/>
    <mergeCell ref="EQ13:ER13"/>
    <mergeCell ref="EQ7:ER7"/>
    <mergeCell ref="ES7:ET7"/>
    <mergeCell ref="GN12:GO12"/>
    <mergeCell ref="FS18:FT18"/>
    <mergeCell ref="FZ18:GA18"/>
    <mergeCell ref="GG18:GH18"/>
    <mergeCell ref="GN18:GO18"/>
    <mergeCell ref="GI15:GJ15"/>
    <mergeCell ref="GN15:GO15"/>
    <mergeCell ref="FN9:FO9"/>
    <mergeCell ref="GN8:GO8"/>
    <mergeCell ref="GI16:GJ16"/>
    <mergeCell ref="GN16:GO16"/>
    <mergeCell ref="FS19:FT19"/>
    <mergeCell ref="FZ19:GA19"/>
    <mergeCell ref="GG19:GH19"/>
    <mergeCell ref="GN19:GO19"/>
    <mergeCell ref="FS25:FT25"/>
    <mergeCell ref="FZ25:GA25"/>
    <mergeCell ref="GG25:GH25"/>
    <mergeCell ref="GN25:GO25"/>
    <mergeCell ref="DO26:DP26"/>
    <mergeCell ref="DV26:DW26"/>
    <mergeCell ref="EC26:ED26"/>
    <mergeCell ref="EJ26:EK26"/>
    <mergeCell ref="EQ19:ER19"/>
    <mergeCell ref="EX19:EY19"/>
    <mergeCell ref="FE19:FF19"/>
    <mergeCell ref="FL19:FM19"/>
    <mergeCell ref="EQ25:ER25"/>
    <mergeCell ref="EX25:EY25"/>
    <mergeCell ref="FE25:FF25"/>
    <mergeCell ref="FL25:FM25"/>
    <mergeCell ref="EQ23:ER23"/>
    <mergeCell ref="ES23:ET23"/>
    <mergeCell ref="EE22:EF22"/>
    <mergeCell ref="EJ22:EK22"/>
    <mergeCell ref="EL22:EM22"/>
    <mergeCell ref="EQ22:ER22"/>
    <mergeCell ref="ES22:ET22"/>
    <mergeCell ref="EE20:EF20"/>
    <mergeCell ref="EJ20:EK20"/>
    <mergeCell ref="EL20:EM20"/>
    <mergeCell ref="GI20:GJ20"/>
    <mergeCell ref="GN20:GO20"/>
    <mergeCell ref="AR12:AS12"/>
    <mergeCell ref="FS26:FT26"/>
    <mergeCell ref="FZ26:GA26"/>
    <mergeCell ref="GG26:GH26"/>
    <mergeCell ref="GN26:GO26"/>
    <mergeCell ref="GU4:GV4"/>
    <mergeCell ref="GU5:GV5"/>
    <mergeCell ref="GU11:GV11"/>
    <mergeCell ref="GU12:GV12"/>
    <mergeCell ref="GU18:GV18"/>
    <mergeCell ref="GU19:GV19"/>
    <mergeCell ref="GU25:GV25"/>
    <mergeCell ref="GU26:GV26"/>
    <mergeCell ref="EQ26:ER26"/>
    <mergeCell ref="EX26:EY26"/>
    <mergeCell ref="FE26:FF26"/>
    <mergeCell ref="FL26:FM26"/>
    <mergeCell ref="FS4:FT4"/>
    <mergeCell ref="FZ4:GA4"/>
    <mergeCell ref="GG4:GH4"/>
    <mergeCell ref="GN4:GO4"/>
    <mergeCell ref="FS5:FT5"/>
    <mergeCell ref="FZ5:GA5"/>
    <mergeCell ref="GG5:GH5"/>
    <mergeCell ref="GN5:GO5"/>
    <mergeCell ref="FS11:FT11"/>
    <mergeCell ref="FZ11:GA11"/>
    <mergeCell ref="GG11:GH11"/>
    <mergeCell ref="GN11:GO11"/>
    <mergeCell ref="FS12:FT12"/>
    <mergeCell ref="FZ12:GA12"/>
    <mergeCell ref="GG12:GH12"/>
  </mergeCells>
  <conditionalFormatting sqref="K6 K8 K13 K15">
    <cfRule type="expression" dxfId="5785" priority="3263">
      <formula>K7&gt;0</formula>
    </cfRule>
    <cfRule type="expression" dxfId="5784" priority="3264">
      <formula>K7&lt;0</formula>
    </cfRule>
  </conditionalFormatting>
  <conditionalFormatting sqref="K7 K9 K16">
    <cfRule type="cellIs" dxfId="5783" priority="3265" operator="lessThan">
      <formula>0</formula>
    </cfRule>
    <cfRule type="cellIs" dxfId="5782" priority="3266" operator="greaterThan">
      <formula>0</formula>
    </cfRule>
  </conditionalFormatting>
  <conditionalFormatting sqref="F34:K34">
    <cfRule type="expression" dxfId="5781" priority="3258">
      <formula>OR(#REF!="sam.",#REF!="dim.")</formula>
    </cfRule>
  </conditionalFormatting>
  <conditionalFormatting sqref="F2:AN2 F32:GY32 AU2 BB2 BI2 CK2 DM2 EO2 FQ2 GS2">
    <cfRule type="expression" dxfId="5780" priority="3257">
      <formula>F2="S"&amp;WEEKNUM(TODAY())</formula>
    </cfRule>
  </conditionalFormatting>
  <conditionalFormatting sqref="F37:K37">
    <cfRule type="cellIs" dxfId="5779" priority="3254" operator="equal">
      <formula>"-"</formula>
    </cfRule>
    <cfRule type="cellIs" dxfId="5778" priority="3255" operator="greaterThan">
      <formula>0</formula>
    </cfRule>
    <cfRule type="cellIs" dxfId="5777" priority="3256" operator="lessThan">
      <formula>0</formula>
    </cfRule>
  </conditionalFormatting>
  <conditionalFormatting sqref="M34:R34">
    <cfRule type="expression" dxfId="5776" priority="3253">
      <formula>OR(#REF!="sam.",#REF!="dim.")</formula>
    </cfRule>
  </conditionalFormatting>
  <conditionalFormatting sqref="F40:K40">
    <cfRule type="cellIs" dxfId="5775" priority="3250" operator="equal">
      <formula>"-"</formula>
    </cfRule>
    <cfRule type="cellIs" dxfId="5774" priority="3251" operator="greaterThan">
      <formula>0</formula>
    </cfRule>
    <cfRule type="cellIs" dxfId="5773" priority="3252" operator="lessThan">
      <formula>0</formula>
    </cfRule>
  </conditionalFormatting>
  <conditionalFormatting sqref="F43:K43">
    <cfRule type="cellIs" dxfId="5772" priority="3247" operator="equal">
      <formula>"-"</formula>
    </cfRule>
    <cfRule type="cellIs" dxfId="5771" priority="3248" operator="greaterThan">
      <formula>0</formula>
    </cfRule>
    <cfRule type="cellIs" dxfId="5770" priority="3249" operator="lessThan">
      <formula>0</formula>
    </cfRule>
  </conditionalFormatting>
  <conditionalFormatting sqref="F46:K46">
    <cfRule type="cellIs" dxfId="5769" priority="3244" operator="equal">
      <formula>"-"</formula>
    </cfRule>
    <cfRule type="cellIs" dxfId="5768" priority="3245" operator="greaterThan">
      <formula>0</formula>
    </cfRule>
    <cfRule type="cellIs" dxfId="5767" priority="3246" operator="lessThan">
      <formula>0</formula>
    </cfRule>
  </conditionalFormatting>
  <conditionalFormatting sqref="F49:K49">
    <cfRule type="cellIs" dxfId="5766" priority="3241" operator="equal">
      <formula>"-"</formula>
    </cfRule>
    <cfRule type="cellIs" dxfId="5765" priority="3242" operator="greaterThan">
      <formula>0</formula>
    </cfRule>
    <cfRule type="cellIs" dxfId="5764" priority="3243" operator="lessThan">
      <formula>0</formula>
    </cfRule>
  </conditionalFormatting>
  <conditionalFormatting sqref="M37:R37">
    <cfRule type="cellIs" dxfId="5763" priority="3238" operator="equal">
      <formula>"-"</formula>
    </cfRule>
    <cfRule type="cellIs" dxfId="5762" priority="3239" operator="greaterThan">
      <formula>0</formula>
    </cfRule>
    <cfRule type="cellIs" dxfId="5761" priority="3240" operator="lessThan">
      <formula>0</formula>
    </cfRule>
  </conditionalFormatting>
  <conditionalFormatting sqref="M40:R40">
    <cfRule type="cellIs" dxfId="5760" priority="3235" operator="equal">
      <formula>"-"</formula>
    </cfRule>
    <cfRule type="cellIs" dxfId="5759" priority="3236" operator="greaterThan">
      <formula>0</formula>
    </cfRule>
    <cfRule type="cellIs" dxfId="5758" priority="3237" operator="lessThan">
      <formula>0</formula>
    </cfRule>
  </conditionalFormatting>
  <conditionalFormatting sqref="M43:R43">
    <cfRule type="cellIs" dxfId="5757" priority="3232" operator="equal">
      <formula>"-"</formula>
    </cfRule>
    <cfRule type="cellIs" dxfId="5756" priority="3233" operator="greaterThan">
      <formula>0</formula>
    </cfRule>
    <cfRule type="cellIs" dxfId="5755" priority="3234" operator="lessThan">
      <formula>0</formula>
    </cfRule>
  </conditionalFormatting>
  <conditionalFormatting sqref="M46:R46">
    <cfRule type="cellIs" dxfId="5754" priority="3229" operator="equal">
      <formula>"-"</formula>
    </cfRule>
    <cfRule type="cellIs" dxfId="5753" priority="3230" operator="greaterThan">
      <formula>0</formula>
    </cfRule>
    <cfRule type="cellIs" dxfId="5752" priority="3231" operator="lessThan">
      <formula>0</formula>
    </cfRule>
  </conditionalFormatting>
  <conditionalFormatting sqref="M49:R49">
    <cfRule type="cellIs" dxfId="5751" priority="3226" operator="equal">
      <formula>"-"</formula>
    </cfRule>
    <cfRule type="cellIs" dxfId="5750" priority="3227" operator="greaterThan">
      <formula>0</formula>
    </cfRule>
    <cfRule type="cellIs" dxfId="5749" priority="3228" operator="lessThan">
      <formula>0</formula>
    </cfRule>
  </conditionalFormatting>
  <conditionalFormatting sqref="T34:Y34">
    <cfRule type="expression" dxfId="5748" priority="3225">
      <formula>OR(#REF!="sam.",#REF!="dim.")</formula>
    </cfRule>
  </conditionalFormatting>
  <conditionalFormatting sqref="T37:X37">
    <cfRule type="cellIs" dxfId="5747" priority="3222" operator="equal">
      <formula>"-"</formula>
    </cfRule>
    <cfRule type="cellIs" dxfId="5746" priority="3223" operator="greaterThan">
      <formula>0</formula>
    </cfRule>
    <cfRule type="cellIs" dxfId="5745" priority="3224" operator="lessThan">
      <formula>0</formula>
    </cfRule>
  </conditionalFormatting>
  <conditionalFormatting sqref="T40:X40">
    <cfRule type="cellIs" dxfId="5744" priority="3219" operator="equal">
      <formula>"-"</formula>
    </cfRule>
    <cfRule type="cellIs" dxfId="5743" priority="3220" operator="greaterThan">
      <formula>0</formula>
    </cfRule>
    <cfRule type="cellIs" dxfId="5742" priority="3221" operator="lessThan">
      <formula>0</formula>
    </cfRule>
  </conditionalFormatting>
  <conditionalFormatting sqref="T43:X43">
    <cfRule type="cellIs" dxfId="5741" priority="3216" operator="equal">
      <formula>"-"</formula>
    </cfRule>
    <cfRule type="cellIs" dxfId="5740" priority="3217" operator="greaterThan">
      <formula>0</formula>
    </cfRule>
    <cfRule type="cellIs" dxfId="5739" priority="3218" operator="lessThan">
      <formula>0</formula>
    </cfRule>
  </conditionalFormatting>
  <conditionalFormatting sqref="T46:X46">
    <cfRule type="cellIs" dxfId="5738" priority="3213" operator="equal">
      <formula>"-"</formula>
    </cfRule>
    <cfRule type="cellIs" dxfId="5737" priority="3214" operator="greaterThan">
      <formula>0</formula>
    </cfRule>
    <cfRule type="cellIs" dxfId="5736" priority="3215" operator="lessThan">
      <formula>0</formula>
    </cfRule>
  </conditionalFormatting>
  <conditionalFormatting sqref="T49:X49">
    <cfRule type="cellIs" dxfId="5735" priority="3210" operator="equal">
      <formula>"-"</formula>
    </cfRule>
    <cfRule type="cellIs" dxfId="5734" priority="3211" operator="greaterThan">
      <formula>0</formula>
    </cfRule>
    <cfRule type="cellIs" dxfId="5733" priority="3212" operator="lessThan">
      <formula>0</formula>
    </cfRule>
  </conditionalFormatting>
  <conditionalFormatting sqref="AA34:AF34">
    <cfRule type="expression" dxfId="5732" priority="3209">
      <formula>OR(#REF!="sam.",#REF!="dim.")</formula>
    </cfRule>
  </conditionalFormatting>
  <conditionalFormatting sqref="AA37:AE37">
    <cfRule type="cellIs" dxfId="5731" priority="3206" operator="equal">
      <formula>"-"</formula>
    </cfRule>
    <cfRule type="cellIs" dxfId="5730" priority="3207" operator="greaterThan">
      <formula>0</formula>
    </cfRule>
    <cfRule type="cellIs" dxfId="5729" priority="3208" operator="lessThan">
      <formula>0</formula>
    </cfRule>
  </conditionalFormatting>
  <conditionalFormatting sqref="AA40:AE40">
    <cfRule type="cellIs" dxfId="5728" priority="3203" operator="equal">
      <formula>"-"</formula>
    </cfRule>
    <cfRule type="cellIs" dxfId="5727" priority="3204" operator="greaterThan">
      <formula>0</formula>
    </cfRule>
    <cfRule type="cellIs" dxfId="5726" priority="3205" operator="lessThan">
      <formula>0</formula>
    </cfRule>
  </conditionalFormatting>
  <conditionalFormatting sqref="AA43:AE43">
    <cfRule type="cellIs" dxfId="5725" priority="3200" operator="equal">
      <formula>"-"</formula>
    </cfRule>
    <cfRule type="cellIs" dxfId="5724" priority="3201" operator="greaterThan">
      <formula>0</formula>
    </cfRule>
    <cfRule type="cellIs" dxfId="5723" priority="3202" operator="lessThan">
      <formula>0</formula>
    </cfRule>
  </conditionalFormatting>
  <conditionalFormatting sqref="AA46:AE46">
    <cfRule type="cellIs" dxfId="5722" priority="3197" operator="equal">
      <formula>"-"</formula>
    </cfRule>
    <cfRule type="cellIs" dxfId="5721" priority="3198" operator="greaterThan">
      <formula>0</formula>
    </cfRule>
    <cfRule type="cellIs" dxfId="5720" priority="3199" operator="lessThan">
      <formula>0</formula>
    </cfRule>
  </conditionalFormatting>
  <conditionalFormatting sqref="AA49:AE49">
    <cfRule type="cellIs" dxfId="5719" priority="3194" operator="equal">
      <formula>"-"</formula>
    </cfRule>
    <cfRule type="cellIs" dxfId="5718" priority="3195" operator="greaterThan">
      <formula>0</formula>
    </cfRule>
    <cfRule type="cellIs" dxfId="5717" priority="3196" operator="lessThan">
      <formula>0</formula>
    </cfRule>
  </conditionalFormatting>
  <conditionalFormatting sqref="AH34:AM34">
    <cfRule type="expression" dxfId="5716" priority="3193">
      <formula>OR(#REF!="sam.",#REF!="dim.")</formula>
    </cfRule>
  </conditionalFormatting>
  <conditionalFormatting sqref="AH37:AL37">
    <cfRule type="cellIs" dxfId="5715" priority="3190" operator="equal">
      <formula>"-"</formula>
    </cfRule>
    <cfRule type="cellIs" dxfId="5714" priority="3191" operator="greaterThan">
      <formula>0</formula>
    </cfRule>
    <cfRule type="cellIs" dxfId="5713" priority="3192" operator="lessThan">
      <formula>0</formula>
    </cfRule>
  </conditionalFormatting>
  <conditionalFormatting sqref="AH40:AL40">
    <cfRule type="cellIs" dxfId="5712" priority="3187" operator="equal">
      <formula>"-"</formula>
    </cfRule>
    <cfRule type="cellIs" dxfId="5711" priority="3188" operator="greaterThan">
      <formula>0</formula>
    </cfRule>
    <cfRule type="cellIs" dxfId="5710" priority="3189" operator="lessThan">
      <formula>0</formula>
    </cfRule>
  </conditionalFormatting>
  <conditionalFormatting sqref="AH43:AL43">
    <cfRule type="cellIs" dxfId="5709" priority="3184" operator="equal">
      <formula>"-"</formula>
    </cfRule>
    <cfRule type="cellIs" dxfId="5708" priority="3185" operator="greaterThan">
      <formula>0</formula>
    </cfRule>
    <cfRule type="cellIs" dxfId="5707" priority="3186" operator="lessThan">
      <formula>0</formula>
    </cfRule>
  </conditionalFormatting>
  <conditionalFormatting sqref="AH46:AL46">
    <cfRule type="cellIs" dxfId="5706" priority="3181" operator="equal">
      <formula>"-"</formula>
    </cfRule>
    <cfRule type="cellIs" dxfId="5705" priority="3182" operator="greaterThan">
      <formula>0</formula>
    </cfRule>
    <cfRule type="cellIs" dxfId="5704" priority="3183" operator="lessThan">
      <formula>0</formula>
    </cfRule>
  </conditionalFormatting>
  <conditionalFormatting sqref="AH49:AL49">
    <cfRule type="cellIs" dxfId="5703" priority="3178" operator="equal">
      <formula>"-"</formula>
    </cfRule>
    <cfRule type="cellIs" dxfId="5702" priority="3179" operator="greaterThan">
      <formula>0</formula>
    </cfRule>
    <cfRule type="cellIs" dxfId="5701" priority="3180" operator="lessThan">
      <formula>0</formula>
    </cfRule>
  </conditionalFormatting>
  <conditionalFormatting sqref="AO34:AT34">
    <cfRule type="expression" dxfId="5700" priority="3177">
      <formula>OR(#REF!="sam.",#REF!="dim.")</formula>
    </cfRule>
  </conditionalFormatting>
  <conditionalFormatting sqref="AO37:AS37">
    <cfRule type="cellIs" dxfId="5699" priority="3174" operator="equal">
      <formula>"-"</formula>
    </cfRule>
    <cfRule type="cellIs" dxfId="5698" priority="3175" operator="greaterThan">
      <formula>0</formula>
    </cfRule>
    <cfRule type="cellIs" dxfId="5697" priority="3176" operator="lessThan">
      <formula>0</formula>
    </cfRule>
  </conditionalFormatting>
  <conditionalFormatting sqref="AO40:AS40">
    <cfRule type="cellIs" dxfId="5696" priority="3171" operator="equal">
      <formula>"-"</formula>
    </cfRule>
    <cfRule type="cellIs" dxfId="5695" priority="3172" operator="greaterThan">
      <formula>0</formula>
    </cfRule>
    <cfRule type="cellIs" dxfId="5694" priority="3173" operator="lessThan">
      <formula>0</formula>
    </cfRule>
  </conditionalFormatting>
  <conditionalFormatting sqref="AO43:AS43">
    <cfRule type="cellIs" dxfId="5693" priority="3168" operator="equal">
      <formula>"-"</formula>
    </cfRule>
    <cfRule type="cellIs" dxfId="5692" priority="3169" operator="greaterThan">
      <formula>0</formula>
    </cfRule>
    <cfRule type="cellIs" dxfId="5691" priority="3170" operator="lessThan">
      <formula>0</formula>
    </cfRule>
  </conditionalFormatting>
  <conditionalFormatting sqref="AO46:AS46">
    <cfRule type="cellIs" dxfId="5690" priority="3165" operator="equal">
      <formula>"-"</formula>
    </cfRule>
    <cfRule type="cellIs" dxfId="5689" priority="3166" operator="greaterThan">
      <formula>0</formula>
    </cfRule>
    <cfRule type="cellIs" dxfId="5688" priority="3167" operator="lessThan">
      <formula>0</formula>
    </cfRule>
  </conditionalFormatting>
  <conditionalFormatting sqref="AO49:AS49">
    <cfRule type="cellIs" dxfId="5687" priority="3162" operator="equal">
      <formula>"-"</formula>
    </cfRule>
    <cfRule type="cellIs" dxfId="5686" priority="3163" operator="greaterThan">
      <formula>0</formula>
    </cfRule>
    <cfRule type="cellIs" dxfId="5685" priority="3164" operator="lessThan">
      <formula>0</formula>
    </cfRule>
  </conditionalFormatting>
  <conditionalFormatting sqref="AV34:BA34">
    <cfRule type="expression" dxfId="5684" priority="3161">
      <formula>OR(#REF!="sam.",#REF!="dim.")</formula>
    </cfRule>
  </conditionalFormatting>
  <conditionalFormatting sqref="AV37:AZ37">
    <cfRule type="cellIs" dxfId="5683" priority="3158" operator="equal">
      <formula>"-"</formula>
    </cfRule>
    <cfRule type="cellIs" dxfId="5682" priority="3159" operator="greaterThan">
      <formula>0</formula>
    </cfRule>
    <cfRule type="cellIs" dxfId="5681" priority="3160" operator="lessThan">
      <formula>0</formula>
    </cfRule>
  </conditionalFormatting>
  <conditionalFormatting sqref="AV40:AZ40">
    <cfRule type="cellIs" dxfId="5680" priority="3155" operator="equal">
      <formula>"-"</formula>
    </cfRule>
    <cfRule type="cellIs" dxfId="5679" priority="3156" operator="greaterThan">
      <formula>0</formula>
    </cfRule>
    <cfRule type="cellIs" dxfId="5678" priority="3157" operator="lessThan">
      <formula>0</formula>
    </cfRule>
  </conditionalFormatting>
  <conditionalFormatting sqref="AV43:AZ43">
    <cfRule type="cellIs" dxfId="5677" priority="3152" operator="equal">
      <formula>"-"</formula>
    </cfRule>
    <cfRule type="cellIs" dxfId="5676" priority="3153" operator="greaterThan">
      <formula>0</formula>
    </cfRule>
    <cfRule type="cellIs" dxfId="5675" priority="3154" operator="lessThan">
      <formula>0</formula>
    </cfRule>
  </conditionalFormatting>
  <conditionalFormatting sqref="AV46:AZ46">
    <cfRule type="cellIs" dxfId="5674" priority="3149" operator="equal">
      <formula>"-"</formula>
    </cfRule>
    <cfRule type="cellIs" dxfId="5673" priority="3150" operator="greaterThan">
      <formula>0</formula>
    </cfRule>
    <cfRule type="cellIs" dxfId="5672" priority="3151" operator="lessThan">
      <formula>0</formula>
    </cfRule>
  </conditionalFormatting>
  <conditionalFormatting sqref="AV49:AZ49">
    <cfRule type="cellIs" dxfId="5671" priority="3146" operator="equal">
      <formula>"-"</formula>
    </cfRule>
    <cfRule type="cellIs" dxfId="5670" priority="3147" operator="greaterThan">
      <formula>0</formula>
    </cfRule>
    <cfRule type="cellIs" dxfId="5669" priority="3148" operator="lessThan">
      <formula>0</formula>
    </cfRule>
  </conditionalFormatting>
  <conditionalFormatting sqref="BC34:BH34">
    <cfRule type="expression" dxfId="5668" priority="3145">
      <formula>OR(#REF!="sam.",#REF!="dim.")</formula>
    </cfRule>
  </conditionalFormatting>
  <conditionalFormatting sqref="BC37:BG37">
    <cfRule type="cellIs" dxfId="5667" priority="3142" operator="equal">
      <formula>"-"</formula>
    </cfRule>
    <cfRule type="cellIs" dxfId="5666" priority="3143" operator="greaterThan">
      <formula>0</formula>
    </cfRule>
    <cfRule type="cellIs" dxfId="5665" priority="3144" operator="lessThan">
      <formula>0</formula>
    </cfRule>
  </conditionalFormatting>
  <conditionalFormatting sqref="BC40:BG40">
    <cfRule type="cellIs" dxfId="5664" priority="3139" operator="equal">
      <formula>"-"</formula>
    </cfRule>
    <cfRule type="cellIs" dxfId="5663" priority="3140" operator="greaterThan">
      <formula>0</formula>
    </cfRule>
    <cfRule type="cellIs" dxfId="5662" priority="3141" operator="lessThan">
      <formula>0</formula>
    </cfRule>
  </conditionalFormatting>
  <conditionalFormatting sqref="BC43:BG43">
    <cfRule type="cellIs" dxfId="5661" priority="3136" operator="equal">
      <formula>"-"</formula>
    </cfRule>
    <cfRule type="cellIs" dxfId="5660" priority="3137" operator="greaterThan">
      <formula>0</formula>
    </cfRule>
    <cfRule type="cellIs" dxfId="5659" priority="3138" operator="lessThan">
      <formula>0</formula>
    </cfRule>
  </conditionalFormatting>
  <conditionalFormatting sqref="BC46:BG46">
    <cfRule type="cellIs" dxfId="5658" priority="3133" operator="equal">
      <formula>"-"</formula>
    </cfRule>
    <cfRule type="cellIs" dxfId="5657" priority="3134" operator="greaterThan">
      <formula>0</formula>
    </cfRule>
    <cfRule type="cellIs" dxfId="5656" priority="3135" operator="lessThan">
      <formula>0</formula>
    </cfRule>
  </conditionalFormatting>
  <conditionalFormatting sqref="BC49:BG49">
    <cfRule type="cellIs" dxfId="5655" priority="3130" operator="equal">
      <formula>"-"</formula>
    </cfRule>
    <cfRule type="cellIs" dxfId="5654" priority="3131" operator="greaterThan">
      <formula>0</formula>
    </cfRule>
    <cfRule type="cellIs" dxfId="5653" priority="3132" operator="lessThan">
      <formula>0</formula>
    </cfRule>
  </conditionalFormatting>
  <conditionalFormatting sqref="BJ34:BO34">
    <cfRule type="expression" dxfId="5652" priority="3129">
      <formula>OR(#REF!="sam.",#REF!="dim.")</formula>
    </cfRule>
  </conditionalFormatting>
  <conditionalFormatting sqref="BJ37:BN37">
    <cfRule type="cellIs" dxfId="5651" priority="3126" operator="equal">
      <formula>"-"</formula>
    </cfRule>
    <cfRule type="cellIs" dxfId="5650" priority="3127" operator="greaterThan">
      <formula>0</formula>
    </cfRule>
    <cfRule type="cellIs" dxfId="5649" priority="3128" operator="lessThan">
      <formula>0</formula>
    </cfRule>
  </conditionalFormatting>
  <conditionalFormatting sqref="BJ40:BN40">
    <cfRule type="cellIs" dxfId="5648" priority="3123" operator="equal">
      <formula>"-"</formula>
    </cfRule>
    <cfRule type="cellIs" dxfId="5647" priority="3124" operator="greaterThan">
      <formula>0</formula>
    </cfRule>
    <cfRule type="cellIs" dxfId="5646" priority="3125" operator="lessThan">
      <formula>0</formula>
    </cfRule>
  </conditionalFormatting>
  <conditionalFormatting sqref="BJ43:BN43">
    <cfRule type="cellIs" dxfId="5645" priority="3120" operator="equal">
      <formula>"-"</formula>
    </cfRule>
    <cfRule type="cellIs" dxfId="5644" priority="3121" operator="greaterThan">
      <formula>0</formula>
    </cfRule>
    <cfRule type="cellIs" dxfId="5643" priority="3122" operator="lessThan">
      <formula>0</formula>
    </cfRule>
  </conditionalFormatting>
  <conditionalFormatting sqref="BJ46:BN46">
    <cfRule type="cellIs" dxfId="5642" priority="3117" operator="equal">
      <formula>"-"</formula>
    </cfRule>
    <cfRule type="cellIs" dxfId="5641" priority="3118" operator="greaterThan">
      <formula>0</formula>
    </cfRule>
    <cfRule type="cellIs" dxfId="5640" priority="3119" operator="lessThan">
      <formula>0</formula>
    </cfRule>
  </conditionalFormatting>
  <conditionalFormatting sqref="BJ49:BN49">
    <cfRule type="cellIs" dxfId="5639" priority="3114" operator="equal">
      <formula>"-"</formula>
    </cfRule>
    <cfRule type="cellIs" dxfId="5638" priority="3115" operator="greaterThan">
      <formula>0</formula>
    </cfRule>
    <cfRule type="cellIs" dxfId="5637" priority="3116" operator="lessThan">
      <formula>0</formula>
    </cfRule>
  </conditionalFormatting>
  <conditionalFormatting sqref="BQ34:BV34">
    <cfRule type="expression" dxfId="5636" priority="3113">
      <formula>OR(#REF!="sam.",#REF!="dim.")</formula>
    </cfRule>
  </conditionalFormatting>
  <conditionalFormatting sqref="BQ37:BU37">
    <cfRule type="cellIs" dxfId="5635" priority="3110" operator="equal">
      <formula>"-"</formula>
    </cfRule>
    <cfRule type="cellIs" dxfId="5634" priority="3111" operator="greaterThan">
      <formula>0</formula>
    </cfRule>
    <cfRule type="cellIs" dxfId="5633" priority="3112" operator="lessThan">
      <formula>0</formula>
    </cfRule>
  </conditionalFormatting>
  <conditionalFormatting sqref="BQ40:BU40">
    <cfRule type="cellIs" dxfId="5632" priority="3107" operator="equal">
      <formula>"-"</formula>
    </cfRule>
    <cfRule type="cellIs" dxfId="5631" priority="3108" operator="greaterThan">
      <formula>0</formula>
    </cfRule>
    <cfRule type="cellIs" dxfId="5630" priority="3109" operator="lessThan">
      <formula>0</formula>
    </cfRule>
  </conditionalFormatting>
  <conditionalFormatting sqref="BQ43:BU43">
    <cfRule type="cellIs" dxfId="5629" priority="3104" operator="equal">
      <formula>"-"</formula>
    </cfRule>
    <cfRule type="cellIs" dxfId="5628" priority="3105" operator="greaterThan">
      <formula>0</formula>
    </cfRule>
    <cfRule type="cellIs" dxfId="5627" priority="3106" operator="lessThan">
      <formula>0</formula>
    </cfRule>
  </conditionalFormatting>
  <conditionalFormatting sqref="BQ46:BU46">
    <cfRule type="cellIs" dxfId="5626" priority="3101" operator="equal">
      <formula>"-"</formula>
    </cfRule>
    <cfRule type="cellIs" dxfId="5625" priority="3102" operator="greaterThan">
      <formula>0</formula>
    </cfRule>
    <cfRule type="cellIs" dxfId="5624" priority="3103" operator="lessThan">
      <formula>0</formula>
    </cfRule>
  </conditionalFormatting>
  <conditionalFormatting sqref="BQ49:BU49">
    <cfRule type="cellIs" dxfId="5623" priority="3098" operator="equal">
      <formula>"-"</formula>
    </cfRule>
    <cfRule type="cellIs" dxfId="5622" priority="3099" operator="greaterThan">
      <formula>0</formula>
    </cfRule>
    <cfRule type="cellIs" dxfId="5621" priority="3100" operator="lessThan">
      <formula>0</formula>
    </cfRule>
  </conditionalFormatting>
  <conditionalFormatting sqref="BX34:CC34">
    <cfRule type="expression" dxfId="5620" priority="3097">
      <formula>OR(#REF!="sam.",#REF!="dim.")</formula>
    </cfRule>
  </conditionalFormatting>
  <conditionalFormatting sqref="BX37:CB37">
    <cfRule type="cellIs" dxfId="5619" priority="3094" operator="equal">
      <formula>"-"</formula>
    </cfRule>
    <cfRule type="cellIs" dxfId="5618" priority="3095" operator="greaterThan">
      <formula>0</formula>
    </cfRule>
    <cfRule type="cellIs" dxfId="5617" priority="3096" operator="lessThan">
      <formula>0</formula>
    </cfRule>
  </conditionalFormatting>
  <conditionalFormatting sqref="BX40:CB40">
    <cfRule type="cellIs" dxfId="5616" priority="3091" operator="equal">
      <formula>"-"</formula>
    </cfRule>
    <cfRule type="cellIs" dxfId="5615" priority="3092" operator="greaterThan">
      <formula>0</formula>
    </cfRule>
    <cfRule type="cellIs" dxfId="5614" priority="3093" operator="lessThan">
      <formula>0</formula>
    </cfRule>
  </conditionalFormatting>
  <conditionalFormatting sqref="BX43:CB43">
    <cfRule type="cellIs" dxfId="5613" priority="3088" operator="equal">
      <formula>"-"</formula>
    </cfRule>
    <cfRule type="cellIs" dxfId="5612" priority="3089" operator="greaterThan">
      <formula>0</formula>
    </cfRule>
    <cfRule type="cellIs" dxfId="5611" priority="3090" operator="lessThan">
      <formula>0</formula>
    </cfRule>
  </conditionalFormatting>
  <conditionalFormatting sqref="BX46:CB46">
    <cfRule type="cellIs" dxfId="5610" priority="3085" operator="equal">
      <formula>"-"</formula>
    </cfRule>
    <cfRule type="cellIs" dxfId="5609" priority="3086" operator="greaterThan">
      <formula>0</formula>
    </cfRule>
    <cfRule type="cellIs" dxfId="5608" priority="3087" operator="lessThan">
      <formula>0</formula>
    </cfRule>
  </conditionalFormatting>
  <conditionalFormatting sqref="BX49:CB49">
    <cfRule type="cellIs" dxfId="5607" priority="3082" operator="equal">
      <formula>"-"</formula>
    </cfRule>
    <cfRule type="cellIs" dxfId="5606" priority="3083" operator="greaterThan">
      <formula>0</formula>
    </cfRule>
    <cfRule type="cellIs" dxfId="5605" priority="3084" operator="lessThan">
      <formula>0</formula>
    </cfRule>
  </conditionalFormatting>
  <conditionalFormatting sqref="CE34:CJ34">
    <cfRule type="expression" dxfId="5604" priority="3081">
      <formula>OR(#REF!="sam.",#REF!="dim.")</formula>
    </cfRule>
  </conditionalFormatting>
  <conditionalFormatting sqref="CE37:CI37">
    <cfRule type="cellIs" dxfId="5603" priority="3078" operator="equal">
      <formula>"-"</formula>
    </cfRule>
    <cfRule type="cellIs" dxfId="5602" priority="3079" operator="greaterThan">
      <formula>0</formula>
    </cfRule>
    <cfRule type="cellIs" dxfId="5601" priority="3080" operator="lessThan">
      <formula>0</formula>
    </cfRule>
  </conditionalFormatting>
  <conditionalFormatting sqref="CE40:CI40">
    <cfRule type="cellIs" dxfId="5600" priority="3075" operator="equal">
      <formula>"-"</formula>
    </cfRule>
    <cfRule type="cellIs" dxfId="5599" priority="3076" operator="greaterThan">
      <formula>0</formula>
    </cfRule>
    <cfRule type="cellIs" dxfId="5598" priority="3077" operator="lessThan">
      <formula>0</formula>
    </cfRule>
  </conditionalFormatting>
  <conditionalFormatting sqref="CE43:CI43">
    <cfRule type="cellIs" dxfId="5597" priority="3072" operator="equal">
      <formula>"-"</formula>
    </cfRule>
    <cfRule type="cellIs" dxfId="5596" priority="3073" operator="greaterThan">
      <formula>0</formula>
    </cfRule>
    <cfRule type="cellIs" dxfId="5595" priority="3074" operator="lessThan">
      <formula>0</formula>
    </cfRule>
  </conditionalFormatting>
  <conditionalFormatting sqref="CE46:CI46">
    <cfRule type="cellIs" dxfId="5594" priority="3069" operator="equal">
      <formula>"-"</formula>
    </cfRule>
    <cfRule type="cellIs" dxfId="5593" priority="3070" operator="greaterThan">
      <formula>0</formula>
    </cfRule>
    <cfRule type="cellIs" dxfId="5592" priority="3071" operator="lessThan">
      <formula>0</formula>
    </cfRule>
  </conditionalFormatting>
  <conditionalFormatting sqref="CE49:CI49">
    <cfRule type="cellIs" dxfId="5591" priority="3066" operator="equal">
      <formula>"-"</formula>
    </cfRule>
    <cfRule type="cellIs" dxfId="5590" priority="3067" operator="greaterThan">
      <formula>0</formula>
    </cfRule>
    <cfRule type="cellIs" dxfId="5589" priority="3068" operator="lessThan">
      <formula>0</formula>
    </cfRule>
  </conditionalFormatting>
  <conditionalFormatting sqref="CL34:CQ34">
    <cfRule type="expression" dxfId="5588" priority="3065">
      <formula>OR(#REF!="sam.",#REF!="dim.")</formula>
    </cfRule>
  </conditionalFormatting>
  <conditionalFormatting sqref="CL37:CP37">
    <cfRule type="cellIs" dxfId="5587" priority="3062" operator="equal">
      <formula>"-"</formula>
    </cfRule>
    <cfRule type="cellIs" dxfId="5586" priority="3063" operator="greaterThan">
      <formula>0</formula>
    </cfRule>
    <cfRule type="cellIs" dxfId="5585" priority="3064" operator="lessThan">
      <formula>0</formula>
    </cfRule>
  </conditionalFormatting>
  <conditionalFormatting sqref="CL40:CP40">
    <cfRule type="cellIs" dxfId="5584" priority="3059" operator="equal">
      <formula>"-"</formula>
    </cfRule>
    <cfRule type="cellIs" dxfId="5583" priority="3060" operator="greaterThan">
      <formula>0</formula>
    </cfRule>
    <cfRule type="cellIs" dxfId="5582" priority="3061" operator="lessThan">
      <formula>0</formula>
    </cfRule>
  </conditionalFormatting>
  <conditionalFormatting sqref="CL43:CP43">
    <cfRule type="cellIs" dxfId="5581" priority="3056" operator="equal">
      <formula>"-"</formula>
    </cfRule>
    <cfRule type="cellIs" dxfId="5580" priority="3057" operator="greaterThan">
      <formula>0</formula>
    </cfRule>
    <cfRule type="cellIs" dxfId="5579" priority="3058" operator="lessThan">
      <formula>0</formula>
    </cfRule>
  </conditionalFormatting>
  <conditionalFormatting sqref="CL46:CP46">
    <cfRule type="cellIs" dxfId="5578" priority="3053" operator="equal">
      <formula>"-"</formula>
    </cfRule>
    <cfRule type="cellIs" dxfId="5577" priority="3054" operator="greaterThan">
      <formula>0</formula>
    </cfRule>
    <cfRule type="cellIs" dxfId="5576" priority="3055" operator="lessThan">
      <formula>0</formula>
    </cfRule>
  </conditionalFormatting>
  <conditionalFormatting sqref="CL49:CP49">
    <cfRule type="cellIs" dxfId="5575" priority="3050" operator="equal">
      <formula>"-"</formula>
    </cfRule>
    <cfRule type="cellIs" dxfId="5574" priority="3051" operator="greaterThan">
      <formula>0</formula>
    </cfRule>
    <cfRule type="cellIs" dxfId="5573" priority="3052" operator="lessThan">
      <formula>0</formula>
    </cfRule>
  </conditionalFormatting>
  <conditionalFormatting sqref="CS34:CX34">
    <cfRule type="expression" dxfId="5572" priority="3049">
      <formula>OR(#REF!="sam.",#REF!="dim.")</formula>
    </cfRule>
  </conditionalFormatting>
  <conditionalFormatting sqref="CS37:CW37">
    <cfRule type="cellIs" dxfId="5571" priority="3046" operator="equal">
      <formula>"-"</formula>
    </cfRule>
    <cfRule type="cellIs" dxfId="5570" priority="3047" operator="greaterThan">
      <formula>0</formula>
    </cfRule>
    <cfRule type="cellIs" dxfId="5569" priority="3048" operator="lessThan">
      <formula>0</formula>
    </cfRule>
  </conditionalFormatting>
  <conditionalFormatting sqref="CS40:CW40">
    <cfRule type="cellIs" dxfId="5568" priority="3043" operator="equal">
      <formula>"-"</formula>
    </cfRule>
    <cfRule type="cellIs" dxfId="5567" priority="3044" operator="greaterThan">
      <formula>0</formula>
    </cfRule>
    <cfRule type="cellIs" dxfId="5566" priority="3045" operator="lessThan">
      <formula>0</formula>
    </cfRule>
  </conditionalFormatting>
  <conditionalFormatting sqref="CS43:CW43">
    <cfRule type="cellIs" dxfId="5565" priority="3040" operator="equal">
      <formula>"-"</formula>
    </cfRule>
    <cfRule type="cellIs" dxfId="5564" priority="3041" operator="greaterThan">
      <formula>0</formula>
    </cfRule>
    <cfRule type="cellIs" dxfId="5563" priority="3042" operator="lessThan">
      <formula>0</formula>
    </cfRule>
  </conditionalFormatting>
  <conditionalFormatting sqref="CS46:CW46">
    <cfRule type="cellIs" dxfId="5562" priority="3037" operator="equal">
      <formula>"-"</formula>
    </cfRule>
    <cfRule type="cellIs" dxfId="5561" priority="3038" operator="greaterThan">
      <formula>0</formula>
    </cfRule>
    <cfRule type="cellIs" dxfId="5560" priority="3039" operator="lessThan">
      <formula>0</formula>
    </cfRule>
  </conditionalFormatting>
  <conditionalFormatting sqref="CS49:CW49">
    <cfRule type="cellIs" dxfId="5559" priority="3034" operator="equal">
      <formula>"-"</formula>
    </cfRule>
    <cfRule type="cellIs" dxfId="5558" priority="3035" operator="greaterThan">
      <formula>0</formula>
    </cfRule>
    <cfRule type="cellIs" dxfId="5557" priority="3036" operator="lessThan">
      <formula>0</formula>
    </cfRule>
  </conditionalFormatting>
  <conditionalFormatting sqref="CZ34:DE34">
    <cfRule type="expression" dxfId="5556" priority="3033">
      <formula>OR(#REF!="sam.",#REF!="dim.")</formula>
    </cfRule>
  </conditionalFormatting>
  <conditionalFormatting sqref="CZ37:DD37">
    <cfRule type="cellIs" dxfId="5555" priority="3030" operator="equal">
      <formula>"-"</formula>
    </cfRule>
    <cfRule type="cellIs" dxfId="5554" priority="3031" operator="greaterThan">
      <formula>0</formula>
    </cfRule>
    <cfRule type="cellIs" dxfId="5553" priority="3032" operator="lessThan">
      <formula>0</formula>
    </cfRule>
  </conditionalFormatting>
  <conditionalFormatting sqref="CZ40:DD40">
    <cfRule type="cellIs" dxfId="5552" priority="3027" operator="equal">
      <formula>"-"</formula>
    </cfRule>
    <cfRule type="cellIs" dxfId="5551" priority="3028" operator="greaterThan">
      <formula>0</formula>
    </cfRule>
    <cfRule type="cellIs" dxfId="5550" priority="3029" operator="lessThan">
      <formula>0</formula>
    </cfRule>
  </conditionalFormatting>
  <conditionalFormatting sqref="CZ43:DD43">
    <cfRule type="cellIs" dxfId="5549" priority="3024" operator="equal">
      <formula>"-"</formula>
    </cfRule>
    <cfRule type="cellIs" dxfId="5548" priority="3025" operator="greaterThan">
      <formula>0</formula>
    </cfRule>
    <cfRule type="cellIs" dxfId="5547" priority="3026" operator="lessThan">
      <formula>0</formula>
    </cfRule>
  </conditionalFormatting>
  <conditionalFormatting sqref="CZ46:DD46">
    <cfRule type="cellIs" dxfId="5546" priority="3021" operator="equal">
      <formula>"-"</formula>
    </cfRule>
    <cfRule type="cellIs" dxfId="5545" priority="3022" operator="greaterThan">
      <formula>0</formula>
    </cfRule>
    <cfRule type="cellIs" dxfId="5544" priority="3023" operator="lessThan">
      <formula>0</formula>
    </cfRule>
  </conditionalFormatting>
  <conditionalFormatting sqref="CZ49:DD49">
    <cfRule type="cellIs" dxfId="5543" priority="3018" operator="equal">
      <formula>"-"</formula>
    </cfRule>
    <cfRule type="cellIs" dxfId="5542" priority="3019" operator="greaterThan">
      <formula>0</formula>
    </cfRule>
    <cfRule type="cellIs" dxfId="5541" priority="3020" operator="lessThan">
      <formula>0</formula>
    </cfRule>
  </conditionalFormatting>
  <conditionalFormatting sqref="DG34:DL34">
    <cfRule type="expression" dxfId="5540" priority="3017">
      <formula>OR(#REF!="sam.",#REF!="dim.")</formula>
    </cfRule>
  </conditionalFormatting>
  <conditionalFormatting sqref="DG37:DK37">
    <cfRule type="cellIs" dxfId="5539" priority="3014" operator="equal">
      <formula>"-"</formula>
    </cfRule>
    <cfRule type="cellIs" dxfId="5538" priority="3015" operator="greaterThan">
      <formula>0</formula>
    </cfRule>
    <cfRule type="cellIs" dxfId="5537" priority="3016" operator="lessThan">
      <formula>0</formula>
    </cfRule>
  </conditionalFormatting>
  <conditionalFormatting sqref="DG40:DK40">
    <cfRule type="cellIs" dxfId="5536" priority="3011" operator="equal">
      <formula>"-"</formula>
    </cfRule>
    <cfRule type="cellIs" dxfId="5535" priority="3012" operator="greaterThan">
      <formula>0</formula>
    </cfRule>
    <cfRule type="cellIs" dxfId="5534" priority="3013" operator="lessThan">
      <formula>0</formula>
    </cfRule>
  </conditionalFormatting>
  <conditionalFormatting sqref="DG43:DK43">
    <cfRule type="cellIs" dxfId="5533" priority="3008" operator="equal">
      <formula>"-"</formula>
    </cfRule>
    <cfRule type="cellIs" dxfId="5532" priority="3009" operator="greaterThan">
      <formula>0</formula>
    </cfRule>
    <cfRule type="cellIs" dxfId="5531" priority="3010" operator="lessThan">
      <formula>0</formula>
    </cfRule>
  </conditionalFormatting>
  <conditionalFormatting sqref="DG46:DK46">
    <cfRule type="cellIs" dxfId="5530" priority="3005" operator="equal">
      <formula>"-"</formula>
    </cfRule>
    <cfRule type="cellIs" dxfId="5529" priority="3006" operator="greaterThan">
      <formula>0</formula>
    </cfRule>
    <cfRule type="cellIs" dxfId="5528" priority="3007" operator="lessThan">
      <formula>0</formula>
    </cfRule>
  </conditionalFormatting>
  <conditionalFormatting sqref="DG49:DK49">
    <cfRule type="cellIs" dxfId="5527" priority="3002" operator="equal">
      <formula>"-"</formula>
    </cfRule>
    <cfRule type="cellIs" dxfId="5526" priority="3003" operator="greaterThan">
      <formula>0</formula>
    </cfRule>
    <cfRule type="cellIs" dxfId="5525" priority="3004" operator="lessThan">
      <formula>0</formula>
    </cfRule>
  </conditionalFormatting>
  <conditionalFormatting sqref="DN34:DS34">
    <cfRule type="expression" dxfId="5524" priority="3001">
      <formula>OR(#REF!="sam.",#REF!="dim.")</formula>
    </cfRule>
  </conditionalFormatting>
  <conditionalFormatting sqref="DN37:DR37">
    <cfRule type="cellIs" dxfId="5523" priority="2998" operator="equal">
      <formula>"-"</formula>
    </cfRule>
    <cfRule type="cellIs" dxfId="5522" priority="2999" operator="greaterThan">
      <formula>0</formula>
    </cfRule>
    <cfRule type="cellIs" dxfId="5521" priority="3000" operator="lessThan">
      <formula>0</formula>
    </cfRule>
  </conditionalFormatting>
  <conditionalFormatting sqref="DN40:DR40">
    <cfRule type="cellIs" dxfId="5520" priority="2995" operator="equal">
      <formula>"-"</formula>
    </cfRule>
    <cfRule type="cellIs" dxfId="5519" priority="2996" operator="greaterThan">
      <formula>0</formula>
    </cfRule>
    <cfRule type="cellIs" dxfId="5518" priority="2997" operator="lessThan">
      <formula>0</formula>
    </cfRule>
  </conditionalFormatting>
  <conditionalFormatting sqref="DN43:DR43">
    <cfRule type="cellIs" dxfId="5517" priority="2992" operator="equal">
      <formula>"-"</formula>
    </cfRule>
    <cfRule type="cellIs" dxfId="5516" priority="2993" operator="greaterThan">
      <formula>0</formula>
    </cfRule>
    <cfRule type="cellIs" dxfId="5515" priority="2994" operator="lessThan">
      <formula>0</formula>
    </cfRule>
  </conditionalFormatting>
  <conditionalFormatting sqref="DN46:DR46">
    <cfRule type="cellIs" dxfId="5514" priority="2989" operator="equal">
      <formula>"-"</formula>
    </cfRule>
    <cfRule type="cellIs" dxfId="5513" priority="2990" operator="greaterThan">
      <formula>0</formula>
    </cfRule>
    <cfRule type="cellIs" dxfId="5512" priority="2991" operator="lessThan">
      <formula>0</formula>
    </cfRule>
  </conditionalFormatting>
  <conditionalFormatting sqref="DN49:DR49">
    <cfRule type="cellIs" dxfId="5511" priority="2986" operator="equal">
      <formula>"-"</formula>
    </cfRule>
    <cfRule type="cellIs" dxfId="5510" priority="2987" operator="greaterThan">
      <formula>0</formula>
    </cfRule>
    <cfRule type="cellIs" dxfId="5509" priority="2988" operator="lessThan">
      <formula>0</formula>
    </cfRule>
  </conditionalFormatting>
  <conditionalFormatting sqref="DU34:DZ34">
    <cfRule type="expression" dxfId="5508" priority="2985">
      <formula>OR(#REF!="sam.",#REF!="dim.")</formula>
    </cfRule>
  </conditionalFormatting>
  <conditionalFormatting sqref="DU37:DY37">
    <cfRule type="cellIs" dxfId="5507" priority="2982" operator="equal">
      <formula>"-"</formula>
    </cfRule>
    <cfRule type="cellIs" dxfId="5506" priority="2983" operator="greaterThan">
      <formula>0</formula>
    </cfRule>
    <cfRule type="cellIs" dxfId="5505" priority="2984" operator="lessThan">
      <formula>0</formula>
    </cfRule>
  </conditionalFormatting>
  <conditionalFormatting sqref="DU40:DY40">
    <cfRule type="cellIs" dxfId="5504" priority="2979" operator="equal">
      <formula>"-"</formula>
    </cfRule>
    <cfRule type="cellIs" dxfId="5503" priority="2980" operator="greaterThan">
      <formula>0</formula>
    </cfRule>
    <cfRule type="cellIs" dxfId="5502" priority="2981" operator="lessThan">
      <formula>0</formula>
    </cfRule>
  </conditionalFormatting>
  <conditionalFormatting sqref="DU43:DY43">
    <cfRule type="cellIs" dxfId="5501" priority="2976" operator="equal">
      <formula>"-"</formula>
    </cfRule>
    <cfRule type="cellIs" dxfId="5500" priority="2977" operator="greaterThan">
      <formula>0</formula>
    </cfRule>
    <cfRule type="cellIs" dxfId="5499" priority="2978" operator="lessThan">
      <formula>0</formula>
    </cfRule>
  </conditionalFormatting>
  <conditionalFormatting sqref="DU46:DY46">
    <cfRule type="cellIs" dxfId="5498" priority="2973" operator="equal">
      <formula>"-"</formula>
    </cfRule>
    <cfRule type="cellIs" dxfId="5497" priority="2974" operator="greaterThan">
      <formula>0</formula>
    </cfRule>
    <cfRule type="cellIs" dxfId="5496" priority="2975" operator="lessThan">
      <formula>0</formula>
    </cfRule>
  </conditionalFormatting>
  <conditionalFormatting sqref="DU49:DY49">
    <cfRule type="cellIs" dxfId="5495" priority="2970" operator="equal">
      <formula>"-"</formula>
    </cfRule>
    <cfRule type="cellIs" dxfId="5494" priority="2971" operator="greaterThan">
      <formula>0</formula>
    </cfRule>
    <cfRule type="cellIs" dxfId="5493" priority="2972" operator="lessThan">
      <formula>0</formula>
    </cfRule>
  </conditionalFormatting>
  <conditionalFormatting sqref="EB34:EG34">
    <cfRule type="expression" dxfId="5492" priority="2969">
      <formula>OR(#REF!="sam.",#REF!="dim.")</formula>
    </cfRule>
  </conditionalFormatting>
  <conditionalFormatting sqref="EB37:EF37">
    <cfRule type="cellIs" dxfId="5491" priority="2966" operator="equal">
      <formula>"-"</formula>
    </cfRule>
    <cfRule type="cellIs" dxfId="5490" priority="2967" operator="greaterThan">
      <formula>0</formula>
    </cfRule>
    <cfRule type="cellIs" dxfId="5489" priority="2968" operator="lessThan">
      <formula>0</formula>
    </cfRule>
  </conditionalFormatting>
  <conditionalFormatting sqref="EB40:EF40">
    <cfRule type="cellIs" dxfId="5488" priority="2963" operator="equal">
      <formula>"-"</formula>
    </cfRule>
    <cfRule type="cellIs" dxfId="5487" priority="2964" operator="greaterThan">
      <formula>0</formula>
    </cfRule>
    <cfRule type="cellIs" dxfId="5486" priority="2965" operator="lessThan">
      <formula>0</formula>
    </cfRule>
  </conditionalFormatting>
  <conditionalFormatting sqref="EB43:EF43">
    <cfRule type="cellIs" dxfId="5485" priority="2960" operator="equal">
      <formula>"-"</formula>
    </cfRule>
    <cfRule type="cellIs" dxfId="5484" priority="2961" operator="greaterThan">
      <formula>0</formula>
    </cfRule>
    <cfRule type="cellIs" dxfId="5483" priority="2962" operator="lessThan">
      <formula>0</formula>
    </cfRule>
  </conditionalFormatting>
  <conditionalFormatting sqref="EB46:EF46">
    <cfRule type="cellIs" dxfId="5482" priority="2957" operator="equal">
      <formula>"-"</formula>
    </cfRule>
    <cfRule type="cellIs" dxfId="5481" priority="2958" operator="greaterThan">
      <formula>0</formula>
    </cfRule>
    <cfRule type="cellIs" dxfId="5480" priority="2959" operator="lessThan">
      <formula>0</formula>
    </cfRule>
  </conditionalFormatting>
  <conditionalFormatting sqref="EB49:EF49">
    <cfRule type="cellIs" dxfId="5479" priority="2954" operator="equal">
      <formula>"-"</formula>
    </cfRule>
    <cfRule type="cellIs" dxfId="5478" priority="2955" operator="greaterThan">
      <formula>0</formula>
    </cfRule>
    <cfRule type="cellIs" dxfId="5477" priority="2956" operator="lessThan">
      <formula>0</formula>
    </cfRule>
  </conditionalFormatting>
  <conditionalFormatting sqref="EI34:EN34">
    <cfRule type="expression" dxfId="5476" priority="2953">
      <formula>OR(#REF!="sam.",#REF!="dim.")</formula>
    </cfRule>
  </conditionalFormatting>
  <conditionalFormatting sqref="EI37:EM37">
    <cfRule type="cellIs" dxfId="5475" priority="2950" operator="equal">
      <formula>"-"</formula>
    </cfRule>
    <cfRule type="cellIs" dxfId="5474" priority="2951" operator="greaterThan">
      <formula>0</formula>
    </cfRule>
    <cfRule type="cellIs" dxfId="5473" priority="2952" operator="lessThan">
      <formula>0</formula>
    </cfRule>
  </conditionalFormatting>
  <conditionalFormatting sqref="EI40:EM40">
    <cfRule type="cellIs" dxfId="5472" priority="2947" operator="equal">
      <formula>"-"</formula>
    </cfRule>
    <cfRule type="cellIs" dxfId="5471" priority="2948" operator="greaterThan">
      <formula>0</formula>
    </cfRule>
    <cfRule type="cellIs" dxfId="5470" priority="2949" operator="lessThan">
      <formula>0</formula>
    </cfRule>
  </conditionalFormatting>
  <conditionalFormatting sqref="EI43:EM43">
    <cfRule type="cellIs" dxfId="5469" priority="2944" operator="equal">
      <formula>"-"</formula>
    </cfRule>
    <cfRule type="cellIs" dxfId="5468" priority="2945" operator="greaterThan">
      <formula>0</formula>
    </cfRule>
    <cfRule type="cellIs" dxfId="5467" priority="2946" operator="lessThan">
      <formula>0</formula>
    </cfRule>
  </conditionalFormatting>
  <conditionalFormatting sqref="EI46:EM46">
    <cfRule type="cellIs" dxfId="5466" priority="2941" operator="equal">
      <formula>"-"</formula>
    </cfRule>
    <cfRule type="cellIs" dxfId="5465" priority="2942" operator="greaterThan">
      <formula>0</formula>
    </cfRule>
    <cfRule type="cellIs" dxfId="5464" priority="2943" operator="lessThan">
      <formula>0</formula>
    </cfRule>
  </conditionalFormatting>
  <conditionalFormatting sqref="EI49:EM49">
    <cfRule type="cellIs" dxfId="5463" priority="2938" operator="equal">
      <formula>"-"</formula>
    </cfRule>
    <cfRule type="cellIs" dxfId="5462" priority="2939" operator="greaterThan">
      <formula>0</formula>
    </cfRule>
    <cfRule type="cellIs" dxfId="5461" priority="2940" operator="lessThan">
      <formula>0</formula>
    </cfRule>
  </conditionalFormatting>
  <conditionalFormatting sqref="EP34:EU34">
    <cfRule type="expression" dxfId="5460" priority="2937">
      <formula>OR(#REF!="sam.",#REF!="dim.")</formula>
    </cfRule>
  </conditionalFormatting>
  <conditionalFormatting sqref="EP37:ET37">
    <cfRule type="cellIs" dxfId="5459" priority="2934" operator="equal">
      <formula>"-"</formula>
    </cfRule>
    <cfRule type="cellIs" dxfId="5458" priority="2935" operator="greaterThan">
      <formula>0</formula>
    </cfRule>
    <cfRule type="cellIs" dxfId="5457" priority="2936" operator="lessThan">
      <formula>0</formula>
    </cfRule>
  </conditionalFormatting>
  <conditionalFormatting sqref="EP40:ET40">
    <cfRule type="cellIs" dxfId="5456" priority="2931" operator="equal">
      <formula>"-"</formula>
    </cfRule>
    <cfRule type="cellIs" dxfId="5455" priority="2932" operator="greaterThan">
      <formula>0</formula>
    </cfRule>
    <cfRule type="cellIs" dxfId="5454" priority="2933" operator="lessThan">
      <formula>0</formula>
    </cfRule>
  </conditionalFormatting>
  <conditionalFormatting sqref="EP43:ET43">
    <cfRule type="cellIs" dxfId="5453" priority="2928" operator="equal">
      <formula>"-"</formula>
    </cfRule>
    <cfRule type="cellIs" dxfId="5452" priority="2929" operator="greaterThan">
      <formula>0</formula>
    </cfRule>
    <cfRule type="cellIs" dxfId="5451" priority="2930" operator="lessThan">
      <formula>0</formula>
    </cfRule>
  </conditionalFormatting>
  <conditionalFormatting sqref="EP46:ET46">
    <cfRule type="cellIs" dxfId="5450" priority="2925" operator="equal">
      <formula>"-"</formula>
    </cfRule>
    <cfRule type="cellIs" dxfId="5449" priority="2926" operator="greaterThan">
      <formula>0</formula>
    </cfRule>
    <cfRule type="cellIs" dxfId="5448" priority="2927" operator="lessThan">
      <formula>0</formula>
    </cfRule>
  </conditionalFormatting>
  <conditionalFormatting sqref="EP49:ET49">
    <cfRule type="cellIs" dxfId="5447" priority="2922" operator="equal">
      <formula>"-"</formula>
    </cfRule>
    <cfRule type="cellIs" dxfId="5446" priority="2923" operator="greaterThan">
      <formula>0</formula>
    </cfRule>
    <cfRule type="cellIs" dxfId="5445" priority="2924" operator="lessThan">
      <formula>0</formula>
    </cfRule>
  </conditionalFormatting>
  <conditionalFormatting sqref="EW34:FB34">
    <cfRule type="expression" dxfId="5444" priority="2921">
      <formula>OR(#REF!="sam.",#REF!="dim.")</formula>
    </cfRule>
  </conditionalFormatting>
  <conditionalFormatting sqref="EW37:FA37">
    <cfRule type="cellIs" dxfId="5443" priority="2918" operator="equal">
      <formula>"-"</formula>
    </cfRule>
    <cfRule type="cellIs" dxfId="5442" priority="2919" operator="greaterThan">
      <formula>0</formula>
    </cfRule>
    <cfRule type="cellIs" dxfId="5441" priority="2920" operator="lessThan">
      <formula>0</formula>
    </cfRule>
  </conditionalFormatting>
  <conditionalFormatting sqref="EW40:FA40">
    <cfRule type="cellIs" dxfId="5440" priority="2915" operator="equal">
      <formula>"-"</formula>
    </cfRule>
    <cfRule type="cellIs" dxfId="5439" priority="2916" operator="greaterThan">
      <formula>0</formula>
    </cfRule>
    <cfRule type="cellIs" dxfId="5438" priority="2917" operator="lessThan">
      <formula>0</formula>
    </cfRule>
  </conditionalFormatting>
  <conditionalFormatting sqref="EW43:FA43">
    <cfRule type="cellIs" dxfId="5437" priority="2912" operator="equal">
      <formula>"-"</formula>
    </cfRule>
    <cfRule type="cellIs" dxfId="5436" priority="2913" operator="greaterThan">
      <formula>0</formula>
    </cfRule>
    <cfRule type="cellIs" dxfId="5435" priority="2914" operator="lessThan">
      <formula>0</formula>
    </cfRule>
  </conditionalFormatting>
  <conditionalFormatting sqref="EW46:FA46">
    <cfRule type="cellIs" dxfId="5434" priority="2909" operator="equal">
      <formula>"-"</formula>
    </cfRule>
    <cfRule type="cellIs" dxfId="5433" priority="2910" operator="greaterThan">
      <formula>0</formula>
    </cfRule>
    <cfRule type="cellIs" dxfId="5432" priority="2911" operator="lessThan">
      <formula>0</formula>
    </cfRule>
  </conditionalFormatting>
  <conditionalFormatting sqref="EW49:FA49">
    <cfRule type="cellIs" dxfId="5431" priority="2906" operator="equal">
      <formula>"-"</formula>
    </cfRule>
    <cfRule type="cellIs" dxfId="5430" priority="2907" operator="greaterThan">
      <formula>0</formula>
    </cfRule>
    <cfRule type="cellIs" dxfId="5429" priority="2908" operator="lessThan">
      <formula>0</formula>
    </cfRule>
  </conditionalFormatting>
  <conditionalFormatting sqref="FD34:FI34">
    <cfRule type="expression" dxfId="5428" priority="2905">
      <formula>OR(#REF!="sam.",#REF!="dim.")</formula>
    </cfRule>
  </conditionalFormatting>
  <conditionalFormatting sqref="FD37:FH37">
    <cfRule type="cellIs" dxfId="5427" priority="2902" operator="equal">
      <formula>"-"</formula>
    </cfRule>
    <cfRule type="cellIs" dxfId="5426" priority="2903" operator="greaterThan">
      <formula>0</formula>
    </cfRule>
    <cfRule type="cellIs" dxfId="5425" priority="2904" operator="lessThan">
      <formula>0</formula>
    </cfRule>
  </conditionalFormatting>
  <conditionalFormatting sqref="FD40:FH40">
    <cfRule type="cellIs" dxfId="5424" priority="2899" operator="equal">
      <formula>"-"</formula>
    </cfRule>
    <cfRule type="cellIs" dxfId="5423" priority="2900" operator="greaterThan">
      <formula>0</formula>
    </cfRule>
    <cfRule type="cellIs" dxfId="5422" priority="2901" operator="lessThan">
      <formula>0</formula>
    </cfRule>
  </conditionalFormatting>
  <conditionalFormatting sqref="FD43:FH43">
    <cfRule type="cellIs" dxfId="5421" priority="2896" operator="equal">
      <formula>"-"</formula>
    </cfRule>
    <cfRule type="cellIs" dxfId="5420" priority="2897" operator="greaterThan">
      <formula>0</formula>
    </cfRule>
    <cfRule type="cellIs" dxfId="5419" priority="2898" operator="lessThan">
      <formula>0</formula>
    </cfRule>
  </conditionalFormatting>
  <conditionalFormatting sqref="FD46:FH46">
    <cfRule type="cellIs" dxfId="5418" priority="2893" operator="equal">
      <formula>"-"</formula>
    </cfRule>
    <cfRule type="cellIs" dxfId="5417" priority="2894" operator="greaterThan">
      <formula>0</formula>
    </cfRule>
    <cfRule type="cellIs" dxfId="5416" priority="2895" operator="lessThan">
      <formula>0</formula>
    </cfRule>
  </conditionalFormatting>
  <conditionalFormatting sqref="FD49:FH49">
    <cfRule type="cellIs" dxfId="5415" priority="2890" operator="equal">
      <formula>"-"</formula>
    </cfRule>
    <cfRule type="cellIs" dxfId="5414" priority="2891" operator="greaterThan">
      <formula>0</formula>
    </cfRule>
    <cfRule type="cellIs" dxfId="5413" priority="2892" operator="lessThan">
      <formula>0</formula>
    </cfRule>
  </conditionalFormatting>
  <conditionalFormatting sqref="FK34:FP34">
    <cfRule type="expression" dxfId="5412" priority="2889">
      <formula>OR(#REF!="sam.",#REF!="dim.")</formula>
    </cfRule>
  </conditionalFormatting>
  <conditionalFormatting sqref="FK37:FO37">
    <cfRule type="cellIs" dxfId="5411" priority="2886" operator="equal">
      <formula>"-"</formula>
    </cfRule>
    <cfRule type="cellIs" dxfId="5410" priority="2887" operator="greaterThan">
      <formula>0</formula>
    </cfRule>
    <cfRule type="cellIs" dxfId="5409" priority="2888" operator="lessThan">
      <formula>0</formula>
    </cfRule>
  </conditionalFormatting>
  <conditionalFormatting sqref="FK40:FO40">
    <cfRule type="cellIs" dxfId="5408" priority="2883" operator="equal">
      <formula>"-"</formula>
    </cfRule>
    <cfRule type="cellIs" dxfId="5407" priority="2884" operator="greaterThan">
      <formula>0</formula>
    </cfRule>
    <cfRule type="cellIs" dxfId="5406" priority="2885" operator="lessThan">
      <formula>0</formula>
    </cfRule>
  </conditionalFormatting>
  <conditionalFormatting sqref="FK43:FO43">
    <cfRule type="cellIs" dxfId="5405" priority="2880" operator="equal">
      <formula>"-"</formula>
    </cfRule>
    <cfRule type="cellIs" dxfId="5404" priority="2881" operator="greaterThan">
      <formula>0</formula>
    </cfRule>
    <cfRule type="cellIs" dxfId="5403" priority="2882" operator="lessThan">
      <formula>0</formula>
    </cfRule>
  </conditionalFormatting>
  <conditionalFormatting sqref="FK46:FO46">
    <cfRule type="cellIs" dxfId="5402" priority="2877" operator="equal">
      <formula>"-"</formula>
    </cfRule>
    <cfRule type="cellIs" dxfId="5401" priority="2878" operator="greaterThan">
      <formula>0</formula>
    </cfRule>
    <cfRule type="cellIs" dxfId="5400" priority="2879" operator="lessThan">
      <formula>0</formula>
    </cfRule>
  </conditionalFormatting>
  <conditionalFormatting sqref="FK49:FO49">
    <cfRule type="cellIs" dxfId="5399" priority="2874" operator="equal">
      <formula>"-"</formula>
    </cfRule>
    <cfRule type="cellIs" dxfId="5398" priority="2875" operator="greaterThan">
      <formula>0</formula>
    </cfRule>
    <cfRule type="cellIs" dxfId="5397" priority="2876" operator="lessThan">
      <formula>0</formula>
    </cfRule>
  </conditionalFormatting>
  <conditionalFormatting sqref="FR34:FW34">
    <cfRule type="expression" dxfId="5396" priority="2873">
      <formula>OR(#REF!="sam.",#REF!="dim.")</formula>
    </cfRule>
  </conditionalFormatting>
  <conditionalFormatting sqref="FR37:FV37">
    <cfRule type="cellIs" dxfId="5395" priority="2870" operator="equal">
      <formula>"-"</formula>
    </cfRule>
    <cfRule type="cellIs" dxfId="5394" priority="2871" operator="greaterThan">
      <formula>0</formula>
    </cfRule>
    <cfRule type="cellIs" dxfId="5393" priority="2872" operator="lessThan">
      <formula>0</formula>
    </cfRule>
  </conditionalFormatting>
  <conditionalFormatting sqref="FR40:FV40">
    <cfRule type="cellIs" dxfId="5392" priority="2867" operator="equal">
      <formula>"-"</formula>
    </cfRule>
    <cfRule type="cellIs" dxfId="5391" priority="2868" operator="greaterThan">
      <formula>0</formula>
    </cfRule>
    <cfRule type="cellIs" dxfId="5390" priority="2869" operator="lessThan">
      <formula>0</formula>
    </cfRule>
  </conditionalFormatting>
  <conditionalFormatting sqref="FR43:FV43">
    <cfRule type="cellIs" dxfId="5389" priority="2864" operator="equal">
      <formula>"-"</formula>
    </cfRule>
    <cfRule type="cellIs" dxfId="5388" priority="2865" operator="greaterThan">
      <formula>0</formula>
    </cfRule>
    <cfRule type="cellIs" dxfId="5387" priority="2866" operator="lessThan">
      <formula>0</formula>
    </cfRule>
  </conditionalFormatting>
  <conditionalFormatting sqref="FR46:FV46">
    <cfRule type="cellIs" dxfId="5386" priority="2861" operator="equal">
      <formula>"-"</formula>
    </cfRule>
    <cfRule type="cellIs" dxfId="5385" priority="2862" operator="greaterThan">
      <formula>0</formula>
    </cfRule>
    <cfRule type="cellIs" dxfId="5384" priority="2863" operator="lessThan">
      <formula>0</formula>
    </cfRule>
  </conditionalFormatting>
  <conditionalFormatting sqref="FR49:FV49">
    <cfRule type="cellIs" dxfId="5383" priority="2858" operator="equal">
      <formula>"-"</formula>
    </cfRule>
    <cfRule type="cellIs" dxfId="5382" priority="2859" operator="greaterThan">
      <formula>0</formula>
    </cfRule>
    <cfRule type="cellIs" dxfId="5381" priority="2860" operator="lessThan">
      <formula>0</formula>
    </cfRule>
  </conditionalFormatting>
  <conditionalFormatting sqref="FY34:GD34">
    <cfRule type="expression" dxfId="5380" priority="2857">
      <formula>OR(#REF!="sam.",#REF!="dim.")</formula>
    </cfRule>
  </conditionalFormatting>
  <conditionalFormatting sqref="FY37:GC37">
    <cfRule type="cellIs" dxfId="5379" priority="2854" operator="equal">
      <formula>"-"</formula>
    </cfRule>
    <cfRule type="cellIs" dxfId="5378" priority="2855" operator="greaterThan">
      <formula>0</formula>
    </cfRule>
    <cfRule type="cellIs" dxfId="5377" priority="2856" operator="lessThan">
      <formula>0</formula>
    </cfRule>
  </conditionalFormatting>
  <conditionalFormatting sqref="FY40:GC40">
    <cfRule type="cellIs" dxfId="5376" priority="2851" operator="equal">
      <formula>"-"</formula>
    </cfRule>
    <cfRule type="cellIs" dxfId="5375" priority="2852" operator="greaterThan">
      <formula>0</formula>
    </cfRule>
    <cfRule type="cellIs" dxfId="5374" priority="2853" operator="lessThan">
      <formula>0</formula>
    </cfRule>
  </conditionalFormatting>
  <conditionalFormatting sqref="FY43:GC43">
    <cfRule type="cellIs" dxfId="5373" priority="2848" operator="equal">
      <formula>"-"</formula>
    </cfRule>
    <cfRule type="cellIs" dxfId="5372" priority="2849" operator="greaterThan">
      <formula>0</formula>
    </cfRule>
    <cfRule type="cellIs" dxfId="5371" priority="2850" operator="lessThan">
      <formula>0</formula>
    </cfRule>
  </conditionalFormatting>
  <conditionalFormatting sqref="FY46:GC46">
    <cfRule type="cellIs" dxfId="5370" priority="2845" operator="equal">
      <formula>"-"</formula>
    </cfRule>
    <cfRule type="cellIs" dxfId="5369" priority="2846" operator="greaterThan">
      <formula>0</formula>
    </cfRule>
    <cfRule type="cellIs" dxfId="5368" priority="2847" operator="lessThan">
      <formula>0</formula>
    </cfRule>
  </conditionalFormatting>
  <conditionalFormatting sqref="FY49:GC49">
    <cfRule type="cellIs" dxfId="5367" priority="2842" operator="equal">
      <formula>"-"</formula>
    </cfRule>
    <cfRule type="cellIs" dxfId="5366" priority="2843" operator="greaterThan">
      <formula>0</formula>
    </cfRule>
    <cfRule type="cellIs" dxfId="5365" priority="2844" operator="lessThan">
      <formula>0</formula>
    </cfRule>
  </conditionalFormatting>
  <conditionalFormatting sqref="GF34:GK34">
    <cfRule type="expression" dxfId="5364" priority="2841">
      <formula>OR(#REF!="sam.",#REF!="dim.")</formula>
    </cfRule>
  </conditionalFormatting>
  <conditionalFormatting sqref="GF37:GJ37">
    <cfRule type="cellIs" dxfId="5363" priority="2838" operator="equal">
      <formula>"-"</formula>
    </cfRule>
    <cfRule type="cellIs" dxfId="5362" priority="2839" operator="greaterThan">
      <formula>0</formula>
    </cfRule>
    <cfRule type="cellIs" dxfId="5361" priority="2840" operator="lessThan">
      <formula>0</formula>
    </cfRule>
  </conditionalFormatting>
  <conditionalFormatting sqref="GF40:GJ40">
    <cfRule type="cellIs" dxfId="5360" priority="2835" operator="equal">
      <formula>"-"</formula>
    </cfRule>
    <cfRule type="cellIs" dxfId="5359" priority="2836" operator="greaterThan">
      <formula>0</formula>
    </cfRule>
    <cfRule type="cellIs" dxfId="5358" priority="2837" operator="lessThan">
      <formula>0</formula>
    </cfRule>
  </conditionalFormatting>
  <conditionalFormatting sqref="GF43:GJ43">
    <cfRule type="cellIs" dxfId="5357" priority="2832" operator="equal">
      <formula>"-"</formula>
    </cfRule>
    <cfRule type="cellIs" dxfId="5356" priority="2833" operator="greaterThan">
      <formula>0</formula>
    </cfRule>
    <cfRule type="cellIs" dxfId="5355" priority="2834" operator="lessThan">
      <formula>0</formula>
    </cfRule>
  </conditionalFormatting>
  <conditionalFormatting sqref="GF46:GJ46">
    <cfRule type="cellIs" dxfId="5354" priority="2829" operator="equal">
      <formula>"-"</formula>
    </cfRule>
    <cfRule type="cellIs" dxfId="5353" priority="2830" operator="greaterThan">
      <formula>0</formula>
    </cfRule>
    <cfRule type="cellIs" dxfId="5352" priority="2831" operator="lessThan">
      <formula>0</formula>
    </cfRule>
  </conditionalFormatting>
  <conditionalFormatting sqref="GF49:GJ49">
    <cfRule type="cellIs" dxfId="5351" priority="2826" operator="equal">
      <formula>"-"</formula>
    </cfRule>
    <cfRule type="cellIs" dxfId="5350" priority="2827" operator="greaterThan">
      <formula>0</formula>
    </cfRule>
    <cfRule type="cellIs" dxfId="5349" priority="2828" operator="lessThan">
      <formula>0</formula>
    </cfRule>
  </conditionalFormatting>
  <conditionalFormatting sqref="GM34:GR34">
    <cfRule type="expression" dxfId="5348" priority="2825">
      <formula>OR(#REF!="sam.",#REF!="dim.")</formula>
    </cfRule>
  </conditionalFormatting>
  <conditionalFormatting sqref="GM37:GQ37">
    <cfRule type="cellIs" dxfId="5347" priority="2822" operator="equal">
      <formula>"-"</formula>
    </cfRule>
    <cfRule type="cellIs" dxfId="5346" priority="2823" operator="greaterThan">
      <formula>0</formula>
    </cfRule>
    <cfRule type="cellIs" dxfId="5345" priority="2824" operator="lessThan">
      <formula>0</formula>
    </cfRule>
  </conditionalFormatting>
  <conditionalFormatting sqref="GM40:GQ40">
    <cfRule type="cellIs" dxfId="5344" priority="2819" operator="equal">
      <formula>"-"</formula>
    </cfRule>
    <cfRule type="cellIs" dxfId="5343" priority="2820" operator="greaterThan">
      <formula>0</formula>
    </cfRule>
    <cfRule type="cellIs" dxfId="5342" priority="2821" operator="lessThan">
      <formula>0</formula>
    </cfRule>
  </conditionalFormatting>
  <conditionalFormatting sqref="GM43:GQ43">
    <cfRule type="cellIs" dxfId="5341" priority="2816" operator="equal">
      <formula>"-"</formula>
    </cfRule>
    <cfRule type="cellIs" dxfId="5340" priority="2817" operator="greaterThan">
      <formula>0</formula>
    </cfRule>
    <cfRule type="cellIs" dxfId="5339" priority="2818" operator="lessThan">
      <formula>0</formula>
    </cfRule>
  </conditionalFormatting>
  <conditionalFormatting sqref="GM46:GQ46">
    <cfRule type="cellIs" dxfId="5338" priority="2813" operator="equal">
      <formula>"-"</formula>
    </cfRule>
    <cfRule type="cellIs" dxfId="5337" priority="2814" operator="greaterThan">
      <formula>0</formula>
    </cfRule>
    <cfRule type="cellIs" dxfId="5336" priority="2815" operator="lessThan">
      <formula>0</formula>
    </cfRule>
  </conditionalFormatting>
  <conditionalFormatting sqref="GM49:GQ49">
    <cfRule type="cellIs" dxfId="5335" priority="2810" operator="equal">
      <formula>"-"</formula>
    </cfRule>
    <cfRule type="cellIs" dxfId="5334" priority="2811" operator="greaterThan">
      <formula>0</formula>
    </cfRule>
    <cfRule type="cellIs" dxfId="5333" priority="2812" operator="lessThan">
      <formula>0</formula>
    </cfRule>
  </conditionalFormatting>
  <conditionalFormatting sqref="GT34:GY34">
    <cfRule type="expression" dxfId="5332" priority="2809">
      <formula>OR(#REF!="sam.",#REF!="dim.")</formula>
    </cfRule>
  </conditionalFormatting>
  <conditionalFormatting sqref="GT37:GX37">
    <cfRule type="cellIs" dxfId="5331" priority="2806" operator="equal">
      <formula>"-"</formula>
    </cfRule>
    <cfRule type="cellIs" dxfId="5330" priority="2807" operator="greaterThan">
      <formula>0</formula>
    </cfRule>
    <cfRule type="cellIs" dxfId="5329" priority="2808" operator="lessThan">
      <formula>0</formula>
    </cfRule>
  </conditionalFormatting>
  <conditionalFormatting sqref="GT40:GX40">
    <cfRule type="cellIs" dxfId="5328" priority="2803" operator="equal">
      <formula>"-"</formula>
    </cfRule>
    <cfRule type="cellIs" dxfId="5327" priority="2804" operator="greaterThan">
      <formula>0</formula>
    </cfRule>
    <cfRule type="cellIs" dxfId="5326" priority="2805" operator="lessThan">
      <formula>0</formula>
    </cfRule>
  </conditionalFormatting>
  <conditionalFormatting sqref="GT43:GX43">
    <cfRule type="cellIs" dxfId="5325" priority="2800" operator="equal">
      <formula>"-"</formula>
    </cfRule>
    <cfRule type="cellIs" dxfId="5324" priority="2801" operator="greaterThan">
      <formula>0</formula>
    </cfRule>
    <cfRule type="cellIs" dxfId="5323" priority="2802" operator="lessThan">
      <formula>0</formula>
    </cfRule>
  </conditionalFormatting>
  <conditionalFormatting sqref="GT46:GX46">
    <cfRule type="cellIs" dxfId="5322" priority="2797" operator="equal">
      <formula>"-"</formula>
    </cfRule>
    <cfRule type="cellIs" dxfId="5321" priority="2798" operator="greaterThan">
      <formula>0</formula>
    </cfRule>
    <cfRule type="cellIs" dxfId="5320" priority="2799" operator="lessThan">
      <formula>0</formula>
    </cfRule>
  </conditionalFormatting>
  <conditionalFormatting sqref="GT49:GX49">
    <cfRule type="cellIs" dxfId="5319" priority="2794" operator="equal">
      <formula>"-"</formula>
    </cfRule>
    <cfRule type="cellIs" dxfId="5318" priority="2795" operator="greaterThan">
      <formula>0</formula>
    </cfRule>
    <cfRule type="cellIs" dxfId="5317" priority="2796" operator="lessThan">
      <formula>0</formula>
    </cfRule>
  </conditionalFormatting>
  <conditionalFormatting sqref="F52:K52">
    <cfRule type="cellIs" dxfId="5316" priority="2791" operator="equal">
      <formula>"-"</formula>
    </cfRule>
    <cfRule type="cellIs" dxfId="5315" priority="2792" operator="greaterThan">
      <formula>0</formula>
    </cfRule>
    <cfRule type="cellIs" dxfId="5314" priority="2793" operator="lessThan">
      <formula>0</formula>
    </cfRule>
  </conditionalFormatting>
  <conditionalFormatting sqref="AO52:AS52">
    <cfRule type="cellIs" dxfId="5313" priority="2776" operator="equal">
      <formula>"-"</formula>
    </cfRule>
    <cfRule type="cellIs" dxfId="5312" priority="2777" operator="greaterThan">
      <formula>0</formula>
    </cfRule>
    <cfRule type="cellIs" dxfId="5311" priority="2778" operator="lessThan">
      <formula>0</formula>
    </cfRule>
  </conditionalFormatting>
  <conditionalFormatting sqref="AV52:AZ52">
    <cfRule type="cellIs" dxfId="5310" priority="2773" operator="equal">
      <formula>"-"</formula>
    </cfRule>
    <cfRule type="cellIs" dxfId="5309" priority="2774" operator="greaterThan">
      <formula>0</formula>
    </cfRule>
    <cfRule type="cellIs" dxfId="5308" priority="2775" operator="lessThan">
      <formula>0</formula>
    </cfRule>
  </conditionalFormatting>
  <conditionalFormatting sqref="AA52:AE52">
    <cfRule type="cellIs" dxfId="5307" priority="2782" operator="equal">
      <formula>"-"</formula>
    </cfRule>
    <cfRule type="cellIs" dxfId="5306" priority="2783" operator="greaterThan">
      <formula>0</formula>
    </cfRule>
    <cfRule type="cellIs" dxfId="5305" priority="2784" operator="lessThan">
      <formula>0</formula>
    </cfRule>
  </conditionalFormatting>
  <conditionalFormatting sqref="AH52:AL52">
    <cfRule type="cellIs" dxfId="5304" priority="2779" operator="equal">
      <formula>"-"</formula>
    </cfRule>
    <cfRule type="cellIs" dxfId="5303" priority="2780" operator="greaterThan">
      <formula>0</formula>
    </cfRule>
    <cfRule type="cellIs" dxfId="5302" priority="2781" operator="lessThan">
      <formula>0</formula>
    </cfRule>
  </conditionalFormatting>
  <conditionalFormatting sqref="M52:R52">
    <cfRule type="cellIs" dxfId="5301" priority="2788" operator="equal">
      <formula>"-"</formula>
    </cfRule>
    <cfRule type="cellIs" dxfId="5300" priority="2789" operator="greaterThan">
      <formula>0</formula>
    </cfRule>
    <cfRule type="cellIs" dxfId="5299" priority="2790" operator="lessThan">
      <formula>0</formula>
    </cfRule>
  </conditionalFormatting>
  <conditionalFormatting sqref="T52:X52">
    <cfRule type="cellIs" dxfId="5298" priority="2785" operator="equal">
      <formula>"-"</formula>
    </cfRule>
    <cfRule type="cellIs" dxfId="5297" priority="2786" operator="greaterThan">
      <formula>0</formula>
    </cfRule>
    <cfRule type="cellIs" dxfId="5296" priority="2787" operator="lessThan">
      <formula>0</formula>
    </cfRule>
  </conditionalFormatting>
  <conditionalFormatting sqref="GT52:GX52">
    <cfRule type="cellIs" dxfId="5295" priority="2707" operator="equal">
      <formula>"-"</formula>
    </cfRule>
    <cfRule type="cellIs" dxfId="5294" priority="2708" operator="greaterThan">
      <formula>0</formula>
    </cfRule>
    <cfRule type="cellIs" dxfId="5293" priority="2709" operator="lessThan">
      <formula>0</formula>
    </cfRule>
  </conditionalFormatting>
  <conditionalFormatting sqref="BC52:BG52">
    <cfRule type="cellIs" dxfId="5292" priority="2770" operator="equal">
      <formula>"-"</formula>
    </cfRule>
    <cfRule type="cellIs" dxfId="5291" priority="2771" operator="greaterThan">
      <formula>0</formula>
    </cfRule>
    <cfRule type="cellIs" dxfId="5290" priority="2772" operator="lessThan">
      <formula>0</formula>
    </cfRule>
  </conditionalFormatting>
  <conditionalFormatting sqref="BJ52:BN52">
    <cfRule type="cellIs" dxfId="5289" priority="2767" operator="equal">
      <formula>"-"</formula>
    </cfRule>
    <cfRule type="cellIs" dxfId="5288" priority="2768" operator="greaterThan">
      <formula>0</formula>
    </cfRule>
    <cfRule type="cellIs" dxfId="5287" priority="2769" operator="lessThan">
      <formula>0</formula>
    </cfRule>
  </conditionalFormatting>
  <conditionalFormatting sqref="BQ52:BU52">
    <cfRule type="cellIs" dxfId="5286" priority="2764" operator="equal">
      <formula>"-"</formula>
    </cfRule>
    <cfRule type="cellIs" dxfId="5285" priority="2765" operator="greaterThan">
      <formula>0</formula>
    </cfRule>
    <cfRule type="cellIs" dxfId="5284" priority="2766" operator="lessThan">
      <formula>0</formula>
    </cfRule>
  </conditionalFormatting>
  <conditionalFormatting sqref="BX52:CB52">
    <cfRule type="cellIs" dxfId="5283" priority="2761" operator="equal">
      <formula>"-"</formula>
    </cfRule>
    <cfRule type="cellIs" dxfId="5282" priority="2762" operator="greaterThan">
      <formula>0</formula>
    </cfRule>
    <cfRule type="cellIs" dxfId="5281" priority="2763" operator="lessThan">
      <formula>0</formula>
    </cfRule>
  </conditionalFormatting>
  <conditionalFormatting sqref="CE52:CI52">
    <cfRule type="cellIs" dxfId="5280" priority="2758" operator="equal">
      <formula>"-"</formula>
    </cfRule>
    <cfRule type="cellIs" dxfId="5279" priority="2759" operator="greaterThan">
      <formula>0</formula>
    </cfRule>
    <cfRule type="cellIs" dxfId="5278" priority="2760" operator="lessThan">
      <formula>0</formula>
    </cfRule>
  </conditionalFormatting>
  <conditionalFormatting sqref="CL52:CP52">
    <cfRule type="cellIs" dxfId="5277" priority="2755" operator="equal">
      <formula>"-"</formula>
    </cfRule>
    <cfRule type="cellIs" dxfId="5276" priority="2756" operator="greaterThan">
      <formula>0</formula>
    </cfRule>
    <cfRule type="cellIs" dxfId="5275" priority="2757" operator="lessThan">
      <formula>0</formula>
    </cfRule>
  </conditionalFormatting>
  <conditionalFormatting sqref="CS52:CW52">
    <cfRule type="cellIs" dxfId="5274" priority="2752" operator="equal">
      <formula>"-"</formula>
    </cfRule>
    <cfRule type="cellIs" dxfId="5273" priority="2753" operator="greaterThan">
      <formula>0</formula>
    </cfRule>
    <cfRule type="cellIs" dxfId="5272" priority="2754" operator="lessThan">
      <formula>0</formula>
    </cfRule>
  </conditionalFormatting>
  <conditionalFormatting sqref="CZ52:DD52">
    <cfRule type="cellIs" dxfId="5271" priority="2749" operator="equal">
      <formula>"-"</formula>
    </cfRule>
    <cfRule type="cellIs" dxfId="5270" priority="2750" operator="greaterThan">
      <formula>0</formula>
    </cfRule>
    <cfRule type="cellIs" dxfId="5269" priority="2751" operator="lessThan">
      <formula>0</formula>
    </cfRule>
  </conditionalFormatting>
  <conditionalFormatting sqref="DG52:DK52">
    <cfRule type="cellIs" dxfId="5268" priority="2746" operator="equal">
      <formula>"-"</formula>
    </cfRule>
    <cfRule type="cellIs" dxfId="5267" priority="2747" operator="greaterThan">
      <formula>0</formula>
    </cfRule>
    <cfRule type="cellIs" dxfId="5266" priority="2748" operator="lessThan">
      <formula>0</formula>
    </cfRule>
  </conditionalFormatting>
  <conditionalFormatting sqref="DN52:DR52">
    <cfRule type="cellIs" dxfId="5265" priority="2743" operator="equal">
      <formula>"-"</formula>
    </cfRule>
    <cfRule type="cellIs" dxfId="5264" priority="2744" operator="greaterThan">
      <formula>0</formula>
    </cfRule>
    <cfRule type="cellIs" dxfId="5263" priority="2745" operator="lessThan">
      <formula>0</formula>
    </cfRule>
  </conditionalFormatting>
  <conditionalFormatting sqref="DU52:DY52">
    <cfRule type="cellIs" dxfId="5262" priority="2740" operator="equal">
      <formula>"-"</formula>
    </cfRule>
    <cfRule type="cellIs" dxfId="5261" priority="2741" operator="greaterThan">
      <formula>0</formula>
    </cfRule>
    <cfRule type="cellIs" dxfId="5260" priority="2742" operator="lessThan">
      <formula>0</formula>
    </cfRule>
  </conditionalFormatting>
  <conditionalFormatting sqref="EB52:EF52">
    <cfRule type="cellIs" dxfId="5259" priority="2737" operator="equal">
      <formula>"-"</formula>
    </cfRule>
    <cfRule type="cellIs" dxfId="5258" priority="2738" operator="greaterThan">
      <formula>0</formula>
    </cfRule>
    <cfRule type="cellIs" dxfId="5257" priority="2739" operator="lessThan">
      <formula>0</formula>
    </cfRule>
  </conditionalFormatting>
  <conditionalFormatting sqref="EI52:EM52">
    <cfRule type="cellIs" dxfId="5256" priority="2734" operator="equal">
      <formula>"-"</formula>
    </cfRule>
    <cfRule type="cellIs" dxfId="5255" priority="2735" operator="greaterThan">
      <formula>0</formula>
    </cfRule>
    <cfRule type="cellIs" dxfId="5254" priority="2736" operator="lessThan">
      <formula>0</formula>
    </cfRule>
  </conditionalFormatting>
  <conditionalFormatting sqref="EP52:ET52">
    <cfRule type="cellIs" dxfId="5253" priority="2731" operator="equal">
      <formula>"-"</formula>
    </cfRule>
    <cfRule type="cellIs" dxfId="5252" priority="2732" operator="greaterThan">
      <formula>0</formula>
    </cfRule>
    <cfRule type="cellIs" dxfId="5251" priority="2733" operator="lessThan">
      <formula>0</formula>
    </cfRule>
  </conditionalFormatting>
  <conditionalFormatting sqref="EW52:FA52">
    <cfRule type="cellIs" dxfId="5250" priority="2728" operator="equal">
      <formula>"-"</formula>
    </cfRule>
    <cfRule type="cellIs" dxfId="5249" priority="2729" operator="greaterThan">
      <formula>0</formula>
    </cfRule>
    <cfRule type="cellIs" dxfId="5248" priority="2730" operator="lessThan">
      <formula>0</formula>
    </cfRule>
  </conditionalFormatting>
  <conditionalFormatting sqref="FD52:FH52">
    <cfRule type="cellIs" dxfId="5247" priority="2725" operator="equal">
      <formula>"-"</formula>
    </cfRule>
    <cfRule type="cellIs" dxfId="5246" priority="2726" operator="greaterThan">
      <formula>0</formula>
    </cfRule>
    <cfRule type="cellIs" dxfId="5245" priority="2727" operator="lessThan">
      <formula>0</formula>
    </cfRule>
  </conditionalFormatting>
  <conditionalFormatting sqref="FK52:FO52">
    <cfRule type="cellIs" dxfId="5244" priority="2722" operator="equal">
      <formula>"-"</formula>
    </cfRule>
    <cfRule type="cellIs" dxfId="5243" priority="2723" operator="greaterThan">
      <formula>0</formula>
    </cfRule>
    <cfRule type="cellIs" dxfId="5242" priority="2724" operator="lessThan">
      <formula>0</formula>
    </cfRule>
  </conditionalFormatting>
  <conditionalFormatting sqref="FR52:FV52">
    <cfRule type="cellIs" dxfId="5241" priority="2719" operator="equal">
      <formula>"-"</formula>
    </cfRule>
    <cfRule type="cellIs" dxfId="5240" priority="2720" operator="greaterThan">
      <formula>0</formula>
    </cfRule>
    <cfRule type="cellIs" dxfId="5239" priority="2721" operator="lessThan">
      <formula>0</formula>
    </cfRule>
  </conditionalFormatting>
  <conditionalFormatting sqref="FY52:GC52">
    <cfRule type="cellIs" dxfId="5238" priority="2716" operator="equal">
      <formula>"-"</formula>
    </cfRule>
    <cfRule type="cellIs" dxfId="5237" priority="2717" operator="greaterThan">
      <formula>0</formula>
    </cfRule>
    <cfRule type="cellIs" dxfId="5236" priority="2718" operator="lessThan">
      <formula>0</formula>
    </cfRule>
  </conditionalFormatting>
  <conditionalFormatting sqref="GF52:GJ52">
    <cfRule type="cellIs" dxfId="5235" priority="2713" operator="equal">
      <formula>"-"</formula>
    </cfRule>
    <cfRule type="cellIs" dxfId="5234" priority="2714" operator="greaterThan">
      <formula>0</formula>
    </cfRule>
    <cfRule type="cellIs" dxfId="5233" priority="2715" operator="lessThan">
      <formula>0</formula>
    </cfRule>
  </conditionalFormatting>
  <conditionalFormatting sqref="GM52:GQ52">
    <cfRule type="cellIs" dxfId="5232" priority="2710" operator="equal">
      <formula>"-"</formula>
    </cfRule>
    <cfRule type="cellIs" dxfId="5231" priority="2711" operator="greaterThan">
      <formula>0</formula>
    </cfRule>
    <cfRule type="cellIs" dxfId="5230" priority="2712" operator="lessThan">
      <formula>0</formula>
    </cfRule>
  </conditionalFormatting>
  <conditionalFormatting sqref="Y37">
    <cfRule type="cellIs" dxfId="5229" priority="2596" operator="equal">
      <formula>"-"</formula>
    </cfRule>
    <cfRule type="cellIs" dxfId="5228" priority="2597" operator="greaterThan">
      <formula>0</formula>
    </cfRule>
    <cfRule type="cellIs" dxfId="5227" priority="2598" operator="lessThan">
      <formula>0</formula>
    </cfRule>
  </conditionalFormatting>
  <conditionalFormatting sqref="Y40">
    <cfRule type="cellIs" dxfId="5226" priority="2593" operator="equal">
      <formula>"-"</formula>
    </cfRule>
    <cfRule type="cellIs" dxfId="5225" priority="2594" operator="greaterThan">
      <formula>0</formula>
    </cfRule>
    <cfRule type="cellIs" dxfId="5224" priority="2595" operator="lessThan">
      <formula>0</formula>
    </cfRule>
  </conditionalFormatting>
  <conditionalFormatting sqref="Y43">
    <cfRule type="cellIs" dxfId="5223" priority="2590" operator="equal">
      <formula>"-"</formula>
    </cfRule>
    <cfRule type="cellIs" dxfId="5222" priority="2591" operator="greaterThan">
      <formula>0</formula>
    </cfRule>
    <cfRule type="cellIs" dxfId="5221" priority="2592" operator="lessThan">
      <formula>0</formula>
    </cfRule>
  </conditionalFormatting>
  <conditionalFormatting sqref="Y46">
    <cfRule type="cellIs" dxfId="5220" priority="2587" operator="equal">
      <formula>"-"</formula>
    </cfRule>
    <cfRule type="cellIs" dxfId="5219" priority="2588" operator="greaterThan">
      <formula>0</formula>
    </cfRule>
    <cfRule type="cellIs" dxfId="5218" priority="2589" operator="lessThan">
      <formula>0</formula>
    </cfRule>
  </conditionalFormatting>
  <conditionalFormatting sqref="Y49">
    <cfRule type="cellIs" dxfId="5217" priority="2584" operator="equal">
      <formula>"-"</formula>
    </cfRule>
    <cfRule type="cellIs" dxfId="5216" priority="2585" operator="greaterThan">
      <formula>0</formula>
    </cfRule>
    <cfRule type="cellIs" dxfId="5215" priority="2586" operator="lessThan">
      <formula>0</formula>
    </cfRule>
  </conditionalFormatting>
  <conditionalFormatting sqref="Y52">
    <cfRule type="cellIs" dxfId="5214" priority="2581" operator="equal">
      <formula>"-"</formula>
    </cfRule>
    <cfRule type="cellIs" dxfId="5213" priority="2582" operator="greaterThan">
      <formula>0</formula>
    </cfRule>
    <cfRule type="cellIs" dxfId="5212" priority="2583" operator="lessThan">
      <formula>0</formula>
    </cfRule>
  </conditionalFormatting>
  <conditionalFormatting sqref="AF37">
    <cfRule type="cellIs" dxfId="5211" priority="2578" operator="equal">
      <formula>"-"</formula>
    </cfRule>
    <cfRule type="cellIs" dxfId="5210" priority="2579" operator="greaterThan">
      <formula>0</formula>
    </cfRule>
    <cfRule type="cellIs" dxfId="5209" priority="2580" operator="lessThan">
      <formula>0</formula>
    </cfRule>
  </conditionalFormatting>
  <conditionalFormatting sqref="AF40">
    <cfRule type="cellIs" dxfId="5208" priority="2575" operator="equal">
      <formula>"-"</formula>
    </cfRule>
    <cfRule type="cellIs" dxfId="5207" priority="2576" operator="greaterThan">
      <formula>0</formula>
    </cfRule>
    <cfRule type="cellIs" dxfId="5206" priority="2577" operator="lessThan">
      <formula>0</formula>
    </cfRule>
  </conditionalFormatting>
  <conditionalFormatting sqref="AF43">
    <cfRule type="cellIs" dxfId="5205" priority="2572" operator="equal">
      <formula>"-"</formula>
    </cfRule>
    <cfRule type="cellIs" dxfId="5204" priority="2573" operator="greaterThan">
      <formula>0</formula>
    </cfRule>
    <cfRule type="cellIs" dxfId="5203" priority="2574" operator="lessThan">
      <formula>0</formula>
    </cfRule>
  </conditionalFormatting>
  <conditionalFormatting sqref="AF46">
    <cfRule type="cellIs" dxfId="5202" priority="2569" operator="equal">
      <formula>"-"</formula>
    </cfRule>
    <cfRule type="cellIs" dxfId="5201" priority="2570" operator="greaterThan">
      <formula>0</formula>
    </cfRule>
    <cfRule type="cellIs" dxfId="5200" priority="2571" operator="lessThan">
      <formula>0</formula>
    </cfRule>
  </conditionalFormatting>
  <conditionalFormatting sqref="AF49">
    <cfRule type="cellIs" dxfId="5199" priority="2566" operator="equal">
      <formula>"-"</formula>
    </cfRule>
    <cfRule type="cellIs" dxfId="5198" priority="2567" operator="greaterThan">
      <formula>0</formula>
    </cfRule>
    <cfRule type="cellIs" dxfId="5197" priority="2568" operator="lessThan">
      <formula>0</formula>
    </cfRule>
  </conditionalFormatting>
  <conditionalFormatting sqref="AF52">
    <cfRule type="cellIs" dxfId="5196" priority="2563" operator="equal">
      <formula>"-"</formula>
    </cfRule>
    <cfRule type="cellIs" dxfId="5195" priority="2564" operator="greaterThan">
      <formula>0</formula>
    </cfRule>
    <cfRule type="cellIs" dxfId="5194" priority="2565" operator="lessThan">
      <formula>0</formula>
    </cfRule>
  </conditionalFormatting>
  <conditionalFormatting sqref="AM37">
    <cfRule type="cellIs" dxfId="5193" priority="2560" operator="equal">
      <formula>"-"</formula>
    </cfRule>
    <cfRule type="cellIs" dxfId="5192" priority="2561" operator="greaterThan">
      <formula>0</formula>
    </cfRule>
    <cfRule type="cellIs" dxfId="5191" priority="2562" operator="lessThan">
      <formula>0</formula>
    </cfRule>
  </conditionalFormatting>
  <conditionalFormatting sqref="AM40">
    <cfRule type="cellIs" dxfId="5190" priority="2557" operator="equal">
      <formula>"-"</formula>
    </cfRule>
    <cfRule type="cellIs" dxfId="5189" priority="2558" operator="greaterThan">
      <formula>0</formula>
    </cfRule>
    <cfRule type="cellIs" dxfId="5188" priority="2559" operator="lessThan">
      <formula>0</formula>
    </cfRule>
  </conditionalFormatting>
  <conditionalFormatting sqref="AM43">
    <cfRule type="cellIs" dxfId="5187" priority="2554" operator="equal">
      <formula>"-"</formula>
    </cfRule>
    <cfRule type="cellIs" dxfId="5186" priority="2555" operator="greaterThan">
      <formula>0</formula>
    </cfRule>
    <cfRule type="cellIs" dxfId="5185" priority="2556" operator="lessThan">
      <formula>0</formula>
    </cfRule>
  </conditionalFormatting>
  <conditionalFormatting sqref="AM46">
    <cfRule type="cellIs" dxfId="5184" priority="2551" operator="equal">
      <formula>"-"</formula>
    </cfRule>
    <cfRule type="cellIs" dxfId="5183" priority="2552" operator="greaterThan">
      <formula>0</formula>
    </cfRule>
    <cfRule type="cellIs" dxfId="5182" priority="2553" operator="lessThan">
      <formula>0</formula>
    </cfRule>
  </conditionalFormatting>
  <conditionalFormatting sqref="AM49">
    <cfRule type="cellIs" dxfId="5181" priority="2548" operator="equal">
      <formula>"-"</formula>
    </cfRule>
    <cfRule type="cellIs" dxfId="5180" priority="2549" operator="greaterThan">
      <formula>0</formula>
    </cfRule>
    <cfRule type="cellIs" dxfId="5179" priority="2550" operator="lessThan">
      <formula>0</formula>
    </cfRule>
  </conditionalFormatting>
  <conditionalFormatting sqref="AM52">
    <cfRule type="cellIs" dxfId="5178" priority="2545" operator="equal">
      <formula>"-"</formula>
    </cfRule>
    <cfRule type="cellIs" dxfId="5177" priority="2546" operator="greaterThan">
      <formula>0</formula>
    </cfRule>
    <cfRule type="cellIs" dxfId="5176" priority="2547" operator="lessThan">
      <formula>0</formula>
    </cfRule>
  </conditionalFormatting>
  <conditionalFormatting sqref="AT37">
    <cfRule type="cellIs" dxfId="5175" priority="2542" operator="equal">
      <formula>"-"</formula>
    </cfRule>
    <cfRule type="cellIs" dxfId="5174" priority="2543" operator="greaterThan">
      <formula>0</formula>
    </cfRule>
    <cfRule type="cellIs" dxfId="5173" priority="2544" operator="lessThan">
      <formula>0</formula>
    </cfRule>
  </conditionalFormatting>
  <conditionalFormatting sqref="AT40">
    <cfRule type="cellIs" dxfId="5172" priority="2539" operator="equal">
      <formula>"-"</formula>
    </cfRule>
    <cfRule type="cellIs" dxfId="5171" priority="2540" operator="greaterThan">
      <formula>0</formula>
    </cfRule>
    <cfRule type="cellIs" dxfId="5170" priority="2541" operator="lessThan">
      <formula>0</formula>
    </cfRule>
  </conditionalFormatting>
  <conditionalFormatting sqref="AT43">
    <cfRule type="cellIs" dxfId="5169" priority="2536" operator="equal">
      <formula>"-"</formula>
    </cfRule>
    <cfRule type="cellIs" dxfId="5168" priority="2537" operator="greaterThan">
      <formula>0</formula>
    </cfRule>
    <cfRule type="cellIs" dxfId="5167" priority="2538" operator="lessThan">
      <formula>0</formula>
    </cfRule>
  </conditionalFormatting>
  <conditionalFormatting sqref="AT46">
    <cfRule type="cellIs" dxfId="5166" priority="2533" operator="equal">
      <formula>"-"</formula>
    </cfRule>
    <cfRule type="cellIs" dxfId="5165" priority="2534" operator="greaterThan">
      <formula>0</formula>
    </cfRule>
    <cfRule type="cellIs" dxfId="5164" priority="2535" operator="lessThan">
      <formula>0</formula>
    </cfRule>
  </conditionalFormatting>
  <conditionalFormatting sqref="AT49">
    <cfRule type="cellIs" dxfId="5163" priority="2530" operator="equal">
      <formula>"-"</formula>
    </cfRule>
    <cfRule type="cellIs" dxfId="5162" priority="2531" operator="greaterThan">
      <formula>0</formula>
    </cfRule>
    <cfRule type="cellIs" dxfId="5161" priority="2532" operator="lessThan">
      <formula>0</formula>
    </cfRule>
  </conditionalFormatting>
  <conditionalFormatting sqref="AT52">
    <cfRule type="cellIs" dxfId="5160" priority="2527" operator="equal">
      <formula>"-"</formula>
    </cfRule>
    <cfRule type="cellIs" dxfId="5159" priority="2528" operator="greaterThan">
      <formula>0</formula>
    </cfRule>
    <cfRule type="cellIs" dxfId="5158" priority="2529" operator="lessThan">
      <formula>0</formula>
    </cfRule>
  </conditionalFormatting>
  <conditionalFormatting sqref="BA37">
    <cfRule type="cellIs" dxfId="5157" priority="2524" operator="equal">
      <formula>"-"</formula>
    </cfRule>
    <cfRule type="cellIs" dxfId="5156" priority="2525" operator="greaterThan">
      <formula>0</formula>
    </cfRule>
    <cfRule type="cellIs" dxfId="5155" priority="2526" operator="lessThan">
      <formula>0</formula>
    </cfRule>
  </conditionalFormatting>
  <conditionalFormatting sqref="BA40">
    <cfRule type="cellIs" dxfId="5154" priority="2521" operator="equal">
      <formula>"-"</formula>
    </cfRule>
    <cfRule type="cellIs" dxfId="5153" priority="2522" operator="greaterThan">
      <formula>0</formula>
    </cfRule>
    <cfRule type="cellIs" dxfId="5152" priority="2523" operator="lessThan">
      <formula>0</formula>
    </cfRule>
  </conditionalFormatting>
  <conditionalFormatting sqref="BA43">
    <cfRule type="cellIs" dxfId="5151" priority="2518" operator="equal">
      <formula>"-"</formula>
    </cfRule>
    <cfRule type="cellIs" dxfId="5150" priority="2519" operator="greaterThan">
      <formula>0</formula>
    </cfRule>
    <cfRule type="cellIs" dxfId="5149" priority="2520" operator="lessThan">
      <formula>0</formula>
    </cfRule>
  </conditionalFormatting>
  <conditionalFormatting sqref="BA46">
    <cfRule type="cellIs" dxfId="5148" priority="2515" operator="equal">
      <formula>"-"</formula>
    </cfRule>
    <cfRule type="cellIs" dxfId="5147" priority="2516" operator="greaterThan">
      <formula>0</formula>
    </cfRule>
    <cfRule type="cellIs" dxfId="5146" priority="2517" operator="lessThan">
      <formula>0</formula>
    </cfRule>
  </conditionalFormatting>
  <conditionalFormatting sqref="BA49">
    <cfRule type="cellIs" dxfId="5145" priority="2512" operator="equal">
      <formula>"-"</formula>
    </cfRule>
    <cfRule type="cellIs" dxfId="5144" priority="2513" operator="greaterThan">
      <formula>0</formula>
    </cfRule>
    <cfRule type="cellIs" dxfId="5143" priority="2514" operator="lessThan">
      <formula>0</formula>
    </cfRule>
  </conditionalFormatting>
  <conditionalFormatting sqref="BA52">
    <cfRule type="cellIs" dxfId="5142" priority="2509" operator="equal">
      <formula>"-"</formula>
    </cfRule>
    <cfRule type="cellIs" dxfId="5141" priority="2510" operator="greaterThan">
      <formula>0</formula>
    </cfRule>
    <cfRule type="cellIs" dxfId="5140" priority="2511" operator="lessThan">
      <formula>0</formula>
    </cfRule>
  </conditionalFormatting>
  <conditionalFormatting sqref="BH37">
    <cfRule type="cellIs" dxfId="5139" priority="2506" operator="equal">
      <formula>"-"</formula>
    </cfRule>
    <cfRule type="cellIs" dxfId="5138" priority="2507" operator="greaterThan">
      <formula>0</formula>
    </cfRule>
    <cfRule type="cellIs" dxfId="5137" priority="2508" operator="lessThan">
      <formula>0</formula>
    </cfRule>
  </conditionalFormatting>
  <conditionalFormatting sqref="BH40">
    <cfRule type="cellIs" dxfId="5136" priority="2503" operator="equal">
      <formula>"-"</formula>
    </cfRule>
    <cfRule type="cellIs" dxfId="5135" priority="2504" operator="greaterThan">
      <formula>0</formula>
    </cfRule>
    <cfRule type="cellIs" dxfId="5134" priority="2505" operator="lessThan">
      <formula>0</formula>
    </cfRule>
  </conditionalFormatting>
  <conditionalFormatting sqref="BH43">
    <cfRule type="cellIs" dxfId="5133" priority="2500" operator="equal">
      <formula>"-"</formula>
    </cfRule>
    <cfRule type="cellIs" dxfId="5132" priority="2501" operator="greaterThan">
      <formula>0</formula>
    </cfRule>
    <cfRule type="cellIs" dxfId="5131" priority="2502" operator="lessThan">
      <formula>0</formula>
    </cfRule>
  </conditionalFormatting>
  <conditionalFormatting sqref="BH46">
    <cfRule type="cellIs" dxfId="5130" priority="2497" operator="equal">
      <formula>"-"</formula>
    </cfRule>
    <cfRule type="cellIs" dxfId="5129" priority="2498" operator="greaterThan">
      <formula>0</formula>
    </cfRule>
    <cfRule type="cellIs" dxfId="5128" priority="2499" operator="lessThan">
      <formula>0</formula>
    </cfRule>
  </conditionalFormatting>
  <conditionalFormatting sqref="BH49">
    <cfRule type="cellIs" dxfId="5127" priority="2494" operator="equal">
      <formula>"-"</formula>
    </cfRule>
    <cfRule type="cellIs" dxfId="5126" priority="2495" operator="greaterThan">
      <formula>0</formula>
    </cfRule>
    <cfRule type="cellIs" dxfId="5125" priority="2496" operator="lessThan">
      <formula>0</formula>
    </cfRule>
  </conditionalFormatting>
  <conditionalFormatting sqref="BH52">
    <cfRule type="cellIs" dxfId="5124" priority="2491" operator="equal">
      <formula>"-"</formula>
    </cfRule>
    <cfRule type="cellIs" dxfId="5123" priority="2492" operator="greaterThan">
      <formula>0</formula>
    </cfRule>
    <cfRule type="cellIs" dxfId="5122" priority="2493" operator="lessThan">
      <formula>0</formula>
    </cfRule>
  </conditionalFormatting>
  <conditionalFormatting sqref="BO37">
    <cfRule type="cellIs" dxfId="5121" priority="2488" operator="equal">
      <formula>"-"</formula>
    </cfRule>
    <cfRule type="cellIs" dxfId="5120" priority="2489" operator="greaterThan">
      <formula>0</formula>
    </cfRule>
    <cfRule type="cellIs" dxfId="5119" priority="2490" operator="lessThan">
      <formula>0</formula>
    </cfRule>
  </conditionalFormatting>
  <conditionalFormatting sqref="BO40">
    <cfRule type="cellIs" dxfId="5118" priority="2485" operator="equal">
      <formula>"-"</formula>
    </cfRule>
    <cfRule type="cellIs" dxfId="5117" priority="2486" operator="greaterThan">
      <formula>0</formula>
    </cfRule>
    <cfRule type="cellIs" dxfId="5116" priority="2487" operator="lessThan">
      <formula>0</formula>
    </cfRule>
  </conditionalFormatting>
  <conditionalFormatting sqref="BO43">
    <cfRule type="cellIs" dxfId="5115" priority="2482" operator="equal">
      <formula>"-"</formula>
    </cfRule>
    <cfRule type="cellIs" dxfId="5114" priority="2483" operator="greaterThan">
      <formula>0</formula>
    </cfRule>
    <cfRule type="cellIs" dxfId="5113" priority="2484" operator="lessThan">
      <formula>0</formula>
    </cfRule>
  </conditionalFormatting>
  <conditionalFormatting sqref="BO46">
    <cfRule type="cellIs" dxfId="5112" priority="2479" operator="equal">
      <formula>"-"</formula>
    </cfRule>
    <cfRule type="cellIs" dxfId="5111" priority="2480" operator="greaterThan">
      <formula>0</formula>
    </cfRule>
    <cfRule type="cellIs" dxfId="5110" priority="2481" operator="lessThan">
      <formula>0</formula>
    </cfRule>
  </conditionalFormatting>
  <conditionalFormatting sqref="BO49">
    <cfRule type="cellIs" dxfId="5109" priority="2476" operator="equal">
      <formula>"-"</formula>
    </cfRule>
    <cfRule type="cellIs" dxfId="5108" priority="2477" operator="greaterThan">
      <formula>0</formula>
    </cfRule>
    <cfRule type="cellIs" dxfId="5107" priority="2478" operator="lessThan">
      <formula>0</formula>
    </cfRule>
  </conditionalFormatting>
  <conditionalFormatting sqref="BO52">
    <cfRule type="cellIs" dxfId="5106" priority="2473" operator="equal">
      <formula>"-"</formula>
    </cfRule>
    <cfRule type="cellIs" dxfId="5105" priority="2474" operator="greaterThan">
      <formula>0</formula>
    </cfRule>
    <cfRule type="cellIs" dxfId="5104" priority="2475" operator="lessThan">
      <formula>0</formula>
    </cfRule>
  </conditionalFormatting>
  <conditionalFormatting sqref="BV37">
    <cfRule type="cellIs" dxfId="5103" priority="2470" operator="equal">
      <formula>"-"</formula>
    </cfRule>
    <cfRule type="cellIs" dxfId="5102" priority="2471" operator="greaterThan">
      <formula>0</formula>
    </cfRule>
    <cfRule type="cellIs" dxfId="5101" priority="2472" operator="lessThan">
      <formula>0</formula>
    </cfRule>
  </conditionalFormatting>
  <conditionalFormatting sqref="BV40">
    <cfRule type="cellIs" dxfId="5100" priority="2467" operator="equal">
      <formula>"-"</formula>
    </cfRule>
    <cfRule type="cellIs" dxfId="5099" priority="2468" operator="greaterThan">
      <formula>0</formula>
    </cfRule>
    <cfRule type="cellIs" dxfId="5098" priority="2469" operator="lessThan">
      <formula>0</formula>
    </cfRule>
  </conditionalFormatting>
  <conditionalFormatting sqref="BV43">
    <cfRule type="cellIs" dxfId="5097" priority="2464" operator="equal">
      <formula>"-"</formula>
    </cfRule>
    <cfRule type="cellIs" dxfId="5096" priority="2465" operator="greaterThan">
      <formula>0</formula>
    </cfRule>
    <cfRule type="cellIs" dxfId="5095" priority="2466" operator="lessThan">
      <formula>0</formula>
    </cfRule>
  </conditionalFormatting>
  <conditionalFormatting sqref="BV46">
    <cfRule type="cellIs" dxfId="5094" priority="2461" operator="equal">
      <formula>"-"</formula>
    </cfRule>
    <cfRule type="cellIs" dxfId="5093" priority="2462" operator="greaterThan">
      <formula>0</formula>
    </cfRule>
    <cfRule type="cellIs" dxfId="5092" priority="2463" operator="lessThan">
      <formula>0</formula>
    </cfRule>
  </conditionalFormatting>
  <conditionalFormatting sqref="BV49">
    <cfRule type="cellIs" dxfId="5091" priority="2458" operator="equal">
      <formula>"-"</formula>
    </cfRule>
    <cfRule type="cellIs" dxfId="5090" priority="2459" operator="greaterThan">
      <formula>0</formula>
    </cfRule>
    <cfRule type="cellIs" dxfId="5089" priority="2460" operator="lessThan">
      <formula>0</formula>
    </cfRule>
  </conditionalFormatting>
  <conditionalFormatting sqref="BV52">
    <cfRule type="cellIs" dxfId="5088" priority="2455" operator="equal">
      <formula>"-"</formula>
    </cfRule>
    <cfRule type="cellIs" dxfId="5087" priority="2456" operator="greaterThan">
      <formula>0</formula>
    </cfRule>
    <cfRule type="cellIs" dxfId="5086" priority="2457" operator="lessThan">
      <formula>0</formula>
    </cfRule>
  </conditionalFormatting>
  <conditionalFormatting sqref="CC37">
    <cfRule type="cellIs" dxfId="5085" priority="2452" operator="equal">
      <formula>"-"</formula>
    </cfRule>
    <cfRule type="cellIs" dxfId="5084" priority="2453" operator="greaterThan">
      <formula>0</formula>
    </cfRule>
    <cfRule type="cellIs" dxfId="5083" priority="2454" operator="lessThan">
      <formula>0</formula>
    </cfRule>
  </conditionalFormatting>
  <conditionalFormatting sqref="CC40">
    <cfRule type="cellIs" dxfId="5082" priority="2449" operator="equal">
      <formula>"-"</formula>
    </cfRule>
    <cfRule type="cellIs" dxfId="5081" priority="2450" operator="greaterThan">
      <formula>0</formula>
    </cfRule>
    <cfRule type="cellIs" dxfId="5080" priority="2451" operator="lessThan">
      <formula>0</formula>
    </cfRule>
  </conditionalFormatting>
  <conditionalFormatting sqref="CC43">
    <cfRule type="cellIs" dxfId="5079" priority="2446" operator="equal">
      <formula>"-"</formula>
    </cfRule>
    <cfRule type="cellIs" dxfId="5078" priority="2447" operator="greaterThan">
      <formula>0</formula>
    </cfRule>
    <cfRule type="cellIs" dxfId="5077" priority="2448" operator="lessThan">
      <formula>0</formula>
    </cfRule>
  </conditionalFormatting>
  <conditionalFormatting sqref="CC46">
    <cfRule type="cellIs" dxfId="5076" priority="2443" operator="equal">
      <formula>"-"</formula>
    </cfRule>
    <cfRule type="cellIs" dxfId="5075" priority="2444" operator="greaterThan">
      <formula>0</formula>
    </cfRule>
    <cfRule type="cellIs" dxfId="5074" priority="2445" operator="lessThan">
      <formula>0</formula>
    </cfRule>
  </conditionalFormatting>
  <conditionalFormatting sqref="CC49">
    <cfRule type="cellIs" dxfId="5073" priority="2440" operator="equal">
      <formula>"-"</formula>
    </cfRule>
    <cfRule type="cellIs" dxfId="5072" priority="2441" operator="greaterThan">
      <formula>0</formula>
    </cfRule>
    <cfRule type="cellIs" dxfId="5071" priority="2442" operator="lessThan">
      <formula>0</formula>
    </cfRule>
  </conditionalFormatting>
  <conditionalFormatting sqref="CC52">
    <cfRule type="cellIs" dxfId="5070" priority="2437" operator="equal">
      <formula>"-"</formula>
    </cfRule>
    <cfRule type="cellIs" dxfId="5069" priority="2438" operator="greaterThan">
      <formula>0</formula>
    </cfRule>
    <cfRule type="cellIs" dxfId="5068" priority="2439" operator="lessThan">
      <formula>0</formula>
    </cfRule>
  </conditionalFormatting>
  <conditionalFormatting sqref="CJ37">
    <cfRule type="cellIs" dxfId="5067" priority="2434" operator="equal">
      <formula>"-"</formula>
    </cfRule>
    <cfRule type="cellIs" dxfId="5066" priority="2435" operator="greaterThan">
      <formula>0</formula>
    </cfRule>
    <cfRule type="cellIs" dxfId="5065" priority="2436" operator="lessThan">
      <formula>0</formula>
    </cfRule>
  </conditionalFormatting>
  <conditionalFormatting sqref="CJ40">
    <cfRule type="cellIs" dxfId="5064" priority="2431" operator="equal">
      <formula>"-"</formula>
    </cfRule>
    <cfRule type="cellIs" dxfId="5063" priority="2432" operator="greaterThan">
      <formula>0</formula>
    </cfRule>
    <cfRule type="cellIs" dxfId="5062" priority="2433" operator="lessThan">
      <formula>0</formula>
    </cfRule>
  </conditionalFormatting>
  <conditionalFormatting sqref="CJ43">
    <cfRule type="cellIs" dxfId="5061" priority="2428" operator="equal">
      <formula>"-"</formula>
    </cfRule>
    <cfRule type="cellIs" dxfId="5060" priority="2429" operator="greaterThan">
      <formula>0</formula>
    </cfRule>
    <cfRule type="cellIs" dxfId="5059" priority="2430" operator="lessThan">
      <formula>0</formula>
    </cfRule>
  </conditionalFormatting>
  <conditionalFormatting sqref="CJ46">
    <cfRule type="cellIs" dxfId="5058" priority="2425" operator="equal">
      <formula>"-"</formula>
    </cfRule>
    <cfRule type="cellIs" dxfId="5057" priority="2426" operator="greaterThan">
      <formula>0</formula>
    </cfRule>
    <cfRule type="cellIs" dxfId="5056" priority="2427" operator="lessThan">
      <formula>0</formula>
    </cfRule>
  </conditionalFormatting>
  <conditionalFormatting sqref="CJ49">
    <cfRule type="cellIs" dxfId="5055" priority="2422" operator="equal">
      <formula>"-"</formula>
    </cfRule>
    <cfRule type="cellIs" dxfId="5054" priority="2423" operator="greaterThan">
      <formula>0</formula>
    </cfRule>
    <cfRule type="cellIs" dxfId="5053" priority="2424" operator="lessThan">
      <formula>0</formula>
    </cfRule>
  </conditionalFormatting>
  <conditionalFormatting sqref="CJ52">
    <cfRule type="cellIs" dxfId="5052" priority="2419" operator="equal">
      <formula>"-"</formula>
    </cfRule>
    <cfRule type="cellIs" dxfId="5051" priority="2420" operator="greaterThan">
      <formula>0</formula>
    </cfRule>
    <cfRule type="cellIs" dxfId="5050" priority="2421" operator="lessThan">
      <formula>0</formula>
    </cfRule>
  </conditionalFormatting>
  <conditionalFormatting sqref="CQ37">
    <cfRule type="cellIs" dxfId="5049" priority="2416" operator="equal">
      <formula>"-"</formula>
    </cfRule>
    <cfRule type="cellIs" dxfId="5048" priority="2417" operator="greaterThan">
      <formula>0</formula>
    </cfRule>
    <cfRule type="cellIs" dxfId="5047" priority="2418" operator="lessThan">
      <formula>0</formula>
    </cfRule>
  </conditionalFormatting>
  <conditionalFormatting sqref="CQ40">
    <cfRule type="cellIs" dxfId="5046" priority="2413" operator="equal">
      <formula>"-"</formula>
    </cfRule>
    <cfRule type="cellIs" dxfId="5045" priority="2414" operator="greaterThan">
      <formula>0</formula>
    </cfRule>
    <cfRule type="cellIs" dxfId="5044" priority="2415" operator="lessThan">
      <formula>0</formula>
    </cfRule>
  </conditionalFormatting>
  <conditionalFormatting sqref="CQ43">
    <cfRule type="cellIs" dxfId="5043" priority="2410" operator="equal">
      <formula>"-"</formula>
    </cfRule>
    <cfRule type="cellIs" dxfId="5042" priority="2411" operator="greaterThan">
      <formula>0</formula>
    </cfRule>
    <cfRule type="cellIs" dxfId="5041" priority="2412" operator="lessThan">
      <formula>0</formula>
    </cfRule>
  </conditionalFormatting>
  <conditionalFormatting sqref="CQ46">
    <cfRule type="cellIs" dxfId="5040" priority="2407" operator="equal">
      <formula>"-"</formula>
    </cfRule>
    <cfRule type="cellIs" dxfId="5039" priority="2408" operator="greaterThan">
      <formula>0</formula>
    </cfRule>
    <cfRule type="cellIs" dxfId="5038" priority="2409" operator="lessThan">
      <formula>0</formula>
    </cfRule>
  </conditionalFormatting>
  <conditionalFormatting sqref="CQ49">
    <cfRule type="cellIs" dxfId="5037" priority="2404" operator="equal">
      <formula>"-"</formula>
    </cfRule>
    <cfRule type="cellIs" dxfId="5036" priority="2405" operator="greaterThan">
      <formula>0</formula>
    </cfRule>
    <cfRule type="cellIs" dxfId="5035" priority="2406" operator="lessThan">
      <formula>0</formula>
    </cfRule>
  </conditionalFormatting>
  <conditionalFormatting sqref="CQ52">
    <cfRule type="cellIs" dxfId="5034" priority="2401" operator="equal">
      <formula>"-"</formula>
    </cfRule>
    <cfRule type="cellIs" dxfId="5033" priority="2402" operator="greaterThan">
      <formula>0</formula>
    </cfRule>
    <cfRule type="cellIs" dxfId="5032" priority="2403" operator="lessThan">
      <formula>0</formula>
    </cfRule>
  </conditionalFormatting>
  <conditionalFormatting sqref="CX37">
    <cfRule type="cellIs" dxfId="5031" priority="2398" operator="equal">
      <formula>"-"</formula>
    </cfRule>
    <cfRule type="cellIs" dxfId="5030" priority="2399" operator="greaterThan">
      <formula>0</formula>
    </cfRule>
    <cfRule type="cellIs" dxfId="5029" priority="2400" operator="lessThan">
      <formula>0</formula>
    </cfRule>
  </conditionalFormatting>
  <conditionalFormatting sqref="CX40">
    <cfRule type="cellIs" dxfId="5028" priority="2395" operator="equal">
      <formula>"-"</formula>
    </cfRule>
    <cfRule type="cellIs" dxfId="5027" priority="2396" operator="greaterThan">
      <formula>0</formula>
    </cfRule>
    <cfRule type="cellIs" dxfId="5026" priority="2397" operator="lessThan">
      <formula>0</formula>
    </cfRule>
  </conditionalFormatting>
  <conditionalFormatting sqref="CX43">
    <cfRule type="cellIs" dxfId="5025" priority="2392" operator="equal">
      <formula>"-"</formula>
    </cfRule>
    <cfRule type="cellIs" dxfId="5024" priority="2393" operator="greaterThan">
      <formula>0</formula>
    </cfRule>
    <cfRule type="cellIs" dxfId="5023" priority="2394" operator="lessThan">
      <formula>0</formula>
    </cfRule>
  </conditionalFormatting>
  <conditionalFormatting sqref="CX46">
    <cfRule type="cellIs" dxfId="5022" priority="2389" operator="equal">
      <formula>"-"</formula>
    </cfRule>
    <cfRule type="cellIs" dxfId="5021" priority="2390" operator="greaterThan">
      <formula>0</formula>
    </cfRule>
    <cfRule type="cellIs" dxfId="5020" priority="2391" operator="lessThan">
      <formula>0</formula>
    </cfRule>
  </conditionalFormatting>
  <conditionalFormatting sqref="CX49">
    <cfRule type="cellIs" dxfId="5019" priority="2386" operator="equal">
      <formula>"-"</formula>
    </cfRule>
    <cfRule type="cellIs" dxfId="5018" priority="2387" operator="greaterThan">
      <formula>0</formula>
    </cfRule>
    <cfRule type="cellIs" dxfId="5017" priority="2388" operator="lessThan">
      <formula>0</formula>
    </cfRule>
  </conditionalFormatting>
  <conditionalFormatting sqref="CX52">
    <cfRule type="cellIs" dxfId="5016" priority="2383" operator="equal">
      <formula>"-"</formula>
    </cfRule>
    <cfRule type="cellIs" dxfId="5015" priority="2384" operator="greaterThan">
      <formula>0</formula>
    </cfRule>
    <cfRule type="cellIs" dxfId="5014" priority="2385" operator="lessThan">
      <formula>0</formula>
    </cfRule>
  </conditionalFormatting>
  <conditionalFormatting sqref="DE37">
    <cfRule type="cellIs" dxfId="5013" priority="2380" operator="equal">
      <formula>"-"</formula>
    </cfRule>
    <cfRule type="cellIs" dxfId="5012" priority="2381" operator="greaterThan">
      <formula>0</formula>
    </cfRule>
    <cfRule type="cellIs" dxfId="5011" priority="2382" operator="lessThan">
      <formula>0</formula>
    </cfRule>
  </conditionalFormatting>
  <conditionalFormatting sqref="DE40">
    <cfRule type="cellIs" dxfId="5010" priority="2377" operator="equal">
      <formula>"-"</formula>
    </cfRule>
    <cfRule type="cellIs" dxfId="5009" priority="2378" operator="greaterThan">
      <formula>0</formula>
    </cfRule>
    <cfRule type="cellIs" dxfId="5008" priority="2379" operator="lessThan">
      <formula>0</formula>
    </cfRule>
  </conditionalFormatting>
  <conditionalFormatting sqref="DE43">
    <cfRule type="cellIs" dxfId="5007" priority="2374" operator="equal">
      <formula>"-"</formula>
    </cfRule>
    <cfRule type="cellIs" dxfId="5006" priority="2375" operator="greaterThan">
      <formula>0</formula>
    </cfRule>
    <cfRule type="cellIs" dxfId="5005" priority="2376" operator="lessThan">
      <formula>0</formula>
    </cfRule>
  </conditionalFormatting>
  <conditionalFormatting sqref="DE46">
    <cfRule type="cellIs" dxfId="5004" priority="2371" operator="equal">
      <formula>"-"</formula>
    </cfRule>
    <cfRule type="cellIs" dxfId="5003" priority="2372" operator="greaterThan">
      <formula>0</formula>
    </cfRule>
    <cfRule type="cellIs" dxfId="5002" priority="2373" operator="lessThan">
      <formula>0</formula>
    </cfRule>
  </conditionalFormatting>
  <conditionalFormatting sqref="DE49">
    <cfRule type="cellIs" dxfId="5001" priority="2368" operator="equal">
      <formula>"-"</formula>
    </cfRule>
    <cfRule type="cellIs" dxfId="5000" priority="2369" operator="greaterThan">
      <formula>0</formula>
    </cfRule>
    <cfRule type="cellIs" dxfId="4999" priority="2370" operator="lessThan">
      <formula>0</formula>
    </cfRule>
  </conditionalFormatting>
  <conditionalFormatting sqref="DE52">
    <cfRule type="cellIs" dxfId="4998" priority="2365" operator="equal">
      <formula>"-"</formula>
    </cfRule>
    <cfRule type="cellIs" dxfId="4997" priority="2366" operator="greaterThan">
      <formula>0</formula>
    </cfRule>
    <cfRule type="cellIs" dxfId="4996" priority="2367" operator="lessThan">
      <formula>0</formula>
    </cfRule>
  </conditionalFormatting>
  <conditionalFormatting sqref="DL37">
    <cfRule type="cellIs" dxfId="4995" priority="2362" operator="equal">
      <formula>"-"</formula>
    </cfRule>
    <cfRule type="cellIs" dxfId="4994" priority="2363" operator="greaterThan">
      <formula>0</formula>
    </cfRule>
    <cfRule type="cellIs" dxfId="4993" priority="2364" operator="lessThan">
      <formula>0</formula>
    </cfRule>
  </conditionalFormatting>
  <conditionalFormatting sqref="DL40">
    <cfRule type="cellIs" dxfId="4992" priority="2359" operator="equal">
      <formula>"-"</formula>
    </cfRule>
    <cfRule type="cellIs" dxfId="4991" priority="2360" operator="greaterThan">
      <formula>0</formula>
    </cfRule>
    <cfRule type="cellIs" dxfId="4990" priority="2361" operator="lessThan">
      <formula>0</formula>
    </cfRule>
  </conditionalFormatting>
  <conditionalFormatting sqref="DL43">
    <cfRule type="cellIs" dxfId="4989" priority="2356" operator="equal">
      <formula>"-"</formula>
    </cfRule>
    <cfRule type="cellIs" dxfId="4988" priority="2357" operator="greaterThan">
      <formula>0</formula>
    </cfRule>
    <cfRule type="cellIs" dxfId="4987" priority="2358" operator="lessThan">
      <formula>0</formula>
    </cfRule>
  </conditionalFormatting>
  <conditionalFormatting sqref="DL46">
    <cfRule type="cellIs" dxfId="4986" priority="2353" operator="equal">
      <formula>"-"</formula>
    </cfRule>
    <cfRule type="cellIs" dxfId="4985" priority="2354" operator="greaterThan">
      <formula>0</formula>
    </cfRule>
    <cfRule type="cellIs" dxfId="4984" priority="2355" operator="lessThan">
      <formula>0</formula>
    </cfRule>
  </conditionalFormatting>
  <conditionalFormatting sqref="DL49">
    <cfRule type="cellIs" dxfId="4983" priority="2350" operator="equal">
      <formula>"-"</formula>
    </cfRule>
    <cfRule type="cellIs" dxfId="4982" priority="2351" operator="greaterThan">
      <formula>0</formula>
    </cfRule>
    <cfRule type="cellIs" dxfId="4981" priority="2352" operator="lessThan">
      <formula>0</formula>
    </cfRule>
  </conditionalFormatting>
  <conditionalFormatting sqref="DL52">
    <cfRule type="cellIs" dxfId="4980" priority="2347" operator="equal">
      <formula>"-"</formula>
    </cfRule>
    <cfRule type="cellIs" dxfId="4979" priority="2348" operator="greaterThan">
      <formula>0</formula>
    </cfRule>
    <cfRule type="cellIs" dxfId="4978" priority="2349" operator="lessThan">
      <formula>0</formula>
    </cfRule>
  </conditionalFormatting>
  <conditionalFormatting sqref="DS37">
    <cfRule type="cellIs" dxfId="4977" priority="2344" operator="equal">
      <formula>"-"</formula>
    </cfRule>
    <cfRule type="cellIs" dxfId="4976" priority="2345" operator="greaterThan">
      <formula>0</formula>
    </cfRule>
    <cfRule type="cellIs" dxfId="4975" priority="2346" operator="lessThan">
      <formula>0</formula>
    </cfRule>
  </conditionalFormatting>
  <conditionalFormatting sqref="DS40">
    <cfRule type="cellIs" dxfId="4974" priority="2341" operator="equal">
      <formula>"-"</formula>
    </cfRule>
    <cfRule type="cellIs" dxfId="4973" priority="2342" operator="greaterThan">
      <formula>0</formula>
    </cfRule>
    <cfRule type="cellIs" dxfId="4972" priority="2343" operator="lessThan">
      <formula>0</formula>
    </cfRule>
  </conditionalFormatting>
  <conditionalFormatting sqref="DS43">
    <cfRule type="cellIs" dxfId="4971" priority="2338" operator="equal">
      <formula>"-"</formula>
    </cfRule>
    <cfRule type="cellIs" dxfId="4970" priority="2339" operator="greaterThan">
      <formula>0</formula>
    </cfRule>
    <cfRule type="cellIs" dxfId="4969" priority="2340" operator="lessThan">
      <formula>0</formula>
    </cfRule>
  </conditionalFormatting>
  <conditionalFormatting sqref="DS46">
    <cfRule type="cellIs" dxfId="4968" priority="2335" operator="equal">
      <formula>"-"</formula>
    </cfRule>
    <cfRule type="cellIs" dxfId="4967" priority="2336" operator="greaterThan">
      <formula>0</formula>
    </cfRule>
    <cfRule type="cellIs" dxfId="4966" priority="2337" operator="lessThan">
      <formula>0</formula>
    </cfRule>
  </conditionalFormatting>
  <conditionalFormatting sqref="DS49">
    <cfRule type="cellIs" dxfId="4965" priority="2332" operator="equal">
      <formula>"-"</formula>
    </cfRule>
    <cfRule type="cellIs" dxfId="4964" priority="2333" operator="greaterThan">
      <formula>0</formula>
    </cfRule>
    <cfRule type="cellIs" dxfId="4963" priority="2334" operator="lessThan">
      <formula>0</formula>
    </cfRule>
  </conditionalFormatting>
  <conditionalFormatting sqref="DS52">
    <cfRule type="cellIs" dxfId="4962" priority="2329" operator="equal">
      <formula>"-"</formula>
    </cfRule>
    <cfRule type="cellIs" dxfId="4961" priority="2330" operator="greaterThan">
      <formula>0</formula>
    </cfRule>
    <cfRule type="cellIs" dxfId="4960" priority="2331" operator="lessThan">
      <formula>0</formula>
    </cfRule>
  </conditionalFormatting>
  <conditionalFormatting sqref="DZ37">
    <cfRule type="cellIs" dxfId="4959" priority="2326" operator="equal">
      <formula>"-"</formula>
    </cfRule>
    <cfRule type="cellIs" dxfId="4958" priority="2327" operator="greaterThan">
      <formula>0</formula>
    </cfRule>
    <cfRule type="cellIs" dxfId="4957" priority="2328" operator="lessThan">
      <formula>0</formula>
    </cfRule>
  </conditionalFormatting>
  <conditionalFormatting sqref="DZ40">
    <cfRule type="cellIs" dxfId="4956" priority="2323" operator="equal">
      <formula>"-"</formula>
    </cfRule>
    <cfRule type="cellIs" dxfId="4955" priority="2324" operator="greaterThan">
      <formula>0</formula>
    </cfRule>
    <cfRule type="cellIs" dxfId="4954" priority="2325" operator="lessThan">
      <formula>0</formula>
    </cfRule>
  </conditionalFormatting>
  <conditionalFormatting sqref="DZ43">
    <cfRule type="cellIs" dxfId="4953" priority="2320" operator="equal">
      <formula>"-"</formula>
    </cfRule>
    <cfRule type="cellIs" dxfId="4952" priority="2321" operator="greaterThan">
      <formula>0</formula>
    </cfRule>
    <cfRule type="cellIs" dxfId="4951" priority="2322" operator="lessThan">
      <formula>0</formula>
    </cfRule>
  </conditionalFormatting>
  <conditionalFormatting sqref="DZ46">
    <cfRule type="cellIs" dxfId="4950" priority="2317" operator="equal">
      <formula>"-"</formula>
    </cfRule>
    <cfRule type="cellIs" dxfId="4949" priority="2318" operator="greaterThan">
      <formula>0</formula>
    </cfRule>
    <cfRule type="cellIs" dxfId="4948" priority="2319" operator="lessThan">
      <formula>0</formula>
    </cfRule>
  </conditionalFormatting>
  <conditionalFormatting sqref="DZ49">
    <cfRule type="cellIs" dxfId="4947" priority="2314" operator="equal">
      <formula>"-"</formula>
    </cfRule>
    <cfRule type="cellIs" dxfId="4946" priority="2315" operator="greaterThan">
      <formula>0</formula>
    </cfRule>
    <cfRule type="cellIs" dxfId="4945" priority="2316" operator="lessThan">
      <formula>0</formula>
    </cfRule>
  </conditionalFormatting>
  <conditionalFormatting sqref="DZ52">
    <cfRule type="cellIs" dxfId="4944" priority="2311" operator="equal">
      <formula>"-"</formula>
    </cfRule>
    <cfRule type="cellIs" dxfId="4943" priority="2312" operator="greaterThan">
      <formula>0</formula>
    </cfRule>
    <cfRule type="cellIs" dxfId="4942" priority="2313" operator="lessThan">
      <formula>0</formula>
    </cfRule>
  </conditionalFormatting>
  <conditionalFormatting sqref="EG37">
    <cfRule type="cellIs" dxfId="4941" priority="2308" operator="equal">
      <formula>"-"</formula>
    </cfRule>
    <cfRule type="cellIs" dxfId="4940" priority="2309" operator="greaterThan">
      <formula>0</formula>
    </cfRule>
    <cfRule type="cellIs" dxfId="4939" priority="2310" operator="lessThan">
      <formula>0</formula>
    </cfRule>
  </conditionalFormatting>
  <conditionalFormatting sqref="EG40">
    <cfRule type="cellIs" dxfId="4938" priority="2305" operator="equal">
      <formula>"-"</formula>
    </cfRule>
    <cfRule type="cellIs" dxfId="4937" priority="2306" operator="greaterThan">
      <formula>0</formula>
    </cfRule>
    <cfRule type="cellIs" dxfId="4936" priority="2307" operator="lessThan">
      <formula>0</formula>
    </cfRule>
  </conditionalFormatting>
  <conditionalFormatting sqref="EG43">
    <cfRule type="cellIs" dxfId="4935" priority="2302" operator="equal">
      <formula>"-"</formula>
    </cfRule>
    <cfRule type="cellIs" dxfId="4934" priority="2303" operator="greaterThan">
      <formula>0</formula>
    </cfRule>
    <cfRule type="cellIs" dxfId="4933" priority="2304" operator="lessThan">
      <formula>0</formula>
    </cfRule>
  </conditionalFormatting>
  <conditionalFormatting sqref="EG46">
    <cfRule type="cellIs" dxfId="4932" priority="2299" operator="equal">
      <formula>"-"</formula>
    </cfRule>
    <cfRule type="cellIs" dxfId="4931" priority="2300" operator="greaterThan">
      <formula>0</formula>
    </cfRule>
    <cfRule type="cellIs" dxfId="4930" priority="2301" operator="lessThan">
      <formula>0</formula>
    </cfRule>
  </conditionalFormatting>
  <conditionalFormatting sqref="EG49">
    <cfRule type="cellIs" dxfId="4929" priority="2296" operator="equal">
      <formula>"-"</formula>
    </cfRule>
    <cfRule type="cellIs" dxfId="4928" priority="2297" operator="greaterThan">
      <formula>0</formula>
    </cfRule>
    <cfRule type="cellIs" dxfId="4927" priority="2298" operator="lessThan">
      <formula>0</formula>
    </cfRule>
  </conditionalFormatting>
  <conditionalFormatting sqref="EG52">
    <cfRule type="cellIs" dxfId="4926" priority="2293" operator="equal">
      <formula>"-"</formula>
    </cfRule>
    <cfRule type="cellIs" dxfId="4925" priority="2294" operator="greaterThan">
      <formula>0</formula>
    </cfRule>
    <cfRule type="cellIs" dxfId="4924" priority="2295" operator="lessThan">
      <formula>0</formula>
    </cfRule>
  </conditionalFormatting>
  <conditionalFormatting sqref="EN37">
    <cfRule type="cellIs" dxfId="4923" priority="2290" operator="equal">
      <formula>"-"</formula>
    </cfRule>
    <cfRule type="cellIs" dxfId="4922" priority="2291" operator="greaterThan">
      <formula>0</formula>
    </cfRule>
    <cfRule type="cellIs" dxfId="4921" priority="2292" operator="lessThan">
      <formula>0</formula>
    </cfRule>
  </conditionalFormatting>
  <conditionalFormatting sqref="EN40">
    <cfRule type="cellIs" dxfId="4920" priority="2287" operator="equal">
      <formula>"-"</formula>
    </cfRule>
    <cfRule type="cellIs" dxfId="4919" priority="2288" operator="greaterThan">
      <formula>0</formula>
    </cfRule>
    <cfRule type="cellIs" dxfId="4918" priority="2289" operator="lessThan">
      <formula>0</formula>
    </cfRule>
  </conditionalFormatting>
  <conditionalFormatting sqref="EN43">
    <cfRule type="cellIs" dxfId="4917" priority="2284" operator="equal">
      <formula>"-"</formula>
    </cfRule>
    <cfRule type="cellIs" dxfId="4916" priority="2285" operator="greaterThan">
      <formula>0</formula>
    </cfRule>
    <cfRule type="cellIs" dxfId="4915" priority="2286" operator="lessThan">
      <formula>0</formula>
    </cfRule>
  </conditionalFormatting>
  <conditionalFormatting sqref="EN46">
    <cfRule type="cellIs" dxfId="4914" priority="2281" operator="equal">
      <formula>"-"</formula>
    </cfRule>
    <cfRule type="cellIs" dxfId="4913" priority="2282" operator="greaterThan">
      <formula>0</formula>
    </cfRule>
    <cfRule type="cellIs" dxfId="4912" priority="2283" operator="lessThan">
      <formula>0</formula>
    </cfRule>
  </conditionalFormatting>
  <conditionalFormatting sqref="EN49">
    <cfRule type="cellIs" dxfId="4911" priority="2278" operator="equal">
      <formula>"-"</formula>
    </cfRule>
    <cfRule type="cellIs" dxfId="4910" priority="2279" operator="greaterThan">
      <formula>0</formula>
    </cfRule>
    <cfRule type="cellIs" dxfId="4909" priority="2280" operator="lessThan">
      <formula>0</formula>
    </cfRule>
  </conditionalFormatting>
  <conditionalFormatting sqref="EN52">
    <cfRule type="cellIs" dxfId="4908" priority="2275" operator="equal">
      <formula>"-"</formula>
    </cfRule>
    <cfRule type="cellIs" dxfId="4907" priority="2276" operator="greaterThan">
      <formula>0</formula>
    </cfRule>
    <cfRule type="cellIs" dxfId="4906" priority="2277" operator="lessThan">
      <formula>0</formula>
    </cfRule>
  </conditionalFormatting>
  <conditionalFormatting sqref="EU37">
    <cfRule type="cellIs" dxfId="4905" priority="2272" operator="equal">
      <formula>"-"</formula>
    </cfRule>
    <cfRule type="cellIs" dxfId="4904" priority="2273" operator="greaterThan">
      <formula>0</formula>
    </cfRule>
    <cfRule type="cellIs" dxfId="4903" priority="2274" operator="lessThan">
      <formula>0</formula>
    </cfRule>
  </conditionalFormatting>
  <conditionalFormatting sqref="EU40">
    <cfRule type="cellIs" dxfId="4902" priority="2269" operator="equal">
      <formula>"-"</formula>
    </cfRule>
    <cfRule type="cellIs" dxfId="4901" priority="2270" operator="greaterThan">
      <formula>0</formula>
    </cfRule>
    <cfRule type="cellIs" dxfId="4900" priority="2271" operator="lessThan">
      <formula>0</formula>
    </cfRule>
  </conditionalFormatting>
  <conditionalFormatting sqref="EU43">
    <cfRule type="cellIs" dxfId="4899" priority="2266" operator="equal">
      <formula>"-"</formula>
    </cfRule>
    <cfRule type="cellIs" dxfId="4898" priority="2267" operator="greaterThan">
      <formula>0</formula>
    </cfRule>
    <cfRule type="cellIs" dxfId="4897" priority="2268" operator="lessThan">
      <formula>0</formula>
    </cfRule>
  </conditionalFormatting>
  <conditionalFormatting sqref="EU46">
    <cfRule type="cellIs" dxfId="4896" priority="2263" operator="equal">
      <formula>"-"</formula>
    </cfRule>
    <cfRule type="cellIs" dxfId="4895" priority="2264" operator="greaterThan">
      <formula>0</formula>
    </cfRule>
    <cfRule type="cellIs" dxfId="4894" priority="2265" operator="lessThan">
      <formula>0</formula>
    </cfRule>
  </conditionalFormatting>
  <conditionalFormatting sqref="EU49">
    <cfRule type="cellIs" dxfId="4893" priority="2260" operator="equal">
      <formula>"-"</formula>
    </cfRule>
    <cfRule type="cellIs" dxfId="4892" priority="2261" operator="greaterThan">
      <formula>0</formula>
    </cfRule>
    <cfRule type="cellIs" dxfId="4891" priority="2262" operator="lessThan">
      <formula>0</formula>
    </cfRule>
  </conditionalFormatting>
  <conditionalFormatting sqref="EU52">
    <cfRule type="cellIs" dxfId="4890" priority="2257" operator="equal">
      <formula>"-"</formula>
    </cfRule>
    <cfRule type="cellIs" dxfId="4889" priority="2258" operator="greaterThan">
      <formula>0</formula>
    </cfRule>
    <cfRule type="cellIs" dxfId="4888" priority="2259" operator="lessThan">
      <formula>0</formula>
    </cfRule>
  </conditionalFormatting>
  <conditionalFormatting sqref="FB37">
    <cfRule type="cellIs" dxfId="4887" priority="2254" operator="equal">
      <formula>"-"</formula>
    </cfRule>
    <cfRule type="cellIs" dxfId="4886" priority="2255" operator="greaterThan">
      <formula>0</formula>
    </cfRule>
    <cfRule type="cellIs" dxfId="4885" priority="2256" operator="lessThan">
      <formula>0</formula>
    </cfRule>
  </conditionalFormatting>
  <conditionalFormatting sqref="FB40">
    <cfRule type="cellIs" dxfId="4884" priority="2251" operator="equal">
      <formula>"-"</formula>
    </cfRule>
    <cfRule type="cellIs" dxfId="4883" priority="2252" operator="greaterThan">
      <formula>0</formula>
    </cfRule>
    <cfRule type="cellIs" dxfId="4882" priority="2253" operator="lessThan">
      <formula>0</formula>
    </cfRule>
  </conditionalFormatting>
  <conditionalFormatting sqref="FB43">
    <cfRule type="cellIs" dxfId="4881" priority="2248" operator="equal">
      <formula>"-"</formula>
    </cfRule>
    <cfRule type="cellIs" dxfId="4880" priority="2249" operator="greaterThan">
      <formula>0</formula>
    </cfRule>
    <cfRule type="cellIs" dxfId="4879" priority="2250" operator="lessThan">
      <formula>0</formula>
    </cfRule>
  </conditionalFormatting>
  <conditionalFormatting sqref="FB46">
    <cfRule type="cellIs" dxfId="4878" priority="2245" operator="equal">
      <formula>"-"</formula>
    </cfRule>
    <cfRule type="cellIs" dxfId="4877" priority="2246" operator="greaterThan">
      <formula>0</formula>
    </cfRule>
    <cfRule type="cellIs" dxfId="4876" priority="2247" operator="lessThan">
      <formula>0</formula>
    </cfRule>
  </conditionalFormatting>
  <conditionalFormatting sqref="FB49">
    <cfRule type="cellIs" dxfId="4875" priority="2242" operator="equal">
      <formula>"-"</formula>
    </cfRule>
    <cfRule type="cellIs" dxfId="4874" priority="2243" operator="greaterThan">
      <formula>0</formula>
    </cfRule>
    <cfRule type="cellIs" dxfId="4873" priority="2244" operator="lessThan">
      <formula>0</formula>
    </cfRule>
  </conditionalFormatting>
  <conditionalFormatting sqref="FB52">
    <cfRule type="cellIs" dxfId="4872" priority="2239" operator="equal">
      <formula>"-"</formula>
    </cfRule>
    <cfRule type="cellIs" dxfId="4871" priority="2240" operator="greaterThan">
      <formula>0</formula>
    </cfRule>
    <cfRule type="cellIs" dxfId="4870" priority="2241" operator="lessThan">
      <formula>0</formula>
    </cfRule>
  </conditionalFormatting>
  <conditionalFormatting sqref="FI37">
    <cfRule type="cellIs" dxfId="4869" priority="2236" operator="equal">
      <formula>"-"</formula>
    </cfRule>
    <cfRule type="cellIs" dxfId="4868" priority="2237" operator="greaterThan">
      <formula>0</formula>
    </cfRule>
    <cfRule type="cellIs" dxfId="4867" priority="2238" operator="lessThan">
      <formula>0</formula>
    </cfRule>
  </conditionalFormatting>
  <conditionalFormatting sqref="FI40">
    <cfRule type="cellIs" dxfId="4866" priority="2233" operator="equal">
      <formula>"-"</formula>
    </cfRule>
    <cfRule type="cellIs" dxfId="4865" priority="2234" operator="greaterThan">
      <formula>0</formula>
    </cfRule>
    <cfRule type="cellIs" dxfId="4864" priority="2235" operator="lessThan">
      <formula>0</formula>
    </cfRule>
  </conditionalFormatting>
  <conditionalFormatting sqref="FI43">
    <cfRule type="cellIs" dxfId="4863" priority="2230" operator="equal">
      <formula>"-"</formula>
    </cfRule>
    <cfRule type="cellIs" dxfId="4862" priority="2231" operator="greaterThan">
      <formula>0</formula>
    </cfRule>
    <cfRule type="cellIs" dxfId="4861" priority="2232" operator="lessThan">
      <formula>0</formula>
    </cfRule>
  </conditionalFormatting>
  <conditionalFormatting sqref="FI46">
    <cfRule type="cellIs" dxfId="4860" priority="2227" operator="equal">
      <formula>"-"</formula>
    </cfRule>
    <cfRule type="cellIs" dxfId="4859" priority="2228" operator="greaterThan">
      <formula>0</formula>
    </cfRule>
    <cfRule type="cellIs" dxfId="4858" priority="2229" operator="lessThan">
      <formula>0</formula>
    </cfRule>
  </conditionalFormatting>
  <conditionalFormatting sqref="FI49">
    <cfRule type="cellIs" dxfId="4857" priority="2224" operator="equal">
      <formula>"-"</formula>
    </cfRule>
    <cfRule type="cellIs" dxfId="4856" priority="2225" operator="greaterThan">
      <formula>0</formula>
    </cfRule>
    <cfRule type="cellIs" dxfId="4855" priority="2226" operator="lessThan">
      <formula>0</formula>
    </cfRule>
  </conditionalFormatting>
  <conditionalFormatting sqref="FI52">
    <cfRule type="cellIs" dxfId="4854" priority="2221" operator="equal">
      <formula>"-"</formula>
    </cfRule>
    <cfRule type="cellIs" dxfId="4853" priority="2222" operator="greaterThan">
      <formula>0</formula>
    </cfRule>
    <cfRule type="cellIs" dxfId="4852" priority="2223" operator="lessThan">
      <formula>0</formula>
    </cfRule>
  </conditionalFormatting>
  <conditionalFormatting sqref="FP37">
    <cfRule type="cellIs" dxfId="4851" priority="2218" operator="equal">
      <formula>"-"</formula>
    </cfRule>
    <cfRule type="cellIs" dxfId="4850" priority="2219" operator="greaterThan">
      <formula>0</formula>
    </cfRule>
    <cfRule type="cellIs" dxfId="4849" priority="2220" operator="lessThan">
      <formula>0</formula>
    </cfRule>
  </conditionalFormatting>
  <conditionalFormatting sqref="FP40">
    <cfRule type="cellIs" dxfId="4848" priority="2215" operator="equal">
      <formula>"-"</formula>
    </cfRule>
    <cfRule type="cellIs" dxfId="4847" priority="2216" operator="greaterThan">
      <formula>0</formula>
    </cfRule>
    <cfRule type="cellIs" dxfId="4846" priority="2217" operator="lessThan">
      <formula>0</formula>
    </cfRule>
  </conditionalFormatting>
  <conditionalFormatting sqref="FP43">
    <cfRule type="cellIs" dxfId="4845" priority="2212" operator="equal">
      <formula>"-"</formula>
    </cfRule>
    <cfRule type="cellIs" dxfId="4844" priority="2213" operator="greaterThan">
      <formula>0</formula>
    </cfRule>
    <cfRule type="cellIs" dxfId="4843" priority="2214" operator="lessThan">
      <formula>0</formula>
    </cfRule>
  </conditionalFormatting>
  <conditionalFormatting sqref="FP46">
    <cfRule type="cellIs" dxfId="4842" priority="2209" operator="equal">
      <formula>"-"</formula>
    </cfRule>
    <cfRule type="cellIs" dxfId="4841" priority="2210" operator="greaterThan">
      <formula>0</formula>
    </cfRule>
    <cfRule type="cellIs" dxfId="4840" priority="2211" operator="lessThan">
      <formula>0</formula>
    </cfRule>
  </conditionalFormatting>
  <conditionalFormatting sqref="FP49">
    <cfRule type="cellIs" dxfId="4839" priority="2206" operator="equal">
      <formula>"-"</formula>
    </cfRule>
    <cfRule type="cellIs" dxfId="4838" priority="2207" operator="greaterThan">
      <formula>0</formula>
    </cfRule>
    <cfRule type="cellIs" dxfId="4837" priority="2208" operator="lessThan">
      <formula>0</formula>
    </cfRule>
  </conditionalFormatting>
  <conditionalFormatting sqref="FP52">
    <cfRule type="cellIs" dxfId="4836" priority="2203" operator="equal">
      <formula>"-"</formula>
    </cfRule>
    <cfRule type="cellIs" dxfId="4835" priority="2204" operator="greaterThan">
      <formula>0</formula>
    </cfRule>
    <cfRule type="cellIs" dxfId="4834" priority="2205" operator="lessThan">
      <formula>0</formula>
    </cfRule>
  </conditionalFormatting>
  <conditionalFormatting sqref="FW37">
    <cfRule type="cellIs" dxfId="4833" priority="2200" operator="equal">
      <formula>"-"</formula>
    </cfRule>
    <cfRule type="cellIs" dxfId="4832" priority="2201" operator="greaterThan">
      <formula>0</formula>
    </cfRule>
    <cfRule type="cellIs" dxfId="4831" priority="2202" operator="lessThan">
      <formula>0</formula>
    </cfRule>
  </conditionalFormatting>
  <conditionalFormatting sqref="FW40">
    <cfRule type="cellIs" dxfId="4830" priority="2197" operator="equal">
      <formula>"-"</formula>
    </cfRule>
    <cfRule type="cellIs" dxfId="4829" priority="2198" operator="greaterThan">
      <formula>0</formula>
    </cfRule>
    <cfRule type="cellIs" dxfId="4828" priority="2199" operator="lessThan">
      <formula>0</formula>
    </cfRule>
  </conditionalFormatting>
  <conditionalFormatting sqref="FW43">
    <cfRule type="cellIs" dxfId="4827" priority="2194" operator="equal">
      <formula>"-"</formula>
    </cfRule>
    <cfRule type="cellIs" dxfId="4826" priority="2195" operator="greaterThan">
      <formula>0</formula>
    </cfRule>
    <cfRule type="cellIs" dxfId="4825" priority="2196" operator="lessThan">
      <formula>0</formula>
    </cfRule>
  </conditionalFormatting>
  <conditionalFormatting sqref="FW46">
    <cfRule type="cellIs" dxfId="4824" priority="2191" operator="equal">
      <formula>"-"</formula>
    </cfRule>
    <cfRule type="cellIs" dxfId="4823" priority="2192" operator="greaterThan">
      <formula>0</formula>
    </cfRule>
    <cfRule type="cellIs" dxfId="4822" priority="2193" operator="lessThan">
      <formula>0</formula>
    </cfRule>
  </conditionalFormatting>
  <conditionalFormatting sqref="FW49">
    <cfRule type="cellIs" dxfId="4821" priority="2188" operator="equal">
      <formula>"-"</formula>
    </cfRule>
    <cfRule type="cellIs" dxfId="4820" priority="2189" operator="greaterThan">
      <formula>0</formula>
    </cfRule>
    <cfRule type="cellIs" dxfId="4819" priority="2190" operator="lessThan">
      <formula>0</formula>
    </cfRule>
  </conditionalFormatting>
  <conditionalFormatting sqref="FW52">
    <cfRule type="cellIs" dxfId="4818" priority="2185" operator="equal">
      <formula>"-"</formula>
    </cfRule>
    <cfRule type="cellIs" dxfId="4817" priority="2186" operator="greaterThan">
      <formula>0</formula>
    </cfRule>
    <cfRule type="cellIs" dxfId="4816" priority="2187" operator="lessThan">
      <formula>0</formula>
    </cfRule>
  </conditionalFormatting>
  <conditionalFormatting sqref="GD37">
    <cfRule type="cellIs" dxfId="4815" priority="2182" operator="equal">
      <formula>"-"</formula>
    </cfRule>
    <cfRule type="cellIs" dxfId="4814" priority="2183" operator="greaterThan">
      <formula>0</formula>
    </cfRule>
    <cfRule type="cellIs" dxfId="4813" priority="2184" operator="lessThan">
      <formula>0</formula>
    </cfRule>
  </conditionalFormatting>
  <conditionalFormatting sqref="GD40">
    <cfRule type="cellIs" dxfId="4812" priority="2179" operator="equal">
      <formula>"-"</formula>
    </cfRule>
    <cfRule type="cellIs" dxfId="4811" priority="2180" operator="greaterThan">
      <formula>0</formula>
    </cfRule>
    <cfRule type="cellIs" dxfId="4810" priority="2181" operator="lessThan">
      <formula>0</formula>
    </cfRule>
  </conditionalFormatting>
  <conditionalFormatting sqref="GD43">
    <cfRule type="cellIs" dxfId="4809" priority="2176" operator="equal">
      <formula>"-"</formula>
    </cfRule>
    <cfRule type="cellIs" dxfId="4808" priority="2177" operator="greaterThan">
      <formula>0</formula>
    </cfRule>
    <cfRule type="cellIs" dxfId="4807" priority="2178" operator="lessThan">
      <formula>0</formula>
    </cfRule>
  </conditionalFormatting>
  <conditionalFormatting sqref="GD46">
    <cfRule type="cellIs" dxfId="4806" priority="2173" operator="equal">
      <formula>"-"</formula>
    </cfRule>
    <cfRule type="cellIs" dxfId="4805" priority="2174" operator="greaterThan">
      <formula>0</formula>
    </cfRule>
    <cfRule type="cellIs" dxfId="4804" priority="2175" operator="lessThan">
      <formula>0</formula>
    </cfRule>
  </conditionalFormatting>
  <conditionalFormatting sqref="GD49">
    <cfRule type="cellIs" dxfId="4803" priority="2170" operator="equal">
      <formula>"-"</formula>
    </cfRule>
    <cfRule type="cellIs" dxfId="4802" priority="2171" operator="greaterThan">
      <formula>0</formula>
    </cfRule>
    <cfRule type="cellIs" dxfId="4801" priority="2172" operator="lessThan">
      <formula>0</formula>
    </cfRule>
  </conditionalFormatting>
  <conditionalFormatting sqref="GD52">
    <cfRule type="cellIs" dxfId="4800" priority="2167" operator="equal">
      <formula>"-"</formula>
    </cfRule>
    <cfRule type="cellIs" dxfId="4799" priority="2168" operator="greaterThan">
      <formula>0</formula>
    </cfRule>
    <cfRule type="cellIs" dxfId="4798" priority="2169" operator="lessThan">
      <formula>0</formula>
    </cfRule>
  </conditionalFormatting>
  <conditionalFormatting sqref="GK37">
    <cfRule type="cellIs" dxfId="4797" priority="2164" operator="equal">
      <formula>"-"</formula>
    </cfRule>
    <cfRule type="cellIs" dxfId="4796" priority="2165" operator="greaterThan">
      <formula>0</formula>
    </cfRule>
    <cfRule type="cellIs" dxfId="4795" priority="2166" operator="lessThan">
      <formula>0</formula>
    </cfRule>
  </conditionalFormatting>
  <conditionalFormatting sqref="GK40">
    <cfRule type="cellIs" dxfId="4794" priority="2161" operator="equal">
      <formula>"-"</formula>
    </cfRule>
    <cfRule type="cellIs" dxfId="4793" priority="2162" operator="greaterThan">
      <formula>0</formula>
    </cfRule>
    <cfRule type="cellIs" dxfId="4792" priority="2163" operator="lessThan">
      <formula>0</formula>
    </cfRule>
  </conditionalFormatting>
  <conditionalFormatting sqref="GK43">
    <cfRule type="cellIs" dxfId="4791" priority="2158" operator="equal">
      <formula>"-"</formula>
    </cfRule>
    <cfRule type="cellIs" dxfId="4790" priority="2159" operator="greaterThan">
      <formula>0</formula>
    </cfRule>
    <cfRule type="cellIs" dxfId="4789" priority="2160" operator="lessThan">
      <formula>0</formula>
    </cfRule>
  </conditionalFormatting>
  <conditionalFormatting sqref="GK46">
    <cfRule type="cellIs" dxfId="4788" priority="2155" operator="equal">
      <formula>"-"</formula>
    </cfRule>
    <cfRule type="cellIs" dxfId="4787" priority="2156" operator="greaterThan">
      <formula>0</formula>
    </cfRule>
    <cfRule type="cellIs" dxfId="4786" priority="2157" operator="lessThan">
      <formula>0</formula>
    </cfRule>
  </conditionalFormatting>
  <conditionalFormatting sqref="GK49">
    <cfRule type="cellIs" dxfId="4785" priority="2152" operator="equal">
      <formula>"-"</formula>
    </cfRule>
    <cfRule type="cellIs" dxfId="4784" priority="2153" operator="greaterThan">
      <formula>0</formula>
    </cfRule>
    <cfRule type="cellIs" dxfId="4783" priority="2154" operator="lessThan">
      <formula>0</formula>
    </cfRule>
  </conditionalFormatting>
  <conditionalFormatting sqref="GK52">
    <cfRule type="cellIs" dxfId="4782" priority="2149" operator="equal">
      <formula>"-"</formula>
    </cfRule>
    <cfRule type="cellIs" dxfId="4781" priority="2150" operator="greaterThan">
      <formula>0</formula>
    </cfRule>
    <cfRule type="cellIs" dxfId="4780" priority="2151" operator="lessThan">
      <formula>0</formula>
    </cfRule>
  </conditionalFormatting>
  <conditionalFormatting sqref="GR37">
    <cfRule type="cellIs" dxfId="4779" priority="2146" operator="equal">
      <formula>"-"</formula>
    </cfRule>
    <cfRule type="cellIs" dxfId="4778" priority="2147" operator="greaterThan">
      <formula>0</formula>
    </cfRule>
    <cfRule type="cellIs" dxfId="4777" priority="2148" operator="lessThan">
      <formula>0</formula>
    </cfRule>
  </conditionalFormatting>
  <conditionalFormatting sqref="GR40">
    <cfRule type="cellIs" dxfId="4776" priority="2143" operator="equal">
      <formula>"-"</formula>
    </cfRule>
    <cfRule type="cellIs" dxfId="4775" priority="2144" operator="greaterThan">
      <formula>0</formula>
    </cfRule>
    <cfRule type="cellIs" dxfId="4774" priority="2145" operator="lessThan">
      <formula>0</formula>
    </cfRule>
  </conditionalFormatting>
  <conditionalFormatting sqref="GR43">
    <cfRule type="cellIs" dxfId="4773" priority="2140" operator="equal">
      <formula>"-"</formula>
    </cfRule>
    <cfRule type="cellIs" dxfId="4772" priority="2141" operator="greaterThan">
      <formula>0</formula>
    </cfRule>
    <cfRule type="cellIs" dxfId="4771" priority="2142" operator="lessThan">
      <formula>0</formula>
    </cfRule>
  </conditionalFormatting>
  <conditionalFormatting sqref="GR46">
    <cfRule type="cellIs" dxfId="4770" priority="2137" operator="equal">
      <formula>"-"</formula>
    </cfRule>
    <cfRule type="cellIs" dxfId="4769" priority="2138" operator="greaterThan">
      <formula>0</formula>
    </cfRule>
    <cfRule type="cellIs" dxfId="4768" priority="2139" operator="lessThan">
      <formula>0</formula>
    </cfRule>
  </conditionalFormatting>
  <conditionalFormatting sqref="GR49">
    <cfRule type="cellIs" dxfId="4767" priority="2134" operator="equal">
      <formula>"-"</formula>
    </cfRule>
    <cfRule type="cellIs" dxfId="4766" priority="2135" operator="greaterThan">
      <formula>0</formula>
    </cfRule>
    <cfRule type="cellIs" dxfId="4765" priority="2136" operator="lessThan">
      <formula>0</formula>
    </cfRule>
  </conditionalFormatting>
  <conditionalFormatting sqref="GR52">
    <cfRule type="cellIs" dxfId="4764" priority="2131" operator="equal">
      <formula>"-"</formula>
    </cfRule>
    <cfRule type="cellIs" dxfId="4763" priority="2132" operator="greaterThan">
      <formula>0</formula>
    </cfRule>
    <cfRule type="cellIs" dxfId="4762" priority="2133" operator="lessThan">
      <formula>0</formula>
    </cfRule>
  </conditionalFormatting>
  <conditionalFormatting sqref="GY37">
    <cfRule type="cellIs" dxfId="4761" priority="2128" operator="equal">
      <formula>"-"</formula>
    </cfRule>
    <cfRule type="cellIs" dxfId="4760" priority="2129" operator="greaterThan">
      <formula>0</formula>
    </cfRule>
    <cfRule type="cellIs" dxfId="4759" priority="2130" operator="lessThan">
      <formula>0</formula>
    </cfRule>
  </conditionalFormatting>
  <conditionalFormatting sqref="GY40">
    <cfRule type="cellIs" dxfId="4758" priority="2125" operator="equal">
      <formula>"-"</formula>
    </cfRule>
    <cfRule type="cellIs" dxfId="4757" priority="2126" operator="greaterThan">
      <formula>0</formula>
    </cfRule>
    <cfRule type="cellIs" dxfId="4756" priority="2127" operator="lessThan">
      <formula>0</formula>
    </cfRule>
  </conditionalFormatting>
  <conditionalFormatting sqref="GY43">
    <cfRule type="cellIs" dxfId="4755" priority="2122" operator="equal">
      <formula>"-"</formula>
    </cfRule>
    <cfRule type="cellIs" dxfId="4754" priority="2123" operator="greaterThan">
      <formula>0</formula>
    </cfRule>
    <cfRule type="cellIs" dxfId="4753" priority="2124" operator="lessThan">
      <formula>0</formula>
    </cfRule>
  </conditionalFormatting>
  <conditionalFormatting sqref="GY46">
    <cfRule type="cellIs" dxfId="4752" priority="2119" operator="equal">
      <formula>"-"</formula>
    </cfRule>
    <cfRule type="cellIs" dxfId="4751" priority="2120" operator="greaterThan">
      <formula>0</formula>
    </cfRule>
    <cfRule type="cellIs" dxfId="4750" priority="2121" operator="lessThan">
      <formula>0</formula>
    </cfRule>
  </conditionalFormatting>
  <conditionalFormatting sqref="GY49">
    <cfRule type="cellIs" dxfId="4749" priority="2116" operator="equal">
      <formula>"-"</formula>
    </cfRule>
    <cfRule type="cellIs" dxfId="4748" priority="2117" operator="greaterThan">
      <formula>0</formula>
    </cfRule>
    <cfRule type="cellIs" dxfId="4747" priority="2118" operator="lessThan">
      <formula>0</formula>
    </cfRule>
  </conditionalFormatting>
  <conditionalFormatting sqref="GY52">
    <cfRule type="cellIs" dxfId="4746" priority="2113" operator="equal">
      <formula>"-"</formula>
    </cfRule>
    <cfRule type="cellIs" dxfId="4745" priority="2114" operator="greaterThan">
      <formula>0</formula>
    </cfRule>
    <cfRule type="cellIs" dxfId="4744" priority="2115" operator="lessThan">
      <formula>0</formula>
    </cfRule>
  </conditionalFormatting>
  <conditionalFormatting sqref="K20 K22">
    <cfRule type="expression" dxfId="4743" priority="2105">
      <formula>K21&gt;0</formula>
    </cfRule>
    <cfRule type="expression" dxfId="4742" priority="2106">
      <formula>K21&lt;0</formula>
    </cfRule>
  </conditionalFormatting>
  <conditionalFormatting sqref="K23">
    <cfRule type="cellIs" dxfId="4741" priority="2107" operator="lessThan">
      <formula>0</formula>
    </cfRule>
    <cfRule type="cellIs" dxfId="4740" priority="2108" operator="greaterThan">
      <formula>0</formula>
    </cfRule>
  </conditionalFormatting>
  <conditionalFormatting sqref="K27 K29">
    <cfRule type="expression" dxfId="4739" priority="2101">
      <formula>K28&gt;0</formula>
    </cfRule>
    <cfRule type="expression" dxfId="4738" priority="2102">
      <formula>K28&lt;0</formula>
    </cfRule>
  </conditionalFormatting>
  <conditionalFormatting sqref="K30">
    <cfRule type="cellIs" dxfId="4737" priority="2103" operator="lessThan">
      <formula>0</formula>
    </cfRule>
    <cfRule type="cellIs" dxfId="4736" priority="2104" operator="greaterThan">
      <formula>0</formula>
    </cfRule>
  </conditionalFormatting>
  <conditionalFormatting sqref="K14">
    <cfRule type="cellIs" dxfId="4735" priority="2099" operator="lessThan">
      <formula>0</formula>
    </cfRule>
    <cfRule type="cellIs" dxfId="4734" priority="2100" operator="greaterThan">
      <formula>0</formula>
    </cfRule>
  </conditionalFormatting>
  <conditionalFormatting sqref="K21">
    <cfRule type="cellIs" dxfId="4733" priority="2097" operator="lessThan">
      <formula>0</formula>
    </cfRule>
    <cfRule type="cellIs" dxfId="4732" priority="2098" operator="greaterThan">
      <formula>0</formula>
    </cfRule>
  </conditionalFormatting>
  <conditionalFormatting sqref="K28">
    <cfRule type="cellIs" dxfId="4731" priority="2095" operator="lessThan">
      <formula>0</formula>
    </cfRule>
    <cfRule type="cellIs" dxfId="4730" priority="2096" operator="greaterThan">
      <formula>0</formula>
    </cfRule>
  </conditionalFormatting>
  <conditionalFormatting sqref="R6 R8 R13 R15">
    <cfRule type="expression" dxfId="4729" priority="2019">
      <formula>R7&gt;0</formula>
    </cfRule>
    <cfRule type="expression" dxfId="4728" priority="2020">
      <formula>R7&lt;0</formula>
    </cfRule>
  </conditionalFormatting>
  <conditionalFormatting sqref="R7 R9 R16">
    <cfRule type="cellIs" dxfId="4727" priority="2021" operator="lessThan">
      <formula>0</formula>
    </cfRule>
    <cfRule type="cellIs" dxfId="4726" priority="2022" operator="greaterThan">
      <formula>0</formula>
    </cfRule>
  </conditionalFormatting>
  <conditionalFormatting sqref="R20 R22">
    <cfRule type="expression" dxfId="4725" priority="2015">
      <formula>R21&gt;0</formula>
    </cfRule>
    <cfRule type="expression" dxfId="4724" priority="2016">
      <formula>R21&lt;0</formula>
    </cfRule>
  </conditionalFormatting>
  <conditionalFormatting sqref="R23">
    <cfRule type="cellIs" dxfId="4723" priority="2017" operator="lessThan">
      <formula>0</formula>
    </cfRule>
    <cfRule type="cellIs" dxfId="4722" priority="2018" operator="greaterThan">
      <formula>0</formula>
    </cfRule>
  </conditionalFormatting>
  <conditionalFormatting sqref="R27 R29">
    <cfRule type="expression" dxfId="4721" priority="2011">
      <formula>R28&gt;0</formula>
    </cfRule>
    <cfRule type="expression" dxfId="4720" priority="2012">
      <formula>R28&lt;0</formula>
    </cfRule>
  </conditionalFormatting>
  <conditionalFormatting sqref="R30">
    <cfRule type="cellIs" dxfId="4719" priority="2013" operator="lessThan">
      <formula>0</formula>
    </cfRule>
    <cfRule type="cellIs" dxfId="4718" priority="2014" operator="greaterThan">
      <formula>0</formula>
    </cfRule>
  </conditionalFormatting>
  <conditionalFormatting sqref="R14">
    <cfRule type="cellIs" dxfId="4717" priority="2009" operator="lessThan">
      <formula>0</formula>
    </cfRule>
    <cfRule type="cellIs" dxfId="4716" priority="2010" operator="greaterThan">
      <formula>0</formula>
    </cfRule>
  </conditionalFormatting>
  <conditionalFormatting sqref="R21">
    <cfRule type="cellIs" dxfId="4715" priority="2007" operator="lessThan">
      <formula>0</formula>
    </cfRule>
    <cfRule type="cellIs" dxfId="4714" priority="2008" operator="greaterThan">
      <formula>0</formula>
    </cfRule>
  </conditionalFormatting>
  <conditionalFormatting sqref="R28">
    <cfRule type="cellIs" dxfId="4713" priority="2005" operator="lessThan">
      <formula>0</formula>
    </cfRule>
    <cfRule type="cellIs" dxfId="4712" priority="2006" operator="greaterThan">
      <formula>0</formula>
    </cfRule>
  </conditionalFormatting>
  <conditionalFormatting sqref="Y6 Y8 Y13 Y15">
    <cfRule type="expression" dxfId="4711" priority="2003">
      <formula>Y7&gt;0</formula>
    </cfRule>
    <cfRule type="expression" dxfId="4710" priority="2003">
      <formula>Y7&lt;0</formula>
    </cfRule>
  </conditionalFormatting>
  <conditionalFormatting sqref="Y7 Y9 Y16">
    <cfRule type="cellIs" dxfId="4709" priority="2004" operator="greaterThan">
      <formula>0</formula>
    </cfRule>
    <cfRule type="cellIs" dxfId="4708" priority="3267" operator="lessThan">
      <formula>0</formula>
    </cfRule>
  </conditionalFormatting>
  <conditionalFormatting sqref="Y20 Y22">
    <cfRule type="expression" dxfId="4707" priority="1999">
      <formula>Y21&gt;0</formula>
    </cfRule>
    <cfRule type="expression" dxfId="4706" priority="1999">
      <formula>Y21&lt;0</formula>
    </cfRule>
  </conditionalFormatting>
  <conditionalFormatting sqref="Y23">
    <cfRule type="cellIs" dxfId="4705" priority="2000" operator="greaterThan">
      <formula>0</formula>
    </cfRule>
    <cfRule type="cellIs" dxfId="4704" priority="3268" operator="lessThan">
      <formula>0</formula>
    </cfRule>
  </conditionalFormatting>
  <conditionalFormatting sqref="Y27 Y29">
    <cfRule type="expression" dxfId="4703" priority="1995">
      <formula>Y28&gt;0</formula>
    </cfRule>
    <cfRule type="expression" dxfId="4702" priority="1995">
      <formula>Y28&lt;0</formula>
    </cfRule>
  </conditionalFormatting>
  <conditionalFormatting sqref="Y30">
    <cfRule type="cellIs" dxfId="4701" priority="1996" operator="greaterThan">
      <formula>0</formula>
    </cfRule>
    <cfRule type="cellIs" dxfId="4700" priority="3269" operator="lessThan">
      <formula>0</formula>
    </cfRule>
  </conditionalFormatting>
  <conditionalFormatting sqref="Y14">
    <cfRule type="cellIs" dxfId="4699" priority="1991" operator="lessThan">
      <formula>0</formula>
    </cfRule>
    <cfRule type="cellIs" dxfId="4698" priority="1992" operator="greaterThan">
      <formula>0</formula>
    </cfRule>
  </conditionalFormatting>
  <conditionalFormatting sqref="Y21">
    <cfRule type="cellIs" dxfId="4697" priority="1989" operator="lessThan">
      <formula>0</formula>
    </cfRule>
    <cfRule type="cellIs" dxfId="4696" priority="1990" operator="greaterThan">
      <formula>0</formula>
    </cfRule>
  </conditionalFormatting>
  <conditionalFormatting sqref="Y28">
    <cfRule type="cellIs" dxfId="4695" priority="1987" operator="lessThan">
      <formula>0</formula>
    </cfRule>
    <cfRule type="cellIs" dxfId="4694" priority="1988" operator="greaterThan">
      <formula>0</formula>
    </cfRule>
  </conditionalFormatting>
  <conditionalFormatting sqref="AF6 AF8 AF13 AF15">
    <cfRule type="expression" dxfId="4693" priority="1985">
      <formula>AF7&gt;0</formula>
    </cfRule>
    <cfRule type="expression" dxfId="4692" priority="1985">
      <formula>AF7&lt;0</formula>
    </cfRule>
  </conditionalFormatting>
  <conditionalFormatting sqref="AF7 AF9 AF16">
    <cfRule type="cellIs" dxfId="4691" priority="1986" operator="greaterThan">
      <formula>0</formula>
    </cfRule>
    <cfRule type="cellIs" dxfId="4690" priority="3270" operator="lessThan">
      <formula>0</formula>
    </cfRule>
  </conditionalFormatting>
  <conditionalFormatting sqref="AF20 AF22">
    <cfRule type="expression" dxfId="4689" priority="1981">
      <formula>AF21&gt;0</formula>
    </cfRule>
    <cfRule type="expression" dxfId="4688" priority="1981">
      <formula>AF21&lt;0</formula>
    </cfRule>
  </conditionalFormatting>
  <conditionalFormatting sqref="AF23">
    <cfRule type="cellIs" dxfId="4687" priority="1982" operator="greaterThan">
      <formula>0</formula>
    </cfRule>
    <cfRule type="cellIs" dxfId="4686" priority="3271" operator="lessThan">
      <formula>0</formula>
    </cfRule>
  </conditionalFormatting>
  <conditionalFormatting sqref="AF27 AF29">
    <cfRule type="expression" dxfId="4685" priority="1977">
      <formula>AF28&gt;0</formula>
    </cfRule>
    <cfRule type="expression" dxfId="4684" priority="1977">
      <formula>AF28&lt;0</formula>
    </cfRule>
  </conditionalFormatting>
  <conditionalFormatting sqref="AF30">
    <cfRule type="cellIs" dxfId="4683" priority="1978" operator="greaterThan">
      <formula>0</formula>
    </cfRule>
    <cfRule type="cellIs" dxfId="4682" priority="3272" operator="lessThan">
      <formula>0</formula>
    </cfRule>
  </conditionalFormatting>
  <conditionalFormatting sqref="AF14">
    <cfRule type="cellIs" dxfId="4681" priority="1973" operator="lessThan">
      <formula>0</formula>
    </cfRule>
    <cfRule type="cellIs" dxfId="4680" priority="1974" operator="greaterThan">
      <formula>0</formula>
    </cfRule>
  </conditionalFormatting>
  <conditionalFormatting sqref="AF21">
    <cfRule type="cellIs" dxfId="4679" priority="1971" operator="lessThan">
      <formula>0</formula>
    </cfRule>
    <cfRule type="cellIs" dxfId="4678" priority="1972" operator="greaterThan">
      <formula>0</formula>
    </cfRule>
  </conditionalFormatting>
  <conditionalFormatting sqref="AF28">
    <cfRule type="cellIs" dxfId="4677" priority="1969" operator="lessThan">
      <formula>0</formula>
    </cfRule>
    <cfRule type="cellIs" dxfId="4676" priority="1970" operator="greaterThan">
      <formula>0</formula>
    </cfRule>
  </conditionalFormatting>
  <conditionalFormatting sqref="AA31:AF31 AD25:AF26 AA24:AF24 AD18:AF19 AA17:AF17 AD11:AF12 AA10:AF10 AA3:AF3">
    <cfRule type="expression" dxfId="4675" priority="1913">
      <formula>AA$1="S"&amp;WEEKNUM(TODAY())</formula>
    </cfRule>
  </conditionalFormatting>
  <conditionalFormatting sqref="AM6 AM8 AM13 AM15">
    <cfRule type="expression" dxfId="4674" priority="1905">
      <formula>AM7&gt;0</formula>
    </cfRule>
  </conditionalFormatting>
  <conditionalFormatting sqref="AM7 AM9 AM16">
    <cfRule type="cellIs" dxfId="4673" priority="1906" operator="greaterThan">
      <formula>0</formula>
    </cfRule>
  </conditionalFormatting>
  <conditionalFormatting sqref="AM20 AM22">
    <cfRule type="expression" dxfId="4672" priority="1903">
      <formula>AM21&gt;0</formula>
    </cfRule>
  </conditionalFormatting>
  <conditionalFormatting sqref="AM23">
    <cfRule type="cellIs" dxfId="4671" priority="1904" operator="greaterThan">
      <formula>0</formula>
    </cfRule>
  </conditionalFormatting>
  <conditionalFormatting sqref="AM27 AM29">
    <cfRule type="expression" dxfId="4670" priority="1901">
      <formula>AM28&gt;0</formula>
    </cfRule>
  </conditionalFormatting>
  <conditionalFormatting sqref="AM30">
    <cfRule type="cellIs" dxfId="4669" priority="1902" operator="greaterThan">
      <formula>0</formula>
    </cfRule>
  </conditionalFormatting>
  <conditionalFormatting sqref="AM14">
    <cfRule type="cellIs" dxfId="4668" priority="1899" operator="lessThan">
      <formula>0</formula>
    </cfRule>
    <cfRule type="cellIs" dxfId="4667" priority="1900" operator="greaterThan">
      <formula>0</formula>
    </cfRule>
  </conditionalFormatting>
  <conditionalFormatting sqref="AM21">
    <cfRule type="cellIs" dxfId="4666" priority="1897" operator="lessThan">
      <formula>0</formula>
    </cfRule>
    <cfRule type="cellIs" dxfId="4665" priority="1898" operator="greaterThan">
      <formula>0</formula>
    </cfRule>
  </conditionalFormatting>
  <conditionalFormatting sqref="AM28">
    <cfRule type="cellIs" dxfId="4664" priority="1895" operator="lessThan">
      <formula>0</formula>
    </cfRule>
    <cfRule type="cellIs" dxfId="4663" priority="1896" operator="greaterThan">
      <formula>0</formula>
    </cfRule>
  </conditionalFormatting>
  <conditionalFormatting sqref="AH31:AM31 AK25:AM26 AH24:AM24 AK18:AM19 AH17:AM17 AK11:AM12 AH10:AM10 AH3:AM3">
    <cfRule type="expression" dxfId="4662" priority="1894">
      <formula>WEEKNUM(AH$33)=WEEKNUM(TODAY())</formula>
    </cfRule>
  </conditionalFormatting>
  <conditionalFormatting sqref="AO2:AT2">
    <cfRule type="expression" dxfId="4661" priority="1887">
      <formula>AO2="S"&amp;WEEKNUM(TODAY())</formula>
    </cfRule>
  </conditionalFormatting>
  <conditionalFormatting sqref="AT6 AT8 AT13 AT15">
    <cfRule type="expression" dxfId="4660" priority="1885">
      <formula>AT7&gt;0</formula>
    </cfRule>
    <cfRule type="expression" dxfId="4659" priority="1891">
      <formula>AT7&lt;0</formula>
    </cfRule>
  </conditionalFormatting>
  <conditionalFormatting sqref="AT7 AT9 AT16">
    <cfRule type="cellIs" dxfId="4658" priority="1886" operator="greaterThan">
      <formula>0</formula>
    </cfRule>
    <cfRule type="cellIs" dxfId="4657" priority="1889" operator="lessThan">
      <formula>0</formula>
    </cfRule>
  </conditionalFormatting>
  <conditionalFormatting sqref="AT20 AT22">
    <cfRule type="expression" dxfId="4656" priority="1883">
      <formula>AT21&gt;0</formula>
    </cfRule>
    <cfRule type="expression" dxfId="4655" priority="3273">
      <formula>AT21&lt;0</formula>
    </cfRule>
  </conditionalFormatting>
  <conditionalFormatting sqref="AT23">
    <cfRule type="cellIs" dxfId="4654" priority="1884" operator="greaterThan">
      <formula>0</formula>
    </cfRule>
    <cfRule type="cellIs" dxfId="4653" priority="3274" operator="lessThan">
      <formula>0</formula>
    </cfRule>
  </conditionalFormatting>
  <conditionalFormatting sqref="AT27 AT29">
    <cfRule type="expression" dxfId="4652" priority="1881">
      <formula>AT28&gt;0</formula>
    </cfRule>
    <cfRule type="expression" dxfId="4651" priority="3275">
      <formula>AT28&lt;0</formula>
    </cfRule>
  </conditionalFormatting>
  <conditionalFormatting sqref="AT30">
    <cfRule type="cellIs" dxfId="4650" priority="1882" operator="greaterThan">
      <formula>0</formula>
    </cfRule>
    <cfRule type="cellIs" dxfId="4649" priority="3276" operator="lessThan">
      <formula>0</formula>
    </cfRule>
  </conditionalFormatting>
  <conditionalFormatting sqref="AT14">
    <cfRule type="cellIs" dxfId="4648" priority="1879" operator="lessThan">
      <formula>0</formula>
    </cfRule>
    <cfRule type="cellIs" dxfId="4647" priority="1880" operator="greaterThan">
      <formula>0</formula>
    </cfRule>
  </conditionalFormatting>
  <conditionalFormatting sqref="AT21">
    <cfRule type="cellIs" dxfId="4646" priority="1877" operator="lessThan">
      <formula>0</formula>
    </cfRule>
    <cfRule type="cellIs" dxfId="4645" priority="1878" operator="greaterThan">
      <formula>0</formula>
    </cfRule>
  </conditionalFormatting>
  <conditionalFormatting sqref="AT28">
    <cfRule type="cellIs" dxfId="4644" priority="1875" operator="lessThan">
      <formula>0</formula>
    </cfRule>
    <cfRule type="cellIs" dxfId="4643" priority="1876" operator="greaterThan">
      <formula>0</formula>
    </cfRule>
  </conditionalFormatting>
  <conditionalFormatting sqref="AO31:AT31 AR25:AT26 AO24:AT24 AR18:AT19 AO17:AT17 AR11:AT11 AO10:AT10 AS4:AT5 AO3:AT3 AR12 AT12">
    <cfRule type="expression" dxfId="4642" priority="1874">
      <formula>WEEKNUM(AO$33)=WEEKNUM(TODAY())</formula>
    </cfRule>
  </conditionalFormatting>
  <conditionalFormatting sqref="AV2:BA2">
    <cfRule type="expression" dxfId="4641" priority="1867">
      <formula>AV2="S"&amp;WEEKNUM(TODAY())</formula>
    </cfRule>
  </conditionalFormatting>
  <conditionalFormatting sqref="BA6 BA8 BA13 BA15">
    <cfRule type="expression" dxfId="4640" priority="1865">
      <formula>BA7&gt;0</formula>
    </cfRule>
    <cfRule type="expression" dxfId="4639" priority="1871">
      <formula>BA7&lt;0</formula>
    </cfRule>
  </conditionalFormatting>
  <conditionalFormatting sqref="BA7 BA9 BA16">
    <cfRule type="cellIs" dxfId="4638" priority="1866" operator="greaterThan">
      <formula>0</formula>
    </cfRule>
    <cfRule type="cellIs" dxfId="4637" priority="1869" operator="lessThan">
      <formula>0</formula>
    </cfRule>
  </conditionalFormatting>
  <conditionalFormatting sqref="BA20 BA22">
    <cfRule type="expression" dxfId="4636" priority="1863">
      <formula>BA21&gt;0</formula>
    </cfRule>
    <cfRule type="expression" dxfId="4635" priority="3277">
      <formula>BA21&lt;0</formula>
    </cfRule>
  </conditionalFormatting>
  <conditionalFormatting sqref="BA23">
    <cfRule type="cellIs" dxfId="4634" priority="1864" operator="greaterThan">
      <formula>0</formula>
    </cfRule>
    <cfRule type="cellIs" dxfId="4633" priority="3278" operator="lessThan">
      <formula>0</formula>
    </cfRule>
  </conditionalFormatting>
  <conditionalFormatting sqref="BA27 BA29">
    <cfRule type="expression" dxfId="4632" priority="1861">
      <formula>BA28&gt;0</formula>
    </cfRule>
    <cfRule type="expression" dxfId="4631" priority="3279">
      <formula>BA28&lt;0</formula>
    </cfRule>
  </conditionalFormatting>
  <conditionalFormatting sqref="BA30">
    <cfRule type="cellIs" dxfId="4630" priority="1862" operator="greaterThan">
      <formula>0</formula>
    </cfRule>
    <cfRule type="cellIs" dxfId="4629" priority="3280" operator="lessThan">
      <formula>0</formula>
    </cfRule>
  </conditionalFormatting>
  <conditionalFormatting sqref="BA14">
    <cfRule type="cellIs" dxfId="4628" priority="1859" operator="lessThan">
      <formula>0</formula>
    </cfRule>
    <cfRule type="cellIs" dxfId="4627" priority="1860" operator="greaterThan">
      <formula>0</formula>
    </cfRule>
  </conditionalFormatting>
  <conditionalFormatting sqref="BA21">
    <cfRule type="cellIs" dxfId="4626" priority="1857" operator="lessThan">
      <formula>0</formula>
    </cfRule>
    <cfRule type="cellIs" dxfId="4625" priority="1858" operator="greaterThan">
      <formula>0</formula>
    </cfRule>
  </conditionalFormatting>
  <conditionalFormatting sqref="BA28">
    <cfRule type="cellIs" dxfId="4624" priority="1855" operator="lessThan">
      <formula>0</formula>
    </cfRule>
    <cfRule type="cellIs" dxfId="4623" priority="1856" operator="greaterThan">
      <formula>0</formula>
    </cfRule>
  </conditionalFormatting>
  <conditionalFormatting sqref="AV31:BA31 AY25:BA26 AV24:BA24 AY18:BA19 AV17:BA17 AY11:BA12 AV10:BA10 AV3:BA3">
    <cfRule type="expression" dxfId="4622" priority="1854">
      <formula>WEEKNUM(AV$33)=WEEKNUM(TODAY())</formula>
    </cfRule>
  </conditionalFormatting>
  <conditionalFormatting sqref="BC2:BH2">
    <cfRule type="expression" dxfId="4621" priority="1847">
      <formula>BC2="S"&amp;WEEKNUM(TODAY())</formula>
    </cfRule>
  </conditionalFormatting>
  <conditionalFormatting sqref="BH6 BH8 BH13 BH15">
    <cfRule type="expression" dxfId="4620" priority="1845">
      <formula>BH7&gt;0</formula>
    </cfRule>
    <cfRule type="expression" dxfId="4619" priority="1851">
      <formula>BH7&lt;0</formula>
    </cfRule>
  </conditionalFormatting>
  <conditionalFormatting sqref="BH7 BH9 BH16">
    <cfRule type="cellIs" dxfId="4618" priority="1846" operator="greaterThan">
      <formula>0</formula>
    </cfRule>
    <cfRule type="cellIs" dxfId="4617" priority="1849" operator="lessThan">
      <formula>0</formula>
    </cfRule>
  </conditionalFormatting>
  <conditionalFormatting sqref="BH20 BH22">
    <cfRule type="expression" dxfId="4616" priority="1843">
      <formula>BH21&gt;0</formula>
    </cfRule>
    <cfRule type="expression" dxfId="4615" priority="3281">
      <formula>BH21&lt;0</formula>
    </cfRule>
  </conditionalFormatting>
  <conditionalFormatting sqref="BH23">
    <cfRule type="cellIs" dxfId="4614" priority="1844" operator="greaterThan">
      <formula>0</formula>
    </cfRule>
    <cfRule type="cellIs" dxfId="4613" priority="3282" operator="lessThan">
      <formula>0</formula>
    </cfRule>
  </conditionalFormatting>
  <conditionalFormatting sqref="BH27 BH29">
    <cfRule type="expression" dxfId="4612" priority="1841">
      <formula>BH28&gt;0</formula>
    </cfRule>
    <cfRule type="expression" dxfId="4611" priority="3283">
      <formula>BH28&lt;0</formula>
    </cfRule>
  </conditionalFormatting>
  <conditionalFormatting sqref="BH30">
    <cfRule type="cellIs" dxfId="4610" priority="1842" operator="greaterThan">
      <formula>0</formula>
    </cfRule>
    <cfRule type="cellIs" dxfId="4609" priority="3284" operator="lessThan">
      <formula>0</formula>
    </cfRule>
  </conditionalFormatting>
  <conditionalFormatting sqref="BH14">
    <cfRule type="cellIs" dxfId="4608" priority="1839" operator="lessThan">
      <formula>0</formula>
    </cfRule>
    <cfRule type="cellIs" dxfId="4607" priority="1840" operator="greaterThan">
      <formula>0</formula>
    </cfRule>
  </conditionalFormatting>
  <conditionalFormatting sqref="BH21">
    <cfRule type="cellIs" dxfId="4606" priority="1837" operator="lessThan">
      <formula>0</formula>
    </cfRule>
    <cfRule type="cellIs" dxfId="4605" priority="1838" operator="greaterThan">
      <formula>0</formula>
    </cfRule>
  </conditionalFormatting>
  <conditionalFormatting sqref="BH28">
    <cfRule type="cellIs" dxfId="4604" priority="1835" operator="lessThan">
      <formula>0</formula>
    </cfRule>
    <cfRule type="cellIs" dxfId="4603" priority="1836" operator="greaterThan">
      <formula>0</formula>
    </cfRule>
  </conditionalFormatting>
  <conditionalFormatting sqref="BC31:BH31 BF25:BH26 BC24:BH24 BF18:BH19 BC17:BH17 BF11:BH12 BC10:BH10 BC3:BH3">
    <cfRule type="expression" dxfId="4602" priority="1834">
      <formula>WEEKNUM(BC$33)=WEEKNUM(TODAY())</formula>
    </cfRule>
  </conditionalFormatting>
  <conditionalFormatting sqref="BJ2:BP2 BW2 CD2">
    <cfRule type="expression" dxfId="4601" priority="1815">
      <formula>BJ2="S"&amp;WEEKNUM(TODAY())</formula>
    </cfRule>
  </conditionalFormatting>
  <conditionalFormatting sqref="BO6 BO8 BO13 BO15">
    <cfRule type="expression" dxfId="4600" priority="1813">
      <formula>BO7&gt;0</formula>
    </cfRule>
    <cfRule type="expression" dxfId="4599" priority="1831">
      <formula>BO7&lt;0</formula>
    </cfRule>
  </conditionalFormatting>
  <conditionalFormatting sqref="BO7 BO9 BO16">
    <cfRule type="cellIs" dxfId="4598" priority="1814" operator="greaterThan">
      <formula>0</formula>
    </cfRule>
    <cfRule type="cellIs" dxfId="4597" priority="1829" operator="lessThan">
      <formula>0</formula>
    </cfRule>
  </conditionalFormatting>
  <conditionalFormatting sqref="BO20 BO22">
    <cfRule type="expression" dxfId="4596" priority="1811">
      <formula>BO21&gt;0</formula>
    </cfRule>
    <cfRule type="expression" dxfId="4595" priority="1827">
      <formula>BO21&lt;0</formula>
    </cfRule>
  </conditionalFormatting>
  <conditionalFormatting sqref="BO23">
    <cfRule type="cellIs" dxfId="4594" priority="1812" operator="greaterThan">
      <formula>0</formula>
    </cfRule>
    <cfRule type="cellIs" dxfId="4593" priority="1825" operator="lessThan">
      <formula>0</formula>
    </cfRule>
  </conditionalFormatting>
  <conditionalFormatting sqref="BO27 BO29">
    <cfRule type="expression" dxfId="4592" priority="1809">
      <formula>BO28&gt;0</formula>
    </cfRule>
    <cfRule type="expression" dxfId="4591" priority="1823">
      <formula>BO28&lt;0</formula>
    </cfRule>
  </conditionalFormatting>
  <conditionalFormatting sqref="BO30">
    <cfRule type="cellIs" dxfId="4590" priority="1810" operator="greaterThan">
      <formula>0</formula>
    </cfRule>
    <cfRule type="cellIs" dxfId="4589" priority="1821" operator="lessThan">
      <formula>0</formula>
    </cfRule>
  </conditionalFormatting>
  <conditionalFormatting sqref="BO14">
    <cfRule type="cellIs" dxfId="4588" priority="1807" operator="lessThan">
      <formula>0</formula>
    </cfRule>
    <cfRule type="cellIs" dxfId="4587" priority="1808" operator="greaterThan">
      <formula>0</formula>
    </cfRule>
  </conditionalFormatting>
  <conditionalFormatting sqref="BO21">
    <cfRule type="cellIs" dxfId="4586" priority="1805" operator="lessThan">
      <formula>0</formula>
    </cfRule>
    <cfRule type="cellIs" dxfId="4585" priority="1806" operator="greaterThan">
      <formula>0</formula>
    </cfRule>
  </conditionalFormatting>
  <conditionalFormatting sqref="BO28">
    <cfRule type="cellIs" dxfId="4584" priority="1803" operator="lessThan">
      <formula>0</formula>
    </cfRule>
    <cfRule type="cellIs" dxfId="4583" priority="1804" operator="greaterThan">
      <formula>0</formula>
    </cfRule>
  </conditionalFormatting>
  <conditionalFormatting sqref="BJ31:BO31 BM25:BO26 BJ24:BO24 BM18:BO19 BJ17:BO17 BM11:BO12 BJ10:BO10 BJ3:BO3">
    <cfRule type="expression" dxfId="4582" priority="1802">
      <formula>WEEKNUM(BJ$33)=WEEKNUM(TODAY())</formula>
    </cfRule>
  </conditionalFormatting>
  <conditionalFormatting sqref="BQ2:BV2">
    <cfRule type="expression" dxfId="4581" priority="1799">
      <formula>BQ2="S"&amp;WEEKNUM(TODAY())</formula>
    </cfRule>
  </conditionalFormatting>
  <conditionalFormatting sqref="BV6 BV8 BV13 BV15">
    <cfRule type="expression" dxfId="4580" priority="1797">
      <formula>BV7&gt;0</formula>
    </cfRule>
    <cfRule type="expression" dxfId="4579" priority="1801">
      <formula>BV7&lt;0</formula>
    </cfRule>
  </conditionalFormatting>
  <conditionalFormatting sqref="BV7 BV9 BV16">
    <cfRule type="cellIs" dxfId="4578" priority="1798" operator="greaterThan">
      <formula>0</formula>
    </cfRule>
    <cfRule type="cellIs" dxfId="4577" priority="1800" operator="lessThan">
      <formula>0</formula>
    </cfRule>
  </conditionalFormatting>
  <conditionalFormatting sqref="BV20 BV22">
    <cfRule type="expression" dxfId="4576" priority="1795">
      <formula>BV21&gt;0</formula>
    </cfRule>
  </conditionalFormatting>
  <conditionalFormatting sqref="BV23">
    <cfRule type="cellIs" dxfId="4575" priority="1796" operator="greaterThan">
      <formula>0</formula>
    </cfRule>
  </conditionalFormatting>
  <conditionalFormatting sqref="BV27 BV29">
    <cfRule type="expression" dxfId="4574" priority="1793">
      <formula>BV28&gt;0</formula>
    </cfRule>
  </conditionalFormatting>
  <conditionalFormatting sqref="BV30">
    <cfRule type="cellIs" dxfId="4573" priority="1794" operator="greaterThan">
      <formula>0</formula>
    </cfRule>
  </conditionalFormatting>
  <conditionalFormatting sqref="BV14">
    <cfRule type="cellIs" dxfId="4572" priority="1791" operator="lessThan">
      <formula>0</formula>
    </cfRule>
    <cfRule type="cellIs" dxfId="4571" priority="1792" operator="greaterThan">
      <formula>0</formula>
    </cfRule>
  </conditionalFormatting>
  <conditionalFormatting sqref="BV21">
    <cfRule type="cellIs" dxfId="4570" priority="1789" operator="lessThan">
      <formula>0</formula>
    </cfRule>
    <cfRule type="cellIs" dxfId="4569" priority="1790" operator="greaterThan">
      <formula>0</formula>
    </cfRule>
  </conditionalFormatting>
  <conditionalFormatting sqref="BV28">
    <cfRule type="cellIs" dxfId="4568" priority="1787" operator="lessThan">
      <formula>0</formula>
    </cfRule>
    <cfRule type="cellIs" dxfId="4567" priority="1788" operator="greaterThan">
      <formula>0</formula>
    </cfRule>
  </conditionalFormatting>
  <conditionalFormatting sqref="BQ31:BV31 BT25:BV26 BQ24:BV24 BT18:BV19 BQ17:BV17 BT11:BV12 BQ10:BV10 BQ3:BV3">
    <cfRule type="expression" dxfId="4566" priority="1786">
      <formula>WEEKNUM(BQ$33)=WEEKNUM(TODAY())</formula>
    </cfRule>
  </conditionalFormatting>
  <conditionalFormatting sqref="BX2:CC2">
    <cfRule type="expression" dxfId="4565" priority="1783">
      <formula>BX2="S"&amp;WEEKNUM(TODAY())</formula>
    </cfRule>
  </conditionalFormatting>
  <conditionalFormatting sqref="CC6 CC8 CC13 CC15">
    <cfRule type="expression" dxfId="4564" priority="1781">
      <formula>CC7&gt;0</formula>
    </cfRule>
    <cfRule type="expression" dxfId="4563" priority="1785">
      <formula>CC7&lt;0</formula>
    </cfRule>
  </conditionalFormatting>
  <conditionalFormatting sqref="CC7 CC9 CC16">
    <cfRule type="cellIs" dxfId="4562" priority="1782" operator="greaterThan">
      <formula>0</formula>
    </cfRule>
    <cfRule type="cellIs" dxfId="4561" priority="1784" operator="lessThan">
      <formula>0</formula>
    </cfRule>
  </conditionalFormatting>
  <conditionalFormatting sqref="CC20 CC22">
    <cfRule type="expression" dxfId="4560" priority="1779">
      <formula>CC21&gt;0</formula>
    </cfRule>
  </conditionalFormatting>
  <conditionalFormatting sqref="CC23">
    <cfRule type="cellIs" dxfId="4559" priority="1780" operator="greaterThan">
      <formula>0</formula>
    </cfRule>
  </conditionalFormatting>
  <conditionalFormatting sqref="CC27 CC29">
    <cfRule type="expression" dxfId="4558" priority="1777">
      <formula>CC28&gt;0</formula>
    </cfRule>
  </conditionalFormatting>
  <conditionalFormatting sqref="CC30">
    <cfRule type="cellIs" dxfId="4557" priority="1778" operator="greaterThan">
      <formula>0</formula>
    </cfRule>
  </conditionalFormatting>
  <conditionalFormatting sqref="CC14">
    <cfRule type="cellIs" dxfId="4556" priority="1775" operator="lessThan">
      <formula>0</formula>
    </cfRule>
    <cfRule type="cellIs" dxfId="4555" priority="1776" operator="greaterThan">
      <formula>0</formula>
    </cfRule>
  </conditionalFormatting>
  <conditionalFormatting sqref="CC21">
    <cfRule type="cellIs" dxfId="4554" priority="1773" operator="lessThan">
      <formula>0</formula>
    </cfRule>
    <cfRule type="cellIs" dxfId="4553" priority="1774" operator="greaterThan">
      <formula>0</formula>
    </cfRule>
  </conditionalFormatting>
  <conditionalFormatting sqref="CC28">
    <cfRule type="cellIs" dxfId="4552" priority="1771" operator="lessThan">
      <formula>0</formula>
    </cfRule>
    <cfRule type="cellIs" dxfId="4551" priority="1772" operator="greaterThan">
      <formula>0</formula>
    </cfRule>
  </conditionalFormatting>
  <conditionalFormatting sqref="BX31:CC31 CA25:CC26 BX24:CC24 CA18:CC19 BX17:CC17 CA11:CC12 BX10:CC10 BX3:CC3">
    <cfRule type="expression" dxfId="4550" priority="1770">
      <formula>WEEKNUM(BX$33)=WEEKNUM(TODAY())</formula>
    </cfRule>
  </conditionalFormatting>
  <conditionalFormatting sqref="CE2:CJ2">
    <cfRule type="expression" dxfId="4549" priority="1767">
      <formula>CE2="S"&amp;WEEKNUM(TODAY())</formula>
    </cfRule>
  </conditionalFormatting>
  <conditionalFormatting sqref="CJ6 CJ8 CJ13 CJ15">
    <cfRule type="expression" dxfId="4548" priority="1765">
      <formula>CJ7&gt;0</formula>
    </cfRule>
    <cfRule type="expression" dxfId="4547" priority="1769">
      <formula>CJ7&lt;0</formula>
    </cfRule>
  </conditionalFormatting>
  <conditionalFormatting sqref="CJ7 CJ9 CJ16">
    <cfRule type="cellIs" dxfId="4546" priority="1766" operator="greaterThan">
      <formula>0</formula>
    </cfRule>
    <cfRule type="cellIs" dxfId="4545" priority="1768" operator="lessThan">
      <formula>0</formula>
    </cfRule>
  </conditionalFormatting>
  <conditionalFormatting sqref="CJ20 CJ22">
    <cfRule type="expression" dxfId="4544" priority="1763">
      <formula>CJ21&gt;0</formula>
    </cfRule>
  </conditionalFormatting>
  <conditionalFormatting sqref="CJ23">
    <cfRule type="cellIs" dxfId="4543" priority="1764" operator="greaterThan">
      <formula>0</formula>
    </cfRule>
  </conditionalFormatting>
  <conditionalFormatting sqref="CJ27 CJ29">
    <cfRule type="expression" dxfId="4542" priority="1761">
      <formula>CJ28&gt;0</formula>
    </cfRule>
  </conditionalFormatting>
  <conditionalFormatting sqref="CJ30">
    <cfRule type="cellIs" dxfId="4541" priority="1762" operator="greaterThan">
      <formula>0</formula>
    </cfRule>
  </conditionalFormatting>
  <conditionalFormatting sqref="CJ14">
    <cfRule type="cellIs" dxfId="4540" priority="1759" operator="lessThan">
      <formula>0</formula>
    </cfRule>
    <cfRule type="cellIs" dxfId="4539" priority="1760" operator="greaterThan">
      <formula>0</formula>
    </cfRule>
  </conditionalFormatting>
  <conditionalFormatting sqref="CJ21">
    <cfRule type="cellIs" dxfId="4538" priority="1757" operator="lessThan">
      <formula>0</formula>
    </cfRule>
    <cfRule type="cellIs" dxfId="4537" priority="1758" operator="greaterThan">
      <formula>0</formula>
    </cfRule>
  </conditionalFormatting>
  <conditionalFormatting sqref="CJ28">
    <cfRule type="cellIs" dxfId="4536" priority="1755" operator="lessThan">
      <formula>0</formula>
    </cfRule>
    <cfRule type="cellIs" dxfId="4535" priority="1756" operator="greaterThan">
      <formula>0</formula>
    </cfRule>
  </conditionalFormatting>
  <conditionalFormatting sqref="CE31:CJ31 CH25:CJ26 CE24:CJ24 CH18:CJ19 CE17:CJ17 CH11:CJ12 CE10:CJ10 CE3:CJ3">
    <cfRule type="expression" dxfId="4534" priority="1754">
      <formula>WEEKNUM(CE$33)=WEEKNUM(TODAY())</formula>
    </cfRule>
  </conditionalFormatting>
  <conditionalFormatting sqref="CL2:CR2 CY2 DF2">
    <cfRule type="expression" dxfId="4533" priority="1735">
      <formula>CL2="S"&amp;WEEKNUM(TODAY())</formula>
    </cfRule>
  </conditionalFormatting>
  <conditionalFormatting sqref="CQ6 CQ8 CQ13 CQ15">
    <cfRule type="expression" dxfId="4532" priority="1733">
      <formula>CQ7&gt;0</formula>
    </cfRule>
    <cfRule type="expression" dxfId="4531" priority="1751">
      <formula>CQ7&lt;0</formula>
    </cfRule>
  </conditionalFormatting>
  <conditionalFormatting sqref="CQ7 CQ9 CQ16">
    <cfRule type="cellIs" dxfId="4530" priority="1734" operator="greaterThan">
      <formula>0</formula>
    </cfRule>
    <cfRule type="cellIs" dxfId="4529" priority="1749" operator="lessThan">
      <formula>0</formula>
    </cfRule>
  </conditionalFormatting>
  <conditionalFormatting sqref="CQ20 CQ22">
    <cfRule type="expression" dxfId="4528" priority="1731">
      <formula>CQ21&gt;0</formula>
    </cfRule>
    <cfRule type="expression" dxfId="4527" priority="1747">
      <formula>CQ21&lt;0</formula>
    </cfRule>
  </conditionalFormatting>
  <conditionalFormatting sqref="CQ23">
    <cfRule type="cellIs" dxfId="4526" priority="1732" operator="greaterThan">
      <formula>0</formula>
    </cfRule>
    <cfRule type="cellIs" dxfId="4525" priority="1745" operator="lessThan">
      <formula>0</formula>
    </cfRule>
  </conditionalFormatting>
  <conditionalFormatting sqref="CQ27 CQ29">
    <cfRule type="expression" dxfId="4524" priority="1729">
      <formula>CQ28&gt;0</formula>
    </cfRule>
    <cfRule type="expression" dxfId="4523" priority="1743">
      <formula>CQ28&lt;0</formula>
    </cfRule>
  </conditionalFormatting>
  <conditionalFormatting sqref="CQ30">
    <cfRule type="cellIs" dxfId="4522" priority="1730" operator="greaterThan">
      <formula>0</formula>
    </cfRule>
    <cfRule type="cellIs" dxfId="4521" priority="1741" operator="lessThan">
      <formula>0</formula>
    </cfRule>
  </conditionalFormatting>
  <conditionalFormatting sqref="CQ14">
    <cfRule type="cellIs" dxfId="4520" priority="1727" operator="lessThan">
      <formula>0</formula>
    </cfRule>
    <cfRule type="cellIs" dxfId="4519" priority="1728" operator="greaterThan">
      <formula>0</formula>
    </cfRule>
  </conditionalFormatting>
  <conditionalFormatting sqref="CQ21">
    <cfRule type="cellIs" dxfId="4518" priority="1725" operator="lessThan">
      <formula>0</formula>
    </cfRule>
    <cfRule type="cellIs" dxfId="4517" priority="1726" operator="greaterThan">
      <formula>0</formula>
    </cfRule>
  </conditionalFormatting>
  <conditionalFormatting sqref="CQ28">
    <cfRule type="cellIs" dxfId="4516" priority="1723" operator="lessThan">
      <formula>0</formula>
    </cfRule>
    <cfRule type="cellIs" dxfId="4515" priority="1724" operator="greaterThan">
      <formula>0</formula>
    </cfRule>
  </conditionalFormatting>
  <conditionalFormatting sqref="CL31:CQ31 CO25:CQ26 CL24:CQ24 CO18:CQ19 CL17:CQ17 CO11:CQ12 CL10:CQ10 CL3:CQ3">
    <cfRule type="expression" dxfId="4514" priority="1722">
      <formula>WEEKNUM(CL$33)=WEEKNUM(TODAY())</formula>
    </cfRule>
  </conditionalFormatting>
  <conditionalFormatting sqref="CS2:CX2">
    <cfRule type="expression" dxfId="4513" priority="1719">
      <formula>CS2="S"&amp;WEEKNUM(TODAY())</formula>
    </cfRule>
  </conditionalFormatting>
  <conditionalFormatting sqref="CX6 CX8 CX13 CX15">
    <cfRule type="expression" dxfId="4512" priority="1717">
      <formula>CX7&gt;0</formula>
    </cfRule>
    <cfRule type="expression" dxfId="4511" priority="1721">
      <formula>CX7&lt;0</formula>
    </cfRule>
  </conditionalFormatting>
  <conditionalFormatting sqref="CX7 CX9 CX16">
    <cfRule type="cellIs" dxfId="4510" priority="1718" operator="greaterThan">
      <formula>0</formula>
    </cfRule>
    <cfRule type="cellIs" dxfId="4509" priority="1720" operator="lessThan">
      <formula>0</formula>
    </cfRule>
  </conditionalFormatting>
  <conditionalFormatting sqref="CX20 CX22">
    <cfRule type="expression" dxfId="4508" priority="1715">
      <formula>CX21&gt;0</formula>
    </cfRule>
  </conditionalFormatting>
  <conditionalFormatting sqref="CX23">
    <cfRule type="cellIs" dxfId="4507" priority="1716" operator="greaterThan">
      <formula>0</formula>
    </cfRule>
  </conditionalFormatting>
  <conditionalFormatting sqref="CX27 CX29">
    <cfRule type="expression" dxfId="4506" priority="1713">
      <formula>CX28&gt;0</formula>
    </cfRule>
  </conditionalFormatting>
  <conditionalFormatting sqref="CX30">
    <cfRule type="cellIs" dxfId="4505" priority="1714" operator="greaterThan">
      <formula>0</formula>
    </cfRule>
  </conditionalFormatting>
  <conditionalFormatting sqref="CX14">
    <cfRule type="cellIs" dxfId="4504" priority="1711" operator="lessThan">
      <formula>0</formula>
    </cfRule>
    <cfRule type="cellIs" dxfId="4503" priority="1712" operator="greaterThan">
      <formula>0</formula>
    </cfRule>
  </conditionalFormatting>
  <conditionalFormatting sqref="CX21">
    <cfRule type="cellIs" dxfId="4502" priority="1709" operator="lessThan">
      <formula>0</formula>
    </cfRule>
    <cfRule type="cellIs" dxfId="4501" priority="1710" operator="greaterThan">
      <formula>0</formula>
    </cfRule>
  </conditionalFormatting>
  <conditionalFormatting sqref="CX28">
    <cfRule type="cellIs" dxfId="4500" priority="1707" operator="lessThan">
      <formula>0</formula>
    </cfRule>
    <cfRule type="cellIs" dxfId="4499" priority="1708" operator="greaterThan">
      <formula>0</formula>
    </cfRule>
  </conditionalFormatting>
  <conditionalFormatting sqref="CS31:CX31 CV25:CX26 CS24:CX24 CV18:CX19 CS17:CX17 CV11:CX12 CS10:CX10 CS3:CX3">
    <cfRule type="expression" dxfId="4498" priority="1706">
      <formula>WEEKNUM(CS$33)=WEEKNUM(TODAY())</formula>
    </cfRule>
  </conditionalFormatting>
  <conditionalFormatting sqref="CZ2:DE2">
    <cfRule type="expression" dxfId="4497" priority="1703">
      <formula>CZ2="S"&amp;WEEKNUM(TODAY())</formula>
    </cfRule>
  </conditionalFormatting>
  <conditionalFormatting sqref="DE6 DE8 DE13 DE15">
    <cfRule type="expression" dxfId="4496" priority="1701">
      <formula>DE7&gt;0</formula>
    </cfRule>
    <cfRule type="expression" dxfId="4495" priority="1705">
      <formula>DE7&lt;0</formula>
    </cfRule>
  </conditionalFormatting>
  <conditionalFormatting sqref="DE7 DE9 DE16">
    <cfRule type="cellIs" dxfId="4494" priority="1702" operator="greaterThan">
      <formula>0</formula>
    </cfRule>
    <cfRule type="cellIs" dxfId="4493" priority="1704" operator="lessThan">
      <formula>0</formula>
    </cfRule>
  </conditionalFormatting>
  <conditionalFormatting sqref="DE20 DE22">
    <cfRule type="expression" dxfId="4492" priority="1699">
      <formula>DE21&gt;0</formula>
    </cfRule>
  </conditionalFormatting>
  <conditionalFormatting sqref="DE23">
    <cfRule type="cellIs" dxfId="4491" priority="1700" operator="greaterThan">
      <formula>0</formula>
    </cfRule>
  </conditionalFormatting>
  <conditionalFormatting sqref="DE27 DE29">
    <cfRule type="expression" dxfId="4490" priority="1697">
      <formula>DE28&gt;0</formula>
    </cfRule>
  </conditionalFormatting>
  <conditionalFormatting sqref="DE30">
    <cfRule type="cellIs" dxfId="4489" priority="1698" operator="greaterThan">
      <formula>0</formula>
    </cfRule>
  </conditionalFormatting>
  <conditionalFormatting sqref="DE14">
    <cfRule type="cellIs" dxfId="4488" priority="1695" operator="lessThan">
      <formula>0</formula>
    </cfRule>
    <cfRule type="cellIs" dxfId="4487" priority="1696" operator="greaterThan">
      <formula>0</formula>
    </cfRule>
  </conditionalFormatting>
  <conditionalFormatting sqref="DE21">
    <cfRule type="cellIs" dxfId="4486" priority="1693" operator="lessThan">
      <formula>0</formula>
    </cfRule>
    <cfRule type="cellIs" dxfId="4485" priority="1694" operator="greaterThan">
      <formula>0</formula>
    </cfRule>
  </conditionalFormatting>
  <conditionalFormatting sqref="DE28">
    <cfRule type="cellIs" dxfId="4484" priority="1691" operator="lessThan">
      <formula>0</formula>
    </cfRule>
    <cfRule type="cellIs" dxfId="4483" priority="1692" operator="greaterThan">
      <formula>0</formula>
    </cfRule>
  </conditionalFormatting>
  <conditionalFormatting sqref="CZ31:DE31 DC25:DE26 CZ24:DE24 DC18:DE19 CZ17:DE17 DC11:DE12 CZ10:DE10 CZ3:DE3">
    <cfRule type="expression" dxfId="4482" priority="1690">
      <formula>WEEKNUM(CZ$33)=WEEKNUM(TODAY())</formula>
    </cfRule>
  </conditionalFormatting>
  <conditionalFormatting sqref="DG2:DL2">
    <cfRule type="expression" dxfId="4481" priority="1687">
      <formula>DG2="S"&amp;WEEKNUM(TODAY())</formula>
    </cfRule>
  </conditionalFormatting>
  <conditionalFormatting sqref="DL6 DL8 DL13 DL15">
    <cfRule type="expression" dxfId="4480" priority="1685">
      <formula>DL7&gt;0</formula>
    </cfRule>
    <cfRule type="expression" dxfId="4479" priority="1689">
      <formula>DL7&lt;0</formula>
    </cfRule>
  </conditionalFormatting>
  <conditionalFormatting sqref="DL7 DL9 DL16">
    <cfRule type="cellIs" dxfId="4478" priority="1686" operator="greaterThan">
      <formula>0</formula>
    </cfRule>
    <cfRule type="cellIs" dxfId="4477" priority="1688" operator="lessThan">
      <formula>0</formula>
    </cfRule>
  </conditionalFormatting>
  <conditionalFormatting sqref="DL20 DL22">
    <cfRule type="expression" dxfId="4476" priority="1683">
      <formula>DL21&gt;0</formula>
    </cfRule>
  </conditionalFormatting>
  <conditionalFormatting sqref="DL23">
    <cfRule type="cellIs" dxfId="4475" priority="1684" operator="greaterThan">
      <formula>0</formula>
    </cfRule>
  </conditionalFormatting>
  <conditionalFormatting sqref="DL27 DL29">
    <cfRule type="expression" dxfId="4474" priority="1681">
      <formula>DL28&gt;0</formula>
    </cfRule>
  </conditionalFormatting>
  <conditionalFormatting sqref="DL30">
    <cfRule type="cellIs" dxfId="4473" priority="1682" operator="greaterThan">
      <formula>0</formula>
    </cfRule>
  </conditionalFormatting>
  <conditionalFormatting sqref="DL14">
    <cfRule type="cellIs" dxfId="4472" priority="1679" operator="lessThan">
      <formula>0</formula>
    </cfRule>
    <cfRule type="cellIs" dxfId="4471" priority="1680" operator="greaterThan">
      <formula>0</formula>
    </cfRule>
  </conditionalFormatting>
  <conditionalFormatting sqref="DL21">
    <cfRule type="cellIs" dxfId="4470" priority="1677" operator="lessThan">
      <formula>0</formula>
    </cfRule>
    <cfRule type="cellIs" dxfId="4469" priority="1678" operator="greaterThan">
      <formula>0</formula>
    </cfRule>
  </conditionalFormatting>
  <conditionalFormatting sqref="DL28">
    <cfRule type="cellIs" dxfId="4468" priority="1675" operator="lessThan">
      <formula>0</formula>
    </cfRule>
    <cfRule type="cellIs" dxfId="4467" priority="1676" operator="greaterThan">
      <formula>0</formula>
    </cfRule>
  </conditionalFormatting>
  <conditionalFormatting sqref="DG31:DL31 DJ25:DL26 DG24:DL24 DJ18:DL19 DG17:DL17 DJ11:DL12 DG10:DL10 DG3:DL3">
    <cfRule type="expression" dxfId="4466" priority="1674">
      <formula>WEEKNUM(DG$33)=WEEKNUM(TODAY())</formula>
    </cfRule>
  </conditionalFormatting>
  <conditionalFormatting sqref="DN2:DT2 EA2 EH2">
    <cfRule type="expression" dxfId="4465" priority="1655">
      <formula>DN2="S"&amp;WEEKNUM(TODAY())</formula>
    </cfRule>
  </conditionalFormatting>
  <conditionalFormatting sqref="DS6 DS8 DS13 DS15">
    <cfRule type="expression" dxfId="4464" priority="1653">
      <formula>DS7&gt;0</formula>
    </cfRule>
    <cfRule type="expression" dxfId="4463" priority="1671">
      <formula>DS7&lt;0</formula>
    </cfRule>
  </conditionalFormatting>
  <conditionalFormatting sqref="DS7 DS9 DS16">
    <cfRule type="cellIs" dxfId="4462" priority="1654" operator="greaterThan">
      <formula>0</formula>
    </cfRule>
    <cfRule type="cellIs" dxfId="4461" priority="1669" operator="lessThan">
      <formula>0</formula>
    </cfRule>
  </conditionalFormatting>
  <conditionalFormatting sqref="DS20 DS22">
    <cfRule type="expression" dxfId="4460" priority="1651">
      <formula>DS21&gt;0</formula>
    </cfRule>
    <cfRule type="expression" dxfId="4459" priority="1667">
      <formula>DS21&lt;0</formula>
    </cfRule>
  </conditionalFormatting>
  <conditionalFormatting sqref="DS23">
    <cfRule type="cellIs" dxfId="4458" priority="1652" operator="greaterThan">
      <formula>0</formula>
    </cfRule>
    <cfRule type="cellIs" dxfId="4457" priority="1665" operator="lessThan">
      <formula>0</formula>
    </cfRule>
  </conditionalFormatting>
  <conditionalFormatting sqref="DS27 DS29">
    <cfRule type="expression" dxfId="4456" priority="1649">
      <formula>DS28&gt;0</formula>
    </cfRule>
    <cfRule type="expression" dxfId="4455" priority="1663">
      <formula>DS28&lt;0</formula>
    </cfRule>
  </conditionalFormatting>
  <conditionalFormatting sqref="DS30">
    <cfRule type="cellIs" dxfId="4454" priority="1650" operator="greaterThan">
      <formula>0</formula>
    </cfRule>
    <cfRule type="cellIs" dxfId="4453" priority="1661" operator="lessThan">
      <formula>0</formula>
    </cfRule>
  </conditionalFormatting>
  <conditionalFormatting sqref="DS14">
    <cfRule type="cellIs" dxfId="4452" priority="1647" operator="lessThan">
      <formula>0</formula>
    </cfRule>
    <cfRule type="cellIs" dxfId="4451" priority="1648" operator="greaterThan">
      <formula>0</formula>
    </cfRule>
  </conditionalFormatting>
  <conditionalFormatting sqref="DS21">
    <cfRule type="cellIs" dxfId="4450" priority="1645" operator="lessThan">
      <formula>0</formula>
    </cfRule>
    <cfRule type="cellIs" dxfId="4449" priority="1646" operator="greaterThan">
      <formula>0</formula>
    </cfRule>
  </conditionalFormatting>
  <conditionalFormatting sqref="DS28">
    <cfRule type="cellIs" dxfId="4448" priority="1643" operator="lessThan">
      <formula>0</formula>
    </cfRule>
    <cfRule type="cellIs" dxfId="4447" priority="1644" operator="greaterThan">
      <formula>0</formula>
    </cfRule>
  </conditionalFormatting>
  <conditionalFormatting sqref="DN31:DS31 DQ25:DS26 DN24:DS24 DQ18:DS19 DN17:DS17 DQ11:DS12 DN10:DS10 DN3:DS3">
    <cfRule type="expression" dxfId="4446" priority="1642">
      <formula>WEEKNUM(DN$33)=WEEKNUM(TODAY())</formula>
    </cfRule>
  </conditionalFormatting>
  <conditionalFormatting sqref="DU2:DZ2">
    <cfRule type="expression" dxfId="4445" priority="1639">
      <formula>DU2="S"&amp;WEEKNUM(TODAY())</formula>
    </cfRule>
  </conditionalFormatting>
  <conditionalFormatting sqref="DZ6 DZ8 DZ13 DZ15">
    <cfRule type="expression" dxfId="4444" priority="1637">
      <formula>DZ7&gt;0</formula>
    </cfRule>
    <cfRule type="expression" dxfId="4443" priority="1641">
      <formula>DZ7&lt;0</formula>
    </cfRule>
  </conditionalFormatting>
  <conditionalFormatting sqref="DZ7 DZ9 DZ16">
    <cfRule type="cellIs" dxfId="4442" priority="1638" operator="greaterThan">
      <formula>0</formula>
    </cfRule>
    <cfRule type="cellIs" dxfId="4441" priority="1640" operator="lessThan">
      <formula>0</formula>
    </cfRule>
  </conditionalFormatting>
  <conditionalFormatting sqref="DZ20 DZ22">
    <cfRule type="expression" dxfId="4440" priority="1635">
      <formula>DZ21&gt;0</formula>
    </cfRule>
  </conditionalFormatting>
  <conditionalFormatting sqref="DZ23">
    <cfRule type="cellIs" dxfId="4439" priority="1636" operator="greaterThan">
      <formula>0</formula>
    </cfRule>
  </conditionalFormatting>
  <conditionalFormatting sqref="DZ27 DZ29">
    <cfRule type="expression" dxfId="4438" priority="1633">
      <formula>DZ28&gt;0</formula>
    </cfRule>
  </conditionalFormatting>
  <conditionalFormatting sqref="DZ30">
    <cfRule type="cellIs" dxfId="4437" priority="1634" operator="greaterThan">
      <formula>0</formula>
    </cfRule>
  </conditionalFormatting>
  <conditionalFormatting sqref="DZ14">
    <cfRule type="cellIs" dxfId="4436" priority="1631" operator="lessThan">
      <formula>0</formula>
    </cfRule>
    <cfRule type="cellIs" dxfId="4435" priority="1632" operator="greaterThan">
      <formula>0</formula>
    </cfRule>
  </conditionalFormatting>
  <conditionalFormatting sqref="DZ21">
    <cfRule type="cellIs" dxfId="4434" priority="1629" operator="lessThan">
      <formula>0</formula>
    </cfRule>
    <cfRule type="cellIs" dxfId="4433" priority="1630" operator="greaterThan">
      <formula>0</formula>
    </cfRule>
  </conditionalFormatting>
  <conditionalFormatting sqref="DZ28">
    <cfRule type="cellIs" dxfId="4432" priority="1627" operator="lessThan">
      <formula>0</formula>
    </cfRule>
    <cfRule type="cellIs" dxfId="4431" priority="1628" operator="greaterThan">
      <formula>0</formula>
    </cfRule>
  </conditionalFormatting>
  <conditionalFormatting sqref="DU31:DZ31 DX25:DZ26 DU24:DZ24 DX18:DZ19 DU17:DZ17 DX11:DZ12 DU10:DZ10 DU3:DZ3">
    <cfRule type="expression" dxfId="4430" priority="1626">
      <formula>WEEKNUM(DU$33)=WEEKNUM(TODAY())</formula>
    </cfRule>
  </conditionalFormatting>
  <conditionalFormatting sqref="EB2:EG2">
    <cfRule type="expression" dxfId="4429" priority="1623">
      <formula>EB2="S"&amp;WEEKNUM(TODAY())</formula>
    </cfRule>
  </conditionalFormatting>
  <conditionalFormatting sqref="EG6 EG8 EG13 EG15">
    <cfRule type="expression" dxfId="4428" priority="1621">
      <formula>EG7&gt;0</formula>
    </cfRule>
    <cfRule type="expression" dxfId="4427" priority="1625">
      <formula>EG7&lt;0</formula>
    </cfRule>
  </conditionalFormatting>
  <conditionalFormatting sqref="EG7 EG9 EG16">
    <cfRule type="cellIs" dxfId="4426" priority="1622" operator="greaterThan">
      <formula>0</formula>
    </cfRule>
    <cfRule type="cellIs" dxfId="4425" priority="1624" operator="lessThan">
      <formula>0</formula>
    </cfRule>
  </conditionalFormatting>
  <conditionalFormatting sqref="EG20 EG22">
    <cfRule type="expression" dxfId="4424" priority="1619">
      <formula>EG21&gt;0</formula>
    </cfRule>
  </conditionalFormatting>
  <conditionalFormatting sqref="EG23">
    <cfRule type="cellIs" dxfId="4423" priority="1620" operator="greaterThan">
      <formula>0</formula>
    </cfRule>
  </conditionalFormatting>
  <conditionalFormatting sqref="EG27 EG29">
    <cfRule type="expression" dxfId="4422" priority="1617">
      <formula>EG28&gt;0</formula>
    </cfRule>
  </conditionalFormatting>
  <conditionalFormatting sqref="EG30">
    <cfRule type="cellIs" dxfId="4421" priority="1618" operator="greaterThan">
      <formula>0</formula>
    </cfRule>
  </conditionalFormatting>
  <conditionalFormatting sqref="EG14">
    <cfRule type="cellIs" dxfId="4420" priority="1615" operator="lessThan">
      <formula>0</formula>
    </cfRule>
    <cfRule type="cellIs" dxfId="4419" priority="1616" operator="greaterThan">
      <formula>0</formula>
    </cfRule>
  </conditionalFormatting>
  <conditionalFormatting sqref="EG21">
    <cfRule type="cellIs" dxfId="4418" priority="1613" operator="lessThan">
      <formula>0</formula>
    </cfRule>
    <cfRule type="cellIs" dxfId="4417" priority="1614" operator="greaterThan">
      <formula>0</formula>
    </cfRule>
  </conditionalFormatting>
  <conditionalFormatting sqref="EG28">
    <cfRule type="cellIs" dxfId="4416" priority="1611" operator="lessThan">
      <formula>0</formula>
    </cfRule>
    <cfRule type="cellIs" dxfId="4415" priority="1612" operator="greaterThan">
      <formula>0</formula>
    </cfRule>
  </conditionalFormatting>
  <conditionalFormatting sqref="EB31:EG31 EE25:EG26 EB24:EG24 EE18:EG19 EB17:EG17 EE11:EG12 EB10:EG10 EB3:EG3">
    <cfRule type="expression" dxfId="4414" priority="1610">
      <formula>WEEKNUM(EB$33)=WEEKNUM(TODAY())</formula>
    </cfRule>
  </conditionalFormatting>
  <conditionalFormatting sqref="EI2:EN2">
    <cfRule type="expression" dxfId="4413" priority="1607">
      <formula>EI2="S"&amp;WEEKNUM(TODAY())</formula>
    </cfRule>
  </conditionalFormatting>
  <conditionalFormatting sqref="EN6 EN8 EN13 EN15">
    <cfRule type="expression" dxfId="4412" priority="1605">
      <formula>EN7&gt;0</formula>
    </cfRule>
    <cfRule type="expression" dxfId="4411" priority="1609">
      <formula>EN7&lt;0</formula>
    </cfRule>
  </conditionalFormatting>
  <conditionalFormatting sqref="EN7 EN9 EN16">
    <cfRule type="cellIs" dxfId="4410" priority="1606" operator="greaterThan">
      <formula>0</formula>
    </cfRule>
    <cfRule type="cellIs" dxfId="4409" priority="1608" operator="lessThan">
      <formula>0</formula>
    </cfRule>
  </conditionalFormatting>
  <conditionalFormatting sqref="EN20 EN22">
    <cfRule type="expression" dxfId="4408" priority="1603">
      <formula>EN21&gt;0</formula>
    </cfRule>
  </conditionalFormatting>
  <conditionalFormatting sqref="EN23">
    <cfRule type="cellIs" dxfId="4407" priority="1604" operator="greaterThan">
      <formula>0</formula>
    </cfRule>
  </conditionalFormatting>
  <conditionalFormatting sqref="EN27 EN29">
    <cfRule type="expression" dxfId="4406" priority="1601">
      <formula>EN28&gt;0</formula>
    </cfRule>
  </conditionalFormatting>
  <conditionalFormatting sqref="EN30">
    <cfRule type="cellIs" dxfId="4405" priority="1602" operator="greaterThan">
      <formula>0</formula>
    </cfRule>
  </conditionalFormatting>
  <conditionalFormatting sqref="EN14">
    <cfRule type="cellIs" dxfId="4404" priority="1599" operator="lessThan">
      <formula>0</formula>
    </cfRule>
    <cfRule type="cellIs" dxfId="4403" priority="1600" operator="greaterThan">
      <formula>0</formula>
    </cfRule>
  </conditionalFormatting>
  <conditionalFormatting sqref="EN21">
    <cfRule type="cellIs" dxfId="4402" priority="1597" operator="lessThan">
      <formula>0</formula>
    </cfRule>
    <cfRule type="cellIs" dxfId="4401" priority="1598" operator="greaterThan">
      <formula>0</formula>
    </cfRule>
  </conditionalFormatting>
  <conditionalFormatting sqref="EN28">
    <cfRule type="cellIs" dxfId="4400" priority="1595" operator="lessThan">
      <formula>0</formula>
    </cfRule>
    <cfRule type="cellIs" dxfId="4399" priority="1596" operator="greaterThan">
      <formula>0</formula>
    </cfRule>
  </conditionalFormatting>
  <conditionalFormatting sqref="EI31:EN31 EL25:EN26 EI24:EN24 EL18:EN19 EI17:EN17 EL11:EN12 EI10:EN10 EI3:EN3">
    <cfRule type="expression" dxfId="4398" priority="1594">
      <formula>WEEKNUM(EI$33)=WEEKNUM(TODAY())</formula>
    </cfRule>
  </conditionalFormatting>
  <conditionalFormatting sqref="EP2:EV2 FC2 FJ2">
    <cfRule type="expression" dxfId="4397" priority="1575">
      <formula>EP2="S"&amp;WEEKNUM(TODAY())</formula>
    </cfRule>
  </conditionalFormatting>
  <conditionalFormatting sqref="EU6 EU8 EU13 EU15">
    <cfRule type="expression" dxfId="4396" priority="1573">
      <formula>EU7&gt;0</formula>
    </cfRule>
    <cfRule type="expression" dxfId="4395" priority="1591">
      <formula>EU7&lt;0</formula>
    </cfRule>
  </conditionalFormatting>
  <conditionalFormatting sqref="EU7 EU9 EU16">
    <cfRule type="cellIs" dxfId="4394" priority="1574" operator="greaterThan">
      <formula>0</formula>
    </cfRule>
    <cfRule type="cellIs" dxfId="4393" priority="1589" operator="lessThan">
      <formula>0</formula>
    </cfRule>
  </conditionalFormatting>
  <conditionalFormatting sqref="EU20 EU22">
    <cfRule type="expression" dxfId="4392" priority="1571">
      <formula>EU21&gt;0</formula>
    </cfRule>
    <cfRule type="expression" dxfId="4391" priority="1587">
      <formula>EU21&lt;0</formula>
    </cfRule>
  </conditionalFormatting>
  <conditionalFormatting sqref="EU23">
    <cfRule type="cellIs" dxfId="4390" priority="1572" operator="greaterThan">
      <formula>0</formula>
    </cfRule>
    <cfRule type="cellIs" dxfId="4389" priority="1585" operator="lessThan">
      <formula>0</formula>
    </cfRule>
  </conditionalFormatting>
  <conditionalFormatting sqref="EU27 EU29">
    <cfRule type="expression" dxfId="4388" priority="1569">
      <formula>EU28&gt;0</formula>
    </cfRule>
    <cfRule type="expression" dxfId="4387" priority="1583">
      <formula>EU28&lt;0</formula>
    </cfRule>
  </conditionalFormatting>
  <conditionalFormatting sqref="EU30">
    <cfRule type="cellIs" dxfId="4386" priority="1570" operator="greaterThan">
      <formula>0</formula>
    </cfRule>
    <cfRule type="cellIs" dxfId="4385" priority="1581" operator="lessThan">
      <formula>0</formula>
    </cfRule>
  </conditionalFormatting>
  <conditionalFormatting sqref="EU14">
    <cfRule type="cellIs" dxfId="4384" priority="1567" operator="lessThan">
      <formula>0</formula>
    </cfRule>
    <cfRule type="cellIs" dxfId="4383" priority="1568" operator="greaterThan">
      <formula>0</formula>
    </cfRule>
  </conditionalFormatting>
  <conditionalFormatting sqref="EU21">
    <cfRule type="cellIs" dxfId="4382" priority="1565" operator="lessThan">
      <formula>0</formula>
    </cfRule>
    <cfRule type="cellIs" dxfId="4381" priority="1566" operator="greaterThan">
      <formula>0</formula>
    </cfRule>
  </conditionalFormatting>
  <conditionalFormatting sqref="EU28">
    <cfRule type="cellIs" dxfId="4380" priority="1563" operator="lessThan">
      <formula>0</formula>
    </cfRule>
    <cfRule type="cellIs" dxfId="4379" priority="1564" operator="greaterThan">
      <formula>0</formula>
    </cfRule>
  </conditionalFormatting>
  <conditionalFormatting sqref="EP31:EU31 ES25:EU26 EP24:EU24 ES18:EU19 EP17:EU17 ES11:EU12 EP10:EU10 EP3:EU3">
    <cfRule type="expression" dxfId="4378" priority="1562">
      <formula>WEEKNUM(EP$33)=WEEKNUM(TODAY())</formula>
    </cfRule>
  </conditionalFormatting>
  <conditionalFormatting sqref="EW2:FB2">
    <cfRule type="expression" dxfId="4377" priority="1559">
      <formula>EW2="S"&amp;WEEKNUM(TODAY())</formula>
    </cfRule>
  </conditionalFormatting>
  <conditionalFormatting sqref="FB6 FB8 FB13 FB15">
    <cfRule type="expression" dxfId="4376" priority="1557">
      <formula>FB7&gt;0</formula>
    </cfRule>
    <cfRule type="expression" dxfId="4375" priority="1561">
      <formula>FB7&lt;0</formula>
    </cfRule>
  </conditionalFormatting>
  <conditionalFormatting sqref="FB7 FB9 FB16">
    <cfRule type="cellIs" dxfId="4374" priority="1558" operator="greaterThan">
      <formula>0</formula>
    </cfRule>
    <cfRule type="cellIs" dxfId="4373" priority="1560" operator="lessThan">
      <formula>0</formula>
    </cfRule>
  </conditionalFormatting>
  <conditionalFormatting sqref="FB20 FB22">
    <cfRule type="expression" dxfId="4372" priority="1555">
      <formula>FB21&gt;0</formula>
    </cfRule>
  </conditionalFormatting>
  <conditionalFormatting sqref="FB23">
    <cfRule type="cellIs" dxfId="4371" priority="1556" operator="greaterThan">
      <formula>0</formula>
    </cfRule>
  </conditionalFormatting>
  <conditionalFormatting sqref="FB27 FB29">
    <cfRule type="expression" dxfId="4370" priority="1553">
      <formula>FB28&gt;0</formula>
    </cfRule>
  </conditionalFormatting>
  <conditionalFormatting sqref="FB30">
    <cfRule type="cellIs" dxfId="4369" priority="1554" operator="greaterThan">
      <formula>0</formula>
    </cfRule>
  </conditionalFormatting>
  <conditionalFormatting sqref="FB14">
    <cfRule type="cellIs" dxfId="4368" priority="1551" operator="lessThan">
      <formula>0</formula>
    </cfRule>
    <cfRule type="cellIs" dxfId="4367" priority="1552" operator="greaterThan">
      <formula>0</formula>
    </cfRule>
  </conditionalFormatting>
  <conditionalFormatting sqref="FB21">
    <cfRule type="cellIs" dxfId="4366" priority="1549" operator="lessThan">
      <formula>0</formula>
    </cfRule>
    <cfRule type="cellIs" dxfId="4365" priority="1550" operator="greaterThan">
      <formula>0</formula>
    </cfRule>
  </conditionalFormatting>
  <conditionalFormatting sqref="FB28">
    <cfRule type="cellIs" dxfId="4364" priority="1547" operator="lessThan">
      <formula>0</formula>
    </cfRule>
    <cfRule type="cellIs" dxfId="4363" priority="1548" operator="greaterThan">
      <formula>0</formula>
    </cfRule>
  </conditionalFormatting>
  <conditionalFormatting sqref="EW31:FB31 EZ25:FB26 EW24:FB24 EZ18:FB19 EW17:FB17 EZ11:FB12 EW10:FB10 EW3:FB3">
    <cfRule type="expression" dxfId="4362" priority="1546">
      <formula>WEEKNUM(EW$33)=WEEKNUM(TODAY())</formula>
    </cfRule>
  </conditionalFormatting>
  <conditionalFormatting sqref="FD2:FI2">
    <cfRule type="expression" dxfId="4361" priority="1543">
      <formula>FD2="S"&amp;WEEKNUM(TODAY())</formula>
    </cfRule>
  </conditionalFormatting>
  <conditionalFormatting sqref="FI6 FI8 FI13 FI15">
    <cfRule type="expression" dxfId="4360" priority="1541">
      <formula>FI7&gt;0</formula>
    </cfRule>
    <cfRule type="expression" dxfId="4359" priority="1545">
      <formula>FI7&lt;0</formula>
    </cfRule>
  </conditionalFormatting>
  <conditionalFormatting sqref="FI7 FI9 FI16">
    <cfRule type="cellIs" dxfId="4358" priority="1542" operator="greaterThan">
      <formula>0</formula>
    </cfRule>
    <cfRule type="cellIs" dxfId="4357" priority="1544" operator="lessThan">
      <formula>0</formula>
    </cfRule>
  </conditionalFormatting>
  <conditionalFormatting sqref="FI20 FI22">
    <cfRule type="expression" dxfId="4356" priority="1539">
      <formula>FI21&gt;0</formula>
    </cfRule>
  </conditionalFormatting>
  <conditionalFormatting sqref="FI23">
    <cfRule type="cellIs" dxfId="4355" priority="1540" operator="greaterThan">
      <formula>0</formula>
    </cfRule>
  </conditionalFormatting>
  <conditionalFormatting sqref="FI27 FI29">
    <cfRule type="expression" dxfId="4354" priority="1537">
      <formula>FI28&gt;0</formula>
    </cfRule>
  </conditionalFormatting>
  <conditionalFormatting sqref="FI30">
    <cfRule type="cellIs" dxfId="4353" priority="1538" operator="greaterThan">
      <formula>0</formula>
    </cfRule>
  </conditionalFormatting>
  <conditionalFormatting sqref="FI14">
    <cfRule type="cellIs" dxfId="4352" priority="1535" operator="lessThan">
      <formula>0</formula>
    </cfRule>
    <cfRule type="cellIs" dxfId="4351" priority="1536" operator="greaterThan">
      <formula>0</formula>
    </cfRule>
  </conditionalFormatting>
  <conditionalFormatting sqref="FI21">
    <cfRule type="cellIs" dxfId="4350" priority="1533" operator="lessThan">
      <formula>0</formula>
    </cfRule>
    <cfRule type="cellIs" dxfId="4349" priority="1534" operator="greaterThan">
      <formula>0</formula>
    </cfRule>
  </conditionalFormatting>
  <conditionalFormatting sqref="FI28">
    <cfRule type="cellIs" dxfId="4348" priority="1531" operator="lessThan">
      <formula>0</formula>
    </cfRule>
    <cfRule type="cellIs" dxfId="4347" priority="1532" operator="greaterThan">
      <formula>0</formula>
    </cfRule>
  </conditionalFormatting>
  <conditionalFormatting sqref="FD31:FI31 FG25:FI26 FD24:FI24 FG18:FI19 FD17:FI17 FG11:FI12 FD10:FI10 FD3:FI3">
    <cfRule type="expression" dxfId="4346" priority="1530">
      <formula>WEEKNUM(FD$33)=WEEKNUM(TODAY())</formula>
    </cfRule>
  </conditionalFormatting>
  <conditionalFormatting sqref="FK2:FP2">
    <cfRule type="expression" dxfId="4345" priority="1527">
      <formula>FK2="S"&amp;WEEKNUM(TODAY())</formula>
    </cfRule>
  </conditionalFormatting>
  <conditionalFormatting sqref="FP6 FP8 FP13 FP15">
    <cfRule type="expression" dxfId="4344" priority="1525">
      <formula>FP7&gt;0</formula>
    </cfRule>
    <cfRule type="expression" dxfId="4343" priority="1529">
      <formula>FP7&lt;0</formula>
    </cfRule>
  </conditionalFormatting>
  <conditionalFormatting sqref="FP7 FP9 FP16">
    <cfRule type="cellIs" dxfId="4342" priority="1526" operator="greaterThan">
      <formula>0</formula>
    </cfRule>
    <cfRule type="cellIs" dxfId="4341" priority="1528" operator="lessThan">
      <formula>0</formula>
    </cfRule>
  </conditionalFormatting>
  <conditionalFormatting sqref="FP20 FP22">
    <cfRule type="expression" dxfId="4340" priority="1523">
      <formula>FP21&gt;0</formula>
    </cfRule>
  </conditionalFormatting>
  <conditionalFormatting sqref="FP23">
    <cfRule type="cellIs" dxfId="4339" priority="1524" operator="greaterThan">
      <formula>0</formula>
    </cfRule>
  </conditionalFormatting>
  <conditionalFormatting sqref="FP27 FP29">
    <cfRule type="expression" dxfId="4338" priority="1521">
      <formula>FP28&gt;0</formula>
    </cfRule>
  </conditionalFormatting>
  <conditionalFormatting sqref="FP30">
    <cfRule type="cellIs" dxfId="4337" priority="1522" operator="greaterThan">
      <formula>0</formula>
    </cfRule>
  </conditionalFormatting>
  <conditionalFormatting sqref="FP14">
    <cfRule type="cellIs" dxfId="4336" priority="1519" operator="lessThan">
      <formula>0</formula>
    </cfRule>
    <cfRule type="cellIs" dxfId="4335" priority="1520" operator="greaterThan">
      <formula>0</formula>
    </cfRule>
  </conditionalFormatting>
  <conditionalFormatting sqref="FP21">
    <cfRule type="cellIs" dxfId="4334" priority="1517" operator="lessThan">
      <formula>0</formula>
    </cfRule>
    <cfRule type="cellIs" dxfId="4333" priority="1518" operator="greaterThan">
      <formula>0</formula>
    </cfRule>
  </conditionalFormatting>
  <conditionalFormatting sqref="FP28">
    <cfRule type="cellIs" dxfId="4332" priority="1515" operator="lessThan">
      <formula>0</formula>
    </cfRule>
    <cfRule type="cellIs" dxfId="4331" priority="1516" operator="greaterThan">
      <formula>0</formula>
    </cfRule>
  </conditionalFormatting>
  <conditionalFormatting sqref="FK31:FP31 FN25:FP26 FK24:FP24 FN18:FP19 FK17:FP17 FN11:FP12 FK10:FP10 FK3:FP3">
    <cfRule type="expression" dxfId="4330" priority="1514">
      <formula>WEEKNUM(FK$33)=WEEKNUM(TODAY())</formula>
    </cfRule>
  </conditionalFormatting>
  <conditionalFormatting sqref="FR2:FX2 GE2 GL2">
    <cfRule type="expression" dxfId="4329" priority="1495">
      <formula>FR2="S"&amp;WEEKNUM(TODAY())</formula>
    </cfRule>
  </conditionalFormatting>
  <conditionalFormatting sqref="FW6 FW8 FW13 FW15">
    <cfRule type="expression" dxfId="4328" priority="1493">
      <formula>FW7&gt;0</formula>
    </cfRule>
    <cfRule type="expression" dxfId="4327" priority="1511">
      <formula>FW7&lt;0</formula>
    </cfRule>
  </conditionalFormatting>
  <conditionalFormatting sqref="FW7 FW9 FW16">
    <cfRule type="cellIs" dxfId="4326" priority="1494" operator="greaterThan">
      <formula>0</formula>
    </cfRule>
    <cfRule type="cellIs" dxfId="4325" priority="1509" operator="lessThan">
      <formula>0</formula>
    </cfRule>
  </conditionalFormatting>
  <conditionalFormatting sqref="FW20 FW22">
    <cfRule type="expression" dxfId="4324" priority="1491">
      <formula>FW21&gt;0</formula>
    </cfRule>
    <cfRule type="expression" dxfId="4323" priority="1507">
      <formula>FW21&lt;0</formula>
    </cfRule>
  </conditionalFormatting>
  <conditionalFormatting sqref="FW23">
    <cfRule type="cellIs" dxfId="4322" priority="1492" operator="greaterThan">
      <formula>0</formula>
    </cfRule>
    <cfRule type="cellIs" dxfId="4321" priority="1505" operator="lessThan">
      <formula>0</formula>
    </cfRule>
  </conditionalFormatting>
  <conditionalFormatting sqref="FW27 FW29">
    <cfRule type="expression" dxfId="4320" priority="1489">
      <formula>FW28&gt;0</formula>
    </cfRule>
    <cfRule type="expression" dxfId="4319" priority="1503">
      <formula>FW28&lt;0</formula>
    </cfRule>
  </conditionalFormatting>
  <conditionalFormatting sqref="FW30">
    <cfRule type="cellIs" dxfId="4318" priority="1490" operator="greaterThan">
      <formula>0</formula>
    </cfRule>
    <cfRule type="cellIs" dxfId="4317" priority="1501" operator="lessThan">
      <formula>0</formula>
    </cfRule>
  </conditionalFormatting>
  <conditionalFormatting sqref="FW14">
    <cfRule type="cellIs" dxfId="4316" priority="1487" operator="lessThan">
      <formula>0</formula>
    </cfRule>
    <cfRule type="cellIs" dxfId="4315" priority="1488" operator="greaterThan">
      <formula>0</formula>
    </cfRule>
  </conditionalFormatting>
  <conditionalFormatting sqref="FW21">
    <cfRule type="cellIs" dxfId="4314" priority="1485" operator="lessThan">
      <formula>0</formula>
    </cfRule>
    <cfRule type="cellIs" dxfId="4313" priority="1486" operator="greaterThan">
      <formula>0</formula>
    </cfRule>
  </conditionalFormatting>
  <conditionalFormatting sqref="FW28">
    <cfRule type="cellIs" dxfId="4312" priority="1483" operator="lessThan">
      <formula>0</formula>
    </cfRule>
    <cfRule type="cellIs" dxfId="4311" priority="1484" operator="greaterThan">
      <formula>0</formula>
    </cfRule>
  </conditionalFormatting>
  <conditionalFormatting sqref="FR31:FW31 FU25:FW26 FR24:FW24 FU18:FW19 FR17:FW17 FU11:FW12 FR10:FW10 FR3:FW3">
    <cfRule type="expression" dxfId="4310" priority="1482">
      <formula>WEEKNUM(FR$33)=WEEKNUM(TODAY())</formula>
    </cfRule>
  </conditionalFormatting>
  <conditionalFormatting sqref="FY2:GD2">
    <cfRule type="expression" dxfId="4309" priority="1479">
      <formula>FY2="S"&amp;WEEKNUM(TODAY())</formula>
    </cfRule>
  </conditionalFormatting>
  <conditionalFormatting sqref="GD6 GD8 GD13 GD15">
    <cfRule type="expression" dxfId="4308" priority="1477">
      <formula>GD7&gt;0</formula>
    </cfRule>
    <cfRule type="expression" dxfId="4307" priority="1481">
      <formula>GD7&lt;0</formula>
    </cfRule>
  </conditionalFormatting>
  <conditionalFormatting sqref="GD7 GD9 GD16">
    <cfRule type="cellIs" dxfId="4306" priority="1478" operator="greaterThan">
      <formula>0</formula>
    </cfRule>
    <cfRule type="cellIs" dxfId="4305" priority="1480" operator="lessThan">
      <formula>0</formula>
    </cfRule>
  </conditionalFormatting>
  <conditionalFormatting sqref="GD20 GD22">
    <cfRule type="expression" dxfId="4304" priority="1475">
      <formula>GD21&gt;0</formula>
    </cfRule>
  </conditionalFormatting>
  <conditionalFormatting sqref="GD23">
    <cfRule type="cellIs" dxfId="4303" priority="1476" operator="greaterThan">
      <formula>0</formula>
    </cfRule>
  </conditionalFormatting>
  <conditionalFormatting sqref="GD27 GD29">
    <cfRule type="expression" dxfId="4302" priority="1473">
      <formula>GD28&gt;0</formula>
    </cfRule>
  </conditionalFormatting>
  <conditionalFormatting sqref="GD30">
    <cfRule type="cellIs" dxfId="4301" priority="1474" operator="greaterThan">
      <formula>0</formula>
    </cfRule>
  </conditionalFormatting>
  <conditionalFormatting sqref="GD14">
    <cfRule type="cellIs" dxfId="4300" priority="1471" operator="lessThan">
      <formula>0</formula>
    </cfRule>
    <cfRule type="cellIs" dxfId="4299" priority="1472" operator="greaterThan">
      <formula>0</formula>
    </cfRule>
  </conditionalFormatting>
  <conditionalFormatting sqref="GD21">
    <cfRule type="cellIs" dxfId="4298" priority="1469" operator="lessThan">
      <formula>0</formula>
    </cfRule>
    <cfRule type="cellIs" dxfId="4297" priority="1470" operator="greaterThan">
      <formula>0</formula>
    </cfRule>
  </conditionalFormatting>
  <conditionalFormatting sqref="GD28">
    <cfRule type="cellIs" dxfId="4296" priority="1467" operator="lessThan">
      <formula>0</formula>
    </cfRule>
    <cfRule type="cellIs" dxfId="4295" priority="1468" operator="greaterThan">
      <formula>0</formula>
    </cfRule>
  </conditionalFormatting>
  <conditionalFormatting sqref="FY31:GD31 GB25:GD26 FY24:GD24 GB18:GD19 FY17:GD17 GB11:GD12 FY10:GD10 FY3:GD3">
    <cfRule type="expression" dxfId="4294" priority="1466">
      <formula>WEEKNUM(FY$33)=WEEKNUM(TODAY())</formula>
    </cfRule>
  </conditionalFormatting>
  <conditionalFormatting sqref="GF2:GK2">
    <cfRule type="expression" dxfId="4293" priority="1463">
      <formula>GF2="S"&amp;WEEKNUM(TODAY())</formula>
    </cfRule>
  </conditionalFormatting>
  <conditionalFormatting sqref="GK6 GK8 GK13 GK15">
    <cfRule type="expression" dxfId="4292" priority="1461">
      <formula>GK7&gt;0</formula>
    </cfRule>
    <cfRule type="expression" dxfId="4291" priority="1465">
      <formula>GK7&lt;0</formula>
    </cfRule>
  </conditionalFormatting>
  <conditionalFormatting sqref="GK7 GK9 GK16">
    <cfRule type="cellIs" dxfId="4290" priority="1462" operator="greaterThan">
      <formula>0</formula>
    </cfRule>
    <cfRule type="cellIs" dxfId="4289" priority="1464" operator="lessThan">
      <formula>0</formula>
    </cfRule>
  </conditionalFormatting>
  <conditionalFormatting sqref="GK20 GK22">
    <cfRule type="expression" dxfId="4288" priority="1459">
      <formula>GK21&gt;0</formula>
    </cfRule>
  </conditionalFormatting>
  <conditionalFormatting sqref="GK23">
    <cfRule type="cellIs" dxfId="4287" priority="1460" operator="greaterThan">
      <formula>0</formula>
    </cfRule>
  </conditionalFormatting>
  <conditionalFormatting sqref="GK27 GK29">
    <cfRule type="expression" dxfId="4286" priority="1457">
      <formula>GK28&gt;0</formula>
    </cfRule>
  </conditionalFormatting>
  <conditionalFormatting sqref="GK30">
    <cfRule type="cellIs" dxfId="4285" priority="1458" operator="greaterThan">
      <formula>0</formula>
    </cfRule>
  </conditionalFormatting>
  <conditionalFormatting sqref="GK14">
    <cfRule type="cellIs" dxfId="4284" priority="1455" operator="lessThan">
      <formula>0</formula>
    </cfRule>
    <cfRule type="cellIs" dxfId="4283" priority="1456" operator="greaterThan">
      <formula>0</formula>
    </cfRule>
  </conditionalFormatting>
  <conditionalFormatting sqref="GK21">
    <cfRule type="cellIs" dxfId="4282" priority="1453" operator="lessThan">
      <formula>0</formula>
    </cfRule>
    <cfRule type="cellIs" dxfId="4281" priority="1454" operator="greaterThan">
      <formula>0</formula>
    </cfRule>
  </conditionalFormatting>
  <conditionalFormatting sqref="GK28">
    <cfRule type="cellIs" dxfId="4280" priority="1451" operator="lessThan">
      <formula>0</formula>
    </cfRule>
    <cfRule type="cellIs" dxfId="4279" priority="1452" operator="greaterThan">
      <formula>0</formula>
    </cfRule>
  </conditionalFormatting>
  <conditionalFormatting sqref="GF31:GK31 GI25:GK26 GF24:GK24 GI18:GK19 GF17:GK17 GI11:GK12 GF10:GK10 GF3:GK3">
    <cfRule type="expression" dxfId="4278" priority="1450">
      <formula>WEEKNUM(GF$33)=WEEKNUM(TODAY())</formula>
    </cfRule>
  </conditionalFormatting>
  <conditionalFormatting sqref="GM2:GR2">
    <cfRule type="expression" dxfId="4277" priority="1447">
      <formula>GM2="S"&amp;WEEKNUM(TODAY())</formula>
    </cfRule>
  </conditionalFormatting>
  <conditionalFormatting sqref="GR6 GR8 GR13 GR15">
    <cfRule type="expression" dxfId="4276" priority="1445">
      <formula>GR7&gt;0</formula>
    </cfRule>
    <cfRule type="expression" dxfId="4275" priority="1449">
      <formula>GR7&lt;0</formula>
    </cfRule>
  </conditionalFormatting>
  <conditionalFormatting sqref="GR7 GR9 GR16">
    <cfRule type="cellIs" dxfId="4274" priority="1446" operator="greaterThan">
      <formula>0</formula>
    </cfRule>
    <cfRule type="cellIs" dxfId="4273" priority="1448" operator="lessThan">
      <formula>0</formula>
    </cfRule>
  </conditionalFormatting>
  <conditionalFormatting sqref="GR20 GR22">
    <cfRule type="expression" dxfId="4272" priority="1443">
      <formula>GR21&gt;0</formula>
    </cfRule>
  </conditionalFormatting>
  <conditionalFormatting sqref="GR23">
    <cfRule type="cellIs" dxfId="4271" priority="1444" operator="greaterThan">
      <formula>0</formula>
    </cfRule>
  </conditionalFormatting>
  <conditionalFormatting sqref="GR27 GR29">
    <cfRule type="expression" dxfId="4270" priority="1441">
      <formula>GR28&gt;0</formula>
    </cfRule>
  </conditionalFormatting>
  <conditionalFormatting sqref="GR30">
    <cfRule type="cellIs" dxfId="4269" priority="1442" operator="greaterThan">
      <formula>0</formula>
    </cfRule>
  </conditionalFormatting>
  <conditionalFormatting sqref="GR14">
    <cfRule type="cellIs" dxfId="4268" priority="1439" operator="lessThan">
      <formula>0</formula>
    </cfRule>
    <cfRule type="cellIs" dxfId="4267" priority="1440" operator="greaterThan">
      <formula>0</formula>
    </cfRule>
  </conditionalFormatting>
  <conditionalFormatting sqref="GR21">
    <cfRule type="cellIs" dxfId="4266" priority="1437" operator="lessThan">
      <formula>0</formula>
    </cfRule>
    <cfRule type="cellIs" dxfId="4265" priority="1438" operator="greaterThan">
      <formula>0</formula>
    </cfRule>
  </conditionalFormatting>
  <conditionalFormatting sqref="GR28">
    <cfRule type="cellIs" dxfId="4264" priority="1435" operator="lessThan">
      <formula>0</formula>
    </cfRule>
    <cfRule type="cellIs" dxfId="4263" priority="1436" operator="greaterThan">
      <formula>0</formula>
    </cfRule>
  </conditionalFormatting>
  <conditionalFormatting sqref="GM31:GR31 GP25:GR26 GM24:GR24 GP18:GR19 GM17:GR17 GP11:GR12 GM10:GR10 GM3:GR3">
    <cfRule type="expression" dxfId="4262" priority="1434">
      <formula>WEEKNUM(GM$33)=WEEKNUM(TODAY())</formula>
    </cfRule>
  </conditionalFormatting>
  <conditionalFormatting sqref="GT2:GY2">
    <cfRule type="expression" dxfId="4261" priority="1427">
      <formula>GT2="S"&amp;WEEKNUM(TODAY())</formula>
    </cfRule>
  </conditionalFormatting>
  <conditionalFormatting sqref="GY6 GY8 GY13 GY15">
    <cfRule type="expression" dxfId="4260" priority="1425">
      <formula>GY7&gt;0</formula>
    </cfRule>
    <cfRule type="expression" dxfId="4259" priority="1429">
      <formula>GY7&lt;0</formula>
    </cfRule>
  </conditionalFormatting>
  <conditionalFormatting sqref="GY7 GY9 GY16">
    <cfRule type="cellIs" dxfId="4258" priority="1426" operator="greaterThan">
      <formula>0</formula>
    </cfRule>
    <cfRule type="cellIs" dxfId="4257" priority="1428" operator="lessThan">
      <formula>0</formula>
    </cfRule>
  </conditionalFormatting>
  <conditionalFormatting sqref="GY20 GY22">
    <cfRule type="expression" dxfId="4256" priority="1423">
      <formula>GY21&gt;0</formula>
    </cfRule>
    <cfRule type="expression" dxfId="4255" priority="3285">
      <formula>GY21&lt;0</formula>
    </cfRule>
  </conditionalFormatting>
  <conditionalFormatting sqref="GY23">
    <cfRule type="cellIs" dxfId="4254" priority="1424" operator="greaterThan">
      <formula>0</formula>
    </cfRule>
    <cfRule type="cellIs" dxfId="4253" priority="3286" operator="lessThan">
      <formula>0</formula>
    </cfRule>
  </conditionalFormatting>
  <conditionalFormatting sqref="GY27 GY29">
    <cfRule type="expression" dxfId="4252" priority="1421">
      <formula>GY28&gt;0</formula>
    </cfRule>
    <cfRule type="expression" dxfId="4251" priority="3287">
      <formula>GY28&lt;0</formula>
    </cfRule>
  </conditionalFormatting>
  <conditionalFormatting sqref="GY30">
    <cfRule type="cellIs" dxfId="4250" priority="1422" operator="greaterThan">
      <formula>0</formula>
    </cfRule>
    <cfRule type="cellIs" dxfId="4249" priority="3288" operator="lessThan">
      <formula>0</formula>
    </cfRule>
  </conditionalFormatting>
  <conditionalFormatting sqref="GY14">
    <cfRule type="cellIs" dxfId="4248" priority="1419" operator="lessThan">
      <formula>0</formula>
    </cfRule>
    <cfRule type="cellIs" dxfId="4247" priority="1420" operator="greaterThan">
      <formula>0</formula>
    </cfRule>
  </conditionalFormatting>
  <conditionalFormatting sqref="GY21">
    <cfRule type="cellIs" dxfId="4246" priority="1417" operator="lessThan">
      <formula>0</formula>
    </cfRule>
    <cfRule type="cellIs" dxfId="4245" priority="1418" operator="greaterThan">
      <formula>0</formula>
    </cfRule>
  </conditionalFormatting>
  <conditionalFormatting sqref="GY28">
    <cfRule type="cellIs" dxfId="4244" priority="1415" operator="lessThan">
      <formula>0</formula>
    </cfRule>
    <cfRule type="cellIs" dxfId="4243" priority="1416" operator="greaterThan">
      <formula>0</formula>
    </cfRule>
  </conditionalFormatting>
  <conditionalFormatting sqref="GT31:GY31 GW25:GY26 GT24:GY24 GW18:GY19 GT17:GY17 GW11:GY12 GT10:GY10 GT3:GY3">
    <cfRule type="expression" dxfId="4242" priority="1414">
      <formula>WEEKNUM(GT$33)=WEEKNUM(TODAY())</formula>
    </cfRule>
  </conditionalFormatting>
  <conditionalFormatting sqref="AZ4:BA5">
    <cfRule type="expression" dxfId="4241" priority="1413">
      <formula>WEEKNUM(AZ$33)=WEEKNUM(TODAY())</formula>
    </cfRule>
  </conditionalFormatting>
  <conditionalFormatting sqref="BG4:BH5">
    <cfRule type="expression" dxfId="4240" priority="1412">
      <formula>WEEKNUM(BG$33)=WEEKNUM(TODAY())</formula>
    </cfRule>
  </conditionalFormatting>
  <conditionalFormatting sqref="BN4:BO5">
    <cfRule type="expression" dxfId="4239" priority="1411">
      <formula>WEEKNUM(BN$33)=WEEKNUM(TODAY())</formula>
    </cfRule>
  </conditionalFormatting>
  <conditionalFormatting sqref="BU4:BV5">
    <cfRule type="expression" dxfId="4238" priority="1410">
      <formula>WEEKNUM(BU$33)=WEEKNUM(TODAY())</formula>
    </cfRule>
  </conditionalFormatting>
  <conditionalFormatting sqref="CB4:CC5">
    <cfRule type="expression" dxfId="4237" priority="1409">
      <formula>WEEKNUM(CB$33)=WEEKNUM(TODAY())</formula>
    </cfRule>
  </conditionalFormatting>
  <conditionalFormatting sqref="CI4:CJ4 CI5">
    <cfRule type="expression" dxfId="4236" priority="1408">
      <formula>WEEKNUM(CI$33)=WEEKNUM(TODAY())</formula>
    </cfRule>
  </conditionalFormatting>
  <conditionalFormatting sqref="CP4:CQ5">
    <cfRule type="expression" dxfId="4235" priority="1407">
      <formula>WEEKNUM(CP$33)=WEEKNUM(TODAY())</formula>
    </cfRule>
  </conditionalFormatting>
  <conditionalFormatting sqref="CW4:CX5">
    <cfRule type="expression" dxfId="4234" priority="1406">
      <formula>WEEKNUM(CW$33)=WEEKNUM(TODAY())</formula>
    </cfRule>
  </conditionalFormatting>
  <conditionalFormatting sqref="DD4:DE5">
    <cfRule type="expression" dxfId="4233" priority="1405">
      <formula>WEEKNUM(DD$33)=WEEKNUM(TODAY())</formula>
    </cfRule>
  </conditionalFormatting>
  <conditionalFormatting sqref="DK4:DL5">
    <cfRule type="expression" dxfId="4232" priority="1404">
      <formula>WEEKNUM(DK$33)=WEEKNUM(TODAY())</formula>
    </cfRule>
  </conditionalFormatting>
  <conditionalFormatting sqref="DR4:DS5">
    <cfRule type="expression" dxfId="4231" priority="1403">
      <formula>WEEKNUM(DR$33)=WEEKNUM(TODAY())</formula>
    </cfRule>
  </conditionalFormatting>
  <conditionalFormatting sqref="DY4:DZ5">
    <cfRule type="expression" dxfId="4230" priority="1402">
      <formula>WEEKNUM(DY$33)=WEEKNUM(TODAY())</formula>
    </cfRule>
  </conditionalFormatting>
  <conditionalFormatting sqref="EF4:EG5">
    <cfRule type="expression" dxfId="4229" priority="1401">
      <formula>WEEKNUM(EF$33)=WEEKNUM(TODAY())</formula>
    </cfRule>
  </conditionalFormatting>
  <conditionalFormatting sqref="EM4:EN5">
    <cfRule type="expression" dxfId="4228" priority="1400">
      <formula>WEEKNUM(EM$33)=WEEKNUM(TODAY())</formula>
    </cfRule>
  </conditionalFormatting>
  <conditionalFormatting sqref="ET4:EU5">
    <cfRule type="expression" dxfId="4227" priority="1399">
      <formula>WEEKNUM(ET$33)=WEEKNUM(TODAY())</formula>
    </cfRule>
  </conditionalFormatting>
  <conditionalFormatting sqref="FA4:FB5">
    <cfRule type="expression" dxfId="4226" priority="1398">
      <formula>WEEKNUM(FA$33)=WEEKNUM(TODAY())</formula>
    </cfRule>
  </conditionalFormatting>
  <conditionalFormatting sqref="FH4:FI5">
    <cfRule type="expression" dxfId="4225" priority="1397">
      <formula>WEEKNUM(FH$33)=WEEKNUM(TODAY())</formula>
    </cfRule>
  </conditionalFormatting>
  <conditionalFormatting sqref="FO4:FP5">
    <cfRule type="expression" dxfId="4224" priority="1396">
      <formula>WEEKNUM(FO$33)=WEEKNUM(TODAY())</formula>
    </cfRule>
  </conditionalFormatting>
  <conditionalFormatting sqref="FV4:FW5">
    <cfRule type="expression" dxfId="4223" priority="1395">
      <formula>WEEKNUM(FV$33)=WEEKNUM(TODAY())</formula>
    </cfRule>
  </conditionalFormatting>
  <conditionalFormatting sqref="GC4:GD5">
    <cfRule type="expression" dxfId="4222" priority="1394">
      <formula>WEEKNUM(GC$33)=WEEKNUM(TODAY())</formula>
    </cfRule>
  </conditionalFormatting>
  <conditionalFormatting sqref="GJ4:GK5">
    <cfRule type="expression" dxfId="4221" priority="1393">
      <formula>WEEKNUM(GJ$33)=WEEKNUM(TODAY())</formula>
    </cfRule>
  </conditionalFormatting>
  <conditionalFormatting sqref="GQ4:GR5">
    <cfRule type="expression" dxfId="4220" priority="1392">
      <formula>WEEKNUM(GQ$33)=WEEKNUM(TODAY())</formula>
    </cfRule>
  </conditionalFormatting>
  <conditionalFormatting sqref="GX4:GY5">
    <cfRule type="expression" dxfId="4219" priority="1391">
      <formula>WEEKNUM(GX$33)=WEEKNUM(TODAY())</formula>
    </cfRule>
  </conditionalFormatting>
  <conditionalFormatting sqref="AL4:AM5">
    <cfRule type="expression" dxfId="4218" priority="1386">
      <formula>WEEKNUM(AL$33)=WEEKNUM(TODAY())</formula>
    </cfRule>
  </conditionalFormatting>
  <conditionalFormatting sqref="J4:K5">
    <cfRule type="expression" dxfId="4217" priority="1390">
      <formula>WEEKNUM(J$33)=WEEKNUM(TODAY())</formula>
    </cfRule>
  </conditionalFormatting>
  <conditionalFormatting sqref="Q4:R5">
    <cfRule type="expression" dxfId="4216" priority="1389">
      <formula>WEEKNUM(Q$33)=WEEKNUM(TODAY())</formula>
    </cfRule>
  </conditionalFormatting>
  <conditionalFormatting sqref="X4:Y5">
    <cfRule type="expression" dxfId="4215" priority="1388">
      <formula>WEEKNUM(X$33)=WEEKNUM(TODAY())</formula>
    </cfRule>
  </conditionalFormatting>
  <conditionalFormatting sqref="AE4:AF5">
    <cfRule type="expression" dxfId="4214" priority="1387">
      <formula>WEEKNUM(AE$33)=WEEKNUM(TODAY())</formula>
    </cfRule>
  </conditionalFormatting>
  <conditionalFormatting sqref="CJ5">
    <cfRule type="expression" dxfId="4213" priority="1385">
      <formula>WEEKNUM(CJ$33)=WEEKNUM(TODAY())</formula>
    </cfRule>
  </conditionalFormatting>
  <conditionalFormatting sqref="HA2:HG2 HA32:NR32 HN2 HU2 IB2 JD2 KF2 LH2 MJ2 NL2">
    <cfRule type="expression" dxfId="4212" priority="1368">
      <formula>HA2="S"&amp;WEEKNUM(TODAY())</formula>
    </cfRule>
  </conditionalFormatting>
  <conditionalFormatting sqref="HA34:HF34">
    <cfRule type="expression" dxfId="4211" priority="1367">
      <formula>OR(#REF!="sam.",#REF!="dim.")</formula>
    </cfRule>
  </conditionalFormatting>
  <conditionalFormatting sqref="HA37:HE37">
    <cfRule type="cellIs" dxfId="4210" priority="1364" operator="equal">
      <formula>"-"</formula>
    </cfRule>
    <cfRule type="cellIs" dxfId="4209" priority="1365" operator="greaterThan">
      <formula>0</formula>
    </cfRule>
    <cfRule type="cellIs" dxfId="4208" priority="1366" operator="lessThan">
      <formula>0</formula>
    </cfRule>
  </conditionalFormatting>
  <conditionalFormatting sqref="HA40:HE40">
    <cfRule type="cellIs" dxfId="4207" priority="1361" operator="equal">
      <formula>"-"</formula>
    </cfRule>
    <cfRule type="cellIs" dxfId="4206" priority="1362" operator="greaterThan">
      <formula>0</formula>
    </cfRule>
    <cfRule type="cellIs" dxfId="4205" priority="1363" operator="lessThan">
      <formula>0</formula>
    </cfRule>
  </conditionalFormatting>
  <conditionalFormatting sqref="HA43:HE43">
    <cfRule type="cellIs" dxfId="4204" priority="1358" operator="equal">
      <formula>"-"</formula>
    </cfRule>
    <cfRule type="cellIs" dxfId="4203" priority="1359" operator="greaterThan">
      <formula>0</formula>
    </cfRule>
    <cfRule type="cellIs" dxfId="4202" priority="1360" operator="lessThan">
      <formula>0</formula>
    </cfRule>
  </conditionalFormatting>
  <conditionalFormatting sqref="HA46:HE46">
    <cfRule type="cellIs" dxfId="4201" priority="1355" operator="equal">
      <formula>"-"</formula>
    </cfRule>
    <cfRule type="cellIs" dxfId="4200" priority="1356" operator="greaterThan">
      <formula>0</formula>
    </cfRule>
    <cfRule type="cellIs" dxfId="4199" priority="1357" operator="lessThan">
      <formula>0</formula>
    </cfRule>
  </conditionalFormatting>
  <conditionalFormatting sqref="HA49:HE49">
    <cfRule type="cellIs" dxfId="4198" priority="1352" operator="equal">
      <formula>"-"</formula>
    </cfRule>
    <cfRule type="cellIs" dxfId="4197" priority="1353" operator="greaterThan">
      <formula>0</formula>
    </cfRule>
    <cfRule type="cellIs" dxfId="4196" priority="1354" operator="lessThan">
      <formula>0</formula>
    </cfRule>
  </conditionalFormatting>
  <conditionalFormatting sqref="HH34:HM34">
    <cfRule type="expression" dxfId="4195" priority="1351">
      <formula>OR(#REF!="sam.",#REF!="dim.")</formula>
    </cfRule>
  </conditionalFormatting>
  <conditionalFormatting sqref="HH37:HL37">
    <cfRule type="cellIs" dxfId="4194" priority="1348" operator="equal">
      <formula>"-"</formula>
    </cfRule>
    <cfRule type="cellIs" dxfId="4193" priority="1349" operator="greaterThan">
      <formula>0</formula>
    </cfRule>
    <cfRule type="cellIs" dxfId="4192" priority="1350" operator="lessThan">
      <formula>0</formula>
    </cfRule>
  </conditionalFormatting>
  <conditionalFormatting sqref="HH40:HL40">
    <cfRule type="cellIs" dxfId="4191" priority="1345" operator="equal">
      <formula>"-"</formula>
    </cfRule>
    <cfRule type="cellIs" dxfId="4190" priority="1346" operator="greaterThan">
      <formula>0</formula>
    </cfRule>
    <cfRule type="cellIs" dxfId="4189" priority="1347" operator="lessThan">
      <formula>0</formula>
    </cfRule>
  </conditionalFormatting>
  <conditionalFormatting sqref="HH43:HL43">
    <cfRule type="cellIs" dxfId="4188" priority="1342" operator="equal">
      <formula>"-"</formula>
    </cfRule>
    <cfRule type="cellIs" dxfId="4187" priority="1343" operator="greaterThan">
      <formula>0</formula>
    </cfRule>
    <cfRule type="cellIs" dxfId="4186" priority="1344" operator="lessThan">
      <formula>0</formula>
    </cfRule>
  </conditionalFormatting>
  <conditionalFormatting sqref="HH46:HL46">
    <cfRule type="cellIs" dxfId="4185" priority="1339" operator="equal">
      <formula>"-"</formula>
    </cfRule>
    <cfRule type="cellIs" dxfId="4184" priority="1340" operator="greaterThan">
      <formula>0</formula>
    </cfRule>
    <cfRule type="cellIs" dxfId="4183" priority="1341" operator="lessThan">
      <formula>0</formula>
    </cfRule>
  </conditionalFormatting>
  <conditionalFormatting sqref="HH49:HL49">
    <cfRule type="cellIs" dxfId="4182" priority="1336" operator="equal">
      <formula>"-"</formula>
    </cfRule>
    <cfRule type="cellIs" dxfId="4181" priority="1337" operator="greaterThan">
      <formula>0</formula>
    </cfRule>
    <cfRule type="cellIs" dxfId="4180" priority="1338" operator="lessThan">
      <formula>0</formula>
    </cfRule>
  </conditionalFormatting>
  <conditionalFormatting sqref="HO34:HT34">
    <cfRule type="expression" dxfId="4179" priority="1335">
      <formula>OR(#REF!="sam.",#REF!="dim.")</formula>
    </cfRule>
  </conditionalFormatting>
  <conditionalFormatting sqref="HO37:HS37">
    <cfRule type="cellIs" dxfId="4178" priority="1332" operator="equal">
      <formula>"-"</formula>
    </cfRule>
    <cfRule type="cellIs" dxfId="4177" priority="1333" operator="greaterThan">
      <formula>0</formula>
    </cfRule>
    <cfRule type="cellIs" dxfId="4176" priority="1334" operator="lessThan">
      <formula>0</formula>
    </cfRule>
  </conditionalFormatting>
  <conditionalFormatting sqref="HO40:HS40">
    <cfRule type="cellIs" dxfId="4175" priority="1329" operator="equal">
      <formula>"-"</formula>
    </cfRule>
    <cfRule type="cellIs" dxfId="4174" priority="1330" operator="greaterThan">
      <formula>0</formula>
    </cfRule>
    <cfRule type="cellIs" dxfId="4173" priority="1331" operator="lessThan">
      <formula>0</formula>
    </cfRule>
  </conditionalFormatting>
  <conditionalFormatting sqref="HO43:HS43">
    <cfRule type="cellIs" dxfId="4172" priority="1326" operator="equal">
      <formula>"-"</formula>
    </cfRule>
    <cfRule type="cellIs" dxfId="4171" priority="1327" operator="greaterThan">
      <formula>0</formula>
    </cfRule>
    <cfRule type="cellIs" dxfId="4170" priority="1328" operator="lessThan">
      <formula>0</formula>
    </cfRule>
  </conditionalFormatting>
  <conditionalFormatting sqref="HO46:HS46">
    <cfRule type="cellIs" dxfId="4169" priority="1323" operator="equal">
      <formula>"-"</formula>
    </cfRule>
    <cfRule type="cellIs" dxfId="4168" priority="1324" operator="greaterThan">
      <formula>0</formula>
    </cfRule>
    <cfRule type="cellIs" dxfId="4167" priority="1325" operator="lessThan">
      <formula>0</formula>
    </cfRule>
  </conditionalFormatting>
  <conditionalFormatting sqref="HO49:HS49">
    <cfRule type="cellIs" dxfId="4166" priority="1320" operator="equal">
      <formula>"-"</formula>
    </cfRule>
    <cfRule type="cellIs" dxfId="4165" priority="1321" operator="greaterThan">
      <formula>0</formula>
    </cfRule>
    <cfRule type="cellIs" dxfId="4164" priority="1322" operator="lessThan">
      <formula>0</formula>
    </cfRule>
  </conditionalFormatting>
  <conditionalFormatting sqref="HV34:IA34">
    <cfRule type="expression" dxfId="4163" priority="1319">
      <formula>OR(#REF!="sam.",#REF!="dim.")</formula>
    </cfRule>
  </conditionalFormatting>
  <conditionalFormatting sqref="HV37:HZ37">
    <cfRule type="cellIs" dxfId="4162" priority="1316" operator="equal">
      <formula>"-"</formula>
    </cfRule>
    <cfRule type="cellIs" dxfId="4161" priority="1317" operator="greaterThan">
      <formula>0</formula>
    </cfRule>
    <cfRule type="cellIs" dxfId="4160" priority="1318" operator="lessThan">
      <formula>0</formula>
    </cfRule>
  </conditionalFormatting>
  <conditionalFormatting sqref="HV40:HZ40">
    <cfRule type="cellIs" dxfId="4159" priority="1313" operator="equal">
      <formula>"-"</formula>
    </cfRule>
    <cfRule type="cellIs" dxfId="4158" priority="1314" operator="greaterThan">
      <formula>0</formula>
    </cfRule>
    <cfRule type="cellIs" dxfId="4157" priority="1315" operator="lessThan">
      <formula>0</formula>
    </cfRule>
  </conditionalFormatting>
  <conditionalFormatting sqref="HV43:HZ43">
    <cfRule type="cellIs" dxfId="4156" priority="1310" operator="equal">
      <formula>"-"</formula>
    </cfRule>
    <cfRule type="cellIs" dxfId="4155" priority="1311" operator="greaterThan">
      <formula>0</formula>
    </cfRule>
    <cfRule type="cellIs" dxfId="4154" priority="1312" operator="lessThan">
      <formula>0</formula>
    </cfRule>
  </conditionalFormatting>
  <conditionalFormatting sqref="HV46:HZ46">
    <cfRule type="cellIs" dxfId="4153" priority="1307" operator="equal">
      <formula>"-"</formula>
    </cfRule>
    <cfRule type="cellIs" dxfId="4152" priority="1308" operator="greaterThan">
      <formula>0</formula>
    </cfRule>
    <cfRule type="cellIs" dxfId="4151" priority="1309" operator="lessThan">
      <formula>0</formula>
    </cfRule>
  </conditionalFormatting>
  <conditionalFormatting sqref="HV49:HZ49">
    <cfRule type="cellIs" dxfId="4150" priority="1304" operator="equal">
      <formula>"-"</formula>
    </cfRule>
    <cfRule type="cellIs" dxfId="4149" priority="1305" operator="greaterThan">
      <formula>0</formula>
    </cfRule>
    <cfRule type="cellIs" dxfId="4148" priority="1306" operator="lessThan">
      <formula>0</formula>
    </cfRule>
  </conditionalFormatting>
  <conditionalFormatting sqref="IC34:IH34">
    <cfRule type="expression" dxfId="4147" priority="1303">
      <formula>OR(#REF!="sam.",#REF!="dim.")</formula>
    </cfRule>
  </conditionalFormatting>
  <conditionalFormatting sqref="IC37:IG37">
    <cfRule type="cellIs" dxfId="4146" priority="1300" operator="equal">
      <formula>"-"</formula>
    </cfRule>
    <cfRule type="cellIs" dxfId="4145" priority="1301" operator="greaterThan">
      <formula>0</formula>
    </cfRule>
    <cfRule type="cellIs" dxfId="4144" priority="1302" operator="lessThan">
      <formula>0</formula>
    </cfRule>
  </conditionalFormatting>
  <conditionalFormatting sqref="IC40:IG40">
    <cfRule type="cellIs" dxfId="4143" priority="1297" operator="equal">
      <formula>"-"</formula>
    </cfRule>
    <cfRule type="cellIs" dxfId="4142" priority="1298" operator="greaterThan">
      <formula>0</formula>
    </cfRule>
    <cfRule type="cellIs" dxfId="4141" priority="1299" operator="lessThan">
      <formula>0</formula>
    </cfRule>
  </conditionalFormatting>
  <conditionalFormatting sqref="IC43:IG43">
    <cfRule type="cellIs" dxfId="4140" priority="1294" operator="equal">
      <formula>"-"</formula>
    </cfRule>
    <cfRule type="cellIs" dxfId="4139" priority="1295" operator="greaterThan">
      <formula>0</formula>
    </cfRule>
    <cfRule type="cellIs" dxfId="4138" priority="1296" operator="lessThan">
      <formula>0</formula>
    </cfRule>
  </conditionalFormatting>
  <conditionalFormatting sqref="IC46:IG46">
    <cfRule type="cellIs" dxfId="4137" priority="1291" operator="equal">
      <formula>"-"</formula>
    </cfRule>
    <cfRule type="cellIs" dxfId="4136" priority="1292" operator="greaterThan">
      <formula>0</formula>
    </cfRule>
    <cfRule type="cellIs" dxfId="4135" priority="1293" operator="lessThan">
      <formula>0</formula>
    </cfRule>
  </conditionalFormatting>
  <conditionalFormatting sqref="IC49:IG49">
    <cfRule type="cellIs" dxfId="4134" priority="1288" operator="equal">
      <formula>"-"</formula>
    </cfRule>
    <cfRule type="cellIs" dxfId="4133" priority="1289" operator="greaterThan">
      <formula>0</formula>
    </cfRule>
    <cfRule type="cellIs" dxfId="4132" priority="1290" operator="lessThan">
      <formula>0</formula>
    </cfRule>
  </conditionalFormatting>
  <conditionalFormatting sqref="IJ34:IO34">
    <cfRule type="expression" dxfId="4131" priority="1287">
      <formula>OR(#REF!="sam.",#REF!="dim.")</formula>
    </cfRule>
  </conditionalFormatting>
  <conditionalFormatting sqref="IJ37:IN37">
    <cfRule type="cellIs" dxfId="4130" priority="1284" operator="equal">
      <formula>"-"</formula>
    </cfRule>
    <cfRule type="cellIs" dxfId="4129" priority="1285" operator="greaterThan">
      <formula>0</formula>
    </cfRule>
    <cfRule type="cellIs" dxfId="4128" priority="1286" operator="lessThan">
      <formula>0</formula>
    </cfRule>
  </conditionalFormatting>
  <conditionalFormatting sqref="IJ40:IN40">
    <cfRule type="cellIs" dxfId="4127" priority="1281" operator="equal">
      <formula>"-"</formula>
    </cfRule>
    <cfRule type="cellIs" dxfId="4126" priority="1282" operator="greaterThan">
      <formula>0</formula>
    </cfRule>
    <cfRule type="cellIs" dxfId="4125" priority="1283" operator="lessThan">
      <formula>0</formula>
    </cfRule>
  </conditionalFormatting>
  <conditionalFormatting sqref="IJ43:IN43">
    <cfRule type="cellIs" dxfId="4124" priority="1278" operator="equal">
      <formula>"-"</formula>
    </cfRule>
    <cfRule type="cellIs" dxfId="4123" priority="1279" operator="greaterThan">
      <formula>0</formula>
    </cfRule>
    <cfRule type="cellIs" dxfId="4122" priority="1280" operator="lessThan">
      <formula>0</formula>
    </cfRule>
  </conditionalFormatting>
  <conditionalFormatting sqref="IJ46:IN46">
    <cfRule type="cellIs" dxfId="4121" priority="1275" operator="equal">
      <formula>"-"</formula>
    </cfRule>
    <cfRule type="cellIs" dxfId="4120" priority="1276" operator="greaterThan">
      <formula>0</formula>
    </cfRule>
    <cfRule type="cellIs" dxfId="4119" priority="1277" operator="lessThan">
      <formula>0</formula>
    </cfRule>
  </conditionalFormatting>
  <conditionalFormatting sqref="IJ49:IN49">
    <cfRule type="cellIs" dxfId="4118" priority="1272" operator="equal">
      <formula>"-"</formula>
    </cfRule>
    <cfRule type="cellIs" dxfId="4117" priority="1273" operator="greaterThan">
      <formula>0</formula>
    </cfRule>
    <cfRule type="cellIs" dxfId="4116" priority="1274" operator="lessThan">
      <formula>0</formula>
    </cfRule>
  </conditionalFormatting>
  <conditionalFormatting sqref="IQ34:IV34">
    <cfRule type="expression" dxfId="4115" priority="1271">
      <formula>OR(#REF!="sam.",#REF!="dim.")</formula>
    </cfRule>
  </conditionalFormatting>
  <conditionalFormatting sqref="IQ37:IU37">
    <cfRule type="cellIs" dxfId="4114" priority="1268" operator="equal">
      <formula>"-"</formula>
    </cfRule>
    <cfRule type="cellIs" dxfId="4113" priority="1269" operator="greaterThan">
      <formula>0</formula>
    </cfRule>
    <cfRule type="cellIs" dxfId="4112" priority="1270" operator="lessThan">
      <formula>0</formula>
    </cfRule>
  </conditionalFormatting>
  <conditionalFormatting sqref="IQ40:IU40">
    <cfRule type="cellIs" dxfId="4111" priority="1265" operator="equal">
      <formula>"-"</formula>
    </cfRule>
    <cfRule type="cellIs" dxfId="4110" priority="1266" operator="greaterThan">
      <formula>0</formula>
    </cfRule>
    <cfRule type="cellIs" dxfId="4109" priority="1267" operator="lessThan">
      <formula>0</formula>
    </cfRule>
  </conditionalFormatting>
  <conditionalFormatting sqref="IQ43:IU43">
    <cfRule type="cellIs" dxfId="4108" priority="1262" operator="equal">
      <formula>"-"</formula>
    </cfRule>
    <cfRule type="cellIs" dxfId="4107" priority="1263" operator="greaterThan">
      <formula>0</formula>
    </cfRule>
    <cfRule type="cellIs" dxfId="4106" priority="1264" operator="lessThan">
      <formula>0</formula>
    </cfRule>
  </conditionalFormatting>
  <conditionalFormatting sqref="IQ46:IU46">
    <cfRule type="cellIs" dxfId="4105" priority="1259" operator="equal">
      <formula>"-"</formula>
    </cfRule>
    <cfRule type="cellIs" dxfId="4104" priority="1260" operator="greaterThan">
      <formula>0</formula>
    </cfRule>
    <cfRule type="cellIs" dxfId="4103" priority="1261" operator="lessThan">
      <formula>0</formula>
    </cfRule>
  </conditionalFormatting>
  <conditionalFormatting sqref="IQ49:IU49">
    <cfRule type="cellIs" dxfId="4102" priority="1256" operator="equal">
      <formula>"-"</formula>
    </cfRule>
    <cfRule type="cellIs" dxfId="4101" priority="1257" operator="greaterThan">
      <formula>0</formula>
    </cfRule>
    <cfRule type="cellIs" dxfId="4100" priority="1258" operator="lessThan">
      <formula>0</formula>
    </cfRule>
  </conditionalFormatting>
  <conditionalFormatting sqref="IX34:JC34">
    <cfRule type="expression" dxfId="4099" priority="1255">
      <formula>OR(#REF!="sam.",#REF!="dim.")</formula>
    </cfRule>
  </conditionalFormatting>
  <conditionalFormatting sqref="IX37:JB37">
    <cfRule type="cellIs" dxfId="4098" priority="1252" operator="equal">
      <formula>"-"</formula>
    </cfRule>
    <cfRule type="cellIs" dxfId="4097" priority="1253" operator="greaterThan">
      <formula>0</formula>
    </cfRule>
    <cfRule type="cellIs" dxfId="4096" priority="1254" operator="lessThan">
      <formula>0</formula>
    </cfRule>
  </conditionalFormatting>
  <conditionalFormatting sqref="IX40:JB40">
    <cfRule type="cellIs" dxfId="4095" priority="1249" operator="equal">
      <formula>"-"</formula>
    </cfRule>
    <cfRule type="cellIs" dxfId="4094" priority="1250" operator="greaterThan">
      <formula>0</formula>
    </cfRule>
    <cfRule type="cellIs" dxfId="4093" priority="1251" operator="lessThan">
      <formula>0</formula>
    </cfRule>
  </conditionalFormatting>
  <conditionalFormatting sqref="IX43:JB43">
    <cfRule type="cellIs" dxfId="4092" priority="1246" operator="equal">
      <formula>"-"</formula>
    </cfRule>
    <cfRule type="cellIs" dxfId="4091" priority="1247" operator="greaterThan">
      <formula>0</formula>
    </cfRule>
    <cfRule type="cellIs" dxfId="4090" priority="1248" operator="lessThan">
      <formula>0</formula>
    </cfRule>
  </conditionalFormatting>
  <conditionalFormatting sqref="IX46:JB46">
    <cfRule type="cellIs" dxfId="4089" priority="1243" operator="equal">
      <formula>"-"</formula>
    </cfRule>
    <cfRule type="cellIs" dxfId="4088" priority="1244" operator="greaterThan">
      <formula>0</formula>
    </cfRule>
    <cfRule type="cellIs" dxfId="4087" priority="1245" operator="lessThan">
      <formula>0</formula>
    </cfRule>
  </conditionalFormatting>
  <conditionalFormatting sqref="IX49:JB49">
    <cfRule type="cellIs" dxfId="4086" priority="1240" operator="equal">
      <formula>"-"</formula>
    </cfRule>
    <cfRule type="cellIs" dxfId="4085" priority="1241" operator="greaterThan">
      <formula>0</formula>
    </cfRule>
    <cfRule type="cellIs" dxfId="4084" priority="1242" operator="lessThan">
      <formula>0</formula>
    </cfRule>
  </conditionalFormatting>
  <conditionalFormatting sqref="JE34:JJ34">
    <cfRule type="expression" dxfId="4083" priority="1239">
      <formula>OR(#REF!="sam.",#REF!="dim.")</formula>
    </cfRule>
  </conditionalFormatting>
  <conditionalFormatting sqref="JE37:JI37">
    <cfRule type="cellIs" dxfId="4082" priority="1236" operator="equal">
      <formula>"-"</formula>
    </cfRule>
    <cfRule type="cellIs" dxfId="4081" priority="1237" operator="greaterThan">
      <formula>0</formula>
    </cfRule>
    <cfRule type="cellIs" dxfId="4080" priority="1238" operator="lessThan">
      <formula>0</formula>
    </cfRule>
  </conditionalFormatting>
  <conditionalFormatting sqref="JE40:JI40">
    <cfRule type="cellIs" dxfId="4079" priority="1233" operator="equal">
      <formula>"-"</formula>
    </cfRule>
    <cfRule type="cellIs" dxfId="4078" priority="1234" operator="greaterThan">
      <formula>0</formula>
    </cfRule>
    <cfRule type="cellIs" dxfId="4077" priority="1235" operator="lessThan">
      <formula>0</formula>
    </cfRule>
  </conditionalFormatting>
  <conditionalFormatting sqref="JE43:JI43">
    <cfRule type="cellIs" dxfId="4076" priority="1230" operator="equal">
      <formula>"-"</formula>
    </cfRule>
    <cfRule type="cellIs" dxfId="4075" priority="1231" operator="greaterThan">
      <formula>0</formula>
    </cfRule>
    <cfRule type="cellIs" dxfId="4074" priority="1232" operator="lessThan">
      <formula>0</formula>
    </cfRule>
  </conditionalFormatting>
  <conditionalFormatting sqref="JE46:JI46">
    <cfRule type="cellIs" dxfId="4073" priority="1227" operator="equal">
      <formula>"-"</formula>
    </cfRule>
    <cfRule type="cellIs" dxfId="4072" priority="1228" operator="greaterThan">
      <formula>0</formula>
    </cfRule>
    <cfRule type="cellIs" dxfId="4071" priority="1229" operator="lessThan">
      <formula>0</formula>
    </cfRule>
  </conditionalFormatting>
  <conditionalFormatting sqref="JE49:JI49">
    <cfRule type="cellIs" dxfId="4070" priority="1224" operator="equal">
      <formula>"-"</formula>
    </cfRule>
    <cfRule type="cellIs" dxfId="4069" priority="1225" operator="greaterThan">
      <formula>0</formula>
    </cfRule>
    <cfRule type="cellIs" dxfId="4068" priority="1226" operator="lessThan">
      <formula>0</formula>
    </cfRule>
  </conditionalFormatting>
  <conditionalFormatting sqref="JL34:JQ34">
    <cfRule type="expression" dxfId="4067" priority="1223">
      <formula>OR(#REF!="sam.",#REF!="dim.")</formula>
    </cfRule>
  </conditionalFormatting>
  <conditionalFormatting sqref="JL37:JP37">
    <cfRule type="cellIs" dxfId="4066" priority="1220" operator="equal">
      <formula>"-"</formula>
    </cfRule>
    <cfRule type="cellIs" dxfId="4065" priority="1221" operator="greaterThan">
      <formula>0</formula>
    </cfRule>
    <cfRule type="cellIs" dxfId="4064" priority="1222" operator="lessThan">
      <formula>0</formula>
    </cfRule>
  </conditionalFormatting>
  <conditionalFormatting sqref="JL40:JP40">
    <cfRule type="cellIs" dxfId="4063" priority="1217" operator="equal">
      <formula>"-"</formula>
    </cfRule>
    <cfRule type="cellIs" dxfId="4062" priority="1218" operator="greaterThan">
      <formula>0</formula>
    </cfRule>
    <cfRule type="cellIs" dxfId="4061" priority="1219" operator="lessThan">
      <formula>0</formula>
    </cfRule>
  </conditionalFormatting>
  <conditionalFormatting sqref="JL43:JP43">
    <cfRule type="cellIs" dxfId="4060" priority="1214" operator="equal">
      <formula>"-"</formula>
    </cfRule>
    <cfRule type="cellIs" dxfId="4059" priority="1215" operator="greaterThan">
      <formula>0</formula>
    </cfRule>
    <cfRule type="cellIs" dxfId="4058" priority="1216" operator="lessThan">
      <formula>0</formula>
    </cfRule>
  </conditionalFormatting>
  <conditionalFormatting sqref="JL46:JP46">
    <cfRule type="cellIs" dxfId="4057" priority="1211" operator="equal">
      <formula>"-"</formula>
    </cfRule>
    <cfRule type="cellIs" dxfId="4056" priority="1212" operator="greaterThan">
      <formula>0</formula>
    </cfRule>
    <cfRule type="cellIs" dxfId="4055" priority="1213" operator="lessThan">
      <formula>0</formula>
    </cfRule>
  </conditionalFormatting>
  <conditionalFormatting sqref="JL49:JP49">
    <cfRule type="cellIs" dxfId="4054" priority="1208" operator="equal">
      <formula>"-"</formula>
    </cfRule>
    <cfRule type="cellIs" dxfId="4053" priority="1209" operator="greaterThan">
      <formula>0</formula>
    </cfRule>
    <cfRule type="cellIs" dxfId="4052" priority="1210" operator="lessThan">
      <formula>0</formula>
    </cfRule>
  </conditionalFormatting>
  <conditionalFormatting sqref="JS34:JX34">
    <cfRule type="expression" dxfId="4051" priority="1207">
      <formula>OR(#REF!="sam.",#REF!="dim.")</formula>
    </cfRule>
  </conditionalFormatting>
  <conditionalFormatting sqref="JS37:JW37">
    <cfRule type="cellIs" dxfId="4050" priority="1204" operator="equal">
      <formula>"-"</formula>
    </cfRule>
    <cfRule type="cellIs" dxfId="4049" priority="1205" operator="greaterThan">
      <formula>0</formula>
    </cfRule>
    <cfRule type="cellIs" dxfId="4048" priority="1206" operator="lessThan">
      <formula>0</formula>
    </cfRule>
  </conditionalFormatting>
  <conditionalFormatting sqref="JS40:JW40">
    <cfRule type="cellIs" dxfId="4047" priority="1201" operator="equal">
      <formula>"-"</formula>
    </cfRule>
    <cfRule type="cellIs" dxfId="4046" priority="1202" operator="greaterThan">
      <formula>0</formula>
    </cfRule>
    <cfRule type="cellIs" dxfId="4045" priority="1203" operator="lessThan">
      <formula>0</formula>
    </cfRule>
  </conditionalFormatting>
  <conditionalFormatting sqref="JS43:JW43">
    <cfRule type="cellIs" dxfId="4044" priority="1198" operator="equal">
      <formula>"-"</formula>
    </cfRule>
    <cfRule type="cellIs" dxfId="4043" priority="1199" operator="greaterThan">
      <formula>0</formula>
    </cfRule>
    <cfRule type="cellIs" dxfId="4042" priority="1200" operator="lessThan">
      <formula>0</formula>
    </cfRule>
  </conditionalFormatting>
  <conditionalFormatting sqref="JS46:JW46">
    <cfRule type="cellIs" dxfId="4041" priority="1195" operator="equal">
      <formula>"-"</formula>
    </cfRule>
    <cfRule type="cellIs" dxfId="4040" priority="1196" operator="greaterThan">
      <formula>0</formula>
    </cfRule>
    <cfRule type="cellIs" dxfId="4039" priority="1197" operator="lessThan">
      <formula>0</formula>
    </cfRule>
  </conditionalFormatting>
  <conditionalFormatting sqref="JS49:JW49">
    <cfRule type="cellIs" dxfId="4038" priority="1192" operator="equal">
      <formula>"-"</formula>
    </cfRule>
    <cfRule type="cellIs" dxfId="4037" priority="1193" operator="greaterThan">
      <formula>0</formula>
    </cfRule>
    <cfRule type="cellIs" dxfId="4036" priority="1194" operator="lessThan">
      <formula>0</formula>
    </cfRule>
  </conditionalFormatting>
  <conditionalFormatting sqref="JZ34:KE34">
    <cfRule type="expression" dxfId="4035" priority="1191">
      <formula>OR(#REF!="sam.",#REF!="dim.")</formula>
    </cfRule>
  </conditionalFormatting>
  <conditionalFormatting sqref="JZ37:KD37">
    <cfRule type="cellIs" dxfId="4034" priority="1188" operator="equal">
      <formula>"-"</formula>
    </cfRule>
    <cfRule type="cellIs" dxfId="4033" priority="1189" operator="greaterThan">
      <formula>0</formula>
    </cfRule>
    <cfRule type="cellIs" dxfId="4032" priority="1190" operator="lessThan">
      <formula>0</formula>
    </cfRule>
  </conditionalFormatting>
  <conditionalFormatting sqref="JZ40:KD40">
    <cfRule type="cellIs" dxfId="4031" priority="1185" operator="equal">
      <formula>"-"</formula>
    </cfRule>
    <cfRule type="cellIs" dxfId="4030" priority="1186" operator="greaterThan">
      <formula>0</formula>
    </cfRule>
    <cfRule type="cellIs" dxfId="4029" priority="1187" operator="lessThan">
      <formula>0</formula>
    </cfRule>
  </conditionalFormatting>
  <conditionalFormatting sqref="JZ43:KD43">
    <cfRule type="cellIs" dxfId="4028" priority="1182" operator="equal">
      <formula>"-"</formula>
    </cfRule>
    <cfRule type="cellIs" dxfId="4027" priority="1183" operator="greaterThan">
      <formula>0</formula>
    </cfRule>
    <cfRule type="cellIs" dxfId="4026" priority="1184" operator="lessThan">
      <formula>0</formula>
    </cfRule>
  </conditionalFormatting>
  <conditionalFormatting sqref="JZ46:KD46">
    <cfRule type="cellIs" dxfId="4025" priority="1179" operator="equal">
      <formula>"-"</formula>
    </cfRule>
    <cfRule type="cellIs" dxfId="4024" priority="1180" operator="greaterThan">
      <formula>0</formula>
    </cfRule>
    <cfRule type="cellIs" dxfId="4023" priority="1181" operator="lessThan">
      <formula>0</formula>
    </cfRule>
  </conditionalFormatting>
  <conditionalFormatting sqref="JZ49:KD49">
    <cfRule type="cellIs" dxfId="4022" priority="1176" operator="equal">
      <formula>"-"</formula>
    </cfRule>
    <cfRule type="cellIs" dxfId="4021" priority="1177" operator="greaterThan">
      <formula>0</formula>
    </cfRule>
    <cfRule type="cellIs" dxfId="4020" priority="1178" operator="lessThan">
      <formula>0</formula>
    </cfRule>
  </conditionalFormatting>
  <conditionalFormatting sqref="KG34:KL34">
    <cfRule type="expression" dxfId="4019" priority="1175">
      <formula>OR(#REF!="sam.",#REF!="dim.")</formula>
    </cfRule>
  </conditionalFormatting>
  <conditionalFormatting sqref="KG37:KK37">
    <cfRule type="cellIs" dxfId="4018" priority="1172" operator="equal">
      <formula>"-"</formula>
    </cfRule>
    <cfRule type="cellIs" dxfId="4017" priority="1173" operator="greaterThan">
      <formula>0</formula>
    </cfRule>
    <cfRule type="cellIs" dxfId="4016" priority="1174" operator="lessThan">
      <formula>0</formula>
    </cfRule>
  </conditionalFormatting>
  <conditionalFormatting sqref="KG40:KK40">
    <cfRule type="cellIs" dxfId="4015" priority="1169" operator="equal">
      <formula>"-"</formula>
    </cfRule>
    <cfRule type="cellIs" dxfId="4014" priority="1170" operator="greaterThan">
      <formula>0</formula>
    </cfRule>
    <cfRule type="cellIs" dxfId="4013" priority="1171" operator="lessThan">
      <formula>0</formula>
    </cfRule>
  </conditionalFormatting>
  <conditionalFormatting sqref="KG43:KK43">
    <cfRule type="cellIs" dxfId="4012" priority="1166" operator="equal">
      <formula>"-"</formula>
    </cfRule>
    <cfRule type="cellIs" dxfId="4011" priority="1167" operator="greaterThan">
      <formula>0</formula>
    </cfRule>
    <cfRule type="cellIs" dxfId="4010" priority="1168" operator="lessThan">
      <formula>0</formula>
    </cfRule>
  </conditionalFormatting>
  <conditionalFormatting sqref="KG46:KK46">
    <cfRule type="cellIs" dxfId="4009" priority="1163" operator="equal">
      <formula>"-"</formula>
    </cfRule>
    <cfRule type="cellIs" dxfId="4008" priority="1164" operator="greaterThan">
      <formula>0</formula>
    </cfRule>
    <cfRule type="cellIs" dxfId="4007" priority="1165" operator="lessThan">
      <formula>0</formula>
    </cfRule>
  </conditionalFormatting>
  <conditionalFormatting sqref="KG49:KK49">
    <cfRule type="cellIs" dxfId="4006" priority="1160" operator="equal">
      <formula>"-"</formula>
    </cfRule>
    <cfRule type="cellIs" dxfId="4005" priority="1161" operator="greaterThan">
      <formula>0</formula>
    </cfRule>
    <cfRule type="cellIs" dxfId="4004" priority="1162" operator="lessThan">
      <formula>0</formula>
    </cfRule>
  </conditionalFormatting>
  <conditionalFormatting sqref="KN34:KS34">
    <cfRule type="expression" dxfId="4003" priority="1159">
      <formula>OR(#REF!="sam.",#REF!="dim.")</formula>
    </cfRule>
  </conditionalFormatting>
  <conditionalFormatting sqref="KN37:KR37">
    <cfRule type="cellIs" dxfId="4002" priority="1156" operator="equal">
      <formula>"-"</formula>
    </cfRule>
    <cfRule type="cellIs" dxfId="4001" priority="1157" operator="greaterThan">
      <formula>0</formula>
    </cfRule>
    <cfRule type="cellIs" dxfId="4000" priority="1158" operator="lessThan">
      <formula>0</formula>
    </cfRule>
  </conditionalFormatting>
  <conditionalFormatting sqref="KN40:KR40">
    <cfRule type="cellIs" dxfId="3999" priority="1153" operator="equal">
      <formula>"-"</formula>
    </cfRule>
    <cfRule type="cellIs" dxfId="3998" priority="1154" operator="greaterThan">
      <formula>0</formula>
    </cfRule>
    <cfRule type="cellIs" dxfId="3997" priority="1155" operator="lessThan">
      <formula>0</formula>
    </cfRule>
  </conditionalFormatting>
  <conditionalFormatting sqref="KN43:KR43">
    <cfRule type="cellIs" dxfId="3996" priority="1150" operator="equal">
      <formula>"-"</formula>
    </cfRule>
    <cfRule type="cellIs" dxfId="3995" priority="1151" operator="greaterThan">
      <formula>0</formula>
    </cfRule>
    <cfRule type="cellIs" dxfId="3994" priority="1152" operator="lessThan">
      <formula>0</formula>
    </cfRule>
  </conditionalFormatting>
  <conditionalFormatting sqref="KN46:KR46">
    <cfRule type="cellIs" dxfId="3993" priority="1147" operator="equal">
      <formula>"-"</formula>
    </cfRule>
    <cfRule type="cellIs" dxfId="3992" priority="1148" operator="greaterThan">
      <formula>0</formula>
    </cfRule>
    <cfRule type="cellIs" dxfId="3991" priority="1149" operator="lessThan">
      <formula>0</formula>
    </cfRule>
  </conditionalFormatting>
  <conditionalFormatting sqref="KN49:KR49">
    <cfRule type="cellIs" dxfId="3990" priority="1144" operator="equal">
      <formula>"-"</formula>
    </cfRule>
    <cfRule type="cellIs" dxfId="3989" priority="1145" operator="greaterThan">
      <formula>0</formula>
    </cfRule>
    <cfRule type="cellIs" dxfId="3988" priority="1146" operator="lessThan">
      <formula>0</formula>
    </cfRule>
  </conditionalFormatting>
  <conditionalFormatting sqref="KU34:KZ34">
    <cfRule type="expression" dxfId="3987" priority="1143">
      <formula>OR(#REF!="sam.",#REF!="dim.")</formula>
    </cfRule>
  </conditionalFormatting>
  <conditionalFormatting sqref="KU37:KY37">
    <cfRule type="cellIs" dxfId="3986" priority="1140" operator="equal">
      <formula>"-"</formula>
    </cfRule>
    <cfRule type="cellIs" dxfId="3985" priority="1141" operator="greaterThan">
      <formula>0</formula>
    </cfRule>
    <cfRule type="cellIs" dxfId="3984" priority="1142" operator="lessThan">
      <formula>0</formula>
    </cfRule>
  </conditionalFormatting>
  <conditionalFormatting sqref="KU40:KY40">
    <cfRule type="cellIs" dxfId="3983" priority="1137" operator="equal">
      <formula>"-"</formula>
    </cfRule>
    <cfRule type="cellIs" dxfId="3982" priority="1138" operator="greaterThan">
      <formula>0</formula>
    </cfRule>
    <cfRule type="cellIs" dxfId="3981" priority="1139" operator="lessThan">
      <formula>0</formula>
    </cfRule>
  </conditionalFormatting>
  <conditionalFormatting sqref="KU43:KY43">
    <cfRule type="cellIs" dxfId="3980" priority="1134" operator="equal">
      <formula>"-"</formula>
    </cfRule>
    <cfRule type="cellIs" dxfId="3979" priority="1135" operator="greaterThan">
      <formula>0</formula>
    </cfRule>
    <cfRule type="cellIs" dxfId="3978" priority="1136" operator="lessThan">
      <formula>0</formula>
    </cfRule>
  </conditionalFormatting>
  <conditionalFormatting sqref="KU46:KY46">
    <cfRule type="cellIs" dxfId="3977" priority="1131" operator="equal">
      <formula>"-"</formula>
    </cfRule>
    <cfRule type="cellIs" dxfId="3976" priority="1132" operator="greaterThan">
      <formula>0</formula>
    </cfRule>
    <cfRule type="cellIs" dxfId="3975" priority="1133" operator="lessThan">
      <formula>0</formula>
    </cfRule>
  </conditionalFormatting>
  <conditionalFormatting sqref="KU49:KY49">
    <cfRule type="cellIs" dxfId="3974" priority="1128" operator="equal">
      <formula>"-"</formula>
    </cfRule>
    <cfRule type="cellIs" dxfId="3973" priority="1129" operator="greaterThan">
      <formula>0</formula>
    </cfRule>
    <cfRule type="cellIs" dxfId="3972" priority="1130" operator="lessThan">
      <formula>0</formula>
    </cfRule>
  </conditionalFormatting>
  <conditionalFormatting sqref="LB34:LG34">
    <cfRule type="expression" dxfId="3971" priority="1127">
      <formula>OR(#REF!="sam.",#REF!="dim.")</formula>
    </cfRule>
  </conditionalFormatting>
  <conditionalFormatting sqref="LB37:LF37">
    <cfRule type="cellIs" dxfId="3970" priority="1124" operator="equal">
      <formula>"-"</formula>
    </cfRule>
    <cfRule type="cellIs" dxfId="3969" priority="1125" operator="greaterThan">
      <formula>0</formula>
    </cfRule>
    <cfRule type="cellIs" dxfId="3968" priority="1126" operator="lessThan">
      <formula>0</formula>
    </cfRule>
  </conditionalFormatting>
  <conditionalFormatting sqref="LB40:LF40">
    <cfRule type="cellIs" dxfId="3967" priority="1121" operator="equal">
      <formula>"-"</formula>
    </cfRule>
    <cfRule type="cellIs" dxfId="3966" priority="1122" operator="greaterThan">
      <formula>0</formula>
    </cfRule>
    <cfRule type="cellIs" dxfId="3965" priority="1123" operator="lessThan">
      <formula>0</formula>
    </cfRule>
  </conditionalFormatting>
  <conditionalFormatting sqref="LB43:LF43">
    <cfRule type="cellIs" dxfId="3964" priority="1118" operator="equal">
      <formula>"-"</formula>
    </cfRule>
    <cfRule type="cellIs" dxfId="3963" priority="1119" operator="greaterThan">
      <formula>0</formula>
    </cfRule>
    <cfRule type="cellIs" dxfId="3962" priority="1120" operator="lessThan">
      <formula>0</formula>
    </cfRule>
  </conditionalFormatting>
  <conditionalFormatting sqref="LB46:LF46">
    <cfRule type="cellIs" dxfId="3961" priority="1115" operator="equal">
      <formula>"-"</formula>
    </cfRule>
    <cfRule type="cellIs" dxfId="3960" priority="1116" operator="greaterThan">
      <formula>0</formula>
    </cfRule>
    <cfRule type="cellIs" dxfId="3959" priority="1117" operator="lessThan">
      <formula>0</formula>
    </cfRule>
  </conditionalFormatting>
  <conditionalFormatting sqref="LB49:LF49">
    <cfRule type="cellIs" dxfId="3958" priority="1112" operator="equal">
      <formula>"-"</formula>
    </cfRule>
    <cfRule type="cellIs" dxfId="3957" priority="1113" operator="greaterThan">
      <formula>0</formula>
    </cfRule>
    <cfRule type="cellIs" dxfId="3956" priority="1114" operator="lessThan">
      <formula>0</formula>
    </cfRule>
  </conditionalFormatting>
  <conditionalFormatting sqref="LI34:LN34">
    <cfRule type="expression" dxfId="3955" priority="1111">
      <formula>OR(#REF!="sam.",#REF!="dim.")</formula>
    </cfRule>
  </conditionalFormatting>
  <conditionalFormatting sqref="LI37:LM37">
    <cfRule type="cellIs" dxfId="3954" priority="1108" operator="equal">
      <formula>"-"</formula>
    </cfRule>
    <cfRule type="cellIs" dxfId="3953" priority="1109" operator="greaterThan">
      <formula>0</formula>
    </cfRule>
    <cfRule type="cellIs" dxfId="3952" priority="1110" operator="lessThan">
      <formula>0</formula>
    </cfRule>
  </conditionalFormatting>
  <conditionalFormatting sqref="LI40:LM40">
    <cfRule type="cellIs" dxfId="3951" priority="1105" operator="equal">
      <formula>"-"</formula>
    </cfRule>
    <cfRule type="cellIs" dxfId="3950" priority="1106" operator="greaterThan">
      <formula>0</formula>
    </cfRule>
    <cfRule type="cellIs" dxfId="3949" priority="1107" operator="lessThan">
      <formula>0</formula>
    </cfRule>
  </conditionalFormatting>
  <conditionalFormatting sqref="LI43:LM43">
    <cfRule type="cellIs" dxfId="3948" priority="1102" operator="equal">
      <formula>"-"</formula>
    </cfRule>
    <cfRule type="cellIs" dxfId="3947" priority="1103" operator="greaterThan">
      <formula>0</formula>
    </cfRule>
    <cfRule type="cellIs" dxfId="3946" priority="1104" operator="lessThan">
      <formula>0</formula>
    </cfRule>
  </conditionalFormatting>
  <conditionalFormatting sqref="LI46:LM46">
    <cfRule type="cellIs" dxfId="3945" priority="1099" operator="equal">
      <formula>"-"</formula>
    </cfRule>
    <cfRule type="cellIs" dxfId="3944" priority="1100" operator="greaterThan">
      <formula>0</formula>
    </cfRule>
    <cfRule type="cellIs" dxfId="3943" priority="1101" operator="lessThan">
      <formula>0</formula>
    </cfRule>
  </conditionalFormatting>
  <conditionalFormatting sqref="LI49:LM49">
    <cfRule type="cellIs" dxfId="3942" priority="1096" operator="equal">
      <formula>"-"</formula>
    </cfRule>
    <cfRule type="cellIs" dxfId="3941" priority="1097" operator="greaterThan">
      <formula>0</formula>
    </cfRule>
    <cfRule type="cellIs" dxfId="3940" priority="1098" operator="lessThan">
      <formula>0</formula>
    </cfRule>
  </conditionalFormatting>
  <conditionalFormatting sqref="LP34:LU34">
    <cfRule type="expression" dxfId="3939" priority="1095">
      <formula>OR(#REF!="sam.",#REF!="dim.")</formula>
    </cfRule>
  </conditionalFormatting>
  <conditionalFormatting sqref="LP37:LT37">
    <cfRule type="cellIs" dxfId="3938" priority="1092" operator="equal">
      <formula>"-"</formula>
    </cfRule>
    <cfRule type="cellIs" dxfId="3937" priority="1093" operator="greaterThan">
      <formula>0</formula>
    </cfRule>
    <cfRule type="cellIs" dxfId="3936" priority="1094" operator="lessThan">
      <formula>0</formula>
    </cfRule>
  </conditionalFormatting>
  <conditionalFormatting sqref="LP40:LT40">
    <cfRule type="cellIs" dxfId="3935" priority="1089" operator="equal">
      <formula>"-"</formula>
    </cfRule>
    <cfRule type="cellIs" dxfId="3934" priority="1090" operator="greaterThan">
      <formula>0</formula>
    </cfRule>
    <cfRule type="cellIs" dxfId="3933" priority="1091" operator="lessThan">
      <formula>0</formula>
    </cfRule>
  </conditionalFormatting>
  <conditionalFormatting sqref="LP43:LT43">
    <cfRule type="cellIs" dxfId="3932" priority="1086" operator="equal">
      <formula>"-"</formula>
    </cfRule>
    <cfRule type="cellIs" dxfId="3931" priority="1087" operator="greaterThan">
      <formula>0</formula>
    </cfRule>
    <cfRule type="cellIs" dxfId="3930" priority="1088" operator="lessThan">
      <formula>0</formula>
    </cfRule>
  </conditionalFormatting>
  <conditionalFormatting sqref="LP46:LT46">
    <cfRule type="cellIs" dxfId="3929" priority="1083" operator="equal">
      <formula>"-"</formula>
    </cfRule>
    <cfRule type="cellIs" dxfId="3928" priority="1084" operator="greaterThan">
      <formula>0</formula>
    </cfRule>
    <cfRule type="cellIs" dxfId="3927" priority="1085" operator="lessThan">
      <formula>0</formula>
    </cfRule>
  </conditionalFormatting>
  <conditionalFormatting sqref="LP49:LT49">
    <cfRule type="cellIs" dxfId="3926" priority="1080" operator="equal">
      <formula>"-"</formula>
    </cfRule>
    <cfRule type="cellIs" dxfId="3925" priority="1081" operator="greaterThan">
      <formula>0</formula>
    </cfRule>
    <cfRule type="cellIs" dxfId="3924" priority="1082" operator="lessThan">
      <formula>0</formula>
    </cfRule>
  </conditionalFormatting>
  <conditionalFormatting sqref="LW34:MB34">
    <cfRule type="expression" dxfId="3923" priority="1079">
      <formula>OR(#REF!="sam.",#REF!="dim.")</formula>
    </cfRule>
  </conditionalFormatting>
  <conditionalFormatting sqref="LW37:MA37">
    <cfRule type="cellIs" dxfId="3922" priority="1076" operator="equal">
      <formula>"-"</formula>
    </cfRule>
    <cfRule type="cellIs" dxfId="3921" priority="1077" operator="greaterThan">
      <formula>0</formula>
    </cfRule>
    <cfRule type="cellIs" dxfId="3920" priority="1078" operator="lessThan">
      <formula>0</formula>
    </cfRule>
  </conditionalFormatting>
  <conditionalFormatting sqref="LW40:MA40">
    <cfRule type="cellIs" dxfId="3919" priority="1073" operator="equal">
      <formula>"-"</formula>
    </cfRule>
    <cfRule type="cellIs" dxfId="3918" priority="1074" operator="greaterThan">
      <formula>0</formula>
    </cfRule>
    <cfRule type="cellIs" dxfId="3917" priority="1075" operator="lessThan">
      <formula>0</formula>
    </cfRule>
  </conditionalFormatting>
  <conditionalFormatting sqref="LW43:MA43">
    <cfRule type="cellIs" dxfId="3916" priority="1070" operator="equal">
      <formula>"-"</formula>
    </cfRule>
    <cfRule type="cellIs" dxfId="3915" priority="1071" operator="greaterThan">
      <formula>0</formula>
    </cfRule>
    <cfRule type="cellIs" dxfId="3914" priority="1072" operator="lessThan">
      <formula>0</formula>
    </cfRule>
  </conditionalFormatting>
  <conditionalFormatting sqref="LW46:MA46">
    <cfRule type="cellIs" dxfId="3913" priority="1067" operator="equal">
      <formula>"-"</formula>
    </cfRule>
    <cfRule type="cellIs" dxfId="3912" priority="1068" operator="greaterThan">
      <formula>0</formula>
    </cfRule>
    <cfRule type="cellIs" dxfId="3911" priority="1069" operator="lessThan">
      <formula>0</formula>
    </cfRule>
  </conditionalFormatting>
  <conditionalFormatting sqref="LW49:MA49">
    <cfRule type="cellIs" dxfId="3910" priority="1064" operator="equal">
      <formula>"-"</formula>
    </cfRule>
    <cfRule type="cellIs" dxfId="3909" priority="1065" operator="greaterThan">
      <formula>0</formula>
    </cfRule>
    <cfRule type="cellIs" dxfId="3908" priority="1066" operator="lessThan">
      <formula>0</formula>
    </cfRule>
  </conditionalFormatting>
  <conditionalFormatting sqref="MD34:MI34">
    <cfRule type="expression" dxfId="3907" priority="1063">
      <formula>OR(#REF!="sam.",#REF!="dim.")</formula>
    </cfRule>
  </conditionalFormatting>
  <conditionalFormatting sqref="MD37:MH37">
    <cfRule type="cellIs" dxfId="3906" priority="1060" operator="equal">
      <formula>"-"</formula>
    </cfRule>
    <cfRule type="cellIs" dxfId="3905" priority="1061" operator="greaterThan">
      <formula>0</formula>
    </cfRule>
    <cfRule type="cellIs" dxfId="3904" priority="1062" operator="lessThan">
      <formula>0</formula>
    </cfRule>
  </conditionalFormatting>
  <conditionalFormatting sqref="MD40:MH40">
    <cfRule type="cellIs" dxfId="3903" priority="1057" operator="equal">
      <formula>"-"</formula>
    </cfRule>
    <cfRule type="cellIs" dxfId="3902" priority="1058" operator="greaterThan">
      <formula>0</formula>
    </cfRule>
    <cfRule type="cellIs" dxfId="3901" priority="1059" operator="lessThan">
      <formula>0</formula>
    </cfRule>
  </conditionalFormatting>
  <conditionalFormatting sqref="MD43:MH43">
    <cfRule type="cellIs" dxfId="3900" priority="1054" operator="equal">
      <formula>"-"</formula>
    </cfRule>
    <cfRule type="cellIs" dxfId="3899" priority="1055" operator="greaterThan">
      <formula>0</formula>
    </cfRule>
    <cfRule type="cellIs" dxfId="3898" priority="1056" operator="lessThan">
      <formula>0</formula>
    </cfRule>
  </conditionalFormatting>
  <conditionalFormatting sqref="MD46:MH46">
    <cfRule type="cellIs" dxfId="3897" priority="1051" operator="equal">
      <formula>"-"</formula>
    </cfRule>
    <cfRule type="cellIs" dxfId="3896" priority="1052" operator="greaterThan">
      <formula>0</formula>
    </cfRule>
    <cfRule type="cellIs" dxfId="3895" priority="1053" operator="lessThan">
      <formula>0</formula>
    </cfRule>
  </conditionalFormatting>
  <conditionalFormatting sqref="MD49:MH49">
    <cfRule type="cellIs" dxfId="3894" priority="1048" operator="equal">
      <formula>"-"</formula>
    </cfRule>
    <cfRule type="cellIs" dxfId="3893" priority="1049" operator="greaterThan">
      <formula>0</formula>
    </cfRule>
    <cfRule type="cellIs" dxfId="3892" priority="1050" operator="lessThan">
      <formula>0</formula>
    </cfRule>
  </conditionalFormatting>
  <conditionalFormatting sqref="MK34:MP34">
    <cfRule type="expression" dxfId="3891" priority="1047">
      <formula>OR(#REF!="sam.",#REF!="dim.")</formula>
    </cfRule>
  </conditionalFormatting>
  <conditionalFormatting sqref="MK37:MO37">
    <cfRule type="cellIs" dxfId="3890" priority="1044" operator="equal">
      <formula>"-"</formula>
    </cfRule>
    <cfRule type="cellIs" dxfId="3889" priority="1045" operator="greaterThan">
      <formula>0</formula>
    </cfRule>
    <cfRule type="cellIs" dxfId="3888" priority="1046" operator="lessThan">
      <formula>0</formula>
    </cfRule>
  </conditionalFormatting>
  <conditionalFormatting sqref="MK40:MO40">
    <cfRule type="cellIs" dxfId="3887" priority="1041" operator="equal">
      <formula>"-"</formula>
    </cfRule>
    <cfRule type="cellIs" dxfId="3886" priority="1042" operator="greaterThan">
      <formula>0</formula>
    </cfRule>
    <cfRule type="cellIs" dxfId="3885" priority="1043" operator="lessThan">
      <formula>0</formula>
    </cfRule>
  </conditionalFormatting>
  <conditionalFormatting sqref="MK43:MO43">
    <cfRule type="cellIs" dxfId="3884" priority="1038" operator="equal">
      <formula>"-"</formula>
    </cfRule>
    <cfRule type="cellIs" dxfId="3883" priority="1039" operator="greaterThan">
      <formula>0</formula>
    </cfRule>
    <cfRule type="cellIs" dxfId="3882" priority="1040" operator="lessThan">
      <formula>0</formula>
    </cfRule>
  </conditionalFormatting>
  <conditionalFormatting sqref="MK46:MO46">
    <cfRule type="cellIs" dxfId="3881" priority="1035" operator="equal">
      <formula>"-"</formula>
    </cfRule>
    <cfRule type="cellIs" dxfId="3880" priority="1036" operator="greaterThan">
      <formula>0</formula>
    </cfRule>
    <cfRule type="cellIs" dxfId="3879" priority="1037" operator="lessThan">
      <formula>0</formula>
    </cfRule>
  </conditionalFormatting>
  <conditionalFormatting sqref="MK49:MO49">
    <cfRule type="cellIs" dxfId="3878" priority="1032" operator="equal">
      <formula>"-"</formula>
    </cfRule>
    <cfRule type="cellIs" dxfId="3877" priority="1033" operator="greaterThan">
      <formula>0</formula>
    </cfRule>
    <cfRule type="cellIs" dxfId="3876" priority="1034" operator="lessThan">
      <formula>0</formula>
    </cfRule>
  </conditionalFormatting>
  <conditionalFormatting sqref="MR34:MW34">
    <cfRule type="expression" dxfId="3875" priority="1031">
      <formula>OR(#REF!="sam.",#REF!="dim.")</formula>
    </cfRule>
  </conditionalFormatting>
  <conditionalFormatting sqref="MR37:MV37">
    <cfRule type="cellIs" dxfId="3874" priority="1028" operator="equal">
      <formula>"-"</formula>
    </cfRule>
    <cfRule type="cellIs" dxfId="3873" priority="1029" operator="greaterThan">
      <formula>0</formula>
    </cfRule>
    <cfRule type="cellIs" dxfId="3872" priority="1030" operator="lessThan">
      <formula>0</formula>
    </cfRule>
  </conditionalFormatting>
  <conditionalFormatting sqref="MR40:MV40">
    <cfRule type="cellIs" dxfId="3871" priority="1025" operator="equal">
      <formula>"-"</formula>
    </cfRule>
    <cfRule type="cellIs" dxfId="3870" priority="1026" operator="greaterThan">
      <formula>0</formula>
    </cfRule>
    <cfRule type="cellIs" dxfId="3869" priority="1027" operator="lessThan">
      <formula>0</formula>
    </cfRule>
  </conditionalFormatting>
  <conditionalFormatting sqref="MR43:MV43">
    <cfRule type="cellIs" dxfId="3868" priority="1022" operator="equal">
      <formula>"-"</formula>
    </cfRule>
    <cfRule type="cellIs" dxfId="3867" priority="1023" operator="greaterThan">
      <formula>0</formula>
    </cfRule>
    <cfRule type="cellIs" dxfId="3866" priority="1024" operator="lessThan">
      <formula>0</formula>
    </cfRule>
  </conditionalFormatting>
  <conditionalFormatting sqref="MR46:MV46">
    <cfRule type="cellIs" dxfId="3865" priority="1019" operator="equal">
      <formula>"-"</formula>
    </cfRule>
    <cfRule type="cellIs" dxfId="3864" priority="1020" operator="greaterThan">
      <formula>0</formula>
    </cfRule>
    <cfRule type="cellIs" dxfId="3863" priority="1021" operator="lessThan">
      <formula>0</formula>
    </cfRule>
  </conditionalFormatting>
  <conditionalFormatting sqref="MR49:MV49">
    <cfRule type="cellIs" dxfId="3862" priority="1016" operator="equal">
      <formula>"-"</formula>
    </cfRule>
    <cfRule type="cellIs" dxfId="3861" priority="1017" operator="greaterThan">
      <formula>0</formula>
    </cfRule>
    <cfRule type="cellIs" dxfId="3860" priority="1018" operator="lessThan">
      <formula>0</formula>
    </cfRule>
  </conditionalFormatting>
  <conditionalFormatting sqref="MY34:ND34">
    <cfRule type="expression" dxfId="3859" priority="1015">
      <formula>OR(#REF!="sam.",#REF!="dim.")</formula>
    </cfRule>
  </conditionalFormatting>
  <conditionalFormatting sqref="MY37:NC37">
    <cfRule type="cellIs" dxfId="3858" priority="1012" operator="equal">
      <formula>"-"</formula>
    </cfRule>
    <cfRule type="cellIs" dxfId="3857" priority="1013" operator="greaterThan">
      <formula>0</formula>
    </cfRule>
    <cfRule type="cellIs" dxfId="3856" priority="1014" operator="lessThan">
      <formula>0</formula>
    </cfRule>
  </conditionalFormatting>
  <conditionalFormatting sqref="MY40:NC40">
    <cfRule type="cellIs" dxfId="3855" priority="1009" operator="equal">
      <formula>"-"</formula>
    </cfRule>
    <cfRule type="cellIs" dxfId="3854" priority="1010" operator="greaterThan">
      <formula>0</formula>
    </cfRule>
    <cfRule type="cellIs" dxfId="3853" priority="1011" operator="lessThan">
      <formula>0</formula>
    </cfRule>
  </conditionalFormatting>
  <conditionalFormatting sqref="MY43:NC43">
    <cfRule type="cellIs" dxfId="3852" priority="1006" operator="equal">
      <formula>"-"</formula>
    </cfRule>
    <cfRule type="cellIs" dxfId="3851" priority="1007" operator="greaterThan">
      <formula>0</formula>
    </cfRule>
    <cfRule type="cellIs" dxfId="3850" priority="1008" operator="lessThan">
      <formula>0</formula>
    </cfRule>
  </conditionalFormatting>
  <conditionalFormatting sqref="MY46:NC46">
    <cfRule type="cellIs" dxfId="3849" priority="1003" operator="equal">
      <formula>"-"</formula>
    </cfRule>
    <cfRule type="cellIs" dxfId="3848" priority="1004" operator="greaterThan">
      <formula>0</formula>
    </cfRule>
    <cfRule type="cellIs" dxfId="3847" priority="1005" operator="lessThan">
      <formula>0</formula>
    </cfRule>
  </conditionalFormatting>
  <conditionalFormatting sqref="MY49:NC49">
    <cfRule type="cellIs" dxfId="3846" priority="1000" operator="equal">
      <formula>"-"</formula>
    </cfRule>
    <cfRule type="cellIs" dxfId="3845" priority="1001" operator="greaterThan">
      <formula>0</formula>
    </cfRule>
    <cfRule type="cellIs" dxfId="3844" priority="1002" operator="lessThan">
      <formula>0</formula>
    </cfRule>
  </conditionalFormatting>
  <conditionalFormatting sqref="NF34:NK34">
    <cfRule type="expression" dxfId="3843" priority="999">
      <formula>OR(#REF!="sam.",#REF!="dim.")</formula>
    </cfRule>
  </conditionalFormatting>
  <conditionalFormatting sqref="NF37:NJ37">
    <cfRule type="cellIs" dxfId="3842" priority="996" operator="equal">
      <formula>"-"</formula>
    </cfRule>
    <cfRule type="cellIs" dxfId="3841" priority="997" operator="greaterThan">
      <formula>0</formula>
    </cfRule>
    <cfRule type="cellIs" dxfId="3840" priority="998" operator="lessThan">
      <formula>0</formula>
    </cfRule>
  </conditionalFormatting>
  <conditionalFormatting sqref="NF40:NJ40">
    <cfRule type="cellIs" dxfId="3839" priority="993" operator="equal">
      <formula>"-"</formula>
    </cfRule>
    <cfRule type="cellIs" dxfId="3838" priority="994" operator="greaterThan">
      <formula>0</formula>
    </cfRule>
    <cfRule type="cellIs" dxfId="3837" priority="995" operator="lessThan">
      <formula>0</formula>
    </cfRule>
  </conditionalFormatting>
  <conditionalFormatting sqref="NF43:NJ43">
    <cfRule type="cellIs" dxfId="3836" priority="990" operator="equal">
      <formula>"-"</formula>
    </cfRule>
    <cfRule type="cellIs" dxfId="3835" priority="991" operator="greaterThan">
      <formula>0</formula>
    </cfRule>
    <cfRule type="cellIs" dxfId="3834" priority="992" operator="lessThan">
      <formula>0</formula>
    </cfRule>
  </conditionalFormatting>
  <conditionalFormatting sqref="NF46:NJ46">
    <cfRule type="cellIs" dxfId="3833" priority="987" operator="equal">
      <formula>"-"</formula>
    </cfRule>
    <cfRule type="cellIs" dxfId="3832" priority="988" operator="greaterThan">
      <formula>0</formula>
    </cfRule>
    <cfRule type="cellIs" dxfId="3831" priority="989" operator="lessThan">
      <formula>0</formula>
    </cfRule>
  </conditionalFormatting>
  <conditionalFormatting sqref="NF49:NJ49">
    <cfRule type="cellIs" dxfId="3830" priority="984" operator="equal">
      <formula>"-"</formula>
    </cfRule>
    <cfRule type="cellIs" dxfId="3829" priority="985" operator="greaterThan">
      <formula>0</formula>
    </cfRule>
    <cfRule type="cellIs" dxfId="3828" priority="986" operator="lessThan">
      <formula>0</formula>
    </cfRule>
  </conditionalFormatting>
  <conditionalFormatting sqref="NM34:NR34">
    <cfRule type="expression" dxfId="3827" priority="983">
      <formula>OR(#REF!="sam.",#REF!="dim.")</formula>
    </cfRule>
  </conditionalFormatting>
  <conditionalFormatting sqref="NM37:NQ37">
    <cfRule type="cellIs" dxfId="3826" priority="980" operator="equal">
      <formula>"-"</formula>
    </cfRule>
    <cfRule type="cellIs" dxfId="3825" priority="981" operator="greaterThan">
      <formula>0</formula>
    </cfRule>
    <cfRule type="cellIs" dxfId="3824" priority="982" operator="lessThan">
      <formula>0</formula>
    </cfRule>
  </conditionalFormatting>
  <conditionalFormatting sqref="NM40:NQ40">
    <cfRule type="cellIs" dxfId="3823" priority="977" operator="equal">
      <formula>"-"</formula>
    </cfRule>
    <cfRule type="cellIs" dxfId="3822" priority="978" operator="greaterThan">
      <formula>0</formula>
    </cfRule>
    <cfRule type="cellIs" dxfId="3821" priority="979" operator="lessThan">
      <formula>0</formula>
    </cfRule>
  </conditionalFormatting>
  <conditionalFormatting sqref="NM43:NQ43">
    <cfRule type="cellIs" dxfId="3820" priority="974" operator="equal">
      <formula>"-"</formula>
    </cfRule>
    <cfRule type="cellIs" dxfId="3819" priority="975" operator="greaterThan">
      <formula>0</formula>
    </cfRule>
    <cfRule type="cellIs" dxfId="3818" priority="976" operator="lessThan">
      <formula>0</formula>
    </cfRule>
  </conditionalFormatting>
  <conditionalFormatting sqref="NM46:NQ46">
    <cfRule type="cellIs" dxfId="3817" priority="971" operator="equal">
      <formula>"-"</formula>
    </cfRule>
    <cfRule type="cellIs" dxfId="3816" priority="972" operator="greaterThan">
      <formula>0</formula>
    </cfRule>
    <cfRule type="cellIs" dxfId="3815" priority="973" operator="lessThan">
      <formula>0</formula>
    </cfRule>
  </conditionalFormatting>
  <conditionalFormatting sqref="NM49:NQ49">
    <cfRule type="cellIs" dxfId="3814" priority="968" operator="equal">
      <formula>"-"</formula>
    </cfRule>
    <cfRule type="cellIs" dxfId="3813" priority="969" operator="greaterThan">
      <formula>0</formula>
    </cfRule>
    <cfRule type="cellIs" dxfId="3812" priority="970" operator="lessThan">
      <formula>0</formula>
    </cfRule>
  </conditionalFormatting>
  <conditionalFormatting sqref="HH52:HL52">
    <cfRule type="cellIs" dxfId="3811" priority="962" operator="equal">
      <formula>"-"</formula>
    </cfRule>
    <cfRule type="cellIs" dxfId="3810" priority="963" operator="greaterThan">
      <formula>0</formula>
    </cfRule>
    <cfRule type="cellIs" dxfId="3809" priority="964" operator="lessThan">
      <formula>0</formula>
    </cfRule>
  </conditionalFormatting>
  <conditionalFormatting sqref="HO52:HS52">
    <cfRule type="cellIs" dxfId="3808" priority="959" operator="equal">
      <formula>"-"</formula>
    </cfRule>
    <cfRule type="cellIs" dxfId="3807" priority="960" operator="greaterThan">
      <formula>0</formula>
    </cfRule>
    <cfRule type="cellIs" dxfId="3806" priority="961" operator="lessThan">
      <formula>0</formula>
    </cfRule>
  </conditionalFormatting>
  <conditionalFormatting sqref="HA52:HE52">
    <cfRule type="cellIs" dxfId="3805" priority="965" operator="equal">
      <formula>"-"</formula>
    </cfRule>
    <cfRule type="cellIs" dxfId="3804" priority="966" operator="greaterThan">
      <formula>0</formula>
    </cfRule>
    <cfRule type="cellIs" dxfId="3803" priority="967" operator="lessThan">
      <formula>0</formula>
    </cfRule>
  </conditionalFormatting>
  <conditionalFormatting sqref="NM52:NQ52">
    <cfRule type="cellIs" dxfId="3802" priority="893" operator="equal">
      <formula>"-"</formula>
    </cfRule>
    <cfRule type="cellIs" dxfId="3801" priority="894" operator="greaterThan">
      <formula>0</formula>
    </cfRule>
    <cfRule type="cellIs" dxfId="3800" priority="895" operator="lessThan">
      <formula>0</formula>
    </cfRule>
  </conditionalFormatting>
  <conditionalFormatting sqref="HV52:HZ52">
    <cfRule type="cellIs" dxfId="3799" priority="956" operator="equal">
      <formula>"-"</formula>
    </cfRule>
    <cfRule type="cellIs" dxfId="3798" priority="957" operator="greaterThan">
      <formula>0</formula>
    </cfRule>
    <cfRule type="cellIs" dxfId="3797" priority="958" operator="lessThan">
      <formula>0</formula>
    </cfRule>
  </conditionalFormatting>
  <conditionalFormatting sqref="IC52:IG52">
    <cfRule type="cellIs" dxfId="3796" priority="953" operator="equal">
      <formula>"-"</formula>
    </cfRule>
    <cfRule type="cellIs" dxfId="3795" priority="954" operator="greaterThan">
      <formula>0</formula>
    </cfRule>
    <cfRule type="cellIs" dxfId="3794" priority="955" operator="lessThan">
      <formula>0</formula>
    </cfRule>
  </conditionalFormatting>
  <conditionalFormatting sqref="IJ52:IN52">
    <cfRule type="cellIs" dxfId="3793" priority="950" operator="equal">
      <formula>"-"</formula>
    </cfRule>
    <cfRule type="cellIs" dxfId="3792" priority="951" operator="greaterThan">
      <formula>0</formula>
    </cfRule>
    <cfRule type="cellIs" dxfId="3791" priority="952" operator="lessThan">
      <formula>0</formula>
    </cfRule>
  </conditionalFormatting>
  <conditionalFormatting sqref="IQ52:IU52">
    <cfRule type="cellIs" dxfId="3790" priority="947" operator="equal">
      <formula>"-"</formula>
    </cfRule>
    <cfRule type="cellIs" dxfId="3789" priority="948" operator="greaterThan">
      <formula>0</formula>
    </cfRule>
    <cfRule type="cellIs" dxfId="3788" priority="949" operator="lessThan">
      <formula>0</formula>
    </cfRule>
  </conditionalFormatting>
  <conditionalFormatting sqref="IX52:JB52">
    <cfRule type="cellIs" dxfId="3787" priority="944" operator="equal">
      <formula>"-"</formula>
    </cfRule>
    <cfRule type="cellIs" dxfId="3786" priority="945" operator="greaterThan">
      <formula>0</formula>
    </cfRule>
    <cfRule type="cellIs" dxfId="3785" priority="946" operator="lessThan">
      <formula>0</formula>
    </cfRule>
  </conditionalFormatting>
  <conditionalFormatting sqref="JE52:JI52">
    <cfRule type="cellIs" dxfId="3784" priority="941" operator="equal">
      <formula>"-"</formula>
    </cfRule>
    <cfRule type="cellIs" dxfId="3783" priority="942" operator="greaterThan">
      <formula>0</formula>
    </cfRule>
    <cfRule type="cellIs" dxfId="3782" priority="943" operator="lessThan">
      <formula>0</formula>
    </cfRule>
  </conditionalFormatting>
  <conditionalFormatting sqref="JL52:JP52">
    <cfRule type="cellIs" dxfId="3781" priority="938" operator="equal">
      <formula>"-"</formula>
    </cfRule>
    <cfRule type="cellIs" dxfId="3780" priority="939" operator="greaterThan">
      <formula>0</formula>
    </cfRule>
    <cfRule type="cellIs" dxfId="3779" priority="940" operator="lessThan">
      <formula>0</formula>
    </cfRule>
  </conditionalFormatting>
  <conditionalFormatting sqref="JS52:JW52">
    <cfRule type="cellIs" dxfId="3778" priority="935" operator="equal">
      <formula>"-"</formula>
    </cfRule>
    <cfRule type="cellIs" dxfId="3777" priority="936" operator="greaterThan">
      <formula>0</formula>
    </cfRule>
    <cfRule type="cellIs" dxfId="3776" priority="937" operator="lessThan">
      <formula>0</formula>
    </cfRule>
  </conditionalFormatting>
  <conditionalFormatting sqref="JZ52:KD52">
    <cfRule type="cellIs" dxfId="3775" priority="932" operator="equal">
      <formula>"-"</formula>
    </cfRule>
    <cfRule type="cellIs" dxfId="3774" priority="933" operator="greaterThan">
      <formula>0</formula>
    </cfRule>
    <cfRule type="cellIs" dxfId="3773" priority="934" operator="lessThan">
      <formula>0</formula>
    </cfRule>
  </conditionalFormatting>
  <conditionalFormatting sqref="KG52:KK52">
    <cfRule type="cellIs" dxfId="3772" priority="929" operator="equal">
      <formula>"-"</formula>
    </cfRule>
    <cfRule type="cellIs" dxfId="3771" priority="930" operator="greaterThan">
      <formula>0</formula>
    </cfRule>
    <cfRule type="cellIs" dxfId="3770" priority="931" operator="lessThan">
      <formula>0</formula>
    </cfRule>
  </conditionalFormatting>
  <conditionalFormatting sqref="KN52:KR52">
    <cfRule type="cellIs" dxfId="3769" priority="926" operator="equal">
      <formula>"-"</formula>
    </cfRule>
    <cfRule type="cellIs" dxfId="3768" priority="927" operator="greaterThan">
      <formula>0</formula>
    </cfRule>
    <cfRule type="cellIs" dxfId="3767" priority="928" operator="lessThan">
      <formula>0</formula>
    </cfRule>
  </conditionalFormatting>
  <conditionalFormatting sqref="KU52:KY52">
    <cfRule type="cellIs" dxfId="3766" priority="923" operator="equal">
      <formula>"-"</formula>
    </cfRule>
    <cfRule type="cellIs" dxfId="3765" priority="924" operator="greaterThan">
      <formula>0</formula>
    </cfRule>
    <cfRule type="cellIs" dxfId="3764" priority="925" operator="lessThan">
      <formula>0</formula>
    </cfRule>
  </conditionalFormatting>
  <conditionalFormatting sqref="LB52:LF52">
    <cfRule type="cellIs" dxfId="3763" priority="920" operator="equal">
      <formula>"-"</formula>
    </cfRule>
    <cfRule type="cellIs" dxfId="3762" priority="921" operator="greaterThan">
      <formula>0</formula>
    </cfRule>
    <cfRule type="cellIs" dxfId="3761" priority="922" operator="lessThan">
      <formula>0</formula>
    </cfRule>
  </conditionalFormatting>
  <conditionalFormatting sqref="LI52:LM52">
    <cfRule type="cellIs" dxfId="3760" priority="917" operator="equal">
      <formula>"-"</formula>
    </cfRule>
    <cfRule type="cellIs" dxfId="3759" priority="918" operator="greaterThan">
      <formula>0</formula>
    </cfRule>
    <cfRule type="cellIs" dxfId="3758" priority="919" operator="lessThan">
      <formula>0</formula>
    </cfRule>
  </conditionalFormatting>
  <conditionalFormatting sqref="LP52:LT52">
    <cfRule type="cellIs" dxfId="3757" priority="914" operator="equal">
      <formula>"-"</formula>
    </cfRule>
    <cfRule type="cellIs" dxfId="3756" priority="915" operator="greaterThan">
      <formula>0</formula>
    </cfRule>
    <cfRule type="cellIs" dxfId="3755" priority="916" operator="lessThan">
      <formula>0</formula>
    </cfRule>
  </conditionalFormatting>
  <conditionalFormatting sqref="LW52:MA52">
    <cfRule type="cellIs" dxfId="3754" priority="911" operator="equal">
      <formula>"-"</formula>
    </cfRule>
    <cfRule type="cellIs" dxfId="3753" priority="912" operator="greaterThan">
      <formula>0</formula>
    </cfRule>
    <cfRule type="cellIs" dxfId="3752" priority="913" operator="lessThan">
      <formula>0</formula>
    </cfRule>
  </conditionalFormatting>
  <conditionalFormatting sqref="MD52:MH52">
    <cfRule type="cellIs" dxfId="3751" priority="908" operator="equal">
      <formula>"-"</formula>
    </cfRule>
    <cfRule type="cellIs" dxfId="3750" priority="909" operator="greaterThan">
      <formula>0</formula>
    </cfRule>
    <cfRule type="cellIs" dxfId="3749" priority="910" operator="lessThan">
      <formula>0</formula>
    </cfRule>
  </conditionalFormatting>
  <conditionalFormatting sqref="MK52:MO52">
    <cfRule type="cellIs" dxfId="3748" priority="905" operator="equal">
      <formula>"-"</formula>
    </cfRule>
    <cfRule type="cellIs" dxfId="3747" priority="906" operator="greaterThan">
      <formula>0</formula>
    </cfRule>
    <cfRule type="cellIs" dxfId="3746" priority="907" operator="lessThan">
      <formula>0</formula>
    </cfRule>
  </conditionalFormatting>
  <conditionalFormatting sqref="MR52:MV52">
    <cfRule type="cellIs" dxfId="3745" priority="902" operator="equal">
      <formula>"-"</formula>
    </cfRule>
    <cfRule type="cellIs" dxfId="3744" priority="903" operator="greaterThan">
      <formula>0</formula>
    </cfRule>
    <cfRule type="cellIs" dxfId="3743" priority="904" operator="lessThan">
      <formula>0</formula>
    </cfRule>
  </conditionalFormatting>
  <conditionalFormatting sqref="MY52:NC52">
    <cfRule type="cellIs" dxfId="3742" priority="899" operator="equal">
      <formula>"-"</formula>
    </cfRule>
    <cfRule type="cellIs" dxfId="3741" priority="900" operator="greaterThan">
      <formula>0</formula>
    </cfRule>
    <cfRule type="cellIs" dxfId="3740" priority="901" operator="lessThan">
      <formula>0</formula>
    </cfRule>
  </conditionalFormatting>
  <conditionalFormatting sqref="NF52:NJ52">
    <cfRule type="cellIs" dxfId="3739" priority="896" operator="equal">
      <formula>"-"</formula>
    </cfRule>
    <cfRule type="cellIs" dxfId="3738" priority="897" operator="greaterThan">
      <formula>0</formula>
    </cfRule>
    <cfRule type="cellIs" dxfId="3737" priority="898" operator="lessThan">
      <formula>0</formula>
    </cfRule>
  </conditionalFormatting>
  <conditionalFormatting sqref="HF37">
    <cfRule type="cellIs" dxfId="3736" priority="890" operator="equal">
      <formula>"-"</formula>
    </cfRule>
    <cfRule type="cellIs" dxfId="3735" priority="891" operator="greaterThan">
      <formula>0</formula>
    </cfRule>
    <cfRule type="cellIs" dxfId="3734" priority="892" operator="lessThan">
      <formula>0</formula>
    </cfRule>
  </conditionalFormatting>
  <conditionalFormatting sqref="HF40">
    <cfRule type="cellIs" dxfId="3733" priority="887" operator="equal">
      <formula>"-"</formula>
    </cfRule>
    <cfRule type="cellIs" dxfId="3732" priority="888" operator="greaterThan">
      <formula>0</formula>
    </cfRule>
    <cfRule type="cellIs" dxfId="3731" priority="889" operator="lessThan">
      <formula>0</formula>
    </cfRule>
  </conditionalFormatting>
  <conditionalFormatting sqref="HF43">
    <cfRule type="cellIs" dxfId="3730" priority="884" operator="equal">
      <formula>"-"</formula>
    </cfRule>
    <cfRule type="cellIs" dxfId="3729" priority="885" operator="greaterThan">
      <formula>0</formula>
    </cfRule>
    <cfRule type="cellIs" dxfId="3728" priority="886" operator="lessThan">
      <formula>0</formula>
    </cfRule>
  </conditionalFormatting>
  <conditionalFormatting sqref="HF46">
    <cfRule type="cellIs" dxfId="3727" priority="881" operator="equal">
      <formula>"-"</formula>
    </cfRule>
    <cfRule type="cellIs" dxfId="3726" priority="882" operator="greaterThan">
      <formula>0</formula>
    </cfRule>
    <cfRule type="cellIs" dxfId="3725" priority="883" operator="lessThan">
      <formula>0</formula>
    </cfRule>
  </conditionalFormatting>
  <conditionalFormatting sqref="HF49">
    <cfRule type="cellIs" dxfId="3724" priority="878" operator="equal">
      <formula>"-"</formula>
    </cfRule>
    <cfRule type="cellIs" dxfId="3723" priority="879" operator="greaterThan">
      <formula>0</formula>
    </cfRule>
    <cfRule type="cellIs" dxfId="3722" priority="880" operator="lessThan">
      <formula>0</formula>
    </cfRule>
  </conditionalFormatting>
  <conditionalFormatting sqref="HF52">
    <cfRule type="cellIs" dxfId="3721" priority="875" operator="equal">
      <formula>"-"</formula>
    </cfRule>
    <cfRule type="cellIs" dxfId="3720" priority="876" operator="greaterThan">
      <formula>0</formula>
    </cfRule>
    <cfRule type="cellIs" dxfId="3719" priority="877" operator="lessThan">
      <formula>0</formula>
    </cfRule>
  </conditionalFormatting>
  <conditionalFormatting sqref="HM37">
    <cfRule type="cellIs" dxfId="3718" priority="872" operator="equal">
      <formula>"-"</formula>
    </cfRule>
    <cfRule type="cellIs" dxfId="3717" priority="873" operator="greaterThan">
      <formula>0</formula>
    </cfRule>
    <cfRule type="cellIs" dxfId="3716" priority="874" operator="lessThan">
      <formula>0</formula>
    </cfRule>
  </conditionalFormatting>
  <conditionalFormatting sqref="HM40">
    <cfRule type="cellIs" dxfId="3715" priority="869" operator="equal">
      <formula>"-"</formula>
    </cfRule>
    <cfRule type="cellIs" dxfId="3714" priority="870" operator="greaterThan">
      <formula>0</formula>
    </cfRule>
    <cfRule type="cellIs" dxfId="3713" priority="871" operator="lessThan">
      <formula>0</formula>
    </cfRule>
  </conditionalFormatting>
  <conditionalFormatting sqref="HM43">
    <cfRule type="cellIs" dxfId="3712" priority="866" operator="equal">
      <formula>"-"</formula>
    </cfRule>
    <cfRule type="cellIs" dxfId="3711" priority="867" operator="greaterThan">
      <formula>0</formula>
    </cfRule>
    <cfRule type="cellIs" dxfId="3710" priority="868" operator="lessThan">
      <formula>0</formula>
    </cfRule>
  </conditionalFormatting>
  <conditionalFormatting sqref="HM46">
    <cfRule type="cellIs" dxfId="3709" priority="863" operator="equal">
      <formula>"-"</formula>
    </cfRule>
    <cfRule type="cellIs" dxfId="3708" priority="864" operator="greaterThan">
      <formula>0</formula>
    </cfRule>
    <cfRule type="cellIs" dxfId="3707" priority="865" operator="lessThan">
      <formula>0</formula>
    </cfRule>
  </conditionalFormatting>
  <conditionalFormatting sqref="HM49">
    <cfRule type="cellIs" dxfId="3706" priority="860" operator="equal">
      <formula>"-"</formula>
    </cfRule>
    <cfRule type="cellIs" dxfId="3705" priority="861" operator="greaterThan">
      <formula>0</formula>
    </cfRule>
    <cfRule type="cellIs" dxfId="3704" priority="862" operator="lessThan">
      <formula>0</formula>
    </cfRule>
  </conditionalFormatting>
  <conditionalFormatting sqref="HM52">
    <cfRule type="cellIs" dxfId="3703" priority="857" operator="equal">
      <formula>"-"</formula>
    </cfRule>
    <cfRule type="cellIs" dxfId="3702" priority="858" operator="greaterThan">
      <formula>0</formula>
    </cfRule>
    <cfRule type="cellIs" dxfId="3701" priority="859" operator="lessThan">
      <formula>0</formula>
    </cfRule>
  </conditionalFormatting>
  <conditionalFormatting sqref="HT37">
    <cfRule type="cellIs" dxfId="3700" priority="854" operator="equal">
      <formula>"-"</formula>
    </cfRule>
    <cfRule type="cellIs" dxfId="3699" priority="855" operator="greaterThan">
      <formula>0</formula>
    </cfRule>
    <cfRule type="cellIs" dxfId="3698" priority="856" operator="lessThan">
      <formula>0</formula>
    </cfRule>
  </conditionalFormatting>
  <conditionalFormatting sqref="HT40">
    <cfRule type="cellIs" dxfId="3697" priority="851" operator="equal">
      <formula>"-"</formula>
    </cfRule>
    <cfRule type="cellIs" dxfId="3696" priority="852" operator="greaterThan">
      <formula>0</formula>
    </cfRule>
    <cfRule type="cellIs" dxfId="3695" priority="853" operator="lessThan">
      <formula>0</formula>
    </cfRule>
  </conditionalFormatting>
  <conditionalFormatting sqref="HT43">
    <cfRule type="cellIs" dxfId="3694" priority="848" operator="equal">
      <formula>"-"</formula>
    </cfRule>
    <cfRule type="cellIs" dxfId="3693" priority="849" operator="greaterThan">
      <formula>0</formula>
    </cfRule>
    <cfRule type="cellIs" dxfId="3692" priority="850" operator="lessThan">
      <formula>0</formula>
    </cfRule>
  </conditionalFormatting>
  <conditionalFormatting sqref="HT46">
    <cfRule type="cellIs" dxfId="3691" priority="845" operator="equal">
      <formula>"-"</formula>
    </cfRule>
    <cfRule type="cellIs" dxfId="3690" priority="846" operator="greaterThan">
      <formula>0</formula>
    </cfRule>
    <cfRule type="cellIs" dxfId="3689" priority="847" operator="lessThan">
      <formula>0</formula>
    </cfRule>
  </conditionalFormatting>
  <conditionalFormatting sqref="HT49">
    <cfRule type="cellIs" dxfId="3688" priority="842" operator="equal">
      <formula>"-"</formula>
    </cfRule>
    <cfRule type="cellIs" dxfId="3687" priority="843" operator="greaterThan">
      <formula>0</formula>
    </cfRule>
    <cfRule type="cellIs" dxfId="3686" priority="844" operator="lessThan">
      <formula>0</formula>
    </cfRule>
  </conditionalFormatting>
  <conditionalFormatting sqref="HT52">
    <cfRule type="cellIs" dxfId="3685" priority="839" operator="equal">
      <formula>"-"</formula>
    </cfRule>
    <cfRule type="cellIs" dxfId="3684" priority="840" operator="greaterThan">
      <formula>0</formula>
    </cfRule>
    <cfRule type="cellIs" dxfId="3683" priority="841" operator="lessThan">
      <formula>0</formula>
    </cfRule>
  </conditionalFormatting>
  <conditionalFormatting sqref="IA37">
    <cfRule type="cellIs" dxfId="3682" priority="836" operator="equal">
      <formula>"-"</formula>
    </cfRule>
    <cfRule type="cellIs" dxfId="3681" priority="837" operator="greaterThan">
      <formula>0</formula>
    </cfRule>
    <cfRule type="cellIs" dxfId="3680" priority="838" operator="lessThan">
      <formula>0</formula>
    </cfRule>
  </conditionalFormatting>
  <conditionalFormatting sqref="IA40">
    <cfRule type="cellIs" dxfId="3679" priority="833" operator="equal">
      <formula>"-"</formula>
    </cfRule>
    <cfRule type="cellIs" dxfId="3678" priority="834" operator="greaterThan">
      <formula>0</formula>
    </cfRule>
    <cfRule type="cellIs" dxfId="3677" priority="835" operator="lessThan">
      <formula>0</formula>
    </cfRule>
  </conditionalFormatting>
  <conditionalFormatting sqref="IA43">
    <cfRule type="cellIs" dxfId="3676" priority="830" operator="equal">
      <formula>"-"</formula>
    </cfRule>
    <cfRule type="cellIs" dxfId="3675" priority="831" operator="greaterThan">
      <formula>0</formula>
    </cfRule>
    <cfRule type="cellIs" dxfId="3674" priority="832" operator="lessThan">
      <formula>0</formula>
    </cfRule>
  </conditionalFormatting>
  <conditionalFormatting sqref="IA46">
    <cfRule type="cellIs" dxfId="3673" priority="827" operator="equal">
      <formula>"-"</formula>
    </cfRule>
    <cfRule type="cellIs" dxfId="3672" priority="828" operator="greaterThan">
      <formula>0</formula>
    </cfRule>
    <cfRule type="cellIs" dxfId="3671" priority="829" operator="lessThan">
      <formula>0</formula>
    </cfRule>
  </conditionalFormatting>
  <conditionalFormatting sqref="IA49">
    <cfRule type="cellIs" dxfId="3670" priority="824" operator="equal">
      <formula>"-"</formula>
    </cfRule>
    <cfRule type="cellIs" dxfId="3669" priority="825" operator="greaterThan">
      <formula>0</formula>
    </cfRule>
    <cfRule type="cellIs" dxfId="3668" priority="826" operator="lessThan">
      <formula>0</formula>
    </cfRule>
  </conditionalFormatting>
  <conditionalFormatting sqref="IA52">
    <cfRule type="cellIs" dxfId="3667" priority="821" operator="equal">
      <formula>"-"</formula>
    </cfRule>
    <cfRule type="cellIs" dxfId="3666" priority="822" operator="greaterThan">
      <formula>0</formula>
    </cfRule>
    <cfRule type="cellIs" dxfId="3665" priority="823" operator="lessThan">
      <formula>0</formula>
    </cfRule>
  </conditionalFormatting>
  <conditionalFormatting sqref="IH37">
    <cfRule type="cellIs" dxfId="3664" priority="818" operator="equal">
      <formula>"-"</formula>
    </cfRule>
    <cfRule type="cellIs" dxfId="3663" priority="819" operator="greaterThan">
      <formula>0</formula>
    </cfRule>
    <cfRule type="cellIs" dxfId="3662" priority="820" operator="lessThan">
      <formula>0</formula>
    </cfRule>
  </conditionalFormatting>
  <conditionalFormatting sqref="IH40">
    <cfRule type="cellIs" dxfId="3661" priority="815" operator="equal">
      <formula>"-"</formula>
    </cfRule>
    <cfRule type="cellIs" dxfId="3660" priority="816" operator="greaterThan">
      <formula>0</formula>
    </cfRule>
    <cfRule type="cellIs" dxfId="3659" priority="817" operator="lessThan">
      <formula>0</formula>
    </cfRule>
  </conditionalFormatting>
  <conditionalFormatting sqref="IH43">
    <cfRule type="cellIs" dxfId="3658" priority="812" operator="equal">
      <formula>"-"</formula>
    </cfRule>
    <cfRule type="cellIs" dxfId="3657" priority="813" operator="greaterThan">
      <formula>0</formula>
    </cfRule>
    <cfRule type="cellIs" dxfId="3656" priority="814" operator="lessThan">
      <formula>0</formula>
    </cfRule>
  </conditionalFormatting>
  <conditionalFormatting sqref="IH46">
    <cfRule type="cellIs" dxfId="3655" priority="809" operator="equal">
      <formula>"-"</formula>
    </cfRule>
    <cfRule type="cellIs" dxfId="3654" priority="810" operator="greaterThan">
      <formula>0</formula>
    </cfRule>
    <cfRule type="cellIs" dxfId="3653" priority="811" operator="lessThan">
      <formula>0</formula>
    </cfRule>
  </conditionalFormatting>
  <conditionalFormatting sqref="IH49">
    <cfRule type="cellIs" dxfId="3652" priority="806" operator="equal">
      <formula>"-"</formula>
    </cfRule>
    <cfRule type="cellIs" dxfId="3651" priority="807" operator="greaterThan">
      <formula>0</formula>
    </cfRule>
    <cfRule type="cellIs" dxfId="3650" priority="808" operator="lessThan">
      <formula>0</formula>
    </cfRule>
  </conditionalFormatting>
  <conditionalFormatting sqref="IH52">
    <cfRule type="cellIs" dxfId="3649" priority="803" operator="equal">
      <formula>"-"</formula>
    </cfRule>
    <cfRule type="cellIs" dxfId="3648" priority="804" operator="greaterThan">
      <formula>0</formula>
    </cfRule>
    <cfRule type="cellIs" dxfId="3647" priority="805" operator="lessThan">
      <formula>0</formula>
    </cfRule>
  </conditionalFormatting>
  <conditionalFormatting sqref="IO37">
    <cfRule type="cellIs" dxfId="3646" priority="800" operator="equal">
      <formula>"-"</formula>
    </cfRule>
    <cfRule type="cellIs" dxfId="3645" priority="801" operator="greaterThan">
      <formula>0</formula>
    </cfRule>
    <cfRule type="cellIs" dxfId="3644" priority="802" operator="lessThan">
      <formula>0</formula>
    </cfRule>
  </conditionalFormatting>
  <conditionalFormatting sqref="IO40">
    <cfRule type="cellIs" dxfId="3643" priority="797" operator="equal">
      <formula>"-"</formula>
    </cfRule>
    <cfRule type="cellIs" dxfId="3642" priority="798" operator="greaterThan">
      <formula>0</formula>
    </cfRule>
    <cfRule type="cellIs" dxfId="3641" priority="799" operator="lessThan">
      <formula>0</formula>
    </cfRule>
  </conditionalFormatting>
  <conditionalFormatting sqref="IO43">
    <cfRule type="cellIs" dxfId="3640" priority="794" operator="equal">
      <formula>"-"</formula>
    </cfRule>
    <cfRule type="cellIs" dxfId="3639" priority="795" operator="greaterThan">
      <formula>0</formula>
    </cfRule>
    <cfRule type="cellIs" dxfId="3638" priority="796" operator="lessThan">
      <formula>0</formula>
    </cfRule>
  </conditionalFormatting>
  <conditionalFormatting sqref="IO46">
    <cfRule type="cellIs" dxfId="3637" priority="791" operator="equal">
      <formula>"-"</formula>
    </cfRule>
    <cfRule type="cellIs" dxfId="3636" priority="792" operator="greaterThan">
      <formula>0</formula>
    </cfRule>
    <cfRule type="cellIs" dxfId="3635" priority="793" operator="lessThan">
      <formula>0</formula>
    </cfRule>
  </conditionalFormatting>
  <conditionalFormatting sqref="IO49">
    <cfRule type="cellIs" dxfId="3634" priority="788" operator="equal">
      <formula>"-"</formula>
    </cfRule>
    <cfRule type="cellIs" dxfId="3633" priority="789" operator="greaterThan">
      <formula>0</formula>
    </cfRule>
    <cfRule type="cellIs" dxfId="3632" priority="790" operator="lessThan">
      <formula>0</formula>
    </cfRule>
  </conditionalFormatting>
  <conditionalFormatting sqref="IO52">
    <cfRule type="cellIs" dxfId="3631" priority="785" operator="equal">
      <formula>"-"</formula>
    </cfRule>
    <cfRule type="cellIs" dxfId="3630" priority="786" operator="greaterThan">
      <formula>0</formula>
    </cfRule>
    <cfRule type="cellIs" dxfId="3629" priority="787" operator="lessThan">
      <formula>0</formula>
    </cfRule>
  </conditionalFormatting>
  <conditionalFormatting sqref="IV37">
    <cfRule type="cellIs" dxfId="3628" priority="782" operator="equal">
      <formula>"-"</formula>
    </cfRule>
    <cfRule type="cellIs" dxfId="3627" priority="783" operator="greaterThan">
      <formula>0</formula>
    </cfRule>
    <cfRule type="cellIs" dxfId="3626" priority="784" operator="lessThan">
      <formula>0</formula>
    </cfRule>
  </conditionalFormatting>
  <conditionalFormatting sqref="IV40">
    <cfRule type="cellIs" dxfId="3625" priority="779" operator="equal">
      <formula>"-"</formula>
    </cfRule>
    <cfRule type="cellIs" dxfId="3624" priority="780" operator="greaterThan">
      <formula>0</formula>
    </cfRule>
    <cfRule type="cellIs" dxfId="3623" priority="781" operator="lessThan">
      <formula>0</formula>
    </cfRule>
  </conditionalFormatting>
  <conditionalFormatting sqref="IV43">
    <cfRule type="cellIs" dxfId="3622" priority="776" operator="equal">
      <formula>"-"</formula>
    </cfRule>
    <cfRule type="cellIs" dxfId="3621" priority="777" operator="greaterThan">
      <formula>0</formula>
    </cfRule>
    <cfRule type="cellIs" dxfId="3620" priority="778" operator="lessThan">
      <formula>0</formula>
    </cfRule>
  </conditionalFormatting>
  <conditionalFormatting sqref="IV46">
    <cfRule type="cellIs" dxfId="3619" priority="773" operator="equal">
      <formula>"-"</formula>
    </cfRule>
    <cfRule type="cellIs" dxfId="3618" priority="774" operator="greaterThan">
      <formula>0</formula>
    </cfRule>
    <cfRule type="cellIs" dxfId="3617" priority="775" operator="lessThan">
      <formula>0</formula>
    </cfRule>
  </conditionalFormatting>
  <conditionalFormatting sqref="IV49">
    <cfRule type="cellIs" dxfId="3616" priority="770" operator="equal">
      <formula>"-"</formula>
    </cfRule>
    <cfRule type="cellIs" dxfId="3615" priority="771" operator="greaterThan">
      <formula>0</formula>
    </cfRule>
    <cfRule type="cellIs" dxfId="3614" priority="772" operator="lessThan">
      <formula>0</formula>
    </cfRule>
  </conditionalFormatting>
  <conditionalFormatting sqref="IV52">
    <cfRule type="cellIs" dxfId="3613" priority="767" operator="equal">
      <formula>"-"</formula>
    </cfRule>
    <cfRule type="cellIs" dxfId="3612" priority="768" operator="greaterThan">
      <formula>0</formula>
    </cfRule>
    <cfRule type="cellIs" dxfId="3611" priority="769" operator="lessThan">
      <formula>0</formula>
    </cfRule>
  </conditionalFormatting>
  <conditionalFormatting sqref="JC37">
    <cfRule type="cellIs" dxfId="3610" priority="764" operator="equal">
      <formula>"-"</formula>
    </cfRule>
    <cfRule type="cellIs" dxfId="3609" priority="765" operator="greaterThan">
      <formula>0</formula>
    </cfRule>
    <cfRule type="cellIs" dxfId="3608" priority="766" operator="lessThan">
      <formula>0</formula>
    </cfRule>
  </conditionalFormatting>
  <conditionalFormatting sqref="JC40">
    <cfRule type="cellIs" dxfId="3607" priority="761" operator="equal">
      <formula>"-"</formula>
    </cfRule>
    <cfRule type="cellIs" dxfId="3606" priority="762" operator="greaterThan">
      <formula>0</formula>
    </cfRule>
    <cfRule type="cellIs" dxfId="3605" priority="763" operator="lessThan">
      <formula>0</formula>
    </cfRule>
  </conditionalFormatting>
  <conditionalFormatting sqref="JC43">
    <cfRule type="cellIs" dxfId="3604" priority="758" operator="equal">
      <formula>"-"</formula>
    </cfRule>
    <cfRule type="cellIs" dxfId="3603" priority="759" operator="greaterThan">
      <formula>0</formula>
    </cfRule>
    <cfRule type="cellIs" dxfId="3602" priority="760" operator="lessThan">
      <formula>0</formula>
    </cfRule>
  </conditionalFormatting>
  <conditionalFormatting sqref="JC46">
    <cfRule type="cellIs" dxfId="3601" priority="755" operator="equal">
      <formula>"-"</formula>
    </cfRule>
    <cfRule type="cellIs" dxfId="3600" priority="756" operator="greaterThan">
      <formula>0</formula>
    </cfRule>
    <cfRule type="cellIs" dxfId="3599" priority="757" operator="lessThan">
      <formula>0</formula>
    </cfRule>
  </conditionalFormatting>
  <conditionalFormatting sqref="JC49">
    <cfRule type="cellIs" dxfId="3598" priority="752" operator="equal">
      <formula>"-"</formula>
    </cfRule>
    <cfRule type="cellIs" dxfId="3597" priority="753" operator="greaterThan">
      <formula>0</formula>
    </cfRule>
    <cfRule type="cellIs" dxfId="3596" priority="754" operator="lessThan">
      <formula>0</formula>
    </cfRule>
  </conditionalFormatting>
  <conditionalFormatting sqref="JC52">
    <cfRule type="cellIs" dxfId="3595" priority="749" operator="equal">
      <formula>"-"</formula>
    </cfRule>
    <cfRule type="cellIs" dxfId="3594" priority="750" operator="greaterThan">
      <formula>0</formula>
    </cfRule>
    <cfRule type="cellIs" dxfId="3593" priority="751" operator="lessThan">
      <formula>0</formula>
    </cfRule>
  </conditionalFormatting>
  <conditionalFormatting sqref="JJ37">
    <cfRule type="cellIs" dxfId="3592" priority="746" operator="equal">
      <formula>"-"</formula>
    </cfRule>
    <cfRule type="cellIs" dxfId="3591" priority="747" operator="greaterThan">
      <formula>0</formula>
    </cfRule>
    <cfRule type="cellIs" dxfId="3590" priority="748" operator="lessThan">
      <formula>0</formula>
    </cfRule>
  </conditionalFormatting>
  <conditionalFormatting sqref="JJ40">
    <cfRule type="cellIs" dxfId="3589" priority="743" operator="equal">
      <formula>"-"</formula>
    </cfRule>
    <cfRule type="cellIs" dxfId="3588" priority="744" operator="greaterThan">
      <formula>0</formula>
    </cfRule>
    <cfRule type="cellIs" dxfId="3587" priority="745" operator="lessThan">
      <formula>0</formula>
    </cfRule>
  </conditionalFormatting>
  <conditionalFormatting sqref="JJ43">
    <cfRule type="cellIs" dxfId="3586" priority="740" operator="equal">
      <formula>"-"</formula>
    </cfRule>
    <cfRule type="cellIs" dxfId="3585" priority="741" operator="greaterThan">
      <formula>0</formula>
    </cfRule>
    <cfRule type="cellIs" dxfId="3584" priority="742" operator="lessThan">
      <formula>0</formula>
    </cfRule>
  </conditionalFormatting>
  <conditionalFormatting sqref="JJ46">
    <cfRule type="cellIs" dxfId="3583" priority="737" operator="equal">
      <formula>"-"</formula>
    </cfRule>
    <cfRule type="cellIs" dxfId="3582" priority="738" operator="greaterThan">
      <formula>0</formula>
    </cfRule>
    <cfRule type="cellIs" dxfId="3581" priority="739" operator="lessThan">
      <formula>0</formula>
    </cfRule>
  </conditionalFormatting>
  <conditionalFormatting sqref="JJ49">
    <cfRule type="cellIs" dxfId="3580" priority="734" operator="equal">
      <formula>"-"</formula>
    </cfRule>
    <cfRule type="cellIs" dxfId="3579" priority="735" operator="greaterThan">
      <formula>0</formula>
    </cfRule>
    <cfRule type="cellIs" dxfId="3578" priority="736" operator="lessThan">
      <formula>0</formula>
    </cfRule>
  </conditionalFormatting>
  <conditionalFormatting sqref="JJ52">
    <cfRule type="cellIs" dxfId="3577" priority="731" operator="equal">
      <formula>"-"</formula>
    </cfRule>
    <cfRule type="cellIs" dxfId="3576" priority="732" operator="greaterThan">
      <formula>0</formula>
    </cfRule>
    <cfRule type="cellIs" dxfId="3575" priority="733" operator="lessThan">
      <formula>0</formula>
    </cfRule>
  </conditionalFormatting>
  <conditionalFormatting sqref="JQ37">
    <cfRule type="cellIs" dxfId="3574" priority="728" operator="equal">
      <formula>"-"</formula>
    </cfRule>
    <cfRule type="cellIs" dxfId="3573" priority="729" operator="greaterThan">
      <formula>0</formula>
    </cfRule>
    <cfRule type="cellIs" dxfId="3572" priority="730" operator="lessThan">
      <formula>0</formula>
    </cfRule>
  </conditionalFormatting>
  <conditionalFormatting sqref="JQ40">
    <cfRule type="cellIs" dxfId="3571" priority="725" operator="equal">
      <formula>"-"</formula>
    </cfRule>
    <cfRule type="cellIs" dxfId="3570" priority="726" operator="greaterThan">
      <formula>0</formula>
    </cfRule>
    <cfRule type="cellIs" dxfId="3569" priority="727" operator="lessThan">
      <formula>0</formula>
    </cfRule>
  </conditionalFormatting>
  <conditionalFormatting sqref="JQ43">
    <cfRule type="cellIs" dxfId="3568" priority="722" operator="equal">
      <formula>"-"</formula>
    </cfRule>
    <cfRule type="cellIs" dxfId="3567" priority="723" operator="greaterThan">
      <formula>0</formula>
    </cfRule>
    <cfRule type="cellIs" dxfId="3566" priority="724" operator="lessThan">
      <formula>0</formula>
    </cfRule>
  </conditionalFormatting>
  <conditionalFormatting sqref="JQ46">
    <cfRule type="cellIs" dxfId="3565" priority="719" operator="equal">
      <formula>"-"</formula>
    </cfRule>
    <cfRule type="cellIs" dxfId="3564" priority="720" operator="greaterThan">
      <formula>0</formula>
    </cfRule>
    <cfRule type="cellIs" dxfId="3563" priority="721" operator="lessThan">
      <formula>0</formula>
    </cfRule>
  </conditionalFormatting>
  <conditionalFormatting sqref="JQ49">
    <cfRule type="cellIs" dxfId="3562" priority="716" operator="equal">
      <formula>"-"</formula>
    </cfRule>
    <cfRule type="cellIs" dxfId="3561" priority="717" operator="greaterThan">
      <formula>0</formula>
    </cfRule>
    <cfRule type="cellIs" dxfId="3560" priority="718" operator="lessThan">
      <formula>0</formula>
    </cfRule>
  </conditionalFormatting>
  <conditionalFormatting sqref="JQ52">
    <cfRule type="cellIs" dxfId="3559" priority="713" operator="equal">
      <formula>"-"</formula>
    </cfRule>
    <cfRule type="cellIs" dxfId="3558" priority="714" operator="greaterThan">
      <formula>0</formula>
    </cfRule>
    <cfRule type="cellIs" dxfId="3557" priority="715" operator="lessThan">
      <formula>0</formula>
    </cfRule>
  </conditionalFormatting>
  <conditionalFormatting sqref="JX37">
    <cfRule type="cellIs" dxfId="3556" priority="710" operator="equal">
      <formula>"-"</formula>
    </cfRule>
    <cfRule type="cellIs" dxfId="3555" priority="711" operator="greaterThan">
      <formula>0</formula>
    </cfRule>
    <cfRule type="cellIs" dxfId="3554" priority="712" operator="lessThan">
      <formula>0</formula>
    </cfRule>
  </conditionalFormatting>
  <conditionalFormatting sqref="JX40">
    <cfRule type="cellIs" dxfId="3553" priority="707" operator="equal">
      <formula>"-"</formula>
    </cfRule>
    <cfRule type="cellIs" dxfId="3552" priority="708" operator="greaterThan">
      <formula>0</formula>
    </cfRule>
    <cfRule type="cellIs" dxfId="3551" priority="709" operator="lessThan">
      <formula>0</formula>
    </cfRule>
  </conditionalFormatting>
  <conditionalFormatting sqref="JX43">
    <cfRule type="cellIs" dxfId="3550" priority="704" operator="equal">
      <formula>"-"</formula>
    </cfRule>
    <cfRule type="cellIs" dxfId="3549" priority="705" operator="greaterThan">
      <formula>0</formula>
    </cfRule>
    <cfRule type="cellIs" dxfId="3548" priority="706" operator="lessThan">
      <formula>0</formula>
    </cfRule>
  </conditionalFormatting>
  <conditionalFormatting sqref="JX46">
    <cfRule type="cellIs" dxfId="3547" priority="701" operator="equal">
      <formula>"-"</formula>
    </cfRule>
    <cfRule type="cellIs" dxfId="3546" priority="702" operator="greaterThan">
      <formula>0</formula>
    </cfRule>
    <cfRule type="cellIs" dxfId="3545" priority="703" operator="lessThan">
      <formula>0</formula>
    </cfRule>
  </conditionalFormatting>
  <conditionalFormatting sqref="JX49">
    <cfRule type="cellIs" dxfId="3544" priority="698" operator="equal">
      <formula>"-"</formula>
    </cfRule>
    <cfRule type="cellIs" dxfId="3543" priority="699" operator="greaterThan">
      <formula>0</formula>
    </cfRule>
    <cfRule type="cellIs" dxfId="3542" priority="700" operator="lessThan">
      <formula>0</formula>
    </cfRule>
  </conditionalFormatting>
  <conditionalFormatting sqref="JX52">
    <cfRule type="cellIs" dxfId="3541" priority="695" operator="equal">
      <formula>"-"</formula>
    </cfRule>
    <cfRule type="cellIs" dxfId="3540" priority="696" operator="greaterThan">
      <formula>0</formula>
    </cfRule>
    <cfRule type="cellIs" dxfId="3539" priority="697" operator="lessThan">
      <formula>0</formula>
    </cfRule>
  </conditionalFormatting>
  <conditionalFormatting sqref="KE37">
    <cfRule type="cellIs" dxfId="3538" priority="692" operator="equal">
      <formula>"-"</formula>
    </cfRule>
    <cfRule type="cellIs" dxfId="3537" priority="693" operator="greaterThan">
      <formula>0</formula>
    </cfRule>
    <cfRule type="cellIs" dxfId="3536" priority="694" operator="lessThan">
      <formula>0</formula>
    </cfRule>
  </conditionalFormatting>
  <conditionalFormatting sqref="KE40">
    <cfRule type="cellIs" dxfId="3535" priority="689" operator="equal">
      <formula>"-"</formula>
    </cfRule>
    <cfRule type="cellIs" dxfId="3534" priority="690" operator="greaterThan">
      <formula>0</formula>
    </cfRule>
    <cfRule type="cellIs" dxfId="3533" priority="691" operator="lessThan">
      <formula>0</formula>
    </cfRule>
  </conditionalFormatting>
  <conditionalFormatting sqref="KE43">
    <cfRule type="cellIs" dxfId="3532" priority="686" operator="equal">
      <formula>"-"</formula>
    </cfRule>
    <cfRule type="cellIs" dxfId="3531" priority="687" operator="greaterThan">
      <formula>0</formula>
    </cfRule>
    <cfRule type="cellIs" dxfId="3530" priority="688" operator="lessThan">
      <formula>0</formula>
    </cfRule>
  </conditionalFormatting>
  <conditionalFormatting sqref="KE46">
    <cfRule type="cellIs" dxfId="3529" priority="683" operator="equal">
      <formula>"-"</formula>
    </cfRule>
    <cfRule type="cellIs" dxfId="3528" priority="684" operator="greaterThan">
      <formula>0</formula>
    </cfRule>
    <cfRule type="cellIs" dxfId="3527" priority="685" operator="lessThan">
      <formula>0</formula>
    </cfRule>
  </conditionalFormatting>
  <conditionalFormatting sqref="KE49">
    <cfRule type="cellIs" dxfId="3526" priority="680" operator="equal">
      <formula>"-"</formula>
    </cfRule>
    <cfRule type="cellIs" dxfId="3525" priority="681" operator="greaterThan">
      <formula>0</formula>
    </cfRule>
    <cfRule type="cellIs" dxfId="3524" priority="682" operator="lessThan">
      <formula>0</formula>
    </cfRule>
  </conditionalFormatting>
  <conditionalFormatting sqref="KE52">
    <cfRule type="cellIs" dxfId="3523" priority="677" operator="equal">
      <formula>"-"</formula>
    </cfRule>
    <cfRule type="cellIs" dxfId="3522" priority="678" operator="greaterThan">
      <formula>0</formula>
    </cfRule>
    <cfRule type="cellIs" dxfId="3521" priority="679" operator="lessThan">
      <formula>0</formula>
    </cfRule>
  </conditionalFormatting>
  <conditionalFormatting sqref="KL37">
    <cfRule type="cellIs" dxfId="3520" priority="674" operator="equal">
      <formula>"-"</formula>
    </cfRule>
    <cfRule type="cellIs" dxfId="3519" priority="675" operator="greaterThan">
      <formula>0</formula>
    </cfRule>
    <cfRule type="cellIs" dxfId="3518" priority="676" operator="lessThan">
      <formula>0</formula>
    </cfRule>
  </conditionalFormatting>
  <conditionalFormatting sqref="KL40">
    <cfRule type="cellIs" dxfId="3517" priority="671" operator="equal">
      <formula>"-"</formula>
    </cfRule>
    <cfRule type="cellIs" dxfId="3516" priority="672" operator="greaterThan">
      <formula>0</formula>
    </cfRule>
    <cfRule type="cellIs" dxfId="3515" priority="673" operator="lessThan">
      <formula>0</formula>
    </cfRule>
  </conditionalFormatting>
  <conditionalFormatting sqref="KL43">
    <cfRule type="cellIs" dxfId="3514" priority="668" operator="equal">
      <formula>"-"</formula>
    </cfRule>
    <cfRule type="cellIs" dxfId="3513" priority="669" operator="greaterThan">
      <formula>0</formula>
    </cfRule>
    <cfRule type="cellIs" dxfId="3512" priority="670" operator="lessThan">
      <formula>0</formula>
    </cfRule>
  </conditionalFormatting>
  <conditionalFormatting sqref="KL46">
    <cfRule type="cellIs" dxfId="3511" priority="665" operator="equal">
      <formula>"-"</formula>
    </cfRule>
    <cfRule type="cellIs" dxfId="3510" priority="666" operator="greaterThan">
      <formula>0</formula>
    </cfRule>
    <cfRule type="cellIs" dxfId="3509" priority="667" operator="lessThan">
      <formula>0</formula>
    </cfRule>
  </conditionalFormatting>
  <conditionalFormatting sqref="KL49">
    <cfRule type="cellIs" dxfId="3508" priority="662" operator="equal">
      <formula>"-"</formula>
    </cfRule>
    <cfRule type="cellIs" dxfId="3507" priority="663" operator="greaterThan">
      <formula>0</formula>
    </cfRule>
    <cfRule type="cellIs" dxfId="3506" priority="664" operator="lessThan">
      <formula>0</formula>
    </cfRule>
  </conditionalFormatting>
  <conditionalFormatting sqref="KL52">
    <cfRule type="cellIs" dxfId="3505" priority="659" operator="equal">
      <formula>"-"</formula>
    </cfRule>
    <cfRule type="cellIs" dxfId="3504" priority="660" operator="greaterThan">
      <formula>0</formula>
    </cfRule>
    <cfRule type="cellIs" dxfId="3503" priority="661" operator="lessThan">
      <formula>0</formula>
    </cfRule>
  </conditionalFormatting>
  <conditionalFormatting sqref="KS37">
    <cfRule type="cellIs" dxfId="3502" priority="656" operator="equal">
      <formula>"-"</formula>
    </cfRule>
    <cfRule type="cellIs" dxfId="3501" priority="657" operator="greaterThan">
      <formula>0</formula>
    </cfRule>
    <cfRule type="cellIs" dxfId="3500" priority="658" operator="lessThan">
      <formula>0</formula>
    </cfRule>
  </conditionalFormatting>
  <conditionalFormatting sqref="KS40">
    <cfRule type="cellIs" dxfId="3499" priority="653" operator="equal">
      <formula>"-"</formula>
    </cfRule>
    <cfRule type="cellIs" dxfId="3498" priority="654" operator="greaterThan">
      <formula>0</formula>
    </cfRule>
    <cfRule type="cellIs" dxfId="3497" priority="655" operator="lessThan">
      <formula>0</formula>
    </cfRule>
  </conditionalFormatting>
  <conditionalFormatting sqref="KS43">
    <cfRule type="cellIs" dxfId="3496" priority="650" operator="equal">
      <formula>"-"</formula>
    </cfRule>
    <cfRule type="cellIs" dxfId="3495" priority="651" operator="greaterThan">
      <formula>0</formula>
    </cfRule>
    <cfRule type="cellIs" dxfId="3494" priority="652" operator="lessThan">
      <formula>0</formula>
    </cfRule>
  </conditionalFormatting>
  <conditionalFormatting sqref="KS46">
    <cfRule type="cellIs" dxfId="3493" priority="647" operator="equal">
      <formula>"-"</formula>
    </cfRule>
    <cfRule type="cellIs" dxfId="3492" priority="648" operator="greaterThan">
      <formula>0</formula>
    </cfRule>
    <cfRule type="cellIs" dxfId="3491" priority="649" operator="lessThan">
      <formula>0</formula>
    </cfRule>
  </conditionalFormatting>
  <conditionalFormatting sqref="KS49">
    <cfRule type="cellIs" dxfId="3490" priority="644" operator="equal">
      <formula>"-"</formula>
    </cfRule>
    <cfRule type="cellIs" dxfId="3489" priority="645" operator="greaterThan">
      <formula>0</formula>
    </cfRule>
    <cfRule type="cellIs" dxfId="3488" priority="646" operator="lessThan">
      <formula>0</formula>
    </cfRule>
  </conditionalFormatting>
  <conditionalFormatting sqref="KS52">
    <cfRule type="cellIs" dxfId="3487" priority="641" operator="equal">
      <formula>"-"</formula>
    </cfRule>
    <cfRule type="cellIs" dxfId="3486" priority="642" operator="greaterThan">
      <formula>0</formula>
    </cfRule>
    <cfRule type="cellIs" dxfId="3485" priority="643" operator="lessThan">
      <formula>0</formula>
    </cfRule>
  </conditionalFormatting>
  <conditionalFormatting sqref="KZ37">
    <cfRule type="cellIs" dxfId="3484" priority="638" operator="equal">
      <formula>"-"</formula>
    </cfRule>
    <cfRule type="cellIs" dxfId="3483" priority="639" operator="greaterThan">
      <formula>0</formula>
    </cfRule>
    <cfRule type="cellIs" dxfId="3482" priority="640" operator="lessThan">
      <formula>0</formula>
    </cfRule>
  </conditionalFormatting>
  <conditionalFormatting sqref="KZ40">
    <cfRule type="cellIs" dxfId="3481" priority="635" operator="equal">
      <formula>"-"</formula>
    </cfRule>
    <cfRule type="cellIs" dxfId="3480" priority="636" operator="greaterThan">
      <formula>0</formula>
    </cfRule>
    <cfRule type="cellIs" dxfId="3479" priority="637" operator="lessThan">
      <formula>0</formula>
    </cfRule>
  </conditionalFormatting>
  <conditionalFormatting sqref="KZ43">
    <cfRule type="cellIs" dxfId="3478" priority="632" operator="equal">
      <formula>"-"</formula>
    </cfRule>
    <cfRule type="cellIs" dxfId="3477" priority="633" operator="greaterThan">
      <formula>0</formula>
    </cfRule>
    <cfRule type="cellIs" dxfId="3476" priority="634" operator="lessThan">
      <formula>0</formula>
    </cfRule>
  </conditionalFormatting>
  <conditionalFormatting sqref="KZ46">
    <cfRule type="cellIs" dxfId="3475" priority="629" operator="equal">
      <formula>"-"</formula>
    </cfRule>
    <cfRule type="cellIs" dxfId="3474" priority="630" operator="greaterThan">
      <formula>0</formula>
    </cfRule>
    <cfRule type="cellIs" dxfId="3473" priority="631" operator="lessThan">
      <formula>0</formula>
    </cfRule>
  </conditionalFormatting>
  <conditionalFormatting sqref="KZ49">
    <cfRule type="cellIs" dxfId="3472" priority="626" operator="equal">
      <formula>"-"</formula>
    </cfRule>
    <cfRule type="cellIs" dxfId="3471" priority="627" operator="greaterThan">
      <formula>0</formula>
    </cfRule>
    <cfRule type="cellIs" dxfId="3470" priority="628" operator="lessThan">
      <formula>0</formula>
    </cfRule>
  </conditionalFormatting>
  <conditionalFormatting sqref="KZ52">
    <cfRule type="cellIs" dxfId="3469" priority="623" operator="equal">
      <formula>"-"</formula>
    </cfRule>
    <cfRule type="cellIs" dxfId="3468" priority="624" operator="greaterThan">
      <formula>0</formula>
    </cfRule>
    <cfRule type="cellIs" dxfId="3467" priority="625" operator="lessThan">
      <formula>0</formula>
    </cfRule>
  </conditionalFormatting>
  <conditionalFormatting sqref="LG37">
    <cfRule type="cellIs" dxfId="3466" priority="620" operator="equal">
      <formula>"-"</formula>
    </cfRule>
    <cfRule type="cellIs" dxfId="3465" priority="621" operator="greaterThan">
      <formula>0</formula>
    </cfRule>
    <cfRule type="cellIs" dxfId="3464" priority="622" operator="lessThan">
      <formula>0</formula>
    </cfRule>
  </conditionalFormatting>
  <conditionalFormatting sqref="LG40">
    <cfRule type="cellIs" dxfId="3463" priority="617" operator="equal">
      <formula>"-"</formula>
    </cfRule>
    <cfRule type="cellIs" dxfId="3462" priority="618" operator="greaterThan">
      <formula>0</formula>
    </cfRule>
    <cfRule type="cellIs" dxfId="3461" priority="619" operator="lessThan">
      <formula>0</formula>
    </cfRule>
  </conditionalFormatting>
  <conditionalFormatting sqref="LG43">
    <cfRule type="cellIs" dxfId="3460" priority="614" operator="equal">
      <formula>"-"</formula>
    </cfRule>
    <cfRule type="cellIs" dxfId="3459" priority="615" operator="greaterThan">
      <formula>0</formula>
    </cfRule>
    <cfRule type="cellIs" dxfId="3458" priority="616" operator="lessThan">
      <formula>0</formula>
    </cfRule>
  </conditionalFormatting>
  <conditionalFormatting sqref="LG46">
    <cfRule type="cellIs" dxfId="3457" priority="611" operator="equal">
      <formula>"-"</formula>
    </cfRule>
    <cfRule type="cellIs" dxfId="3456" priority="612" operator="greaterThan">
      <formula>0</formula>
    </cfRule>
    <cfRule type="cellIs" dxfId="3455" priority="613" operator="lessThan">
      <formula>0</formula>
    </cfRule>
  </conditionalFormatting>
  <conditionalFormatting sqref="LG49">
    <cfRule type="cellIs" dxfId="3454" priority="608" operator="equal">
      <formula>"-"</formula>
    </cfRule>
    <cfRule type="cellIs" dxfId="3453" priority="609" operator="greaterThan">
      <formula>0</formula>
    </cfRule>
    <cfRule type="cellIs" dxfId="3452" priority="610" operator="lessThan">
      <formula>0</formula>
    </cfRule>
  </conditionalFormatting>
  <conditionalFormatting sqref="LG52">
    <cfRule type="cellIs" dxfId="3451" priority="605" operator="equal">
      <formula>"-"</formula>
    </cfRule>
    <cfRule type="cellIs" dxfId="3450" priority="606" operator="greaterThan">
      <formula>0</formula>
    </cfRule>
    <cfRule type="cellIs" dxfId="3449" priority="607" operator="lessThan">
      <formula>0</formula>
    </cfRule>
  </conditionalFormatting>
  <conditionalFormatting sqref="LN37">
    <cfRule type="cellIs" dxfId="3448" priority="602" operator="equal">
      <formula>"-"</formula>
    </cfRule>
    <cfRule type="cellIs" dxfId="3447" priority="603" operator="greaterThan">
      <formula>0</formula>
    </cfRule>
    <cfRule type="cellIs" dxfId="3446" priority="604" operator="lessThan">
      <formula>0</formula>
    </cfRule>
  </conditionalFormatting>
  <conditionalFormatting sqref="LN40">
    <cfRule type="cellIs" dxfId="3445" priority="599" operator="equal">
      <formula>"-"</formula>
    </cfRule>
    <cfRule type="cellIs" dxfId="3444" priority="600" operator="greaterThan">
      <formula>0</formula>
    </cfRule>
    <cfRule type="cellIs" dxfId="3443" priority="601" operator="lessThan">
      <formula>0</formula>
    </cfRule>
  </conditionalFormatting>
  <conditionalFormatting sqref="LN43">
    <cfRule type="cellIs" dxfId="3442" priority="596" operator="equal">
      <formula>"-"</formula>
    </cfRule>
    <cfRule type="cellIs" dxfId="3441" priority="597" operator="greaterThan">
      <formula>0</formula>
    </cfRule>
    <cfRule type="cellIs" dxfId="3440" priority="598" operator="lessThan">
      <formula>0</formula>
    </cfRule>
  </conditionalFormatting>
  <conditionalFormatting sqref="LN46">
    <cfRule type="cellIs" dxfId="3439" priority="593" operator="equal">
      <formula>"-"</formula>
    </cfRule>
    <cfRule type="cellIs" dxfId="3438" priority="594" operator="greaterThan">
      <formula>0</formula>
    </cfRule>
    <cfRule type="cellIs" dxfId="3437" priority="595" operator="lessThan">
      <formula>0</formula>
    </cfRule>
  </conditionalFormatting>
  <conditionalFormatting sqref="LN49">
    <cfRule type="cellIs" dxfId="3436" priority="590" operator="equal">
      <formula>"-"</formula>
    </cfRule>
    <cfRule type="cellIs" dxfId="3435" priority="591" operator="greaterThan">
      <formula>0</formula>
    </cfRule>
    <cfRule type="cellIs" dxfId="3434" priority="592" operator="lessThan">
      <formula>0</formula>
    </cfRule>
  </conditionalFormatting>
  <conditionalFormatting sqref="LN52">
    <cfRule type="cellIs" dxfId="3433" priority="587" operator="equal">
      <formula>"-"</formula>
    </cfRule>
    <cfRule type="cellIs" dxfId="3432" priority="588" operator="greaterThan">
      <formula>0</formula>
    </cfRule>
    <cfRule type="cellIs" dxfId="3431" priority="589" operator="lessThan">
      <formula>0</formula>
    </cfRule>
  </conditionalFormatting>
  <conditionalFormatting sqref="LU37">
    <cfRule type="cellIs" dxfId="3430" priority="584" operator="equal">
      <formula>"-"</formula>
    </cfRule>
    <cfRule type="cellIs" dxfId="3429" priority="585" operator="greaterThan">
      <formula>0</formula>
    </cfRule>
    <cfRule type="cellIs" dxfId="3428" priority="586" operator="lessThan">
      <formula>0</formula>
    </cfRule>
  </conditionalFormatting>
  <conditionalFormatting sqref="LU40">
    <cfRule type="cellIs" dxfId="3427" priority="581" operator="equal">
      <formula>"-"</formula>
    </cfRule>
    <cfRule type="cellIs" dxfId="3426" priority="582" operator="greaterThan">
      <formula>0</formula>
    </cfRule>
    <cfRule type="cellIs" dxfId="3425" priority="583" operator="lessThan">
      <formula>0</formula>
    </cfRule>
  </conditionalFormatting>
  <conditionalFormatting sqref="LU43">
    <cfRule type="cellIs" dxfId="3424" priority="578" operator="equal">
      <formula>"-"</formula>
    </cfRule>
    <cfRule type="cellIs" dxfId="3423" priority="579" operator="greaterThan">
      <formula>0</formula>
    </cfRule>
    <cfRule type="cellIs" dxfId="3422" priority="580" operator="lessThan">
      <formula>0</formula>
    </cfRule>
  </conditionalFormatting>
  <conditionalFormatting sqref="LU46">
    <cfRule type="cellIs" dxfId="3421" priority="575" operator="equal">
      <formula>"-"</formula>
    </cfRule>
    <cfRule type="cellIs" dxfId="3420" priority="576" operator="greaterThan">
      <formula>0</formula>
    </cfRule>
    <cfRule type="cellIs" dxfId="3419" priority="577" operator="lessThan">
      <formula>0</formula>
    </cfRule>
  </conditionalFormatting>
  <conditionalFormatting sqref="LU49">
    <cfRule type="cellIs" dxfId="3418" priority="572" operator="equal">
      <formula>"-"</formula>
    </cfRule>
    <cfRule type="cellIs" dxfId="3417" priority="573" operator="greaterThan">
      <formula>0</formula>
    </cfRule>
    <cfRule type="cellIs" dxfId="3416" priority="574" operator="lessThan">
      <formula>0</formula>
    </cfRule>
  </conditionalFormatting>
  <conditionalFormatting sqref="LU52">
    <cfRule type="cellIs" dxfId="3415" priority="569" operator="equal">
      <formula>"-"</formula>
    </cfRule>
    <cfRule type="cellIs" dxfId="3414" priority="570" operator="greaterThan">
      <formula>0</formula>
    </cfRule>
    <cfRule type="cellIs" dxfId="3413" priority="571" operator="lessThan">
      <formula>0</formula>
    </cfRule>
  </conditionalFormatting>
  <conditionalFormatting sqref="MB37">
    <cfRule type="cellIs" dxfId="3412" priority="566" operator="equal">
      <formula>"-"</formula>
    </cfRule>
    <cfRule type="cellIs" dxfId="3411" priority="567" operator="greaterThan">
      <formula>0</formula>
    </cfRule>
    <cfRule type="cellIs" dxfId="3410" priority="568" operator="lessThan">
      <formula>0</formula>
    </cfRule>
  </conditionalFormatting>
  <conditionalFormatting sqref="MB40">
    <cfRule type="cellIs" dxfId="3409" priority="563" operator="equal">
      <formula>"-"</formula>
    </cfRule>
    <cfRule type="cellIs" dxfId="3408" priority="564" operator="greaterThan">
      <formula>0</formula>
    </cfRule>
    <cfRule type="cellIs" dxfId="3407" priority="565" operator="lessThan">
      <formula>0</formula>
    </cfRule>
  </conditionalFormatting>
  <conditionalFormatting sqref="MB43">
    <cfRule type="cellIs" dxfId="3406" priority="560" operator="equal">
      <formula>"-"</formula>
    </cfRule>
    <cfRule type="cellIs" dxfId="3405" priority="561" operator="greaterThan">
      <formula>0</formula>
    </cfRule>
    <cfRule type="cellIs" dxfId="3404" priority="562" operator="lessThan">
      <formula>0</formula>
    </cfRule>
  </conditionalFormatting>
  <conditionalFormatting sqref="MB46">
    <cfRule type="cellIs" dxfId="3403" priority="557" operator="equal">
      <formula>"-"</formula>
    </cfRule>
    <cfRule type="cellIs" dxfId="3402" priority="558" operator="greaterThan">
      <formula>0</formula>
    </cfRule>
    <cfRule type="cellIs" dxfId="3401" priority="559" operator="lessThan">
      <formula>0</formula>
    </cfRule>
  </conditionalFormatting>
  <conditionalFormatting sqref="MB49">
    <cfRule type="cellIs" dxfId="3400" priority="554" operator="equal">
      <formula>"-"</formula>
    </cfRule>
    <cfRule type="cellIs" dxfId="3399" priority="555" operator="greaterThan">
      <formula>0</formula>
    </cfRule>
    <cfRule type="cellIs" dxfId="3398" priority="556" operator="lessThan">
      <formula>0</formula>
    </cfRule>
  </conditionalFormatting>
  <conditionalFormatting sqref="MB52">
    <cfRule type="cellIs" dxfId="3397" priority="551" operator="equal">
      <formula>"-"</formula>
    </cfRule>
    <cfRule type="cellIs" dxfId="3396" priority="552" operator="greaterThan">
      <formula>0</formula>
    </cfRule>
    <cfRule type="cellIs" dxfId="3395" priority="553" operator="lessThan">
      <formula>0</formula>
    </cfRule>
  </conditionalFormatting>
  <conditionalFormatting sqref="MI37">
    <cfRule type="cellIs" dxfId="3394" priority="548" operator="equal">
      <formula>"-"</formula>
    </cfRule>
    <cfRule type="cellIs" dxfId="3393" priority="549" operator="greaterThan">
      <formula>0</formula>
    </cfRule>
    <cfRule type="cellIs" dxfId="3392" priority="550" operator="lessThan">
      <formula>0</formula>
    </cfRule>
  </conditionalFormatting>
  <conditionalFormatting sqref="MI40">
    <cfRule type="cellIs" dxfId="3391" priority="545" operator="equal">
      <formula>"-"</formula>
    </cfRule>
    <cfRule type="cellIs" dxfId="3390" priority="546" operator="greaterThan">
      <formula>0</formula>
    </cfRule>
    <cfRule type="cellIs" dxfId="3389" priority="547" operator="lessThan">
      <formula>0</formula>
    </cfRule>
  </conditionalFormatting>
  <conditionalFormatting sqref="MI43">
    <cfRule type="cellIs" dxfId="3388" priority="542" operator="equal">
      <formula>"-"</formula>
    </cfRule>
    <cfRule type="cellIs" dxfId="3387" priority="543" operator="greaterThan">
      <formula>0</formula>
    </cfRule>
    <cfRule type="cellIs" dxfId="3386" priority="544" operator="lessThan">
      <formula>0</formula>
    </cfRule>
  </conditionalFormatting>
  <conditionalFormatting sqref="MI46">
    <cfRule type="cellIs" dxfId="3385" priority="539" operator="equal">
      <formula>"-"</formula>
    </cfRule>
    <cfRule type="cellIs" dxfId="3384" priority="540" operator="greaterThan">
      <formula>0</formula>
    </cfRule>
    <cfRule type="cellIs" dxfId="3383" priority="541" operator="lessThan">
      <formula>0</formula>
    </cfRule>
  </conditionalFormatting>
  <conditionalFormatting sqref="MI49">
    <cfRule type="cellIs" dxfId="3382" priority="536" operator="equal">
      <formula>"-"</formula>
    </cfRule>
    <cfRule type="cellIs" dxfId="3381" priority="537" operator="greaterThan">
      <formula>0</formula>
    </cfRule>
    <cfRule type="cellIs" dxfId="3380" priority="538" operator="lessThan">
      <formula>0</formula>
    </cfRule>
  </conditionalFormatting>
  <conditionalFormatting sqref="MI52">
    <cfRule type="cellIs" dxfId="3379" priority="533" operator="equal">
      <formula>"-"</formula>
    </cfRule>
    <cfRule type="cellIs" dxfId="3378" priority="534" operator="greaterThan">
      <formula>0</formula>
    </cfRule>
    <cfRule type="cellIs" dxfId="3377" priority="535" operator="lessThan">
      <formula>0</formula>
    </cfRule>
  </conditionalFormatting>
  <conditionalFormatting sqref="MP37">
    <cfRule type="cellIs" dxfId="3376" priority="530" operator="equal">
      <formula>"-"</formula>
    </cfRule>
    <cfRule type="cellIs" dxfId="3375" priority="531" operator="greaterThan">
      <formula>0</formula>
    </cfRule>
    <cfRule type="cellIs" dxfId="3374" priority="532" operator="lessThan">
      <formula>0</formula>
    </cfRule>
  </conditionalFormatting>
  <conditionalFormatting sqref="MP40">
    <cfRule type="cellIs" dxfId="3373" priority="527" operator="equal">
      <formula>"-"</formula>
    </cfRule>
    <cfRule type="cellIs" dxfId="3372" priority="528" operator="greaterThan">
      <formula>0</formula>
    </cfRule>
    <cfRule type="cellIs" dxfId="3371" priority="529" operator="lessThan">
      <formula>0</formula>
    </cfRule>
  </conditionalFormatting>
  <conditionalFormatting sqref="MP43">
    <cfRule type="cellIs" dxfId="3370" priority="524" operator="equal">
      <formula>"-"</formula>
    </cfRule>
    <cfRule type="cellIs" dxfId="3369" priority="525" operator="greaterThan">
      <formula>0</formula>
    </cfRule>
    <cfRule type="cellIs" dxfId="3368" priority="526" operator="lessThan">
      <formula>0</formula>
    </cfRule>
  </conditionalFormatting>
  <conditionalFormatting sqref="MP46">
    <cfRule type="cellIs" dxfId="3367" priority="521" operator="equal">
      <formula>"-"</formula>
    </cfRule>
    <cfRule type="cellIs" dxfId="3366" priority="522" operator="greaterThan">
      <formula>0</formula>
    </cfRule>
    <cfRule type="cellIs" dxfId="3365" priority="523" operator="lessThan">
      <formula>0</formula>
    </cfRule>
  </conditionalFormatting>
  <conditionalFormatting sqref="MP49">
    <cfRule type="cellIs" dxfId="3364" priority="518" operator="equal">
      <formula>"-"</formula>
    </cfRule>
    <cfRule type="cellIs" dxfId="3363" priority="519" operator="greaterThan">
      <formula>0</formula>
    </cfRule>
    <cfRule type="cellIs" dxfId="3362" priority="520" operator="lessThan">
      <formula>0</formula>
    </cfRule>
  </conditionalFormatting>
  <conditionalFormatting sqref="MP52">
    <cfRule type="cellIs" dxfId="3361" priority="515" operator="equal">
      <formula>"-"</formula>
    </cfRule>
    <cfRule type="cellIs" dxfId="3360" priority="516" operator="greaterThan">
      <formula>0</formula>
    </cfRule>
    <cfRule type="cellIs" dxfId="3359" priority="517" operator="lessThan">
      <formula>0</formula>
    </cfRule>
  </conditionalFormatting>
  <conditionalFormatting sqref="MW37">
    <cfRule type="cellIs" dxfId="3358" priority="512" operator="equal">
      <formula>"-"</formula>
    </cfRule>
    <cfRule type="cellIs" dxfId="3357" priority="513" operator="greaterThan">
      <formula>0</formula>
    </cfRule>
    <cfRule type="cellIs" dxfId="3356" priority="514" operator="lessThan">
      <formula>0</formula>
    </cfRule>
  </conditionalFormatting>
  <conditionalFormatting sqref="MW40">
    <cfRule type="cellIs" dxfId="3355" priority="509" operator="equal">
      <formula>"-"</formula>
    </cfRule>
    <cfRule type="cellIs" dxfId="3354" priority="510" operator="greaterThan">
      <formula>0</formula>
    </cfRule>
    <cfRule type="cellIs" dxfId="3353" priority="511" operator="lessThan">
      <formula>0</formula>
    </cfRule>
  </conditionalFormatting>
  <conditionalFormatting sqref="MW43">
    <cfRule type="cellIs" dxfId="3352" priority="506" operator="equal">
      <formula>"-"</formula>
    </cfRule>
    <cfRule type="cellIs" dxfId="3351" priority="507" operator="greaterThan">
      <formula>0</formula>
    </cfRule>
    <cfRule type="cellIs" dxfId="3350" priority="508" operator="lessThan">
      <formula>0</formula>
    </cfRule>
  </conditionalFormatting>
  <conditionalFormatting sqref="MW46">
    <cfRule type="cellIs" dxfId="3349" priority="503" operator="equal">
      <formula>"-"</formula>
    </cfRule>
    <cfRule type="cellIs" dxfId="3348" priority="504" operator="greaterThan">
      <formula>0</formula>
    </cfRule>
    <cfRule type="cellIs" dxfId="3347" priority="505" operator="lessThan">
      <formula>0</formula>
    </cfRule>
  </conditionalFormatting>
  <conditionalFormatting sqref="MW49">
    <cfRule type="cellIs" dxfId="3346" priority="500" operator="equal">
      <formula>"-"</formula>
    </cfRule>
    <cfRule type="cellIs" dxfId="3345" priority="501" operator="greaterThan">
      <formula>0</formula>
    </cfRule>
    <cfRule type="cellIs" dxfId="3344" priority="502" operator="lessThan">
      <formula>0</formula>
    </cfRule>
  </conditionalFormatting>
  <conditionalFormatting sqref="MW52">
    <cfRule type="cellIs" dxfId="3343" priority="497" operator="equal">
      <formula>"-"</formula>
    </cfRule>
    <cfRule type="cellIs" dxfId="3342" priority="498" operator="greaterThan">
      <formula>0</formula>
    </cfRule>
    <cfRule type="cellIs" dxfId="3341" priority="499" operator="lessThan">
      <formula>0</formula>
    </cfRule>
  </conditionalFormatting>
  <conditionalFormatting sqref="ND37">
    <cfRule type="cellIs" dxfId="3340" priority="494" operator="equal">
      <formula>"-"</formula>
    </cfRule>
    <cfRule type="cellIs" dxfId="3339" priority="495" operator="greaterThan">
      <formula>0</formula>
    </cfRule>
    <cfRule type="cellIs" dxfId="3338" priority="496" operator="lessThan">
      <formula>0</formula>
    </cfRule>
  </conditionalFormatting>
  <conditionalFormatting sqref="ND40">
    <cfRule type="cellIs" dxfId="3337" priority="491" operator="equal">
      <formula>"-"</formula>
    </cfRule>
    <cfRule type="cellIs" dxfId="3336" priority="492" operator="greaterThan">
      <formula>0</formula>
    </cfRule>
    <cfRule type="cellIs" dxfId="3335" priority="493" operator="lessThan">
      <formula>0</formula>
    </cfRule>
  </conditionalFormatting>
  <conditionalFormatting sqref="ND43">
    <cfRule type="cellIs" dxfId="3334" priority="488" operator="equal">
      <formula>"-"</formula>
    </cfRule>
    <cfRule type="cellIs" dxfId="3333" priority="489" operator="greaterThan">
      <formula>0</formula>
    </cfRule>
    <cfRule type="cellIs" dxfId="3332" priority="490" operator="lessThan">
      <formula>0</formula>
    </cfRule>
  </conditionalFormatting>
  <conditionalFormatting sqref="ND46">
    <cfRule type="cellIs" dxfId="3331" priority="485" operator="equal">
      <formula>"-"</formula>
    </cfRule>
    <cfRule type="cellIs" dxfId="3330" priority="486" operator="greaterThan">
      <formula>0</formula>
    </cfRule>
    <cfRule type="cellIs" dxfId="3329" priority="487" operator="lessThan">
      <formula>0</formula>
    </cfRule>
  </conditionalFormatting>
  <conditionalFormatting sqref="ND49">
    <cfRule type="cellIs" dxfId="3328" priority="482" operator="equal">
      <formula>"-"</formula>
    </cfRule>
    <cfRule type="cellIs" dxfId="3327" priority="483" operator="greaterThan">
      <formula>0</formula>
    </cfRule>
    <cfRule type="cellIs" dxfId="3326" priority="484" operator="lessThan">
      <formula>0</formula>
    </cfRule>
  </conditionalFormatting>
  <conditionalFormatting sqref="ND52">
    <cfRule type="cellIs" dxfId="3325" priority="479" operator="equal">
      <formula>"-"</formula>
    </cfRule>
    <cfRule type="cellIs" dxfId="3324" priority="480" operator="greaterThan">
      <formula>0</formula>
    </cfRule>
    <cfRule type="cellIs" dxfId="3323" priority="481" operator="lessThan">
      <formula>0</formula>
    </cfRule>
  </conditionalFormatting>
  <conditionalFormatting sqref="NK37">
    <cfRule type="cellIs" dxfId="3322" priority="476" operator="equal">
      <formula>"-"</formula>
    </cfRule>
    <cfRule type="cellIs" dxfId="3321" priority="477" operator="greaterThan">
      <formula>0</formula>
    </cfRule>
    <cfRule type="cellIs" dxfId="3320" priority="478" operator="lessThan">
      <formula>0</formula>
    </cfRule>
  </conditionalFormatting>
  <conditionalFormatting sqref="NK40">
    <cfRule type="cellIs" dxfId="3319" priority="473" operator="equal">
      <formula>"-"</formula>
    </cfRule>
    <cfRule type="cellIs" dxfId="3318" priority="474" operator="greaterThan">
      <formula>0</formula>
    </cfRule>
    <cfRule type="cellIs" dxfId="3317" priority="475" operator="lessThan">
      <formula>0</formula>
    </cfRule>
  </conditionalFormatting>
  <conditionalFormatting sqref="NK43">
    <cfRule type="cellIs" dxfId="3316" priority="470" operator="equal">
      <formula>"-"</formula>
    </cfRule>
    <cfRule type="cellIs" dxfId="3315" priority="471" operator="greaterThan">
      <formula>0</formula>
    </cfRule>
    <cfRule type="cellIs" dxfId="3314" priority="472" operator="lessThan">
      <formula>0</formula>
    </cfRule>
  </conditionalFormatting>
  <conditionalFormatting sqref="NK46">
    <cfRule type="cellIs" dxfId="3313" priority="467" operator="equal">
      <formula>"-"</formula>
    </cfRule>
    <cfRule type="cellIs" dxfId="3312" priority="468" operator="greaterThan">
      <formula>0</formula>
    </cfRule>
    <cfRule type="cellIs" dxfId="3311" priority="469" operator="lessThan">
      <formula>0</formula>
    </cfRule>
  </conditionalFormatting>
  <conditionalFormatting sqref="NK49">
    <cfRule type="cellIs" dxfId="3310" priority="464" operator="equal">
      <formula>"-"</formula>
    </cfRule>
    <cfRule type="cellIs" dxfId="3309" priority="465" operator="greaterThan">
      <formula>0</formula>
    </cfRule>
    <cfRule type="cellIs" dxfId="3308" priority="466" operator="lessThan">
      <formula>0</formula>
    </cfRule>
  </conditionalFormatting>
  <conditionalFormatting sqref="NK52">
    <cfRule type="cellIs" dxfId="3307" priority="461" operator="equal">
      <formula>"-"</formula>
    </cfRule>
    <cfRule type="cellIs" dxfId="3306" priority="462" operator="greaterThan">
      <formula>0</formula>
    </cfRule>
    <cfRule type="cellIs" dxfId="3305" priority="463" operator="lessThan">
      <formula>0</formula>
    </cfRule>
  </conditionalFormatting>
  <conditionalFormatting sqref="NR37">
    <cfRule type="cellIs" dxfId="3304" priority="458" operator="equal">
      <formula>"-"</formula>
    </cfRule>
    <cfRule type="cellIs" dxfId="3303" priority="459" operator="greaterThan">
      <formula>0</formula>
    </cfRule>
    <cfRule type="cellIs" dxfId="3302" priority="460" operator="lessThan">
      <formula>0</formula>
    </cfRule>
  </conditionalFormatting>
  <conditionalFormatting sqref="NR40">
    <cfRule type="cellIs" dxfId="3301" priority="455" operator="equal">
      <formula>"-"</formula>
    </cfRule>
    <cfRule type="cellIs" dxfId="3300" priority="456" operator="greaterThan">
      <formula>0</formula>
    </cfRule>
    <cfRule type="cellIs" dxfId="3299" priority="457" operator="lessThan">
      <formula>0</formula>
    </cfRule>
  </conditionalFormatting>
  <conditionalFormatting sqref="NR43">
    <cfRule type="cellIs" dxfId="3298" priority="452" operator="equal">
      <formula>"-"</formula>
    </cfRule>
    <cfRule type="cellIs" dxfId="3297" priority="453" operator="greaterThan">
      <formula>0</formula>
    </cfRule>
    <cfRule type="cellIs" dxfId="3296" priority="454" operator="lessThan">
      <formula>0</formula>
    </cfRule>
  </conditionalFormatting>
  <conditionalFormatting sqref="NR46">
    <cfRule type="cellIs" dxfId="3295" priority="449" operator="equal">
      <formula>"-"</formula>
    </cfRule>
    <cfRule type="cellIs" dxfId="3294" priority="450" operator="greaterThan">
      <formula>0</formula>
    </cfRule>
    <cfRule type="cellIs" dxfId="3293" priority="451" operator="lessThan">
      <formula>0</formula>
    </cfRule>
  </conditionalFormatting>
  <conditionalFormatting sqref="NR49">
    <cfRule type="cellIs" dxfId="3292" priority="446" operator="equal">
      <formula>"-"</formula>
    </cfRule>
    <cfRule type="cellIs" dxfId="3291" priority="447" operator="greaterThan">
      <formula>0</formula>
    </cfRule>
    <cfRule type="cellIs" dxfId="3290" priority="448" operator="lessThan">
      <formula>0</formula>
    </cfRule>
  </conditionalFormatting>
  <conditionalFormatting sqref="NR52">
    <cfRule type="cellIs" dxfId="3289" priority="443" operator="equal">
      <formula>"-"</formula>
    </cfRule>
    <cfRule type="cellIs" dxfId="3288" priority="444" operator="greaterThan">
      <formula>0</formula>
    </cfRule>
    <cfRule type="cellIs" dxfId="3287" priority="445" operator="lessThan">
      <formula>0</formula>
    </cfRule>
  </conditionalFormatting>
  <conditionalFormatting sqref="HF6 HF8 HF13 HF15">
    <cfRule type="expression" dxfId="3286" priority="441">
      <formula>HF7&gt;0</formula>
    </cfRule>
  </conditionalFormatting>
  <conditionalFormatting sqref="HF7 HF9 HF16">
    <cfRule type="cellIs" dxfId="3285" priority="442" operator="greaterThan">
      <formula>0</formula>
    </cfRule>
  </conditionalFormatting>
  <conditionalFormatting sqref="HF20 HF22">
    <cfRule type="expression" dxfId="3284" priority="439">
      <formula>HF21&gt;0</formula>
    </cfRule>
  </conditionalFormatting>
  <conditionalFormatting sqref="HF23">
    <cfRule type="cellIs" dxfId="3283" priority="440" operator="greaterThan">
      <formula>0</formula>
    </cfRule>
  </conditionalFormatting>
  <conditionalFormatting sqref="HF27 HF29">
    <cfRule type="expression" dxfId="3282" priority="437">
      <formula>HF28&gt;0</formula>
    </cfRule>
  </conditionalFormatting>
  <conditionalFormatting sqref="HF30">
    <cfRule type="cellIs" dxfId="3281" priority="438" operator="greaterThan">
      <formula>0</formula>
    </cfRule>
  </conditionalFormatting>
  <conditionalFormatting sqref="HF14">
    <cfRule type="cellIs" dxfId="3280" priority="435" operator="lessThan">
      <formula>0</formula>
    </cfRule>
    <cfRule type="cellIs" dxfId="3279" priority="436" operator="greaterThan">
      <formula>0</formula>
    </cfRule>
  </conditionalFormatting>
  <conditionalFormatting sqref="HF21">
    <cfRule type="cellIs" dxfId="3278" priority="433" operator="lessThan">
      <formula>0</formula>
    </cfRule>
    <cfRule type="cellIs" dxfId="3277" priority="434" operator="greaterThan">
      <formula>0</formula>
    </cfRule>
  </conditionalFormatting>
  <conditionalFormatting sqref="HF28">
    <cfRule type="cellIs" dxfId="3276" priority="431" operator="lessThan">
      <formula>0</formula>
    </cfRule>
    <cfRule type="cellIs" dxfId="3275" priority="432" operator="greaterThan">
      <formula>0</formula>
    </cfRule>
  </conditionalFormatting>
  <conditionalFormatting sqref="HA31:HF31 HD25:HF26 HA24:HF24 HD18:HF19 HA17:HF17 HD11:HF12 HA10:HF10 HA3:HF3">
    <cfRule type="expression" dxfId="3274" priority="430">
      <formula>WEEKNUM(HA$33)=WEEKNUM(TODAY())</formula>
    </cfRule>
  </conditionalFormatting>
  <conditionalFormatting sqref="HH2:HM2">
    <cfRule type="expression" dxfId="3273" priority="427">
      <formula>HH2="S"&amp;WEEKNUM(TODAY())</formula>
    </cfRule>
  </conditionalFormatting>
  <conditionalFormatting sqref="HM6 HM8 HM13 HM15">
    <cfRule type="expression" dxfId="3272" priority="425">
      <formula>HM7&gt;0</formula>
    </cfRule>
    <cfRule type="expression" dxfId="3271" priority="429">
      <formula>HM7&lt;0</formula>
    </cfRule>
  </conditionalFormatting>
  <conditionalFormatting sqref="HM7 HM9 HM16">
    <cfRule type="cellIs" dxfId="3270" priority="426" operator="greaterThan">
      <formula>0</formula>
    </cfRule>
    <cfRule type="cellIs" dxfId="3269" priority="428" operator="lessThan">
      <formula>0</formula>
    </cfRule>
  </conditionalFormatting>
  <conditionalFormatting sqref="HM20 HM22">
    <cfRule type="expression" dxfId="3268" priority="423">
      <formula>HM21&gt;0</formula>
    </cfRule>
    <cfRule type="expression" dxfId="3267" priority="1369">
      <formula>HM21&lt;0</formula>
    </cfRule>
  </conditionalFormatting>
  <conditionalFormatting sqref="HM23">
    <cfRule type="cellIs" dxfId="3266" priority="424" operator="greaterThan">
      <formula>0</formula>
    </cfRule>
    <cfRule type="cellIs" dxfId="3265" priority="1370" operator="lessThan">
      <formula>0</formula>
    </cfRule>
  </conditionalFormatting>
  <conditionalFormatting sqref="HM27 HM29">
    <cfRule type="expression" dxfId="3264" priority="421">
      <formula>HM28&gt;0</formula>
    </cfRule>
    <cfRule type="expression" dxfId="3263" priority="1371">
      <formula>HM28&lt;0</formula>
    </cfRule>
  </conditionalFormatting>
  <conditionalFormatting sqref="HM30">
    <cfRule type="cellIs" dxfId="3262" priority="422" operator="greaterThan">
      <formula>0</formula>
    </cfRule>
    <cfRule type="cellIs" dxfId="3261" priority="1372" operator="lessThan">
      <formula>0</formula>
    </cfRule>
  </conditionalFormatting>
  <conditionalFormatting sqref="HM14">
    <cfRule type="cellIs" dxfId="3260" priority="419" operator="lessThan">
      <formula>0</formula>
    </cfRule>
    <cfRule type="cellIs" dxfId="3259" priority="420" operator="greaterThan">
      <formula>0</formula>
    </cfRule>
  </conditionalFormatting>
  <conditionalFormatting sqref="HM21">
    <cfRule type="cellIs" dxfId="3258" priority="417" operator="lessThan">
      <formula>0</formula>
    </cfRule>
    <cfRule type="cellIs" dxfId="3257" priority="418" operator="greaterThan">
      <formula>0</formula>
    </cfRule>
  </conditionalFormatting>
  <conditionalFormatting sqref="HM28">
    <cfRule type="cellIs" dxfId="3256" priority="415" operator="lessThan">
      <formula>0</formula>
    </cfRule>
    <cfRule type="cellIs" dxfId="3255" priority="416" operator="greaterThan">
      <formula>0</formula>
    </cfRule>
  </conditionalFormatting>
  <conditionalFormatting sqref="HH31:HM31 HK25:HM26 HH24:HM24 HK18:HM19 HH17:HM17 HK11:HM11 HH10:HM10 HL4:HM5 HH3:HM3 HK12 HM12">
    <cfRule type="expression" dxfId="3254" priority="414">
      <formula>WEEKNUM(HH$33)=WEEKNUM(TODAY())</formula>
    </cfRule>
  </conditionalFormatting>
  <conditionalFormatting sqref="HO2:HT2">
    <cfRule type="expression" dxfId="3253" priority="411">
      <formula>HO2="S"&amp;WEEKNUM(TODAY())</formula>
    </cfRule>
  </conditionalFormatting>
  <conditionalFormatting sqref="HT6 HT8 HT13 HT15">
    <cfRule type="expression" dxfId="3252" priority="409">
      <formula>HT7&gt;0</formula>
    </cfRule>
    <cfRule type="expression" dxfId="3251" priority="413">
      <formula>HT7&lt;0</formula>
    </cfRule>
  </conditionalFormatting>
  <conditionalFormatting sqref="HT7 HT9 HT16">
    <cfRule type="cellIs" dxfId="3250" priority="410" operator="greaterThan">
      <formula>0</formula>
    </cfRule>
    <cfRule type="cellIs" dxfId="3249" priority="412" operator="lessThan">
      <formula>0</formula>
    </cfRule>
  </conditionalFormatting>
  <conditionalFormatting sqref="HT20 HT22">
    <cfRule type="expression" dxfId="3248" priority="407">
      <formula>HT21&gt;0</formula>
    </cfRule>
    <cfRule type="expression" dxfId="3247" priority="1373">
      <formula>HT21&lt;0</formula>
    </cfRule>
  </conditionalFormatting>
  <conditionalFormatting sqref="HT23">
    <cfRule type="cellIs" dxfId="3246" priority="408" operator="greaterThan">
      <formula>0</formula>
    </cfRule>
    <cfRule type="cellIs" dxfId="3245" priority="1374" operator="lessThan">
      <formula>0</formula>
    </cfRule>
  </conditionalFormatting>
  <conditionalFormatting sqref="HT27 HT29">
    <cfRule type="expression" dxfId="3244" priority="405">
      <formula>HT28&gt;0</formula>
    </cfRule>
    <cfRule type="expression" dxfId="3243" priority="1375">
      <formula>HT28&lt;0</formula>
    </cfRule>
  </conditionalFormatting>
  <conditionalFormatting sqref="HT30">
    <cfRule type="cellIs" dxfId="3242" priority="406" operator="greaterThan">
      <formula>0</formula>
    </cfRule>
    <cfRule type="cellIs" dxfId="3241" priority="1376" operator="lessThan">
      <formula>0</formula>
    </cfRule>
  </conditionalFormatting>
  <conditionalFormatting sqref="HT14">
    <cfRule type="cellIs" dxfId="3240" priority="403" operator="lessThan">
      <formula>0</formula>
    </cfRule>
    <cfRule type="cellIs" dxfId="3239" priority="404" operator="greaterThan">
      <formula>0</formula>
    </cfRule>
  </conditionalFormatting>
  <conditionalFormatting sqref="HT21">
    <cfRule type="cellIs" dxfId="3238" priority="401" operator="lessThan">
      <formula>0</formula>
    </cfRule>
    <cfRule type="cellIs" dxfId="3237" priority="402" operator="greaterThan">
      <formula>0</formula>
    </cfRule>
  </conditionalFormatting>
  <conditionalFormatting sqref="HT28">
    <cfRule type="cellIs" dxfId="3236" priority="399" operator="lessThan">
      <formula>0</formula>
    </cfRule>
    <cfRule type="cellIs" dxfId="3235" priority="400" operator="greaterThan">
      <formula>0</formula>
    </cfRule>
  </conditionalFormatting>
  <conditionalFormatting sqref="HO31:HT31 HR25:HT26 HO24:HT24 HR18:HT19 HO17:HT17 HR11:HT12 HO10:HT10 HO3:HT3">
    <cfRule type="expression" dxfId="3234" priority="398">
      <formula>WEEKNUM(HO$33)=WEEKNUM(TODAY())</formula>
    </cfRule>
  </conditionalFormatting>
  <conditionalFormatting sqref="HV2:IA2">
    <cfRule type="expression" dxfId="3233" priority="395">
      <formula>HV2="S"&amp;WEEKNUM(TODAY())</formula>
    </cfRule>
  </conditionalFormatting>
  <conditionalFormatting sqref="IA6 IA8 IA13 IA15">
    <cfRule type="expression" dxfId="3232" priority="393">
      <formula>IA7&gt;0</formula>
    </cfRule>
    <cfRule type="expression" dxfId="3231" priority="397">
      <formula>IA7&lt;0</formula>
    </cfRule>
  </conditionalFormatting>
  <conditionalFormatting sqref="IA7 IA9 IA16">
    <cfRule type="cellIs" dxfId="3230" priority="394" operator="greaterThan">
      <formula>0</formula>
    </cfRule>
    <cfRule type="cellIs" dxfId="3229" priority="396" operator="lessThan">
      <formula>0</formula>
    </cfRule>
  </conditionalFormatting>
  <conditionalFormatting sqref="IA20 IA22">
    <cfRule type="expression" dxfId="3228" priority="391">
      <formula>IA21&gt;0</formula>
    </cfRule>
    <cfRule type="expression" dxfId="3227" priority="1377">
      <formula>IA21&lt;0</formula>
    </cfRule>
  </conditionalFormatting>
  <conditionalFormatting sqref="IA23">
    <cfRule type="cellIs" dxfId="3226" priority="392" operator="greaterThan">
      <formula>0</formula>
    </cfRule>
    <cfRule type="cellIs" dxfId="3225" priority="1378" operator="lessThan">
      <formula>0</formula>
    </cfRule>
  </conditionalFormatting>
  <conditionalFormatting sqref="IA27 IA29">
    <cfRule type="expression" dxfId="3224" priority="389">
      <formula>IA28&gt;0</formula>
    </cfRule>
    <cfRule type="expression" dxfId="3223" priority="1379">
      <formula>IA28&lt;0</formula>
    </cfRule>
  </conditionalFormatting>
  <conditionalFormatting sqref="IA30">
    <cfRule type="cellIs" dxfId="3222" priority="390" operator="greaterThan">
      <formula>0</formula>
    </cfRule>
    <cfRule type="cellIs" dxfId="3221" priority="1380" operator="lessThan">
      <formula>0</formula>
    </cfRule>
  </conditionalFormatting>
  <conditionalFormatting sqref="IA14">
    <cfRule type="cellIs" dxfId="3220" priority="387" operator="lessThan">
      <formula>0</formula>
    </cfRule>
    <cfRule type="cellIs" dxfId="3219" priority="388" operator="greaterThan">
      <formula>0</formula>
    </cfRule>
  </conditionalFormatting>
  <conditionalFormatting sqref="IA21">
    <cfRule type="cellIs" dxfId="3218" priority="385" operator="lessThan">
      <formula>0</formula>
    </cfRule>
    <cfRule type="cellIs" dxfId="3217" priority="386" operator="greaterThan">
      <formula>0</formula>
    </cfRule>
  </conditionalFormatting>
  <conditionalFormatting sqref="IA28">
    <cfRule type="cellIs" dxfId="3216" priority="383" operator="lessThan">
      <formula>0</formula>
    </cfRule>
    <cfRule type="cellIs" dxfId="3215" priority="384" operator="greaterThan">
      <formula>0</formula>
    </cfRule>
  </conditionalFormatting>
  <conditionalFormatting sqref="HV31:IA31 HY25:IA26 HV24:IA24 HY18:IA19 HV17:IA17 HY11:IA12 HV10:IA10 HV3:IA3">
    <cfRule type="expression" dxfId="3214" priority="382">
      <formula>WEEKNUM(HV$33)=WEEKNUM(TODAY())</formula>
    </cfRule>
  </conditionalFormatting>
  <conditionalFormatting sqref="IC2:II2 IP2 IW2">
    <cfRule type="expression" dxfId="3213" priority="375">
      <formula>IC2="S"&amp;WEEKNUM(TODAY())</formula>
    </cfRule>
  </conditionalFormatting>
  <conditionalFormatting sqref="IH6 IH8 IH13 IH15">
    <cfRule type="expression" dxfId="3212" priority="373">
      <formula>IH7&gt;0</formula>
    </cfRule>
    <cfRule type="expression" dxfId="3211" priority="381">
      <formula>IH7&lt;0</formula>
    </cfRule>
  </conditionalFormatting>
  <conditionalFormatting sqref="IH7 IH9 IH16">
    <cfRule type="cellIs" dxfId="3210" priority="374" operator="greaterThan">
      <formula>0</formula>
    </cfRule>
    <cfRule type="cellIs" dxfId="3209" priority="380" operator="lessThan">
      <formula>0</formula>
    </cfRule>
  </conditionalFormatting>
  <conditionalFormatting sqref="IH20 IH22">
    <cfRule type="expression" dxfId="3208" priority="371">
      <formula>IH21&gt;0</formula>
    </cfRule>
    <cfRule type="expression" dxfId="3207" priority="379">
      <formula>IH21&lt;0</formula>
    </cfRule>
  </conditionalFormatting>
  <conditionalFormatting sqref="IH23">
    <cfRule type="cellIs" dxfId="3206" priority="372" operator="greaterThan">
      <formula>0</formula>
    </cfRule>
    <cfRule type="cellIs" dxfId="3205" priority="378" operator="lessThan">
      <formula>0</formula>
    </cfRule>
  </conditionalFormatting>
  <conditionalFormatting sqref="IH27 IH29">
    <cfRule type="expression" dxfId="3204" priority="369">
      <formula>IH28&gt;0</formula>
    </cfRule>
    <cfRule type="expression" dxfId="3203" priority="377">
      <formula>IH28&lt;0</formula>
    </cfRule>
  </conditionalFormatting>
  <conditionalFormatting sqref="IH30">
    <cfRule type="cellIs" dxfId="3202" priority="370" operator="greaterThan">
      <formula>0</formula>
    </cfRule>
    <cfRule type="cellIs" dxfId="3201" priority="376" operator="lessThan">
      <formula>0</formula>
    </cfRule>
  </conditionalFormatting>
  <conditionalFormatting sqref="IH14">
    <cfRule type="cellIs" dxfId="3200" priority="367" operator="lessThan">
      <formula>0</formula>
    </cfRule>
    <cfRule type="cellIs" dxfId="3199" priority="368" operator="greaterThan">
      <formula>0</formula>
    </cfRule>
  </conditionalFormatting>
  <conditionalFormatting sqref="IH21">
    <cfRule type="cellIs" dxfId="3198" priority="365" operator="lessThan">
      <formula>0</formula>
    </cfRule>
    <cfRule type="cellIs" dxfId="3197" priority="366" operator="greaterThan">
      <formula>0</formula>
    </cfRule>
  </conditionalFormatting>
  <conditionalFormatting sqref="IH28">
    <cfRule type="cellIs" dxfId="3196" priority="363" operator="lessThan">
      <formula>0</formula>
    </cfRule>
    <cfRule type="cellIs" dxfId="3195" priority="364" operator="greaterThan">
      <formula>0</formula>
    </cfRule>
  </conditionalFormatting>
  <conditionalFormatting sqref="IC31:IH31 IF25:IH26 IC24:IH24 IF18:IH19 IC17:IH17 IF11:IH12 IC10:IH10 IC3:IH3">
    <cfRule type="expression" dxfId="3194" priority="362">
      <formula>WEEKNUM(IC$33)=WEEKNUM(TODAY())</formula>
    </cfRule>
  </conditionalFormatting>
  <conditionalFormatting sqref="IJ2:IO2">
    <cfRule type="expression" dxfId="3193" priority="359">
      <formula>IJ2="S"&amp;WEEKNUM(TODAY())</formula>
    </cfRule>
  </conditionalFormatting>
  <conditionalFormatting sqref="IO6 IO8 IO13 IO15">
    <cfRule type="expression" dxfId="3192" priority="357">
      <formula>IO7&gt;0</formula>
    </cfRule>
    <cfRule type="expression" dxfId="3191" priority="361">
      <formula>IO7&lt;0</formula>
    </cfRule>
  </conditionalFormatting>
  <conditionalFormatting sqref="IO7 IO9 IO16">
    <cfRule type="cellIs" dxfId="3190" priority="358" operator="greaterThan">
      <formula>0</formula>
    </cfRule>
    <cfRule type="cellIs" dxfId="3189" priority="360" operator="lessThan">
      <formula>0</formula>
    </cfRule>
  </conditionalFormatting>
  <conditionalFormatting sqref="IO20 IO22">
    <cfRule type="expression" dxfId="3188" priority="355">
      <formula>IO21&gt;0</formula>
    </cfRule>
  </conditionalFormatting>
  <conditionalFormatting sqref="IO23">
    <cfRule type="cellIs" dxfId="3187" priority="356" operator="greaterThan">
      <formula>0</formula>
    </cfRule>
  </conditionalFormatting>
  <conditionalFormatting sqref="IO27 IO29">
    <cfRule type="expression" dxfId="3186" priority="353">
      <formula>IO28&gt;0</formula>
    </cfRule>
  </conditionalFormatting>
  <conditionalFormatting sqref="IO30">
    <cfRule type="cellIs" dxfId="3185" priority="354" operator="greaterThan">
      <formula>0</formula>
    </cfRule>
  </conditionalFormatting>
  <conditionalFormatting sqref="IO14">
    <cfRule type="cellIs" dxfId="3184" priority="351" operator="lessThan">
      <formula>0</formula>
    </cfRule>
    <cfRule type="cellIs" dxfId="3183" priority="352" operator="greaterThan">
      <formula>0</formula>
    </cfRule>
  </conditionalFormatting>
  <conditionalFormatting sqref="IO21">
    <cfRule type="cellIs" dxfId="3182" priority="349" operator="lessThan">
      <formula>0</formula>
    </cfRule>
    <cfRule type="cellIs" dxfId="3181" priority="350" operator="greaterThan">
      <formula>0</formula>
    </cfRule>
  </conditionalFormatting>
  <conditionalFormatting sqref="IO28">
    <cfRule type="cellIs" dxfId="3180" priority="347" operator="lessThan">
      <formula>0</formula>
    </cfRule>
    <cfRule type="cellIs" dxfId="3179" priority="348" operator="greaterThan">
      <formula>0</formula>
    </cfRule>
  </conditionalFormatting>
  <conditionalFormatting sqref="IJ31:IO31 IM25:IO26 IJ24:IO24 IM18:IO19 IJ17:IO17 IM11:IO12 IJ10:IO10 IJ3:IO3">
    <cfRule type="expression" dxfId="3178" priority="346">
      <formula>WEEKNUM(IJ$33)=WEEKNUM(TODAY())</formula>
    </cfRule>
  </conditionalFormatting>
  <conditionalFormatting sqref="IQ2:IV2">
    <cfRule type="expression" dxfId="3177" priority="343">
      <formula>IQ2="S"&amp;WEEKNUM(TODAY())</formula>
    </cfRule>
  </conditionalFormatting>
  <conditionalFormatting sqref="IV6 IV8 IV13 IV15">
    <cfRule type="expression" dxfId="3176" priority="341">
      <formula>IV7&gt;0</formula>
    </cfRule>
    <cfRule type="expression" dxfId="3175" priority="345">
      <formula>IV7&lt;0</formula>
    </cfRule>
  </conditionalFormatting>
  <conditionalFormatting sqref="IV7 IV9 IV16">
    <cfRule type="cellIs" dxfId="3174" priority="342" operator="greaterThan">
      <formula>0</formula>
    </cfRule>
    <cfRule type="cellIs" dxfId="3173" priority="344" operator="lessThan">
      <formula>0</formula>
    </cfRule>
  </conditionalFormatting>
  <conditionalFormatting sqref="IV20 IV22">
    <cfRule type="expression" dxfId="3172" priority="339">
      <formula>IV21&gt;0</formula>
    </cfRule>
  </conditionalFormatting>
  <conditionalFormatting sqref="IV23">
    <cfRule type="cellIs" dxfId="3171" priority="340" operator="greaterThan">
      <formula>0</formula>
    </cfRule>
  </conditionalFormatting>
  <conditionalFormatting sqref="IV27 IV29">
    <cfRule type="expression" dxfId="3170" priority="337">
      <formula>IV28&gt;0</formula>
    </cfRule>
  </conditionalFormatting>
  <conditionalFormatting sqref="IV30">
    <cfRule type="cellIs" dxfId="3169" priority="338" operator="greaterThan">
      <formula>0</formula>
    </cfRule>
  </conditionalFormatting>
  <conditionalFormatting sqref="IV14">
    <cfRule type="cellIs" dxfId="3168" priority="335" operator="lessThan">
      <formula>0</formula>
    </cfRule>
    <cfRule type="cellIs" dxfId="3167" priority="336" operator="greaterThan">
      <formula>0</formula>
    </cfRule>
  </conditionalFormatting>
  <conditionalFormatting sqref="IV21">
    <cfRule type="cellIs" dxfId="3166" priority="333" operator="lessThan">
      <formula>0</formula>
    </cfRule>
    <cfRule type="cellIs" dxfId="3165" priority="334" operator="greaterThan">
      <formula>0</formula>
    </cfRule>
  </conditionalFormatting>
  <conditionalFormatting sqref="IV28">
    <cfRule type="cellIs" dxfId="3164" priority="331" operator="lessThan">
      <formula>0</formula>
    </cfRule>
    <cfRule type="cellIs" dxfId="3163" priority="332" operator="greaterThan">
      <formula>0</formula>
    </cfRule>
  </conditionalFormatting>
  <conditionalFormatting sqref="IQ31:IV31 IT25:IV26 IQ24:IV24 IT18:IV19 IQ17:IV17 IT11:IV12 IQ10:IV10 IQ3:IV3">
    <cfRule type="expression" dxfId="3162" priority="330">
      <formula>WEEKNUM(IQ$33)=WEEKNUM(TODAY())</formula>
    </cfRule>
  </conditionalFormatting>
  <conditionalFormatting sqref="IX2:JC2">
    <cfRule type="expression" dxfId="3161" priority="327">
      <formula>IX2="S"&amp;WEEKNUM(TODAY())</formula>
    </cfRule>
  </conditionalFormatting>
  <conditionalFormatting sqref="JC6 JC8 JC13 JC15">
    <cfRule type="expression" dxfId="3160" priority="325">
      <formula>JC7&gt;0</formula>
    </cfRule>
    <cfRule type="expression" dxfId="3159" priority="329">
      <formula>JC7&lt;0</formula>
    </cfRule>
  </conditionalFormatting>
  <conditionalFormatting sqref="JC7 JC9 JC16">
    <cfRule type="cellIs" dxfId="3158" priority="326" operator="greaterThan">
      <formula>0</formula>
    </cfRule>
    <cfRule type="cellIs" dxfId="3157" priority="328" operator="lessThan">
      <formula>0</formula>
    </cfRule>
  </conditionalFormatting>
  <conditionalFormatting sqref="JC20 JC22">
    <cfRule type="expression" dxfId="3156" priority="323">
      <formula>JC21&gt;0</formula>
    </cfRule>
  </conditionalFormatting>
  <conditionalFormatting sqref="JC23">
    <cfRule type="cellIs" dxfId="3155" priority="324" operator="greaterThan">
      <formula>0</formula>
    </cfRule>
  </conditionalFormatting>
  <conditionalFormatting sqref="JC27 JC29">
    <cfRule type="expression" dxfId="3154" priority="321">
      <formula>JC28&gt;0</formula>
    </cfRule>
  </conditionalFormatting>
  <conditionalFormatting sqref="JC30">
    <cfRule type="cellIs" dxfId="3153" priority="322" operator="greaterThan">
      <formula>0</formula>
    </cfRule>
  </conditionalFormatting>
  <conditionalFormatting sqref="JC14">
    <cfRule type="cellIs" dxfId="3152" priority="319" operator="lessThan">
      <formula>0</formula>
    </cfRule>
    <cfRule type="cellIs" dxfId="3151" priority="320" operator="greaterThan">
      <formula>0</formula>
    </cfRule>
  </conditionalFormatting>
  <conditionalFormatting sqref="JC21">
    <cfRule type="cellIs" dxfId="3150" priority="317" operator="lessThan">
      <formula>0</formula>
    </cfRule>
    <cfRule type="cellIs" dxfId="3149" priority="318" operator="greaterThan">
      <formula>0</formula>
    </cfRule>
  </conditionalFormatting>
  <conditionalFormatting sqref="JC28">
    <cfRule type="cellIs" dxfId="3148" priority="315" operator="lessThan">
      <formula>0</formula>
    </cfRule>
    <cfRule type="cellIs" dxfId="3147" priority="316" operator="greaterThan">
      <formula>0</formula>
    </cfRule>
  </conditionalFormatting>
  <conditionalFormatting sqref="IX31:JC31 JA25:JC26 IX24:JC24 JA18:JC19 IX17:JC17 JA11:JC12 IX10:JC10 IX3:JC3">
    <cfRule type="expression" dxfId="3146" priority="314">
      <formula>WEEKNUM(IX$33)=WEEKNUM(TODAY())</formula>
    </cfRule>
  </conditionalFormatting>
  <conditionalFormatting sqref="JE2:JK2 JR2 JY2">
    <cfRule type="expression" dxfId="3145" priority="307">
      <formula>JE2="S"&amp;WEEKNUM(TODAY())</formula>
    </cfRule>
  </conditionalFormatting>
  <conditionalFormatting sqref="JJ6 JJ8 JJ13 JJ15">
    <cfRule type="expression" dxfId="3144" priority="305">
      <formula>JJ7&gt;0</formula>
    </cfRule>
    <cfRule type="expression" dxfId="3143" priority="313">
      <formula>JJ7&lt;0</formula>
    </cfRule>
  </conditionalFormatting>
  <conditionalFormatting sqref="JJ7 JJ9 JJ16">
    <cfRule type="cellIs" dxfId="3142" priority="306" operator="greaterThan">
      <formula>0</formula>
    </cfRule>
    <cfRule type="cellIs" dxfId="3141" priority="312" operator="lessThan">
      <formula>0</formula>
    </cfRule>
  </conditionalFormatting>
  <conditionalFormatting sqref="JJ20 JJ22">
    <cfRule type="expression" dxfId="3140" priority="303">
      <formula>JJ21&gt;0</formula>
    </cfRule>
    <cfRule type="expression" dxfId="3139" priority="311">
      <formula>JJ21&lt;0</formula>
    </cfRule>
  </conditionalFormatting>
  <conditionalFormatting sqref="JJ23">
    <cfRule type="cellIs" dxfId="3138" priority="304" operator="greaterThan">
      <formula>0</formula>
    </cfRule>
    <cfRule type="cellIs" dxfId="3137" priority="310" operator="lessThan">
      <formula>0</formula>
    </cfRule>
  </conditionalFormatting>
  <conditionalFormatting sqref="JJ27 JJ29">
    <cfRule type="expression" dxfId="3136" priority="301">
      <formula>JJ28&gt;0</formula>
    </cfRule>
    <cfRule type="expression" dxfId="3135" priority="309">
      <formula>JJ28&lt;0</formula>
    </cfRule>
  </conditionalFormatting>
  <conditionalFormatting sqref="JJ30">
    <cfRule type="cellIs" dxfId="3134" priority="302" operator="greaterThan">
      <formula>0</formula>
    </cfRule>
    <cfRule type="cellIs" dxfId="3133" priority="308" operator="lessThan">
      <formula>0</formula>
    </cfRule>
  </conditionalFormatting>
  <conditionalFormatting sqref="JJ14">
    <cfRule type="cellIs" dxfId="3132" priority="299" operator="lessThan">
      <formula>0</formula>
    </cfRule>
    <cfRule type="cellIs" dxfId="3131" priority="300" operator="greaterThan">
      <formula>0</formula>
    </cfRule>
  </conditionalFormatting>
  <conditionalFormatting sqref="JJ21">
    <cfRule type="cellIs" dxfId="3130" priority="297" operator="lessThan">
      <formula>0</formula>
    </cfRule>
    <cfRule type="cellIs" dxfId="3129" priority="298" operator="greaterThan">
      <formula>0</formula>
    </cfRule>
  </conditionalFormatting>
  <conditionalFormatting sqref="JJ28">
    <cfRule type="cellIs" dxfId="3128" priority="295" operator="lessThan">
      <formula>0</formula>
    </cfRule>
    <cfRule type="cellIs" dxfId="3127" priority="296" operator="greaterThan">
      <formula>0</formula>
    </cfRule>
  </conditionalFormatting>
  <conditionalFormatting sqref="JE31:JJ31 JH25:JJ26 JE24:JJ24 JH18:JJ19 JE17:JJ17 JH11:JJ12 JE10:JJ10 JE3:JJ3">
    <cfRule type="expression" dxfId="3126" priority="294">
      <formula>WEEKNUM(JE$33)=WEEKNUM(TODAY())</formula>
    </cfRule>
  </conditionalFormatting>
  <conditionalFormatting sqref="JL2:JQ2">
    <cfRule type="expression" dxfId="3125" priority="291">
      <formula>JL2="S"&amp;WEEKNUM(TODAY())</formula>
    </cfRule>
  </conditionalFormatting>
  <conditionalFormatting sqref="JQ6 JQ8 JQ13 JQ15">
    <cfRule type="expression" dxfId="3124" priority="289">
      <formula>JQ7&gt;0</formula>
    </cfRule>
    <cfRule type="expression" dxfId="3123" priority="293">
      <formula>JQ7&lt;0</formula>
    </cfRule>
  </conditionalFormatting>
  <conditionalFormatting sqref="JQ7 JQ9 JQ16">
    <cfRule type="cellIs" dxfId="3122" priority="290" operator="greaterThan">
      <formula>0</formula>
    </cfRule>
    <cfRule type="cellIs" dxfId="3121" priority="292" operator="lessThan">
      <formula>0</formula>
    </cfRule>
  </conditionalFormatting>
  <conditionalFormatting sqref="JQ20 JQ22">
    <cfRule type="expression" dxfId="3120" priority="287">
      <formula>JQ21&gt;0</formula>
    </cfRule>
  </conditionalFormatting>
  <conditionalFormatting sqref="JQ23">
    <cfRule type="cellIs" dxfId="3119" priority="288" operator="greaterThan">
      <formula>0</formula>
    </cfRule>
  </conditionalFormatting>
  <conditionalFormatting sqref="JQ27 JQ29">
    <cfRule type="expression" dxfId="3118" priority="285">
      <formula>JQ28&gt;0</formula>
    </cfRule>
  </conditionalFormatting>
  <conditionalFormatting sqref="JQ30">
    <cfRule type="cellIs" dxfId="3117" priority="286" operator="greaterThan">
      <formula>0</formula>
    </cfRule>
  </conditionalFormatting>
  <conditionalFormatting sqref="JQ14">
    <cfRule type="cellIs" dxfId="3116" priority="283" operator="lessThan">
      <formula>0</formula>
    </cfRule>
    <cfRule type="cellIs" dxfId="3115" priority="284" operator="greaterThan">
      <formula>0</formula>
    </cfRule>
  </conditionalFormatting>
  <conditionalFormatting sqref="JQ21">
    <cfRule type="cellIs" dxfId="3114" priority="281" operator="lessThan">
      <formula>0</formula>
    </cfRule>
    <cfRule type="cellIs" dxfId="3113" priority="282" operator="greaterThan">
      <formula>0</formula>
    </cfRule>
  </conditionalFormatting>
  <conditionalFormatting sqref="JQ28">
    <cfRule type="cellIs" dxfId="3112" priority="279" operator="lessThan">
      <formula>0</formula>
    </cfRule>
    <cfRule type="cellIs" dxfId="3111" priority="280" operator="greaterThan">
      <formula>0</formula>
    </cfRule>
  </conditionalFormatting>
  <conditionalFormatting sqref="JL31:JQ31 JO25:JQ26 JL24:JQ24 JO18:JQ19 JL17:JQ17 JO11:JQ12 JL10:JQ10 JL3:JQ3">
    <cfRule type="expression" dxfId="3110" priority="278">
      <formula>WEEKNUM(JL$33)=WEEKNUM(TODAY())</formula>
    </cfRule>
  </conditionalFormatting>
  <conditionalFormatting sqref="JS2:JX2">
    <cfRule type="expression" dxfId="3109" priority="275">
      <formula>JS2="S"&amp;WEEKNUM(TODAY())</formula>
    </cfRule>
  </conditionalFormatting>
  <conditionalFormatting sqref="JX6 JX8 JX13 JX15">
    <cfRule type="expression" dxfId="3108" priority="273">
      <formula>JX7&gt;0</formula>
    </cfRule>
    <cfRule type="expression" dxfId="3107" priority="277">
      <formula>JX7&lt;0</formula>
    </cfRule>
  </conditionalFormatting>
  <conditionalFormatting sqref="JX7 JX9 JX16">
    <cfRule type="cellIs" dxfId="3106" priority="274" operator="greaterThan">
      <formula>0</formula>
    </cfRule>
    <cfRule type="cellIs" dxfId="3105" priority="276" operator="lessThan">
      <formula>0</formula>
    </cfRule>
  </conditionalFormatting>
  <conditionalFormatting sqref="JX20 JX22">
    <cfRule type="expression" dxfId="3104" priority="271">
      <formula>JX21&gt;0</formula>
    </cfRule>
  </conditionalFormatting>
  <conditionalFormatting sqref="JX23">
    <cfRule type="cellIs" dxfId="3103" priority="272" operator="greaterThan">
      <formula>0</formula>
    </cfRule>
  </conditionalFormatting>
  <conditionalFormatting sqref="JX27 JX29">
    <cfRule type="expression" dxfId="3102" priority="269">
      <formula>JX28&gt;0</formula>
    </cfRule>
  </conditionalFormatting>
  <conditionalFormatting sqref="JX30">
    <cfRule type="cellIs" dxfId="3101" priority="270" operator="greaterThan">
      <formula>0</formula>
    </cfRule>
  </conditionalFormatting>
  <conditionalFormatting sqref="JX14">
    <cfRule type="cellIs" dxfId="3100" priority="267" operator="lessThan">
      <formula>0</formula>
    </cfRule>
    <cfRule type="cellIs" dxfId="3099" priority="268" operator="greaterThan">
      <formula>0</formula>
    </cfRule>
  </conditionalFormatting>
  <conditionalFormatting sqref="JX21">
    <cfRule type="cellIs" dxfId="3098" priority="265" operator="lessThan">
      <formula>0</formula>
    </cfRule>
    <cfRule type="cellIs" dxfId="3097" priority="266" operator="greaterThan">
      <formula>0</formula>
    </cfRule>
  </conditionalFormatting>
  <conditionalFormatting sqref="JX28">
    <cfRule type="cellIs" dxfId="3096" priority="263" operator="lessThan">
      <formula>0</formula>
    </cfRule>
    <cfRule type="cellIs" dxfId="3095" priority="264" operator="greaterThan">
      <formula>0</formula>
    </cfRule>
  </conditionalFormatting>
  <conditionalFormatting sqref="JS31:JX31 JV25:JX26 JS24:JX24 JV18:JX19 JS17:JX17 JV11:JX12 JS10:JX10 JS3:JX3">
    <cfRule type="expression" dxfId="3094" priority="262">
      <formula>WEEKNUM(JS$33)=WEEKNUM(TODAY())</formula>
    </cfRule>
  </conditionalFormatting>
  <conditionalFormatting sqref="JZ2:KE2">
    <cfRule type="expression" dxfId="3093" priority="259">
      <formula>JZ2="S"&amp;WEEKNUM(TODAY())</formula>
    </cfRule>
  </conditionalFormatting>
  <conditionalFormatting sqref="KE6 KE8 KE13 KE15">
    <cfRule type="expression" dxfId="3092" priority="257">
      <formula>KE7&gt;0</formula>
    </cfRule>
    <cfRule type="expression" dxfId="3091" priority="261">
      <formula>KE7&lt;0</formula>
    </cfRule>
  </conditionalFormatting>
  <conditionalFormatting sqref="KE7 KE9 KE16">
    <cfRule type="cellIs" dxfId="3090" priority="258" operator="greaterThan">
      <formula>0</formula>
    </cfRule>
    <cfRule type="cellIs" dxfId="3089" priority="260" operator="lessThan">
      <formula>0</formula>
    </cfRule>
  </conditionalFormatting>
  <conditionalFormatting sqref="KE20 KE22">
    <cfRule type="expression" dxfId="3088" priority="255">
      <formula>KE21&gt;0</formula>
    </cfRule>
  </conditionalFormatting>
  <conditionalFormatting sqref="KE23">
    <cfRule type="cellIs" dxfId="3087" priority="256" operator="greaterThan">
      <formula>0</formula>
    </cfRule>
  </conditionalFormatting>
  <conditionalFormatting sqref="KE27 KE29">
    <cfRule type="expression" dxfId="3086" priority="253">
      <formula>KE28&gt;0</formula>
    </cfRule>
  </conditionalFormatting>
  <conditionalFormatting sqref="KE30">
    <cfRule type="cellIs" dxfId="3085" priority="254" operator="greaterThan">
      <formula>0</formula>
    </cfRule>
  </conditionalFormatting>
  <conditionalFormatting sqref="KE14">
    <cfRule type="cellIs" dxfId="3084" priority="251" operator="lessThan">
      <formula>0</formula>
    </cfRule>
    <cfRule type="cellIs" dxfId="3083" priority="252" operator="greaterThan">
      <formula>0</formula>
    </cfRule>
  </conditionalFormatting>
  <conditionalFormatting sqref="KE21">
    <cfRule type="cellIs" dxfId="3082" priority="249" operator="lessThan">
      <formula>0</formula>
    </cfRule>
    <cfRule type="cellIs" dxfId="3081" priority="250" operator="greaterThan">
      <formula>0</formula>
    </cfRule>
  </conditionalFormatting>
  <conditionalFormatting sqref="KE28">
    <cfRule type="cellIs" dxfId="3080" priority="247" operator="lessThan">
      <formula>0</formula>
    </cfRule>
    <cfRule type="cellIs" dxfId="3079" priority="248" operator="greaterThan">
      <formula>0</formula>
    </cfRule>
  </conditionalFormatting>
  <conditionalFormatting sqref="JZ31:KE31 KC25:KE26 JZ24:KE24 KC18:KE19 JZ17:KE17 KC11:KE12 JZ10:KE10 JZ3:KE3">
    <cfRule type="expression" dxfId="3078" priority="246">
      <formula>WEEKNUM(JZ$33)=WEEKNUM(TODAY())</formula>
    </cfRule>
  </conditionalFormatting>
  <conditionalFormatting sqref="KG2:KM2 KT2 LA2">
    <cfRule type="expression" dxfId="3077" priority="239">
      <formula>KG2="S"&amp;WEEKNUM(TODAY())</formula>
    </cfRule>
  </conditionalFormatting>
  <conditionalFormatting sqref="KL6 KL8 KL13 KL15">
    <cfRule type="expression" dxfId="3076" priority="237">
      <formula>KL7&gt;0</formula>
    </cfRule>
    <cfRule type="expression" dxfId="3075" priority="245">
      <formula>KL7&lt;0</formula>
    </cfRule>
  </conditionalFormatting>
  <conditionalFormatting sqref="KL7 KL9 KL16">
    <cfRule type="cellIs" dxfId="3074" priority="238" operator="greaterThan">
      <formula>0</formula>
    </cfRule>
    <cfRule type="cellIs" dxfId="3073" priority="244" operator="lessThan">
      <formula>0</formula>
    </cfRule>
  </conditionalFormatting>
  <conditionalFormatting sqref="KL20 KL22">
    <cfRule type="expression" dxfId="3072" priority="235">
      <formula>KL21&gt;0</formula>
    </cfRule>
    <cfRule type="expression" dxfId="3071" priority="243">
      <formula>KL21&lt;0</formula>
    </cfRule>
  </conditionalFormatting>
  <conditionalFormatting sqref="KL23">
    <cfRule type="cellIs" dxfId="3070" priority="236" operator="greaterThan">
      <formula>0</formula>
    </cfRule>
    <cfRule type="cellIs" dxfId="3069" priority="242" operator="lessThan">
      <formula>0</formula>
    </cfRule>
  </conditionalFormatting>
  <conditionalFormatting sqref="KL27 KL29">
    <cfRule type="expression" dxfId="3068" priority="233">
      <formula>KL28&gt;0</formula>
    </cfRule>
    <cfRule type="expression" dxfId="3067" priority="241">
      <formula>KL28&lt;0</formula>
    </cfRule>
  </conditionalFormatting>
  <conditionalFormatting sqref="KL30">
    <cfRule type="cellIs" dxfId="3066" priority="234" operator="greaterThan">
      <formula>0</formula>
    </cfRule>
    <cfRule type="cellIs" dxfId="3065" priority="240" operator="lessThan">
      <formula>0</formula>
    </cfRule>
  </conditionalFormatting>
  <conditionalFormatting sqref="KL14">
    <cfRule type="cellIs" dxfId="3064" priority="231" operator="lessThan">
      <formula>0</formula>
    </cfRule>
    <cfRule type="cellIs" dxfId="3063" priority="232" operator="greaterThan">
      <formula>0</formula>
    </cfRule>
  </conditionalFormatting>
  <conditionalFormatting sqref="KL21">
    <cfRule type="cellIs" dxfId="3062" priority="229" operator="lessThan">
      <formula>0</formula>
    </cfRule>
    <cfRule type="cellIs" dxfId="3061" priority="230" operator="greaterThan">
      <formula>0</formula>
    </cfRule>
  </conditionalFormatting>
  <conditionalFormatting sqref="KL28">
    <cfRule type="cellIs" dxfId="3060" priority="227" operator="lessThan">
      <formula>0</formula>
    </cfRule>
    <cfRule type="cellIs" dxfId="3059" priority="228" operator="greaterThan">
      <formula>0</formula>
    </cfRule>
  </conditionalFormatting>
  <conditionalFormatting sqref="KG31:KL31 KJ25:KL26 KG24:KL24 KJ18:KL19 KG17:KL17 KJ11:KL12 KG10:KL10 KG3:KL3">
    <cfRule type="expression" dxfId="3058" priority="226">
      <formula>WEEKNUM(KG$33)=WEEKNUM(TODAY())</formula>
    </cfRule>
  </conditionalFormatting>
  <conditionalFormatting sqref="KN2:KS2">
    <cfRule type="expression" dxfId="3057" priority="223">
      <formula>KN2="S"&amp;WEEKNUM(TODAY())</formula>
    </cfRule>
  </conditionalFormatting>
  <conditionalFormatting sqref="KS6 KS8 KS13 KS15">
    <cfRule type="expression" dxfId="3056" priority="221">
      <formula>KS7&gt;0</formula>
    </cfRule>
    <cfRule type="expression" dxfId="3055" priority="225">
      <formula>KS7&lt;0</formula>
    </cfRule>
  </conditionalFormatting>
  <conditionalFormatting sqref="KS7 KS9 KS16">
    <cfRule type="cellIs" dxfId="3054" priority="222" operator="greaterThan">
      <formula>0</formula>
    </cfRule>
    <cfRule type="cellIs" dxfId="3053" priority="224" operator="lessThan">
      <formula>0</formula>
    </cfRule>
  </conditionalFormatting>
  <conditionalFormatting sqref="KS20 KS22">
    <cfRule type="expression" dxfId="3052" priority="219">
      <formula>KS21&gt;0</formula>
    </cfRule>
  </conditionalFormatting>
  <conditionalFormatting sqref="KS23">
    <cfRule type="cellIs" dxfId="3051" priority="220" operator="greaterThan">
      <formula>0</formula>
    </cfRule>
  </conditionalFormatting>
  <conditionalFormatting sqref="KS27 KS29">
    <cfRule type="expression" dxfId="3050" priority="217">
      <formula>KS28&gt;0</formula>
    </cfRule>
  </conditionalFormatting>
  <conditionalFormatting sqref="KS30">
    <cfRule type="cellIs" dxfId="3049" priority="218" operator="greaterThan">
      <formula>0</formula>
    </cfRule>
  </conditionalFormatting>
  <conditionalFormatting sqref="KS14">
    <cfRule type="cellIs" dxfId="3048" priority="215" operator="lessThan">
      <formula>0</formula>
    </cfRule>
    <cfRule type="cellIs" dxfId="3047" priority="216" operator="greaterThan">
      <formula>0</formula>
    </cfRule>
  </conditionalFormatting>
  <conditionalFormatting sqref="KS21">
    <cfRule type="cellIs" dxfId="3046" priority="213" operator="lessThan">
      <formula>0</formula>
    </cfRule>
    <cfRule type="cellIs" dxfId="3045" priority="214" operator="greaterThan">
      <formula>0</formula>
    </cfRule>
  </conditionalFormatting>
  <conditionalFormatting sqref="KS28">
    <cfRule type="cellIs" dxfId="3044" priority="211" operator="lessThan">
      <formula>0</formula>
    </cfRule>
    <cfRule type="cellIs" dxfId="3043" priority="212" operator="greaterThan">
      <formula>0</formula>
    </cfRule>
  </conditionalFormatting>
  <conditionalFormatting sqref="KN31:KS31 KQ25:KS26 KN24:KS24 KQ18:KS19 KN17:KS17 KQ11:KS12 KN10:KS10 KN3:KS3">
    <cfRule type="expression" dxfId="3042" priority="210">
      <formula>WEEKNUM(KN$33)=WEEKNUM(TODAY())</formula>
    </cfRule>
  </conditionalFormatting>
  <conditionalFormatting sqref="KU2:KZ2">
    <cfRule type="expression" dxfId="3041" priority="207">
      <formula>KU2="S"&amp;WEEKNUM(TODAY())</formula>
    </cfRule>
  </conditionalFormatting>
  <conditionalFormatting sqref="KZ6 KZ8 KZ13 KZ15">
    <cfRule type="expression" dxfId="3040" priority="205">
      <formula>KZ7&gt;0</formula>
    </cfRule>
    <cfRule type="expression" dxfId="3039" priority="209">
      <formula>KZ7&lt;0</formula>
    </cfRule>
  </conditionalFormatting>
  <conditionalFormatting sqref="KZ7 KZ9 KZ16">
    <cfRule type="cellIs" dxfId="3038" priority="206" operator="greaterThan">
      <formula>0</formula>
    </cfRule>
    <cfRule type="cellIs" dxfId="3037" priority="208" operator="lessThan">
      <formula>0</formula>
    </cfRule>
  </conditionalFormatting>
  <conditionalFormatting sqref="KZ20 KZ22">
    <cfRule type="expression" dxfId="3036" priority="203">
      <formula>KZ21&gt;0</formula>
    </cfRule>
  </conditionalFormatting>
  <conditionalFormatting sqref="KZ23">
    <cfRule type="cellIs" dxfId="3035" priority="204" operator="greaterThan">
      <formula>0</formula>
    </cfRule>
  </conditionalFormatting>
  <conditionalFormatting sqref="KZ27 KZ29">
    <cfRule type="expression" dxfId="3034" priority="201">
      <formula>KZ28&gt;0</formula>
    </cfRule>
  </conditionalFormatting>
  <conditionalFormatting sqref="KZ30">
    <cfRule type="cellIs" dxfId="3033" priority="202" operator="greaterThan">
      <formula>0</formula>
    </cfRule>
  </conditionalFormatting>
  <conditionalFormatting sqref="KZ14">
    <cfRule type="cellIs" dxfId="3032" priority="199" operator="lessThan">
      <formula>0</formula>
    </cfRule>
    <cfRule type="cellIs" dxfId="3031" priority="200" operator="greaterThan">
      <formula>0</formula>
    </cfRule>
  </conditionalFormatting>
  <conditionalFormatting sqref="KZ21">
    <cfRule type="cellIs" dxfId="3030" priority="197" operator="lessThan">
      <formula>0</formula>
    </cfRule>
    <cfRule type="cellIs" dxfId="3029" priority="198" operator="greaterThan">
      <formula>0</formula>
    </cfRule>
  </conditionalFormatting>
  <conditionalFormatting sqref="KZ28">
    <cfRule type="cellIs" dxfId="3028" priority="195" operator="lessThan">
      <formula>0</formula>
    </cfRule>
    <cfRule type="cellIs" dxfId="3027" priority="196" operator="greaterThan">
      <formula>0</formula>
    </cfRule>
  </conditionalFormatting>
  <conditionalFormatting sqref="KU31:KZ31 KX25:KZ26 KU24:KZ24 KX18:KZ19 KU17:KZ17 KX11:KZ12 KU10:KZ10 KU3:KZ3">
    <cfRule type="expression" dxfId="3026" priority="194">
      <formula>WEEKNUM(KU$33)=WEEKNUM(TODAY())</formula>
    </cfRule>
  </conditionalFormatting>
  <conditionalFormatting sqref="LB2:LG2">
    <cfRule type="expression" dxfId="3025" priority="191">
      <formula>LB2="S"&amp;WEEKNUM(TODAY())</formula>
    </cfRule>
  </conditionalFormatting>
  <conditionalFormatting sqref="LG6 LG8 LG13 LG15">
    <cfRule type="expression" dxfId="3024" priority="189">
      <formula>LG7&gt;0</formula>
    </cfRule>
    <cfRule type="expression" dxfId="3023" priority="193">
      <formula>LG7&lt;0</formula>
    </cfRule>
  </conditionalFormatting>
  <conditionalFormatting sqref="LG7 LG9 LG16">
    <cfRule type="cellIs" dxfId="3022" priority="190" operator="greaterThan">
      <formula>0</formula>
    </cfRule>
    <cfRule type="cellIs" dxfId="3021" priority="192" operator="lessThan">
      <formula>0</formula>
    </cfRule>
  </conditionalFormatting>
  <conditionalFormatting sqref="LG20 LG22">
    <cfRule type="expression" dxfId="3020" priority="187">
      <formula>LG21&gt;0</formula>
    </cfRule>
  </conditionalFormatting>
  <conditionalFormatting sqref="LG23">
    <cfRule type="cellIs" dxfId="3019" priority="188" operator="greaterThan">
      <formula>0</formula>
    </cfRule>
  </conditionalFormatting>
  <conditionalFormatting sqref="LG27 LG29">
    <cfRule type="expression" dxfId="3018" priority="185">
      <formula>LG28&gt;0</formula>
    </cfRule>
  </conditionalFormatting>
  <conditionalFormatting sqref="LG30">
    <cfRule type="cellIs" dxfId="3017" priority="186" operator="greaterThan">
      <formula>0</formula>
    </cfRule>
  </conditionalFormatting>
  <conditionalFormatting sqref="LG14">
    <cfRule type="cellIs" dxfId="3016" priority="183" operator="lessThan">
      <formula>0</formula>
    </cfRule>
    <cfRule type="cellIs" dxfId="3015" priority="184" operator="greaterThan">
      <formula>0</formula>
    </cfRule>
  </conditionalFormatting>
  <conditionalFormatting sqref="LG21">
    <cfRule type="cellIs" dxfId="3014" priority="181" operator="lessThan">
      <formula>0</formula>
    </cfRule>
    <cfRule type="cellIs" dxfId="3013" priority="182" operator="greaterThan">
      <formula>0</formula>
    </cfRule>
  </conditionalFormatting>
  <conditionalFormatting sqref="LG28">
    <cfRule type="cellIs" dxfId="3012" priority="179" operator="lessThan">
      <formula>0</formula>
    </cfRule>
    <cfRule type="cellIs" dxfId="3011" priority="180" operator="greaterThan">
      <formula>0</formula>
    </cfRule>
  </conditionalFormatting>
  <conditionalFormatting sqref="LB31:LG31 LE25:LG26 LB24:LG24 LE18:LG19 LB17:LG17 LE11:LG12 LB10:LG10 LB3:LG3">
    <cfRule type="expression" dxfId="3010" priority="178">
      <formula>WEEKNUM(LB$33)=WEEKNUM(TODAY())</formula>
    </cfRule>
  </conditionalFormatting>
  <conditionalFormatting sqref="LI2:LO2 LV2 MC2">
    <cfRule type="expression" dxfId="3009" priority="171">
      <formula>LI2="S"&amp;WEEKNUM(TODAY())</formula>
    </cfRule>
  </conditionalFormatting>
  <conditionalFormatting sqref="LN6 LN8 LN13 LN15">
    <cfRule type="expression" dxfId="3008" priority="169">
      <formula>LN7&gt;0</formula>
    </cfRule>
    <cfRule type="expression" dxfId="3007" priority="177">
      <formula>LN7&lt;0</formula>
    </cfRule>
  </conditionalFormatting>
  <conditionalFormatting sqref="LN7 LN9 LN16">
    <cfRule type="cellIs" dxfId="3006" priority="170" operator="greaterThan">
      <formula>0</formula>
    </cfRule>
    <cfRule type="cellIs" dxfId="3005" priority="176" operator="lessThan">
      <formula>0</formula>
    </cfRule>
  </conditionalFormatting>
  <conditionalFormatting sqref="LN20 LN22">
    <cfRule type="expression" dxfId="3004" priority="167">
      <formula>LN21&gt;0</formula>
    </cfRule>
    <cfRule type="expression" dxfId="3003" priority="175">
      <formula>LN21&lt;0</formula>
    </cfRule>
  </conditionalFormatting>
  <conditionalFormatting sqref="LN23">
    <cfRule type="cellIs" dxfId="3002" priority="168" operator="greaterThan">
      <formula>0</formula>
    </cfRule>
    <cfRule type="cellIs" dxfId="3001" priority="174" operator="lessThan">
      <formula>0</formula>
    </cfRule>
  </conditionalFormatting>
  <conditionalFormatting sqref="LN27 LN29">
    <cfRule type="expression" dxfId="3000" priority="165">
      <formula>LN28&gt;0</formula>
    </cfRule>
    <cfRule type="expression" dxfId="2999" priority="173">
      <formula>LN28&lt;0</formula>
    </cfRule>
  </conditionalFormatting>
  <conditionalFormatting sqref="LN30">
    <cfRule type="cellIs" dxfId="2998" priority="166" operator="greaterThan">
      <formula>0</formula>
    </cfRule>
    <cfRule type="cellIs" dxfId="2997" priority="172" operator="lessThan">
      <formula>0</formula>
    </cfRule>
  </conditionalFormatting>
  <conditionalFormatting sqref="LN14">
    <cfRule type="cellIs" dxfId="2996" priority="163" operator="lessThan">
      <formula>0</formula>
    </cfRule>
    <cfRule type="cellIs" dxfId="2995" priority="164" operator="greaterThan">
      <formula>0</formula>
    </cfRule>
  </conditionalFormatting>
  <conditionalFormatting sqref="LN21">
    <cfRule type="cellIs" dxfId="2994" priority="161" operator="lessThan">
      <formula>0</formula>
    </cfRule>
    <cfRule type="cellIs" dxfId="2993" priority="162" operator="greaterThan">
      <formula>0</formula>
    </cfRule>
  </conditionalFormatting>
  <conditionalFormatting sqref="LN28">
    <cfRule type="cellIs" dxfId="2992" priority="159" operator="lessThan">
      <formula>0</formula>
    </cfRule>
    <cfRule type="cellIs" dxfId="2991" priority="160" operator="greaterThan">
      <formula>0</formula>
    </cfRule>
  </conditionalFormatting>
  <conditionalFormatting sqref="LI31:LN31 LL25:LN26 LI24:LN24 LL18:LN19 LI17:LN17 LL11:LN12 LI10:LN10 LI3:LN3">
    <cfRule type="expression" dxfId="2990" priority="158">
      <formula>WEEKNUM(LI$33)=WEEKNUM(TODAY())</formula>
    </cfRule>
  </conditionalFormatting>
  <conditionalFormatting sqref="LP2:LU2">
    <cfRule type="expression" dxfId="2989" priority="155">
      <formula>LP2="S"&amp;WEEKNUM(TODAY())</formula>
    </cfRule>
  </conditionalFormatting>
  <conditionalFormatting sqref="LU6 LU8 LU13 LU15">
    <cfRule type="expression" dxfId="2988" priority="153">
      <formula>LU7&gt;0</formula>
    </cfRule>
    <cfRule type="expression" dxfId="2987" priority="157">
      <formula>LU7&lt;0</formula>
    </cfRule>
  </conditionalFormatting>
  <conditionalFormatting sqref="LU7 LU9 LU16">
    <cfRule type="cellIs" dxfId="2986" priority="154" operator="greaterThan">
      <formula>0</formula>
    </cfRule>
    <cfRule type="cellIs" dxfId="2985" priority="156" operator="lessThan">
      <formula>0</formula>
    </cfRule>
  </conditionalFormatting>
  <conditionalFormatting sqref="LU20 LU22">
    <cfRule type="expression" dxfId="2984" priority="151">
      <formula>LU21&gt;0</formula>
    </cfRule>
  </conditionalFormatting>
  <conditionalFormatting sqref="LU23">
    <cfRule type="cellIs" dxfId="2983" priority="152" operator="greaterThan">
      <formula>0</formula>
    </cfRule>
  </conditionalFormatting>
  <conditionalFormatting sqref="LU27 LU29">
    <cfRule type="expression" dxfId="2982" priority="149">
      <formula>LU28&gt;0</formula>
    </cfRule>
  </conditionalFormatting>
  <conditionalFormatting sqref="LU30">
    <cfRule type="cellIs" dxfId="2981" priority="150" operator="greaterThan">
      <formula>0</formula>
    </cfRule>
  </conditionalFormatting>
  <conditionalFormatting sqref="LU14">
    <cfRule type="cellIs" dxfId="2980" priority="147" operator="lessThan">
      <formula>0</formula>
    </cfRule>
    <cfRule type="cellIs" dxfId="2979" priority="148" operator="greaterThan">
      <formula>0</formula>
    </cfRule>
  </conditionalFormatting>
  <conditionalFormatting sqref="LU21">
    <cfRule type="cellIs" dxfId="2978" priority="145" operator="lessThan">
      <formula>0</formula>
    </cfRule>
    <cfRule type="cellIs" dxfId="2977" priority="146" operator="greaterThan">
      <formula>0</formula>
    </cfRule>
  </conditionalFormatting>
  <conditionalFormatting sqref="LU28">
    <cfRule type="cellIs" dxfId="2976" priority="143" operator="lessThan">
      <formula>0</formula>
    </cfRule>
    <cfRule type="cellIs" dxfId="2975" priority="144" operator="greaterThan">
      <formula>0</formula>
    </cfRule>
  </conditionalFormatting>
  <conditionalFormatting sqref="LP31:LU31 LS25:LU26 LP24:LU24 LS18:LU19 LP17:LU17 LS11:LU12 LP10:LU10 LP3:LU3">
    <cfRule type="expression" dxfId="2974" priority="142">
      <formula>WEEKNUM(LP$33)=WEEKNUM(TODAY())</formula>
    </cfRule>
  </conditionalFormatting>
  <conditionalFormatting sqref="LW2:MB2">
    <cfRule type="expression" dxfId="2973" priority="139">
      <formula>LW2="S"&amp;WEEKNUM(TODAY())</formula>
    </cfRule>
  </conditionalFormatting>
  <conditionalFormatting sqref="MB6 MB8 MB13 MB15">
    <cfRule type="expression" dxfId="2972" priority="137">
      <formula>MB7&gt;0</formula>
    </cfRule>
    <cfRule type="expression" dxfId="2971" priority="141">
      <formula>MB7&lt;0</formula>
    </cfRule>
  </conditionalFormatting>
  <conditionalFormatting sqref="MB7 MB9 MB16">
    <cfRule type="cellIs" dxfId="2970" priority="138" operator="greaterThan">
      <formula>0</formula>
    </cfRule>
    <cfRule type="cellIs" dxfId="2969" priority="140" operator="lessThan">
      <formula>0</formula>
    </cfRule>
  </conditionalFormatting>
  <conditionalFormatting sqref="MB20 MB22">
    <cfRule type="expression" dxfId="2968" priority="135">
      <formula>MB21&gt;0</formula>
    </cfRule>
  </conditionalFormatting>
  <conditionalFormatting sqref="MB23">
    <cfRule type="cellIs" dxfId="2967" priority="136" operator="greaterThan">
      <formula>0</formula>
    </cfRule>
  </conditionalFormatting>
  <conditionalFormatting sqref="MB27 MB29">
    <cfRule type="expression" dxfId="2966" priority="133">
      <formula>MB28&gt;0</formula>
    </cfRule>
  </conditionalFormatting>
  <conditionalFormatting sqref="MB30">
    <cfRule type="cellIs" dxfId="2965" priority="134" operator="greaterThan">
      <formula>0</formula>
    </cfRule>
  </conditionalFormatting>
  <conditionalFormatting sqref="MB14">
    <cfRule type="cellIs" dxfId="2964" priority="131" operator="lessThan">
      <formula>0</formula>
    </cfRule>
    <cfRule type="cellIs" dxfId="2963" priority="132" operator="greaterThan">
      <formula>0</formula>
    </cfRule>
  </conditionalFormatting>
  <conditionalFormatting sqref="MB21">
    <cfRule type="cellIs" dxfId="2962" priority="129" operator="lessThan">
      <formula>0</formula>
    </cfRule>
    <cfRule type="cellIs" dxfId="2961" priority="130" operator="greaterThan">
      <formula>0</formula>
    </cfRule>
  </conditionalFormatting>
  <conditionalFormatting sqref="MB28">
    <cfRule type="cellIs" dxfId="2960" priority="127" operator="lessThan">
      <formula>0</formula>
    </cfRule>
    <cfRule type="cellIs" dxfId="2959" priority="128" operator="greaterThan">
      <formula>0</formula>
    </cfRule>
  </conditionalFormatting>
  <conditionalFormatting sqref="LW31:MB31 LZ25:MB26 LW24:MB24 LZ18:MB19 LW17:MB17 LZ11:MB12 LW10:MB10 LW3:MB3">
    <cfRule type="expression" dxfId="2958" priority="126">
      <formula>WEEKNUM(LW$33)=WEEKNUM(TODAY())</formula>
    </cfRule>
  </conditionalFormatting>
  <conditionalFormatting sqref="MD2:MI2">
    <cfRule type="expression" dxfId="2957" priority="123">
      <formula>MD2="S"&amp;WEEKNUM(TODAY())</formula>
    </cfRule>
  </conditionalFormatting>
  <conditionalFormatting sqref="MI6 MI8 MI13 MI15">
    <cfRule type="expression" dxfId="2956" priority="121">
      <formula>MI7&gt;0</formula>
    </cfRule>
    <cfRule type="expression" dxfId="2955" priority="125">
      <formula>MI7&lt;0</formula>
    </cfRule>
  </conditionalFormatting>
  <conditionalFormatting sqref="MI7 MI9 MI16">
    <cfRule type="cellIs" dxfId="2954" priority="122" operator="greaterThan">
      <formula>0</formula>
    </cfRule>
    <cfRule type="cellIs" dxfId="2953" priority="124" operator="lessThan">
      <formula>0</formula>
    </cfRule>
  </conditionalFormatting>
  <conditionalFormatting sqref="MI20 MI22">
    <cfRule type="expression" dxfId="2952" priority="119">
      <formula>MI21&gt;0</formula>
    </cfRule>
  </conditionalFormatting>
  <conditionalFormatting sqref="MI23">
    <cfRule type="cellIs" dxfId="2951" priority="120" operator="greaterThan">
      <formula>0</formula>
    </cfRule>
  </conditionalFormatting>
  <conditionalFormatting sqref="MI27 MI29">
    <cfRule type="expression" dxfId="2950" priority="117">
      <formula>MI28&gt;0</formula>
    </cfRule>
  </conditionalFormatting>
  <conditionalFormatting sqref="MI30">
    <cfRule type="cellIs" dxfId="2949" priority="118" operator="greaterThan">
      <formula>0</formula>
    </cfRule>
  </conditionalFormatting>
  <conditionalFormatting sqref="MI14">
    <cfRule type="cellIs" dxfId="2948" priority="115" operator="lessThan">
      <formula>0</formula>
    </cfRule>
    <cfRule type="cellIs" dxfId="2947" priority="116" operator="greaterThan">
      <formula>0</formula>
    </cfRule>
  </conditionalFormatting>
  <conditionalFormatting sqref="MI21">
    <cfRule type="cellIs" dxfId="2946" priority="113" operator="lessThan">
      <formula>0</formula>
    </cfRule>
    <cfRule type="cellIs" dxfId="2945" priority="114" operator="greaterThan">
      <formula>0</formula>
    </cfRule>
  </conditionalFormatting>
  <conditionalFormatting sqref="MI28">
    <cfRule type="cellIs" dxfId="2944" priority="111" operator="lessThan">
      <formula>0</formula>
    </cfRule>
    <cfRule type="cellIs" dxfId="2943" priority="112" operator="greaterThan">
      <formula>0</formula>
    </cfRule>
  </conditionalFormatting>
  <conditionalFormatting sqref="MD31:MI31 MG25:MI26 MD24:MI24 MG18:MI19 MD17:MI17 MG11:MI12 MD10:MI10 MD3:MI3">
    <cfRule type="expression" dxfId="2942" priority="110">
      <formula>WEEKNUM(MD$33)=WEEKNUM(TODAY())</formula>
    </cfRule>
  </conditionalFormatting>
  <conditionalFormatting sqref="MK2:MQ2 MX2 NE2">
    <cfRule type="expression" dxfId="2941" priority="103">
      <formula>MK2="S"&amp;WEEKNUM(TODAY())</formula>
    </cfRule>
  </conditionalFormatting>
  <conditionalFormatting sqref="MP6 MP8 MP13 MP15">
    <cfRule type="expression" dxfId="2940" priority="101">
      <formula>MP7&gt;0</formula>
    </cfRule>
    <cfRule type="expression" dxfId="2939" priority="109">
      <formula>MP7&lt;0</formula>
    </cfRule>
  </conditionalFormatting>
  <conditionalFormatting sqref="MP7 MP9 MP16">
    <cfRule type="cellIs" dxfId="2938" priority="102" operator="greaterThan">
      <formula>0</formula>
    </cfRule>
    <cfRule type="cellIs" dxfId="2937" priority="108" operator="lessThan">
      <formula>0</formula>
    </cfRule>
  </conditionalFormatting>
  <conditionalFormatting sqref="MP20 MP22">
    <cfRule type="expression" dxfId="2936" priority="99">
      <formula>MP21&gt;0</formula>
    </cfRule>
    <cfRule type="expression" dxfId="2935" priority="107">
      <formula>MP21&lt;0</formula>
    </cfRule>
  </conditionalFormatting>
  <conditionalFormatting sqref="MP23">
    <cfRule type="cellIs" dxfId="2934" priority="100" operator="greaterThan">
      <formula>0</formula>
    </cfRule>
    <cfRule type="cellIs" dxfId="2933" priority="106" operator="lessThan">
      <formula>0</formula>
    </cfRule>
  </conditionalFormatting>
  <conditionalFormatting sqref="MP27 MP29">
    <cfRule type="expression" dxfId="2932" priority="97">
      <formula>MP28&gt;0</formula>
    </cfRule>
    <cfRule type="expression" dxfId="2931" priority="105">
      <formula>MP28&lt;0</formula>
    </cfRule>
  </conditionalFormatting>
  <conditionalFormatting sqref="MP30">
    <cfRule type="cellIs" dxfId="2930" priority="98" operator="greaterThan">
      <formula>0</formula>
    </cfRule>
    <cfRule type="cellIs" dxfId="2929" priority="104" operator="lessThan">
      <formula>0</formula>
    </cfRule>
  </conditionalFormatting>
  <conditionalFormatting sqref="MP14">
    <cfRule type="cellIs" dxfId="2928" priority="95" operator="lessThan">
      <formula>0</formula>
    </cfRule>
    <cfRule type="cellIs" dxfId="2927" priority="96" operator="greaterThan">
      <formula>0</formula>
    </cfRule>
  </conditionalFormatting>
  <conditionalFormatting sqref="MP21">
    <cfRule type="cellIs" dxfId="2926" priority="93" operator="lessThan">
      <formula>0</formula>
    </cfRule>
    <cfRule type="cellIs" dxfId="2925" priority="94" operator="greaterThan">
      <formula>0</formula>
    </cfRule>
  </conditionalFormatting>
  <conditionalFormatting sqref="MP28">
    <cfRule type="cellIs" dxfId="2924" priority="91" operator="lessThan">
      <formula>0</formula>
    </cfRule>
    <cfRule type="cellIs" dxfId="2923" priority="92" operator="greaterThan">
      <formula>0</formula>
    </cfRule>
  </conditionalFormatting>
  <conditionalFormatting sqref="MK31:MP31 MN25:MP26 MK24:MP24 MN18:MP19 MK17:MP17 MN11:MP12 MK10:MP10 MK3:MP3">
    <cfRule type="expression" dxfId="2922" priority="90">
      <formula>WEEKNUM(MK$33)=WEEKNUM(TODAY())</formula>
    </cfRule>
  </conditionalFormatting>
  <conditionalFormatting sqref="MR2:MW2">
    <cfRule type="expression" dxfId="2921" priority="87">
      <formula>MR2="S"&amp;WEEKNUM(TODAY())</formula>
    </cfRule>
  </conditionalFormatting>
  <conditionalFormatting sqref="MW6 MW8 MW13 MW15">
    <cfRule type="expression" dxfId="2920" priority="85">
      <formula>MW7&gt;0</formula>
    </cfRule>
    <cfRule type="expression" dxfId="2919" priority="89">
      <formula>MW7&lt;0</formula>
    </cfRule>
  </conditionalFormatting>
  <conditionalFormatting sqref="MW7 MW9 MW16">
    <cfRule type="cellIs" dxfId="2918" priority="86" operator="greaterThan">
      <formula>0</formula>
    </cfRule>
    <cfRule type="cellIs" dxfId="2917" priority="88" operator="lessThan">
      <formula>0</formula>
    </cfRule>
  </conditionalFormatting>
  <conditionalFormatting sqref="MW20 MW22">
    <cfRule type="expression" dxfId="2916" priority="83">
      <formula>MW21&gt;0</formula>
    </cfRule>
  </conditionalFormatting>
  <conditionalFormatting sqref="MW23">
    <cfRule type="cellIs" dxfId="2915" priority="84" operator="greaterThan">
      <formula>0</formula>
    </cfRule>
  </conditionalFormatting>
  <conditionalFormatting sqref="MW27 MW29">
    <cfRule type="expression" dxfId="2914" priority="81">
      <formula>MW28&gt;0</formula>
    </cfRule>
  </conditionalFormatting>
  <conditionalFormatting sqref="MW30">
    <cfRule type="cellIs" dxfId="2913" priority="82" operator="greaterThan">
      <formula>0</formula>
    </cfRule>
  </conditionalFormatting>
  <conditionalFormatting sqref="MW14">
    <cfRule type="cellIs" dxfId="2912" priority="79" operator="lessThan">
      <formula>0</formula>
    </cfRule>
    <cfRule type="cellIs" dxfId="2911" priority="80" operator="greaterThan">
      <formula>0</formula>
    </cfRule>
  </conditionalFormatting>
  <conditionalFormatting sqref="MW21">
    <cfRule type="cellIs" dxfId="2910" priority="77" operator="lessThan">
      <formula>0</formula>
    </cfRule>
    <cfRule type="cellIs" dxfId="2909" priority="78" operator="greaterThan">
      <formula>0</formula>
    </cfRule>
  </conditionalFormatting>
  <conditionalFormatting sqref="MW28">
    <cfRule type="cellIs" dxfId="2908" priority="75" operator="lessThan">
      <formula>0</formula>
    </cfRule>
    <cfRule type="cellIs" dxfId="2907" priority="76" operator="greaterThan">
      <formula>0</formula>
    </cfRule>
  </conditionalFormatting>
  <conditionalFormatting sqref="MR31:MW31 MU25:MW26 MR24:MW24 MU18:MW19 MR17:MW17 MU11:MW12 MR10:MW10 MR3:MW3">
    <cfRule type="expression" dxfId="2906" priority="74">
      <formula>WEEKNUM(MR$33)=WEEKNUM(TODAY())</formula>
    </cfRule>
  </conditionalFormatting>
  <conditionalFormatting sqref="MY2:ND2">
    <cfRule type="expression" dxfId="2905" priority="71">
      <formula>MY2="S"&amp;WEEKNUM(TODAY())</formula>
    </cfRule>
  </conditionalFormatting>
  <conditionalFormatting sqref="ND6 ND8 ND13 ND15">
    <cfRule type="expression" dxfId="2904" priority="69">
      <formula>ND7&gt;0</formula>
    </cfRule>
    <cfRule type="expression" dxfId="2903" priority="73">
      <formula>ND7&lt;0</formula>
    </cfRule>
  </conditionalFormatting>
  <conditionalFormatting sqref="ND7 ND9 ND16">
    <cfRule type="cellIs" dxfId="2902" priority="70" operator="greaterThan">
      <formula>0</formula>
    </cfRule>
    <cfRule type="cellIs" dxfId="2901" priority="72" operator="lessThan">
      <formula>0</formula>
    </cfRule>
  </conditionalFormatting>
  <conditionalFormatting sqref="ND20 ND22">
    <cfRule type="expression" dxfId="2900" priority="67">
      <formula>ND21&gt;0</formula>
    </cfRule>
  </conditionalFormatting>
  <conditionalFormatting sqref="ND23">
    <cfRule type="cellIs" dxfId="2899" priority="68" operator="greaterThan">
      <formula>0</formula>
    </cfRule>
  </conditionalFormatting>
  <conditionalFormatting sqref="ND27 ND29">
    <cfRule type="expression" dxfId="2898" priority="65">
      <formula>ND28&gt;0</formula>
    </cfRule>
  </conditionalFormatting>
  <conditionalFormatting sqref="ND30">
    <cfRule type="cellIs" dxfId="2897" priority="66" operator="greaterThan">
      <formula>0</formula>
    </cfRule>
  </conditionalFormatting>
  <conditionalFormatting sqref="ND14">
    <cfRule type="cellIs" dxfId="2896" priority="63" operator="lessThan">
      <formula>0</formula>
    </cfRule>
    <cfRule type="cellIs" dxfId="2895" priority="64" operator="greaterThan">
      <formula>0</formula>
    </cfRule>
  </conditionalFormatting>
  <conditionalFormatting sqref="ND21">
    <cfRule type="cellIs" dxfId="2894" priority="61" operator="lessThan">
      <formula>0</formula>
    </cfRule>
    <cfRule type="cellIs" dxfId="2893" priority="62" operator="greaterThan">
      <formula>0</formula>
    </cfRule>
  </conditionalFormatting>
  <conditionalFormatting sqref="ND28">
    <cfRule type="cellIs" dxfId="2892" priority="59" operator="lessThan">
      <formula>0</formula>
    </cfRule>
    <cfRule type="cellIs" dxfId="2891" priority="60" operator="greaterThan">
      <formula>0</formula>
    </cfRule>
  </conditionalFormatting>
  <conditionalFormatting sqref="MY31:ND31 NB25:ND26 MY24:ND24 NB18:ND19 MY17:ND17 NB11:ND12 MY10:ND10 MY3:ND3">
    <cfRule type="expression" dxfId="2890" priority="58">
      <formula>WEEKNUM(MY$33)=WEEKNUM(TODAY())</formula>
    </cfRule>
  </conditionalFormatting>
  <conditionalFormatting sqref="NF2:NK2">
    <cfRule type="expression" dxfId="2889" priority="55">
      <formula>NF2="S"&amp;WEEKNUM(TODAY())</formula>
    </cfRule>
  </conditionalFormatting>
  <conditionalFormatting sqref="NK6 NK8 NK13 NK15">
    <cfRule type="expression" dxfId="2888" priority="53">
      <formula>NK7&gt;0</formula>
    </cfRule>
    <cfRule type="expression" dxfId="2887" priority="57">
      <formula>NK7&lt;0</formula>
    </cfRule>
  </conditionalFormatting>
  <conditionalFormatting sqref="NK7 NK9 NK16">
    <cfRule type="cellIs" dxfId="2886" priority="54" operator="greaterThan">
      <formula>0</formula>
    </cfRule>
    <cfRule type="cellIs" dxfId="2885" priority="56" operator="lessThan">
      <formula>0</formula>
    </cfRule>
  </conditionalFormatting>
  <conditionalFormatting sqref="NK20 NK22">
    <cfRule type="expression" dxfId="2884" priority="51">
      <formula>NK21&gt;0</formula>
    </cfRule>
  </conditionalFormatting>
  <conditionalFormatting sqref="NK23">
    <cfRule type="cellIs" dxfId="2883" priority="52" operator="greaterThan">
      <formula>0</formula>
    </cfRule>
  </conditionalFormatting>
  <conditionalFormatting sqref="NK27 NK29">
    <cfRule type="expression" dxfId="2882" priority="49">
      <formula>NK28&gt;0</formula>
    </cfRule>
  </conditionalFormatting>
  <conditionalFormatting sqref="NK30">
    <cfRule type="cellIs" dxfId="2881" priority="50" operator="greaterThan">
      <formula>0</formula>
    </cfRule>
  </conditionalFormatting>
  <conditionalFormatting sqref="NK14">
    <cfRule type="cellIs" dxfId="2880" priority="47" operator="lessThan">
      <formula>0</formula>
    </cfRule>
    <cfRule type="cellIs" dxfId="2879" priority="48" operator="greaterThan">
      <formula>0</formula>
    </cfRule>
  </conditionalFormatting>
  <conditionalFormatting sqref="NK21">
    <cfRule type="cellIs" dxfId="2878" priority="45" operator="lessThan">
      <formula>0</formula>
    </cfRule>
    <cfRule type="cellIs" dxfId="2877" priority="46" operator="greaterThan">
      <formula>0</formula>
    </cfRule>
  </conditionalFormatting>
  <conditionalFormatting sqref="NK28">
    <cfRule type="cellIs" dxfId="2876" priority="43" operator="lessThan">
      <formula>0</formula>
    </cfRule>
    <cfRule type="cellIs" dxfId="2875" priority="44" operator="greaterThan">
      <formula>0</formula>
    </cfRule>
  </conditionalFormatting>
  <conditionalFormatting sqref="NF31:NK31 NI25:NK26 NF24:NK24 NI18:NK19 NF17:NK17 NI11:NK12 NF10:NK10 NF3:NK3">
    <cfRule type="expression" dxfId="2874" priority="42">
      <formula>WEEKNUM(NF$33)=WEEKNUM(TODAY())</formula>
    </cfRule>
  </conditionalFormatting>
  <conditionalFormatting sqref="NM2:NR2">
    <cfRule type="expression" dxfId="2873" priority="39">
      <formula>NM2="S"&amp;WEEKNUM(TODAY())</formula>
    </cfRule>
  </conditionalFormatting>
  <conditionalFormatting sqref="NR6 NR8 NR13 NR15">
    <cfRule type="expression" dxfId="2872" priority="37">
      <formula>NR7&gt;0</formula>
    </cfRule>
    <cfRule type="expression" dxfId="2871" priority="41">
      <formula>NR7&lt;0</formula>
    </cfRule>
  </conditionalFormatting>
  <conditionalFormatting sqref="NR7 NR9 NR16">
    <cfRule type="cellIs" dxfId="2870" priority="38" operator="greaterThan">
      <formula>0</formula>
    </cfRule>
    <cfRule type="cellIs" dxfId="2869" priority="40" operator="lessThan">
      <formula>0</formula>
    </cfRule>
  </conditionalFormatting>
  <conditionalFormatting sqref="NR20 NR22">
    <cfRule type="expression" dxfId="2868" priority="35">
      <formula>NR21&gt;0</formula>
    </cfRule>
    <cfRule type="expression" dxfId="2867" priority="1381">
      <formula>NR21&lt;0</formula>
    </cfRule>
  </conditionalFormatting>
  <conditionalFormatting sqref="NR23">
    <cfRule type="cellIs" dxfId="2866" priority="36" operator="greaterThan">
      <formula>0</formula>
    </cfRule>
    <cfRule type="cellIs" dxfId="2865" priority="1382" operator="lessThan">
      <formula>0</formula>
    </cfRule>
  </conditionalFormatting>
  <conditionalFormatting sqref="NR27 NR29">
    <cfRule type="expression" dxfId="2864" priority="33">
      <formula>NR28&gt;0</formula>
    </cfRule>
    <cfRule type="expression" dxfId="2863" priority="1383">
      <formula>NR28&lt;0</formula>
    </cfRule>
  </conditionalFormatting>
  <conditionalFormatting sqref="NR30">
    <cfRule type="cellIs" dxfId="2862" priority="34" operator="greaterThan">
      <formula>0</formula>
    </cfRule>
    <cfRule type="cellIs" dxfId="2861" priority="1384" operator="lessThan">
      <formula>0</formula>
    </cfRule>
  </conditionalFormatting>
  <conditionalFormatting sqref="NR14">
    <cfRule type="cellIs" dxfId="2860" priority="31" operator="lessThan">
      <formula>0</formula>
    </cfRule>
    <cfRule type="cellIs" dxfId="2859" priority="32" operator="greaterThan">
      <formula>0</formula>
    </cfRule>
  </conditionalFormatting>
  <conditionalFormatting sqref="NR21">
    <cfRule type="cellIs" dxfId="2858" priority="29" operator="lessThan">
      <formula>0</formula>
    </cfRule>
    <cfRule type="cellIs" dxfId="2857" priority="30" operator="greaterThan">
      <formula>0</formula>
    </cfRule>
  </conditionalFormatting>
  <conditionalFormatting sqref="NR28">
    <cfRule type="cellIs" dxfId="2856" priority="27" operator="lessThan">
      <formula>0</formula>
    </cfRule>
    <cfRule type="cellIs" dxfId="2855" priority="28" operator="greaterThan">
      <formula>0</formula>
    </cfRule>
  </conditionalFormatting>
  <conditionalFormatting sqref="NM31:NR31 NP25:NR26 NM24:NR24 NP18:NR19 NM17:NR17 NP11:NR12 NM10:NR10 NM3:NR3">
    <cfRule type="expression" dxfId="2854" priority="26">
      <formula>WEEKNUM(NM$33)=WEEKNUM(TODAY())</formula>
    </cfRule>
  </conditionalFormatting>
  <conditionalFormatting sqref="HS4:HT5">
    <cfRule type="expression" dxfId="2853" priority="25">
      <formula>WEEKNUM(HS$33)=WEEKNUM(TODAY())</formula>
    </cfRule>
  </conditionalFormatting>
  <conditionalFormatting sqref="HZ4:IA5">
    <cfRule type="expression" dxfId="2852" priority="24">
      <formula>WEEKNUM(HZ$33)=WEEKNUM(TODAY())</formula>
    </cfRule>
  </conditionalFormatting>
  <conditionalFormatting sqref="IG4:IH5">
    <cfRule type="expression" dxfId="2851" priority="23">
      <formula>WEEKNUM(IG$33)=WEEKNUM(TODAY())</formula>
    </cfRule>
  </conditionalFormatting>
  <conditionalFormatting sqref="IN4:IO5">
    <cfRule type="expression" dxfId="2850" priority="22">
      <formula>WEEKNUM(IN$33)=WEEKNUM(TODAY())</formula>
    </cfRule>
  </conditionalFormatting>
  <conditionalFormatting sqref="IU4:IV5">
    <cfRule type="expression" dxfId="2849" priority="21">
      <formula>WEEKNUM(IU$33)=WEEKNUM(TODAY())</formula>
    </cfRule>
  </conditionalFormatting>
  <conditionalFormatting sqref="JB4:JC4 JB5">
    <cfRule type="expression" dxfId="2848" priority="20">
      <formula>WEEKNUM(JB$33)=WEEKNUM(TODAY())</formula>
    </cfRule>
  </conditionalFormatting>
  <conditionalFormatting sqref="JI4:JJ5">
    <cfRule type="expression" dxfId="2847" priority="19">
      <formula>WEEKNUM(JI$33)=WEEKNUM(TODAY())</formula>
    </cfRule>
  </conditionalFormatting>
  <conditionalFormatting sqref="JP4:JQ5">
    <cfRule type="expression" dxfId="2846" priority="18">
      <formula>WEEKNUM(JP$33)=WEEKNUM(TODAY())</formula>
    </cfRule>
  </conditionalFormatting>
  <conditionalFormatting sqref="JW4:JX5">
    <cfRule type="expression" dxfId="2845" priority="17">
      <formula>WEEKNUM(JW$33)=WEEKNUM(TODAY())</formula>
    </cfRule>
  </conditionalFormatting>
  <conditionalFormatting sqref="KD4:KE5">
    <cfRule type="expression" dxfId="2844" priority="16">
      <formula>WEEKNUM(KD$33)=WEEKNUM(TODAY())</formula>
    </cfRule>
  </conditionalFormatting>
  <conditionalFormatting sqref="KK4:KL5">
    <cfRule type="expression" dxfId="2843" priority="15">
      <formula>WEEKNUM(KK$33)=WEEKNUM(TODAY())</formula>
    </cfRule>
  </conditionalFormatting>
  <conditionalFormatting sqref="KR4:KS5">
    <cfRule type="expression" dxfId="2842" priority="14">
      <formula>WEEKNUM(KR$33)=WEEKNUM(TODAY())</formula>
    </cfRule>
  </conditionalFormatting>
  <conditionalFormatting sqref="KY4:KZ5">
    <cfRule type="expression" dxfId="2841" priority="13">
      <formula>WEEKNUM(KY$33)=WEEKNUM(TODAY())</formula>
    </cfRule>
  </conditionalFormatting>
  <conditionalFormatting sqref="LF4:LG5">
    <cfRule type="expression" dxfId="2840" priority="12">
      <formula>WEEKNUM(LF$33)=WEEKNUM(TODAY())</formula>
    </cfRule>
  </conditionalFormatting>
  <conditionalFormatting sqref="LM4:LN5">
    <cfRule type="expression" dxfId="2839" priority="11">
      <formula>WEEKNUM(LM$33)=WEEKNUM(TODAY())</formula>
    </cfRule>
  </conditionalFormatting>
  <conditionalFormatting sqref="LT4:LU5">
    <cfRule type="expression" dxfId="2838" priority="10">
      <formula>WEEKNUM(LT$33)=WEEKNUM(TODAY())</formula>
    </cfRule>
  </conditionalFormatting>
  <conditionalFormatting sqref="MA4:MB5">
    <cfRule type="expression" dxfId="2837" priority="9">
      <formula>WEEKNUM(MA$33)=WEEKNUM(TODAY())</formula>
    </cfRule>
  </conditionalFormatting>
  <conditionalFormatting sqref="MH4:MI5">
    <cfRule type="expression" dxfId="2836" priority="8">
      <formula>WEEKNUM(MH$33)=WEEKNUM(TODAY())</formula>
    </cfRule>
  </conditionalFormatting>
  <conditionalFormatting sqref="MO4:MP5">
    <cfRule type="expression" dxfId="2835" priority="7">
      <formula>WEEKNUM(MO$33)=WEEKNUM(TODAY())</formula>
    </cfRule>
  </conditionalFormatting>
  <conditionalFormatting sqref="MV4:MW5">
    <cfRule type="expression" dxfId="2834" priority="6">
      <formula>WEEKNUM(MV$33)=WEEKNUM(TODAY())</formula>
    </cfRule>
  </conditionalFormatting>
  <conditionalFormatting sqref="NC4:ND5">
    <cfRule type="expression" dxfId="2833" priority="5">
      <formula>WEEKNUM(NC$33)=WEEKNUM(TODAY())</formula>
    </cfRule>
  </conditionalFormatting>
  <conditionalFormatting sqref="NJ4:NK5">
    <cfRule type="expression" dxfId="2832" priority="4">
      <formula>WEEKNUM(NJ$33)=WEEKNUM(TODAY())</formula>
    </cfRule>
  </conditionalFormatting>
  <conditionalFormatting sqref="NQ4:NR5">
    <cfRule type="expression" dxfId="2831" priority="3">
      <formula>WEEKNUM(NQ$33)=WEEKNUM(TODAY())</formula>
    </cfRule>
  </conditionalFormatting>
  <conditionalFormatting sqref="HE4:HF5">
    <cfRule type="expression" dxfId="2830" priority="2">
      <formula>WEEKNUM(HE$33)=WEEKNUM(TODAY())</formula>
    </cfRule>
  </conditionalFormatting>
  <conditionalFormatting sqref="JC5">
    <cfRule type="expression" dxfId="2829" priority="1">
      <formula>WEEKNUM(JC$33)=WEEKNUM(TODAY())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0981-409E-4306-872D-5A62714BC7F3}">
  <sheetPr codeName="Feuil4">
    <tabColor rgb="FFFFFF00"/>
  </sheetPr>
  <dimension ref="A1:GY47"/>
  <sheetViews>
    <sheetView showGridLines="0" zoomScaleNormal="100" workbookViewId="0">
      <pane xSplit="4" topLeftCell="E1" activePane="topRight" state="frozen"/>
      <selection pane="topRight" activeCell="E2" sqref="E2:J2"/>
    </sheetView>
  </sheetViews>
  <sheetFormatPr baseColWidth="10" defaultColWidth="8.33203125" defaultRowHeight="14.4" x14ac:dyDescent="0.3"/>
  <cols>
    <col min="1" max="1" width="3.33203125" style="294" customWidth="1"/>
    <col min="2" max="2" width="18.44140625" style="305" customWidth="1"/>
    <col min="3" max="3" width="18.33203125" style="305" customWidth="1"/>
    <col min="4" max="4" width="1.6640625" customWidth="1"/>
    <col min="5" max="9" width="8.33203125" style="204"/>
    <col min="10" max="10" width="8.88671875" style="204" bestFit="1" customWidth="1"/>
    <col min="11" max="17" width="8.33203125" style="204"/>
    <col min="31" max="31" width="9.109375" customWidth="1"/>
  </cols>
  <sheetData>
    <row r="1" spans="1:207" s="196" customFormat="1" ht="15" thickBot="1" x14ac:dyDescent="0.35">
      <c r="A1" s="294"/>
      <c r="B1" s="305"/>
      <c r="C1" s="305"/>
      <c r="D1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</row>
    <row r="2" spans="1:207" s="196" customFormat="1" x14ac:dyDescent="0.3">
      <c r="A2" s="294"/>
      <c r="B2" s="305"/>
      <c r="C2" s="305"/>
      <c r="D2"/>
      <c r="E2" s="431" t="str">
        <f>"S"&amp;WEEKNUM(E25)</f>
        <v>S24</v>
      </c>
      <c r="F2" s="432"/>
      <c r="G2" s="432"/>
      <c r="H2" s="432"/>
      <c r="I2" s="432"/>
      <c r="J2" s="433"/>
      <c r="K2" s="265"/>
      <c r="L2" s="431" t="str">
        <f>"S"&amp;WEEKNUM(L25)</f>
        <v>S25</v>
      </c>
      <c r="M2" s="432"/>
      <c r="N2" s="432"/>
      <c r="O2" s="432"/>
      <c r="P2" s="432"/>
      <c r="Q2" s="433"/>
      <c r="R2" s="265"/>
      <c r="S2" s="431" t="str">
        <f>"S"&amp;WEEKNUM(S25)</f>
        <v>S26</v>
      </c>
      <c r="T2" s="432"/>
      <c r="U2" s="432"/>
      <c r="V2" s="432"/>
      <c r="W2" s="432"/>
      <c r="X2" s="433"/>
      <c r="Y2" s="265"/>
      <c r="Z2" s="431" t="str">
        <f>"S"&amp;WEEKNUM(Z25)</f>
        <v>S27</v>
      </c>
      <c r="AA2" s="432"/>
      <c r="AB2" s="432"/>
      <c r="AC2" s="432"/>
      <c r="AD2" s="432"/>
      <c r="AE2" s="433"/>
      <c r="AF2" s="265"/>
      <c r="AG2" s="431" t="str">
        <f>"S"&amp;WEEKNUM(AG25)</f>
        <v>S28</v>
      </c>
      <c r="AH2" s="432"/>
      <c r="AI2" s="432"/>
      <c r="AJ2" s="432"/>
      <c r="AK2" s="432"/>
      <c r="AL2" s="433"/>
      <c r="AM2" s="265"/>
      <c r="AN2" s="431" t="str">
        <f>"S"&amp;WEEKNUM(AN25)</f>
        <v>S29</v>
      </c>
      <c r="AO2" s="432"/>
      <c r="AP2" s="432"/>
      <c r="AQ2" s="432"/>
      <c r="AR2" s="432"/>
      <c r="AS2" s="433"/>
      <c r="AT2" s="265"/>
      <c r="AU2" s="431" t="str">
        <f>"S"&amp;WEEKNUM(AU25)</f>
        <v>S30</v>
      </c>
      <c r="AV2" s="432"/>
      <c r="AW2" s="432"/>
      <c r="AX2" s="432"/>
      <c r="AY2" s="432"/>
      <c r="AZ2" s="433"/>
      <c r="BA2" s="265"/>
      <c r="BB2" s="431" t="str">
        <f>"S"&amp;WEEKNUM(BB25)</f>
        <v>S31</v>
      </c>
      <c r="BC2" s="432"/>
      <c r="BD2" s="432"/>
      <c r="BE2" s="432"/>
      <c r="BF2" s="432"/>
      <c r="BG2" s="433"/>
      <c r="BH2" s="265"/>
      <c r="BI2" s="431" t="str">
        <f>"S"&amp;WEEKNUM(BI25)</f>
        <v>S32</v>
      </c>
      <c r="BJ2" s="432"/>
      <c r="BK2" s="432"/>
      <c r="BL2" s="432"/>
      <c r="BM2" s="432"/>
      <c r="BN2" s="433"/>
      <c r="BO2" s="265"/>
      <c r="BP2" s="431" t="str">
        <f>"S"&amp;WEEKNUM(BP25)</f>
        <v>S33</v>
      </c>
      <c r="BQ2" s="432"/>
      <c r="BR2" s="432"/>
      <c r="BS2" s="432"/>
      <c r="BT2" s="432"/>
      <c r="BU2" s="433"/>
      <c r="BV2" s="265"/>
      <c r="BW2" s="431" t="str">
        <f>"S"&amp;WEEKNUM(BW25)</f>
        <v>S34</v>
      </c>
      <c r="BX2" s="432"/>
      <c r="BY2" s="432"/>
      <c r="BZ2" s="432"/>
      <c r="CA2" s="432"/>
      <c r="CB2" s="433"/>
      <c r="CC2" s="265"/>
      <c r="CD2" s="431" t="str">
        <f>"S"&amp;WEEKNUM(CD25)</f>
        <v>S35</v>
      </c>
      <c r="CE2" s="432"/>
      <c r="CF2" s="432"/>
      <c r="CG2" s="432"/>
      <c r="CH2" s="432"/>
      <c r="CI2" s="433"/>
      <c r="CJ2" s="265"/>
      <c r="CK2" s="431" t="str">
        <f>"S"&amp;WEEKNUM(CK25)</f>
        <v>S36</v>
      </c>
      <c r="CL2" s="432"/>
      <c r="CM2" s="432"/>
      <c r="CN2" s="432"/>
      <c r="CO2" s="432"/>
      <c r="CP2" s="433"/>
      <c r="CQ2" s="265"/>
      <c r="CR2" s="431" t="str">
        <f>"S"&amp;WEEKNUM(CR25)</f>
        <v>S37</v>
      </c>
      <c r="CS2" s="432"/>
      <c r="CT2" s="432"/>
      <c r="CU2" s="432"/>
      <c r="CV2" s="432"/>
      <c r="CW2" s="433"/>
      <c r="CX2" s="265"/>
      <c r="CY2" s="431" t="str">
        <f>"S"&amp;WEEKNUM(CY25)</f>
        <v>S38</v>
      </c>
      <c r="CZ2" s="432"/>
      <c r="DA2" s="432"/>
      <c r="DB2" s="432"/>
      <c r="DC2" s="432"/>
      <c r="DD2" s="433"/>
      <c r="DE2" s="265"/>
      <c r="DF2" s="431" t="str">
        <f>"S"&amp;WEEKNUM(DF25)</f>
        <v>S39</v>
      </c>
      <c r="DG2" s="432"/>
      <c r="DH2" s="432"/>
      <c r="DI2" s="432"/>
      <c r="DJ2" s="432"/>
      <c r="DK2" s="433"/>
      <c r="DL2" s="265"/>
      <c r="DM2" s="431" t="str">
        <f>"S"&amp;WEEKNUM(DM25)</f>
        <v>S40</v>
      </c>
      <c r="DN2" s="432"/>
      <c r="DO2" s="432"/>
      <c r="DP2" s="432"/>
      <c r="DQ2" s="432"/>
      <c r="DR2" s="433"/>
      <c r="DS2" s="265"/>
      <c r="DT2" s="431" t="str">
        <f>"S"&amp;WEEKNUM(DT25)</f>
        <v>S41</v>
      </c>
      <c r="DU2" s="432"/>
      <c r="DV2" s="432"/>
      <c r="DW2" s="432"/>
      <c r="DX2" s="432"/>
      <c r="DY2" s="433"/>
      <c r="DZ2" s="265"/>
      <c r="EA2" s="431" t="str">
        <f>"S"&amp;WEEKNUM(EA25)</f>
        <v>S42</v>
      </c>
      <c r="EB2" s="432"/>
      <c r="EC2" s="432"/>
      <c r="ED2" s="432"/>
      <c r="EE2" s="432"/>
      <c r="EF2" s="433"/>
      <c r="EG2" s="265"/>
      <c r="EH2" s="431" t="str">
        <f>"S"&amp;WEEKNUM(EH25)</f>
        <v>S43</v>
      </c>
      <c r="EI2" s="432"/>
      <c r="EJ2" s="432"/>
      <c r="EK2" s="432"/>
      <c r="EL2" s="432"/>
      <c r="EM2" s="433"/>
      <c r="EN2" s="265"/>
      <c r="EO2" s="431" t="str">
        <f>"S"&amp;WEEKNUM(EO25)</f>
        <v>S44</v>
      </c>
      <c r="EP2" s="432"/>
      <c r="EQ2" s="432"/>
      <c r="ER2" s="432"/>
      <c r="ES2" s="432"/>
      <c r="ET2" s="433"/>
      <c r="EU2" s="265"/>
      <c r="EV2" s="431" t="str">
        <f>"S"&amp;WEEKNUM(EV25)</f>
        <v>S45</v>
      </c>
      <c r="EW2" s="432"/>
      <c r="EX2" s="432"/>
      <c r="EY2" s="432"/>
      <c r="EZ2" s="432"/>
      <c r="FA2" s="433"/>
      <c r="FB2" s="265"/>
      <c r="FC2" s="431" t="str">
        <f>"S"&amp;WEEKNUM(FC25)</f>
        <v>S46</v>
      </c>
      <c r="FD2" s="432"/>
      <c r="FE2" s="432"/>
      <c r="FF2" s="432"/>
      <c r="FG2" s="432"/>
      <c r="FH2" s="433"/>
      <c r="FI2" s="265"/>
      <c r="FJ2" s="431" t="str">
        <f>"S"&amp;WEEKNUM(FJ25)</f>
        <v>S47</v>
      </c>
      <c r="FK2" s="432"/>
      <c r="FL2" s="432"/>
      <c r="FM2" s="432"/>
      <c r="FN2" s="432"/>
      <c r="FO2" s="433"/>
      <c r="FP2" s="265"/>
      <c r="FQ2" s="431" t="str">
        <f>"S"&amp;WEEKNUM(FQ25)</f>
        <v>S48</v>
      </c>
      <c r="FR2" s="432"/>
      <c r="FS2" s="432"/>
      <c r="FT2" s="432"/>
      <c r="FU2" s="432"/>
      <c r="FV2" s="433"/>
      <c r="FW2" s="265"/>
      <c r="FX2" s="431" t="str">
        <f>"S"&amp;WEEKNUM(FX25)</f>
        <v>S49</v>
      </c>
      <c r="FY2" s="432"/>
      <c r="FZ2" s="432"/>
      <c r="GA2" s="432"/>
      <c r="GB2" s="432"/>
      <c r="GC2" s="433"/>
      <c r="GD2" s="265"/>
      <c r="GE2" s="431" t="str">
        <f>"S"&amp;WEEKNUM(GE25)</f>
        <v>S47</v>
      </c>
      <c r="GF2" s="432"/>
      <c r="GG2" s="432"/>
      <c r="GH2" s="432"/>
      <c r="GI2" s="432"/>
      <c r="GJ2" s="433"/>
      <c r="GK2" s="265"/>
      <c r="GL2" s="431" t="str">
        <f>"S"&amp;WEEKNUM(GL25)</f>
        <v>S48</v>
      </c>
      <c r="GM2" s="432"/>
      <c r="GN2" s="432"/>
      <c r="GO2" s="432"/>
      <c r="GP2" s="432"/>
      <c r="GQ2" s="433"/>
      <c r="GR2" s="265"/>
      <c r="GS2" s="431" t="str">
        <f>"S"&amp;WEEKNUM(GS25)</f>
        <v>S49</v>
      </c>
      <c r="GT2" s="432"/>
      <c r="GU2" s="432"/>
      <c r="GV2" s="432"/>
      <c r="GW2" s="432"/>
      <c r="GX2" s="433"/>
      <c r="GY2" s="283"/>
    </row>
    <row r="3" spans="1:207" ht="15" thickBot="1" x14ac:dyDescent="0.35">
      <c r="E3"/>
      <c r="F3"/>
      <c r="G3"/>
      <c r="H3"/>
      <c r="I3"/>
      <c r="J3"/>
      <c r="K3"/>
      <c r="L3"/>
      <c r="M3"/>
      <c r="N3"/>
      <c r="O3"/>
      <c r="P3"/>
      <c r="Q3"/>
    </row>
    <row r="4" spans="1:207" s="196" customFormat="1" ht="16.05" customHeight="1" x14ac:dyDescent="0.3">
      <c r="A4" s="294"/>
      <c r="B4" s="306"/>
      <c r="C4" s="434" t="s">
        <v>693</v>
      </c>
      <c r="D4" s="270"/>
      <c r="E4" s="248"/>
      <c r="F4" s="394" t="s">
        <v>689</v>
      </c>
      <c r="G4" s="402"/>
      <c r="H4" s="442" t="s">
        <v>687</v>
      </c>
      <c r="I4" s="443"/>
      <c r="J4" s="249" t="s">
        <v>690</v>
      </c>
      <c r="K4" s="276"/>
      <c r="L4" s="248"/>
      <c r="M4" s="394" t="s">
        <v>689</v>
      </c>
      <c r="N4" s="402"/>
      <c r="O4" s="442" t="s">
        <v>687</v>
      </c>
      <c r="P4" s="443"/>
      <c r="Q4" s="249" t="s">
        <v>690</v>
      </c>
      <c r="R4" s="276"/>
      <c r="S4" s="248"/>
      <c r="T4" s="394" t="s">
        <v>689</v>
      </c>
      <c r="U4" s="402"/>
      <c r="V4" s="442" t="s">
        <v>687</v>
      </c>
      <c r="W4" s="443"/>
      <c r="X4" s="249" t="s">
        <v>690</v>
      </c>
      <c r="Y4" s="276"/>
      <c r="Z4" s="248"/>
      <c r="AA4" s="394" t="s">
        <v>689</v>
      </c>
      <c r="AB4" s="402"/>
      <c r="AC4" s="442" t="s">
        <v>687</v>
      </c>
      <c r="AD4" s="443"/>
      <c r="AE4" s="249" t="s">
        <v>690</v>
      </c>
      <c r="AF4" s="276"/>
      <c r="AG4" s="248"/>
      <c r="AH4" s="394" t="s">
        <v>689</v>
      </c>
      <c r="AI4" s="402"/>
      <c r="AJ4" s="442" t="s">
        <v>687</v>
      </c>
      <c r="AK4" s="443"/>
      <c r="AL4" s="249" t="s">
        <v>690</v>
      </c>
      <c r="AM4" s="276"/>
      <c r="AN4" s="248"/>
      <c r="AO4" s="394" t="s">
        <v>689</v>
      </c>
      <c r="AP4" s="402"/>
      <c r="AQ4" s="442" t="s">
        <v>687</v>
      </c>
      <c r="AR4" s="443"/>
      <c r="AS4" s="249" t="s">
        <v>690</v>
      </c>
      <c r="AT4" s="276"/>
      <c r="AU4" s="248"/>
      <c r="AV4" s="394" t="s">
        <v>689</v>
      </c>
      <c r="AW4" s="402"/>
      <c r="AX4" s="442" t="s">
        <v>687</v>
      </c>
      <c r="AY4" s="443"/>
      <c r="AZ4" s="249" t="s">
        <v>690</v>
      </c>
      <c r="BA4" s="276"/>
      <c r="BB4" s="248"/>
      <c r="BC4" s="394" t="s">
        <v>689</v>
      </c>
      <c r="BD4" s="402"/>
      <c r="BE4" s="442" t="s">
        <v>687</v>
      </c>
      <c r="BF4" s="443"/>
      <c r="BG4" s="249" t="s">
        <v>690</v>
      </c>
      <c r="BH4" s="276"/>
      <c r="BI4" s="248"/>
      <c r="BJ4" s="394" t="s">
        <v>689</v>
      </c>
      <c r="BK4" s="402"/>
      <c r="BL4" s="442" t="s">
        <v>687</v>
      </c>
      <c r="BM4" s="443"/>
      <c r="BN4" s="249" t="s">
        <v>690</v>
      </c>
      <c r="BO4" s="276"/>
      <c r="BP4" s="248"/>
      <c r="BQ4" s="394" t="s">
        <v>689</v>
      </c>
      <c r="BR4" s="402"/>
      <c r="BS4" s="442" t="s">
        <v>687</v>
      </c>
      <c r="BT4" s="443"/>
      <c r="BU4" s="249" t="s">
        <v>690</v>
      </c>
      <c r="BV4" s="276"/>
      <c r="BW4" s="248"/>
      <c r="BX4" s="394" t="s">
        <v>689</v>
      </c>
      <c r="BY4" s="402"/>
      <c r="BZ4" s="442" t="s">
        <v>687</v>
      </c>
      <c r="CA4" s="443"/>
      <c r="CB4" s="249" t="s">
        <v>690</v>
      </c>
      <c r="CC4" s="276"/>
      <c r="CD4" s="248"/>
      <c r="CE4" s="394" t="s">
        <v>689</v>
      </c>
      <c r="CF4" s="402"/>
      <c r="CG4" s="442" t="s">
        <v>687</v>
      </c>
      <c r="CH4" s="443"/>
      <c r="CI4" s="249" t="s">
        <v>690</v>
      </c>
      <c r="CJ4" s="276"/>
      <c r="CK4" s="248"/>
      <c r="CL4" s="394" t="s">
        <v>689</v>
      </c>
      <c r="CM4" s="402"/>
      <c r="CN4" s="442" t="s">
        <v>687</v>
      </c>
      <c r="CO4" s="443"/>
      <c r="CP4" s="249" t="s">
        <v>690</v>
      </c>
      <c r="CQ4" s="276"/>
      <c r="CR4" s="248"/>
      <c r="CS4" s="394" t="s">
        <v>689</v>
      </c>
      <c r="CT4" s="402"/>
      <c r="CU4" s="442" t="s">
        <v>687</v>
      </c>
      <c r="CV4" s="443"/>
      <c r="CW4" s="249" t="s">
        <v>690</v>
      </c>
      <c r="CX4" s="276"/>
      <c r="CY4" s="248"/>
      <c r="CZ4" s="394" t="s">
        <v>689</v>
      </c>
      <c r="DA4" s="402"/>
      <c r="DB4" s="442" t="s">
        <v>687</v>
      </c>
      <c r="DC4" s="443"/>
      <c r="DD4" s="249" t="s">
        <v>690</v>
      </c>
      <c r="DE4" s="276"/>
      <c r="DF4" s="248"/>
      <c r="DG4" s="394" t="s">
        <v>689</v>
      </c>
      <c r="DH4" s="402"/>
      <c r="DI4" s="442" t="s">
        <v>687</v>
      </c>
      <c r="DJ4" s="443"/>
      <c r="DK4" s="249" t="s">
        <v>690</v>
      </c>
      <c r="DL4" s="276"/>
      <c r="DM4" s="248"/>
      <c r="DN4" s="394" t="s">
        <v>689</v>
      </c>
      <c r="DO4" s="402"/>
      <c r="DP4" s="442" t="s">
        <v>687</v>
      </c>
      <c r="DQ4" s="443"/>
      <c r="DR4" s="249" t="s">
        <v>690</v>
      </c>
      <c r="DS4" s="276"/>
      <c r="DT4" s="248"/>
      <c r="DU4" s="394" t="s">
        <v>689</v>
      </c>
      <c r="DV4" s="402"/>
      <c r="DW4" s="442" t="s">
        <v>687</v>
      </c>
      <c r="DX4" s="443"/>
      <c r="DY4" s="249" t="s">
        <v>690</v>
      </c>
      <c r="DZ4" s="276"/>
      <c r="EA4" s="248"/>
      <c r="EB4" s="394" t="s">
        <v>689</v>
      </c>
      <c r="EC4" s="402"/>
      <c r="ED4" s="442" t="s">
        <v>687</v>
      </c>
      <c r="EE4" s="443"/>
      <c r="EF4" s="249" t="s">
        <v>690</v>
      </c>
      <c r="EG4" s="276"/>
      <c r="EH4" s="248"/>
      <c r="EI4" s="394" t="s">
        <v>689</v>
      </c>
      <c r="EJ4" s="402"/>
      <c r="EK4" s="442" t="s">
        <v>687</v>
      </c>
      <c r="EL4" s="443"/>
      <c r="EM4" s="249" t="s">
        <v>690</v>
      </c>
      <c r="EN4" s="276"/>
      <c r="EO4" s="248"/>
      <c r="EP4" s="394" t="s">
        <v>689</v>
      </c>
      <c r="EQ4" s="402"/>
      <c r="ER4" s="442" t="s">
        <v>687</v>
      </c>
      <c r="ES4" s="443"/>
      <c r="ET4" s="249" t="s">
        <v>690</v>
      </c>
      <c r="EU4" s="276"/>
      <c r="EV4" s="248"/>
      <c r="EW4" s="394" t="s">
        <v>689</v>
      </c>
      <c r="EX4" s="402"/>
      <c r="EY4" s="442" t="s">
        <v>687</v>
      </c>
      <c r="EZ4" s="443"/>
      <c r="FA4" s="249" t="s">
        <v>690</v>
      </c>
      <c r="FB4" s="276"/>
      <c r="FC4" s="248"/>
      <c r="FD4" s="394" t="s">
        <v>689</v>
      </c>
      <c r="FE4" s="402"/>
      <c r="FF4" s="442" t="s">
        <v>687</v>
      </c>
      <c r="FG4" s="443"/>
      <c r="FH4" s="249" t="s">
        <v>690</v>
      </c>
      <c r="FI4" s="276"/>
      <c r="FJ4" s="248"/>
      <c r="FK4" s="394" t="s">
        <v>689</v>
      </c>
      <c r="FL4" s="402"/>
      <c r="FM4" s="442" t="s">
        <v>687</v>
      </c>
      <c r="FN4" s="443"/>
      <c r="FO4" s="249" t="s">
        <v>690</v>
      </c>
      <c r="FP4" s="276"/>
      <c r="FQ4" s="248"/>
      <c r="FR4" s="394" t="s">
        <v>689</v>
      </c>
      <c r="FS4" s="402"/>
      <c r="FT4" s="442" t="s">
        <v>687</v>
      </c>
      <c r="FU4" s="443"/>
      <c r="FV4" s="249" t="s">
        <v>690</v>
      </c>
      <c r="FW4" s="276"/>
      <c r="FX4" s="248"/>
      <c r="FY4" s="394" t="s">
        <v>689</v>
      </c>
      <c r="FZ4" s="402"/>
      <c r="GA4" s="442" t="s">
        <v>687</v>
      </c>
      <c r="GB4" s="443"/>
      <c r="GC4" s="249" t="s">
        <v>690</v>
      </c>
      <c r="GD4" s="276"/>
      <c r="GE4" s="248"/>
      <c r="GF4" s="394" t="s">
        <v>689</v>
      </c>
      <c r="GG4" s="402"/>
      <c r="GH4" s="442" t="s">
        <v>687</v>
      </c>
      <c r="GI4" s="443"/>
      <c r="GJ4" s="249" t="s">
        <v>690</v>
      </c>
      <c r="GK4" s="276"/>
      <c r="GL4" s="248"/>
      <c r="GM4" s="394" t="s">
        <v>689</v>
      </c>
      <c r="GN4" s="402"/>
      <c r="GO4" s="442" t="s">
        <v>687</v>
      </c>
      <c r="GP4" s="443"/>
      <c r="GQ4" s="249" t="s">
        <v>690</v>
      </c>
      <c r="GR4" s="276"/>
      <c r="GS4" s="248"/>
      <c r="GT4" s="394" t="s">
        <v>689</v>
      </c>
      <c r="GU4" s="402"/>
      <c r="GV4" s="442" t="s">
        <v>687</v>
      </c>
      <c r="GW4" s="443"/>
      <c r="GX4" s="249" t="s">
        <v>690</v>
      </c>
      <c r="GY4" s="263"/>
    </row>
    <row r="5" spans="1:207" s="196" customFormat="1" ht="16.05" customHeight="1" x14ac:dyDescent="0.3">
      <c r="A5" s="294"/>
      <c r="B5" s="306"/>
      <c r="C5" s="435"/>
      <c r="D5" s="270"/>
      <c r="E5" s="250"/>
      <c r="F5" s="448">
        <f>F10+F15+F20</f>
        <v>1528.5714285714284</v>
      </c>
      <c r="G5" s="449"/>
      <c r="H5" s="452">
        <f>H10+H15+H20</f>
        <v>749</v>
      </c>
      <c r="I5" s="447"/>
      <c r="J5" s="296">
        <f>IF(F5&lt;&gt;0,H5-F5,0)</f>
        <v>-779.57142857142844</v>
      </c>
      <c r="K5" s="276"/>
      <c r="L5" s="250"/>
      <c r="M5" s="448">
        <v>2500</v>
      </c>
      <c r="N5" s="449"/>
      <c r="O5" s="452">
        <f>O10+O15+O20</f>
        <v>3696</v>
      </c>
      <c r="P5" s="453"/>
      <c r="Q5" s="251">
        <f>IF(M5&lt;&gt;0,O5-M5,0)</f>
        <v>1196</v>
      </c>
      <c r="R5" s="276"/>
      <c r="S5" s="250"/>
      <c r="T5" s="448">
        <v>2500</v>
      </c>
      <c r="U5" s="449"/>
      <c r="V5" s="452">
        <f>V10+V15+V20</f>
        <v>3395</v>
      </c>
      <c r="W5" s="447"/>
      <c r="X5" s="251">
        <f>IF(T5&lt;&gt;0,V5-T5,0)</f>
        <v>895</v>
      </c>
      <c r="Y5" s="276"/>
      <c r="Z5" s="250"/>
      <c r="AA5" s="448">
        <f>AA10+AA15+AA20</f>
        <v>2216.6218749999998</v>
      </c>
      <c r="AB5" s="449"/>
      <c r="AC5" s="452">
        <f>AC10+AC15+AC20</f>
        <v>3325</v>
      </c>
      <c r="AD5" s="453"/>
      <c r="AE5" s="251">
        <f>IF(AA5&lt;&gt;0,AC5-AA5,0)</f>
        <v>1108.3781250000002</v>
      </c>
      <c r="AF5" s="276"/>
      <c r="AG5" s="250"/>
      <c r="AH5" s="448">
        <f>AH10+AH15+AH20</f>
        <v>0</v>
      </c>
      <c r="AI5" s="449"/>
      <c r="AJ5" s="452">
        <f>AJ10+AJ15+AJ20</f>
        <v>3255</v>
      </c>
      <c r="AK5" s="453"/>
      <c r="AL5" s="251">
        <f>IF(AH5&lt;&gt;0,AJ5-AH5,0)</f>
        <v>0</v>
      </c>
      <c r="AM5" s="276"/>
      <c r="AN5" s="250"/>
      <c r="AO5" s="448">
        <f>AO10+AO15+AO20</f>
        <v>0</v>
      </c>
      <c r="AP5" s="449"/>
      <c r="AQ5" s="452">
        <f>AQ10+AQ15+AQ20</f>
        <v>3325</v>
      </c>
      <c r="AR5" s="453"/>
      <c r="AS5" s="251">
        <f>IF(AO5&lt;&gt;0,AQ5-AO5,0)</f>
        <v>0</v>
      </c>
      <c r="AT5" s="276"/>
      <c r="AU5" s="250"/>
      <c r="AV5" s="448">
        <f>AV10+AV15+AV20</f>
        <v>0</v>
      </c>
      <c r="AW5" s="449"/>
      <c r="AX5" s="452">
        <f>AX10+AX15+AX20</f>
        <v>3283</v>
      </c>
      <c r="AY5" s="453"/>
      <c r="AZ5" s="251">
        <f>IF(AV5&lt;&gt;0,AX5-AV5,0)</f>
        <v>0</v>
      </c>
      <c r="BA5" s="276"/>
      <c r="BB5" s="250"/>
      <c r="BC5" s="448">
        <f>BC10+BC15+BC20</f>
        <v>0</v>
      </c>
      <c r="BD5" s="449"/>
      <c r="BE5" s="452">
        <f>BE10+BE15+BE20</f>
        <v>3255</v>
      </c>
      <c r="BF5" s="453"/>
      <c r="BG5" s="251">
        <f>IF(BC5&lt;&gt;0,BE5-BC5,0)</f>
        <v>0</v>
      </c>
      <c r="BH5" s="276"/>
      <c r="BI5" s="250"/>
      <c r="BJ5" s="448">
        <f>BJ10+BJ15+BJ20</f>
        <v>0</v>
      </c>
      <c r="BK5" s="449"/>
      <c r="BL5" s="452">
        <f>BL10+BL15+BL20</f>
        <v>3500</v>
      </c>
      <c r="BM5" s="453"/>
      <c r="BN5" s="251">
        <f>IF(BJ5&lt;&gt;0,BL5-BJ5,0)</f>
        <v>0</v>
      </c>
      <c r="BO5" s="276"/>
      <c r="BP5" s="250"/>
      <c r="BQ5" s="448">
        <f>BQ10+BQ15+BQ20</f>
        <v>0</v>
      </c>
      <c r="BR5" s="449"/>
      <c r="BS5" s="452">
        <f>BS10+BS15+BS20</f>
        <v>3500</v>
      </c>
      <c r="BT5" s="453"/>
      <c r="BU5" s="251">
        <f>IF(BQ5&lt;&gt;0,BS5-BQ5,0)</f>
        <v>0</v>
      </c>
      <c r="BV5" s="276"/>
      <c r="BW5" s="250"/>
      <c r="BX5" s="448">
        <f>BX10+BX15+BX20</f>
        <v>0</v>
      </c>
      <c r="BY5" s="449"/>
      <c r="BZ5" s="452">
        <f>BZ10+BZ15+BZ20</f>
        <v>3430</v>
      </c>
      <c r="CA5" s="453"/>
      <c r="CB5" s="251">
        <f>IF(BX5&lt;&gt;0,BZ5-BX5,0)</f>
        <v>0</v>
      </c>
      <c r="CC5" s="276"/>
      <c r="CD5" s="250"/>
      <c r="CE5" s="448">
        <f>CE10+CE15+CE20</f>
        <v>0</v>
      </c>
      <c r="CF5" s="449"/>
      <c r="CG5" s="452">
        <f>CG10+CG15+CG20</f>
        <v>3220</v>
      </c>
      <c r="CH5" s="453"/>
      <c r="CI5" s="251">
        <f>IF(CE5&lt;&gt;0,CG5-CE5,0)</f>
        <v>0</v>
      </c>
      <c r="CJ5" s="276"/>
      <c r="CK5" s="250"/>
      <c r="CL5" s="448">
        <f>CL10+CL15+CL20</f>
        <v>0</v>
      </c>
      <c r="CM5" s="449"/>
      <c r="CN5" s="452">
        <f>CN10+CN15+CN20</f>
        <v>3290</v>
      </c>
      <c r="CO5" s="453"/>
      <c r="CP5" s="251">
        <f>IF(CL5&lt;&gt;0,CN5-CL5,0)</f>
        <v>0</v>
      </c>
      <c r="CQ5" s="276"/>
      <c r="CR5" s="250"/>
      <c r="CS5" s="448">
        <f>CS10+CS15+CS20</f>
        <v>0</v>
      </c>
      <c r="CT5" s="449"/>
      <c r="CU5" s="452">
        <f>CU10+CU15+CU20</f>
        <v>3325</v>
      </c>
      <c r="CV5" s="453"/>
      <c r="CW5" s="251">
        <f>IF(CS5&lt;&gt;0,CU5-CS5,0)</f>
        <v>0</v>
      </c>
      <c r="CX5" s="276"/>
      <c r="CY5" s="250"/>
      <c r="CZ5" s="448">
        <f>CZ10+CZ15+CZ20</f>
        <v>0</v>
      </c>
      <c r="DA5" s="449"/>
      <c r="DB5" s="452">
        <f>DB10+DB15+DB20</f>
        <v>3199</v>
      </c>
      <c r="DC5" s="453"/>
      <c r="DD5" s="251">
        <f>IF(CZ5&lt;&gt;0,DB5-CZ5,0)</f>
        <v>0</v>
      </c>
      <c r="DE5" s="276"/>
      <c r="DF5" s="250"/>
      <c r="DG5" s="448"/>
      <c r="DH5" s="449"/>
      <c r="DI5" s="452">
        <f>DI10+DI15+DI20</f>
        <v>2800</v>
      </c>
      <c r="DJ5" s="453"/>
      <c r="DK5" s="251">
        <f>IF(DG5&lt;&gt;0,DI5-DG5,0)</f>
        <v>0</v>
      </c>
      <c r="DL5" s="276"/>
      <c r="DM5" s="250"/>
      <c r="DN5" s="448"/>
      <c r="DO5" s="449"/>
      <c r="DP5" s="452">
        <f>DP10+DP15+DP20</f>
        <v>2716</v>
      </c>
      <c r="DQ5" s="453"/>
      <c r="DR5" s="251">
        <f>IF(DN5&lt;&gt;0,DP5-DN5,0)</f>
        <v>0</v>
      </c>
      <c r="DS5" s="276"/>
      <c r="DT5" s="250"/>
      <c r="DU5" s="448"/>
      <c r="DV5" s="449"/>
      <c r="DW5" s="452">
        <f>DW10+DW15+DW20</f>
        <v>2583</v>
      </c>
      <c r="DX5" s="453"/>
      <c r="DY5" s="251">
        <f>IF(DU5&lt;&gt;0,DW5-DU5,0)</f>
        <v>0</v>
      </c>
      <c r="DZ5" s="276"/>
      <c r="EA5" s="250"/>
      <c r="EB5" s="448"/>
      <c r="EC5" s="449"/>
      <c r="ED5" s="452">
        <f>ED10+ED15+ED20</f>
        <v>2856</v>
      </c>
      <c r="EE5" s="453"/>
      <c r="EF5" s="251">
        <f>IF(EB5&lt;&gt;0,ED5-EB5,0)</f>
        <v>0</v>
      </c>
      <c r="EG5" s="276"/>
      <c r="EH5" s="250"/>
      <c r="EI5" s="448"/>
      <c r="EJ5" s="449"/>
      <c r="EK5" s="452">
        <f>EK10+EK15+EK20</f>
        <v>3066</v>
      </c>
      <c r="EL5" s="453"/>
      <c r="EM5" s="251">
        <f>IF(EI5&lt;&gt;0,EK5-EI5,0)</f>
        <v>0</v>
      </c>
      <c r="EN5" s="276"/>
      <c r="EO5" s="250"/>
      <c r="EP5" s="448"/>
      <c r="EQ5" s="449"/>
      <c r="ER5" s="452">
        <f>ER10+ER15+ER20</f>
        <v>3185</v>
      </c>
      <c r="ES5" s="453"/>
      <c r="ET5" s="251">
        <f>IF(EP5&lt;&gt;0,ER5-EP5,0)</f>
        <v>0</v>
      </c>
      <c r="EU5" s="276"/>
      <c r="EV5" s="250"/>
      <c r="EW5" s="448"/>
      <c r="EX5" s="449"/>
      <c r="EY5" s="452">
        <f>EY10+EY15+EY20</f>
        <v>2975</v>
      </c>
      <c r="EZ5" s="453"/>
      <c r="FA5" s="251">
        <f>IF(EW5&lt;&gt;0,EY5-EW5,0)</f>
        <v>0</v>
      </c>
      <c r="FB5" s="276"/>
      <c r="FC5" s="250"/>
      <c r="FD5" s="448"/>
      <c r="FE5" s="449"/>
      <c r="FF5" s="452">
        <f>FF10+FF15+FF20</f>
        <v>3150</v>
      </c>
      <c r="FG5" s="453"/>
      <c r="FH5" s="251">
        <f>IF(FD5&lt;&gt;0,FF5-FD5,0)</f>
        <v>0</v>
      </c>
      <c r="FI5" s="276"/>
      <c r="FJ5" s="250"/>
      <c r="FK5" s="448"/>
      <c r="FL5" s="449"/>
      <c r="FM5" s="452">
        <f>FM10+FM15+FM20</f>
        <v>2625</v>
      </c>
      <c r="FN5" s="453"/>
      <c r="FO5" s="251">
        <f>IF(FK5&lt;&gt;0,FM5-FK5,0)</f>
        <v>0</v>
      </c>
      <c r="FP5" s="276"/>
      <c r="FQ5" s="250"/>
      <c r="FR5" s="448"/>
      <c r="FS5" s="449"/>
      <c r="FT5" s="452">
        <f>FT10+FT15+FT20</f>
        <v>3045</v>
      </c>
      <c r="FU5" s="453"/>
      <c r="FV5" s="251">
        <f>IF(FR5&lt;&gt;0,FT5-FR5,0)</f>
        <v>0</v>
      </c>
      <c r="FW5" s="276"/>
      <c r="FX5" s="250"/>
      <c r="FY5" s="448"/>
      <c r="FZ5" s="449"/>
      <c r="GA5" s="452">
        <f>GA10+GA15+GA20</f>
        <v>3059</v>
      </c>
      <c r="GB5" s="453"/>
      <c r="GC5" s="251">
        <f>IF(FY5&lt;&gt;0,GA5-FY5,0)</f>
        <v>0</v>
      </c>
      <c r="GD5" s="276"/>
      <c r="GE5" s="250"/>
      <c r="GF5" s="448"/>
      <c r="GG5" s="449"/>
      <c r="GH5" s="452">
        <f>GH10+GH15+GH20</f>
        <v>2940</v>
      </c>
      <c r="GI5" s="453"/>
      <c r="GJ5" s="251">
        <f>IF(GF5&lt;&gt;0,GH5-GF5,0)</f>
        <v>0</v>
      </c>
      <c r="GK5" s="276"/>
      <c r="GL5" s="250"/>
      <c r="GM5" s="448"/>
      <c r="GN5" s="449"/>
      <c r="GO5" s="452">
        <f>GO10+GO15+GO20</f>
        <v>2870</v>
      </c>
      <c r="GP5" s="453"/>
      <c r="GQ5" s="251">
        <f>IF(GM5&lt;&gt;0,GO5-GM5,0)</f>
        <v>0</v>
      </c>
      <c r="GR5" s="276"/>
      <c r="GS5" s="250"/>
      <c r="GT5" s="448"/>
      <c r="GU5" s="449"/>
      <c r="GV5" s="452">
        <f>GV10+GV15+GV20</f>
        <v>2282</v>
      </c>
      <c r="GW5" s="453"/>
      <c r="GX5" s="251">
        <f>IF(GT5&lt;&gt;0,GV5-GT5,0)</f>
        <v>0</v>
      </c>
      <c r="GY5" s="263"/>
    </row>
    <row r="6" spans="1:207" s="196" customFormat="1" ht="16.05" customHeight="1" x14ac:dyDescent="0.3">
      <c r="A6" s="294"/>
      <c r="B6" s="306"/>
      <c r="C6" s="435"/>
      <c r="D6" s="270"/>
      <c r="E6" s="260" t="s">
        <v>692</v>
      </c>
      <c r="F6" s="400" t="s">
        <v>691</v>
      </c>
      <c r="G6" s="401"/>
      <c r="H6" s="440" t="s">
        <v>412</v>
      </c>
      <c r="I6" s="441"/>
      <c r="J6" s="252" t="s">
        <v>690</v>
      </c>
      <c r="K6" s="276"/>
      <c r="L6" s="260" t="s">
        <v>692</v>
      </c>
      <c r="M6" s="400" t="s">
        <v>691</v>
      </c>
      <c r="N6" s="401"/>
      <c r="O6" s="440" t="s">
        <v>412</v>
      </c>
      <c r="P6" s="441"/>
      <c r="Q6" s="252" t="s">
        <v>690</v>
      </c>
      <c r="R6" s="276"/>
      <c r="S6" s="260" t="s">
        <v>692</v>
      </c>
      <c r="T6" s="400" t="s">
        <v>691</v>
      </c>
      <c r="U6" s="401"/>
      <c r="V6" s="440" t="s">
        <v>412</v>
      </c>
      <c r="W6" s="441"/>
      <c r="X6" s="252" t="s">
        <v>690</v>
      </c>
      <c r="Y6" s="276"/>
      <c r="Z6" s="260" t="s">
        <v>692</v>
      </c>
      <c r="AA6" s="400" t="s">
        <v>691</v>
      </c>
      <c r="AB6" s="401"/>
      <c r="AC6" s="440" t="s">
        <v>412</v>
      </c>
      <c r="AD6" s="441"/>
      <c r="AE6" s="252" t="s">
        <v>690</v>
      </c>
      <c r="AF6" s="276"/>
      <c r="AG6" s="260" t="s">
        <v>692</v>
      </c>
      <c r="AH6" s="400" t="s">
        <v>691</v>
      </c>
      <c r="AI6" s="401"/>
      <c r="AJ6" s="440" t="s">
        <v>412</v>
      </c>
      <c r="AK6" s="441"/>
      <c r="AL6" s="252" t="s">
        <v>690</v>
      </c>
      <c r="AM6" s="276"/>
      <c r="AN6" s="260" t="s">
        <v>692</v>
      </c>
      <c r="AO6" s="400" t="s">
        <v>691</v>
      </c>
      <c r="AP6" s="401"/>
      <c r="AQ6" s="440" t="s">
        <v>412</v>
      </c>
      <c r="AR6" s="441"/>
      <c r="AS6" s="252" t="s">
        <v>690</v>
      </c>
      <c r="AT6" s="276"/>
      <c r="AU6" s="260" t="s">
        <v>692</v>
      </c>
      <c r="AV6" s="400" t="s">
        <v>691</v>
      </c>
      <c r="AW6" s="401"/>
      <c r="AX6" s="440" t="s">
        <v>412</v>
      </c>
      <c r="AY6" s="441"/>
      <c r="AZ6" s="252" t="s">
        <v>690</v>
      </c>
      <c r="BA6" s="276"/>
      <c r="BB6" s="260" t="s">
        <v>692</v>
      </c>
      <c r="BC6" s="400" t="s">
        <v>691</v>
      </c>
      <c r="BD6" s="401"/>
      <c r="BE6" s="440" t="s">
        <v>412</v>
      </c>
      <c r="BF6" s="441"/>
      <c r="BG6" s="252" t="s">
        <v>690</v>
      </c>
      <c r="BH6" s="276"/>
      <c r="BI6" s="260" t="s">
        <v>692</v>
      </c>
      <c r="BJ6" s="400" t="s">
        <v>691</v>
      </c>
      <c r="BK6" s="401"/>
      <c r="BL6" s="440" t="s">
        <v>412</v>
      </c>
      <c r="BM6" s="441"/>
      <c r="BN6" s="252" t="s">
        <v>690</v>
      </c>
      <c r="BO6" s="276"/>
      <c r="BP6" s="260" t="s">
        <v>692</v>
      </c>
      <c r="BQ6" s="400" t="s">
        <v>691</v>
      </c>
      <c r="BR6" s="401"/>
      <c r="BS6" s="440" t="s">
        <v>412</v>
      </c>
      <c r="BT6" s="441"/>
      <c r="BU6" s="252" t="s">
        <v>690</v>
      </c>
      <c r="BV6" s="276"/>
      <c r="BW6" s="260" t="s">
        <v>692</v>
      </c>
      <c r="BX6" s="400" t="s">
        <v>691</v>
      </c>
      <c r="BY6" s="401"/>
      <c r="BZ6" s="440" t="s">
        <v>412</v>
      </c>
      <c r="CA6" s="441"/>
      <c r="CB6" s="252" t="s">
        <v>690</v>
      </c>
      <c r="CC6" s="276"/>
      <c r="CD6" s="260" t="s">
        <v>692</v>
      </c>
      <c r="CE6" s="400" t="s">
        <v>691</v>
      </c>
      <c r="CF6" s="401"/>
      <c r="CG6" s="440" t="s">
        <v>412</v>
      </c>
      <c r="CH6" s="441"/>
      <c r="CI6" s="252" t="s">
        <v>690</v>
      </c>
      <c r="CJ6" s="276"/>
      <c r="CK6" s="260" t="s">
        <v>692</v>
      </c>
      <c r="CL6" s="400" t="s">
        <v>691</v>
      </c>
      <c r="CM6" s="401"/>
      <c r="CN6" s="440" t="s">
        <v>412</v>
      </c>
      <c r="CO6" s="441"/>
      <c r="CP6" s="252" t="s">
        <v>690</v>
      </c>
      <c r="CQ6" s="276"/>
      <c r="CR6" s="260" t="s">
        <v>692</v>
      </c>
      <c r="CS6" s="400" t="s">
        <v>691</v>
      </c>
      <c r="CT6" s="401"/>
      <c r="CU6" s="440" t="s">
        <v>412</v>
      </c>
      <c r="CV6" s="441"/>
      <c r="CW6" s="252" t="s">
        <v>690</v>
      </c>
      <c r="CX6" s="276"/>
      <c r="CY6" s="260" t="s">
        <v>692</v>
      </c>
      <c r="CZ6" s="400" t="s">
        <v>691</v>
      </c>
      <c r="DA6" s="401"/>
      <c r="DB6" s="440" t="s">
        <v>412</v>
      </c>
      <c r="DC6" s="441"/>
      <c r="DD6" s="252" t="s">
        <v>690</v>
      </c>
      <c r="DE6" s="276"/>
      <c r="DF6" s="260" t="s">
        <v>692</v>
      </c>
      <c r="DG6" s="400" t="s">
        <v>691</v>
      </c>
      <c r="DH6" s="401"/>
      <c r="DI6" s="440" t="s">
        <v>412</v>
      </c>
      <c r="DJ6" s="441"/>
      <c r="DK6" s="252" t="s">
        <v>690</v>
      </c>
      <c r="DL6" s="276"/>
      <c r="DM6" s="260" t="s">
        <v>692</v>
      </c>
      <c r="DN6" s="400" t="s">
        <v>691</v>
      </c>
      <c r="DO6" s="401"/>
      <c r="DP6" s="440" t="s">
        <v>412</v>
      </c>
      <c r="DQ6" s="441"/>
      <c r="DR6" s="252" t="s">
        <v>690</v>
      </c>
      <c r="DS6" s="276"/>
      <c r="DT6" s="260" t="s">
        <v>692</v>
      </c>
      <c r="DU6" s="400" t="s">
        <v>691</v>
      </c>
      <c r="DV6" s="401"/>
      <c r="DW6" s="440" t="s">
        <v>412</v>
      </c>
      <c r="DX6" s="441"/>
      <c r="DY6" s="252" t="s">
        <v>690</v>
      </c>
      <c r="DZ6" s="276"/>
      <c r="EA6" s="260" t="s">
        <v>692</v>
      </c>
      <c r="EB6" s="400" t="s">
        <v>691</v>
      </c>
      <c r="EC6" s="401"/>
      <c r="ED6" s="440" t="s">
        <v>412</v>
      </c>
      <c r="EE6" s="441"/>
      <c r="EF6" s="252" t="s">
        <v>690</v>
      </c>
      <c r="EG6" s="276"/>
      <c r="EH6" s="260" t="s">
        <v>692</v>
      </c>
      <c r="EI6" s="400" t="s">
        <v>691</v>
      </c>
      <c r="EJ6" s="401"/>
      <c r="EK6" s="440" t="s">
        <v>412</v>
      </c>
      <c r="EL6" s="441"/>
      <c r="EM6" s="252" t="s">
        <v>690</v>
      </c>
      <c r="EN6" s="276"/>
      <c r="EO6" s="260" t="s">
        <v>692</v>
      </c>
      <c r="EP6" s="400" t="s">
        <v>691</v>
      </c>
      <c r="EQ6" s="401"/>
      <c r="ER6" s="440" t="s">
        <v>412</v>
      </c>
      <c r="ES6" s="441"/>
      <c r="ET6" s="252" t="s">
        <v>690</v>
      </c>
      <c r="EU6" s="276"/>
      <c r="EV6" s="260" t="s">
        <v>692</v>
      </c>
      <c r="EW6" s="400" t="s">
        <v>691</v>
      </c>
      <c r="EX6" s="401"/>
      <c r="EY6" s="440" t="s">
        <v>412</v>
      </c>
      <c r="EZ6" s="441"/>
      <c r="FA6" s="252" t="s">
        <v>690</v>
      </c>
      <c r="FB6" s="276"/>
      <c r="FC6" s="260" t="s">
        <v>692</v>
      </c>
      <c r="FD6" s="400" t="s">
        <v>691</v>
      </c>
      <c r="FE6" s="401"/>
      <c r="FF6" s="440" t="s">
        <v>412</v>
      </c>
      <c r="FG6" s="441"/>
      <c r="FH6" s="252" t="s">
        <v>690</v>
      </c>
      <c r="FI6" s="276"/>
      <c r="FJ6" s="260" t="s">
        <v>692</v>
      </c>
      <c r="FK6" s="400" t="s">
        <v>691</v>
      </c>
      <c r="FL6" s="401"/>
      <c r="FM6" s="440" t="s">
        <v>412</v>
      </c>
      <c r="FN6" s="441"/>
      <c r="FO6" s="252" t="s">
        <v>690</v>
      </c>
      <c r="FP6" s="276"/>
      <c r="FQ6" s="260" t="s">
        <v>692</v>
      </c>
      <c r="FR6" s="400" t="s">
        <v>691</v>
      </c>
      <c r="FS6" s="401"/>
      <c r="FT6" s="440" t="s">
        <v>412</v>
      </c>
      <c r="FU6" s="441"/>
      <c r="FV6" s="252" t="s">
        <v>690</v>
      </c>
      <c r="FW6" s="276"/>
      <c r="FX6" s="260" t="s">
        <v>692</v>
      </c>
      <c r="FY6" s="400" t="s">
        <v>691</v>
      </c>
      <c r="FZ6" s="401"/>
      <c r="GA6" s="440" t="s">
        <v>412</v>
      </c>
      <c r="GB6" s="441"/>
      <c r="GC6" s="252" t="s">
        <v>690</v>
      </c>
      <c r="GD6" s="276"/>
      <c r="GE6" s="260" t="s">
        <v>692</v>
      </c>
      <c r="GF6" s="400" t="s">
        <v>691</v>
      </c>
      <c r="GG6" s="401"/>
      <c r="GH6" s="440" t="s">
        <v>412</v>
      </c>
      <c r="GI6" s="441"/>
      <c r="GJ6" s="252" t="s">
        <v>690</v>
      </c>
      <c r="GK6" s="276"/>
      <c r="GL6" s="260" t="s">
        <v>692</v>
      </c>
      <c r="GM6" s="400" t="s">
        <v>691</v>
      </c>
      <c r="GN6" s="401"/>
      <c r="GO6" s="440" t="s">
        <v>412</v>
      </c>
      <c r="GP6" s="441"/>
      <c r="GQ6" s="252" t="s">
        <v>690</v>
      </c>
      <c r="GR6" s="276"/>
      <c r="GS6" s="260" t="s">
        <v>692</v>
      </c>
      <c r="GT6" s="400" t="s">
        <v>691</v>
      </c>
      <c r="GU6" s="401"/>
      <c r="GV6" s="440" t="s">
        <v>412</v>
      </c>
      <c r="GW6" s="441"/>
      <c r="GX6" s="252" t="s">
        <v>690</v>
      </c>
      <c r="GY6" s="263"/>
    </row>
    <row r="7" spans="1:207" s="196" customFormat="1" ht="16.05" customHeight="1" thickBot="1" x14ac:dyDescent="0.35">
      <c r="A7" s="294"/>
      <c r="B7" s="306"/>
      <c r="C7" s="436"/>
      <c r="D7" s="271"/>
      <c r="E7" s="278">
        <f>E12+E17+E22</f>
        <v>107</v>
      </c>
      <c r="F7" s="388">
        <f>F12+F17+F22</f>
        <v>450000</v>
      </c>
      <c r="G7" s="437"/>
      <c r="H7" s="438">
        <f>H12+H17+H22</f>
        <v>225400</v>
      </c>
      <c r="I7" s="439"/>
      <c r="J7" s="253">
        <f>IF(F7&lt;&gt;0,H7-F7,0)</f>
        <v>-224600</v>
      </c>
      <c r="K7" s="276"/>
      <c r="L7" s="278">
        <f>L12+L17+L22</f>
        <v>105.6</v>
      </c>
      <c r="M7" s="388">
        <f>M12+M17+M22</f>
        <v>204393</v>
      </c>
      <c r="N7" s="437"/>
      <c r="O7" s="438">
        <f>O12+O17+O22</f>
        <v>1112300</v>
      </c>
      <c r="P7" s="439"/>
      <c r="Q7" s="253">
        <f>IF(M7&lt;&gt;0,O7-M7,0)</f>
        <v>907907</v>
      </c>
      <c r="R7" s="276"/>
      <c r="S7" s="278">
        <f>S12+S17+S22</f>
        <v>97</v>
      </c>
      <c r="T7" s="388">
        <f>T12+T17+T22</f>
        <v>204393</v>
      </c>
      <c r="U7" s="437"/>
      <c r="V7" s="438">
        <f>V12+V17+V22</f>
        <v>1132250</v>
      </c>
      <c r="W7" s="439"/>
      <c r="X7" s="253">
        <f>IF(T7&lt;&gt;0,V7-T7,0)</f>
        <v>927857</v>
      </c>
      <c r="Y7" s="276"/>
      <c r="Z7" s="278">
        <f>Z12+Z17+Z22</f>
        <v>95</v>
      </c>
      <c r="AA7" s="388">
        <f>AA12+AA17+AA22</f>
        <v>709319</v>
      </c>
      <c r="AB7" s="437"/>
      <c r="AC7" s="438">
        <f>AC12+AC17+AC22</f>
        <v>1064000</v>
      </c>
      <c r="AD7" s="439"/>
      <c r="AE7" s="253">
        <f>IF(AA7&lt;&gt;0,AC7-AA7,0)</f>
        <v>354681</v>
      </c>
      <c r="AF7" s="276"/>
      <c r="AG7" s="278">
        <f>AG12+AG17+AG22</f>
        <v>93</v>
      </c>
      <c r="AH7" s="388"/>
      <c r="AI7" s="437"/>
      <c r="AJ7" s="438">
        <f>AJ12+AJ17+AJ22</f>
        <v>985250</v>
      </c>
      <c r="AK7" s="439"/>
      <c r="AL7" s="253">
        <f>IF(AH7&lt;&gt;0,AJ7-AH7,0)</f>
        <v>0</v>
      </c>
      <c r="AM7" s="276"/>
      <c r="AN7" s="278">
        <f>AN12+AN17+AN22</f>
        <v>95</v>
      </c>
      <c r="AO7" s="388"/>
      <c r="AP7" s="437"/>
      <c r="AQ7" s="438">
        <f>AQ12+AQ17+AQ22</f>
        <v>1006250</v>
      </c>
      <c r="AR7" s="439"/>
      <c r="AS7" s="253">
        <f>IF(AO7&lt;&gt;0,AQ7-AO7,0)</f>
        <v>0</v>
      </c>
      <c r="AT7" s="276"/>
      <c r="AU7" s="278">
        <f>AU12+AU17+AU22</f>
        <v>93.8</v>
      </c>
      <c r="AV7" s="388"/>
      <c r="AW7" s="437"/>
      <c r="AX7" s="438">
        <f>AX12+AX17+AX22</f>
        <v>989800</v>
      </c>
      <c r="AY7" s="439"/>
      <c r="AZ7" s="253">
        <f>IF(AV7&lt;&gt;0,AX7-AV7,0)</f>
        <v>0</v>
      </c>
      <c r="BA7" s="276"/>
      <c r="BB7" s="278">
        <f>BB12+BB17+BB22</f>
        <v>93</v>
      </c>
      <c r="BC7" s="388"/>
      <c r="BD7" s="437"/>
      <c r="BE7" s="438">
        <f>BE12+BE17+BE22</f>
        <v>981750</v>
      </c>
      <c r="BF7" s="439"/>
      <c r="BG7" s="253">
        <f>IF(BC7&lt;&gt;0,BE7-BC7,0)</f>
        <v>0</v>
      </c>
      <c r="BH7" s="276"/>
      <c r="BI7" s="278">
        <f>BI12+BI17+BI22</f>
        <v>100</v>
      </c>
      <c r="BJ7" s="388"/>
      <c r="BK7" s="437"/>
      <c r="BL7" s="438">
        <f>BL12+BL17+BL22</f>
        <v>1060500</v>
      </c>
      <c r="BM7" s="439"/>
      <c r="BN7" s="253">
        <f>IF(BJ7&lt;&gt;0,BL7-BJ7,0)</f>
        <v>0</v>
      </c>
      <c r="BO7" s="276"/>
      <c r="BP7" s="278">
        <f>BP12+BP17+BP22</f>
        <v>100</v>
      </c>
      <c r="BQ7" s="388"/>
      <c r="BR7" s="437"/>
      <c r="BS7" s="438">
        <f>BS12+BS17+BS22</f>
        <v>1057000</v>
      </c>
      <c r="BT7" s="439"/>
      <c r="BU7" s="253">
        <f>IF(BQ7&lt;&gt;0,BS7-BQ7,0)</f>
        <v>0</v>
      </c>
      <c r="BV7" s="276"/>
      <c r="BW7" s="278">
        <f>BW12+BW17+BW22</f>
        <v>98</v>
      </c>
      <c r="BX7" s="388"/>
      <c r="BY7" s="437"/>
      <c r="BZ7" s="438">
        <f>BZ12+BZ17+BZ22</f>
        <v>1032500</v>
      </c>
      <c r="CA7" s="439"/>
      <c r="CB7" s="253">
        <f>IF(BX7&lt;&gt;0,BZ7-BX7,0)</f>
        <v>0</v>
      </c>
      <c r="CC7" s="276"/>
      <c r="CD7" s="278">
        <f>CD12+CD17+CD22</f>
        <v>92</v>
      </c>
      <c r="CE7" s="388"/>
      <c r="CF7" s="437"/>
      <c r="CG7" s="438">
        <f>CG12+CG17+CG22</f>
        <v>980000</v>
      </c>
      <c r="CH7" s="439"/>
      <c r="CI7" s="253">
        <f>IF(CE7&lt;&gt;0,CG7-CE7,0)</f>
        <v>0</v>
      </c>
      <c r="CJ7" s="276"/>
      <c r="CK7" s="278">
        <f>CK12+CK17+CK22</f>
        <v>94</v>
      </c>
      <c r="CL7" s="388"/>
      <c r="CM7" s="437"/>
      <c r="CN7" s="438">
        <f>CN12+CN17+CN22</f>
        <v>999250</v>
      </c>
      <c r="CO7" s="439"/>
      <c r="CP7" s="253">
        <f>IF(CL7&lt;&gt;0,CN7-CL7,0)</f>
        <v>0</v>
      </c>
      <c r="CQ7" s="276"/>
      <c r="CR7" s="278">
        <f>CR12+CR17+CR22</f>
        <v>95</v>
      </c>
      <c r="CS7" s="388"/>
      <c r="CT7" s="437"/>
      <c r="CU7" s="438">
        <f>CU12+CU17+CU22</f>
        <v>1009750</v>
      </c>
      <c r="CV7" s="439"/>
      <c r="CW7" s="253">
        <f>IF(CS7&lt;&gt;0,CU7-CS7,0)</f>
        <v>0</v>
      </c>
      <c r="CX7" s="276"/>
      <c r="CY7" s="278">
        <f>CY12+CY17+CY22</f>
        <v>91.4</v>
      </c>
      <c r="CZ7" s="388"/>
      <c r="DA7" s="437"/>
      <c r="DB7" s="438">
        <f>DB12+DB17+DB22</f>
        <v>966000</v>
      </c>
      <c r="DC7" s="439"/>
      <c r="DD7" s="253">
        <f>IF(CZ7&lt;&gt;0,DB7-CZ7,0)</f>
        <v>0</v>
      </c>
      <c r="DE7" s="276"/>
      <c r="DF7" s="278">
        <f>DF12+DF17+DF22</f>
        <v>80</v>
      </c>
      <c r="DG7" s="388"/>
      <c r="DH7" s="437"/>
      <c r="DI7" s="438">
        <f>DI12+DI17+DI22</f>
        <v>845250</v>
      </c>
      <c r="DJ7" s="439"/>
      <c r="DK7" s="253">
        <f>IF(DG7&lt;&gt;0,DI7-DG7,0)</f>
        <v>0</v>
      </c>
      <c r="DL7" s="276"/>
      <c r="DM7" s="278">
        <f>DM12+DM17+DM22</f>
        <v>77.599999999999994</v>
      </c>
      <c r="DN7" s="388"/>
      <c r="DO7" s="437"/>
      <c r="DP7" s="438">
        <f>DP12+DP17+DP22</f>
        <v>812700</v>
      </c>
      <c r="DQ7" s="439"/>
      <c r="DR7" s="253">
        <f>IF(DN7&lt;&gt;0,DP7-DN7,0)</f>
        <v>0</v>
      </c>
      <c r="DS7" s="276"/>
      <c r="DT7" s="278">
        <f>DT12+DT17+DT22</f>
        <v>73.8</v>
      </c>
      <c r="DU7" s="388"/>
      <c r="DV7" s="437"/>
      <c r="DW7" s="438">
        <f>DW12+DW17+DW22</f>
        <v>782950</v>
      </c>
      <c r="DX7" s="439"/>
      <c r="DY7" s="253">
        <f>IF(DU7&lt;&gt;0,DW7-DU7,0)</f>
        <v>0</v>
      </c>
      <c r="DZ7" s="276"/>
      <c r="EA7" s="278">
        <f>EA12+EA17+EA22</f>
        <v>81.599999999999994</v>
      </c>
      <c r="EB7" s="388"/>
      <c r="EC7" s="437"/>
      <c r="ED7" s="438">
        <f>ED12+ED17+ED22</f>
        <v>864500</v>
      </c>
      <c r="EE7" s="439"/>
      <c r="EF7" s="253">
        <f>IF(EB7&lt;&gt;0,ED7-EB7,0)</f>
        <v>0</v>
      </c>
      <c r="EG7" s="276"/>
      <c r="EH7" s="278">
        <f>EH12+EH17+EH22</f>
        <v>87.6</v>
      </c>
      <c r="EI7" s="388"/>
      <c r="EJ7" s="437"/>
      <c r="EK7" s="438">
        <f>EK12+EK17+EK22</f>
        <v>927850</v>
      </c>
      <c r="EL7" s="439"/>
      <c r="EM7" s="253">
        <f>IF(EI7&lt;&gt;0,EK7-EI7,0)</f>
        <v>0</v>
      </c>
      <c r="EN7" s="276"/>
      <c r="EO7" s="278">
        <f>EO12+EO17+EO22</f>
        <v>91</v>
      </c>
      <c r="EP7" s="388"/>
      <c r="EQ7" s="437"/>
      <c r="ER7" s="438">
        <f>ER12+ER17+ER22</f>
        <v>957250</v>
      </c>
      <c r="ES7" s="439"/>
      <c r="ET7" s="253">
        <f>IF(EP7&lt;&gt;0,ER7-EP7,0)</f>
        <v>0</v>
      </c>
      <c r="EU7" s="276"/>
      <c r="EV7" s="278">
        <f>EV12+EV17+EV22</f>
        <v>85</v>
      </c>
      <c r="EW7" s="388"/>
      <c r="EX7" s="437"/>
      <c r="EY7" s="438">
        <f>EY12+EY17+EY22</f>
        <v>896000</v>
      </c>
      <c r="EZ7" s="439"/>
      <c r="FA7" s="253">
        <f>IF(EW7&lt;&gt;0,EY7-EW7,0)</f>
        <v>0</v>
      </c>
      <c r="FB7" s="276"/>
      <c r="FC7" s="278">
        <f>FC12+FC17+FC22</f>
        <v>90</v>
      </c>
      <c r="FD7" s="388"/>
      <c r="FE7" s="437"/>
      <c r="FF7" s="438">
        <f>FF12+FF17+FF22</f>
        <v>953750</v>
      </c>
      <c r="FG7" s="439"/>
      <c r="FH7" s="253">
        <f>IF(FD7&lt;&gt;0,FF7-FD7,0)</f>
        <v>0</v>
      </c>
      <c r="FI7" s="276"/>
      <c r="FJ7" s="278">
        <f>FJ12+FJ17+FJ22</f>
        <v>75</v>
      </c>
      <c r="FK7" s="388"/>
      <c r="FL7" s="437"/>
      <c r="FM7" s="438">
        <f>FM12+FM17+FM22</f>
        <v>789950</v>
      </c>
      <c r="FN7" s="439"/>
      <c r="FO7" s="253">
        <f>IF(FK7&lt;&gt;0,FM7-FK7,0)</f>
        <v>0</v>
      </c>
      <c r="FP7" s="276"/>
      <c r="FQ7" s="278">
        <f>FQ12+FQ17+FQ22</f>
        <v>87</v>
      </c>
      <c r="FR7" s="388"/>
      <c r="FS7" s="437"/>
      <c r="FT7" s="438">
        <f>FT12+FT17+FT22</f>
        <v>913500</v>
      </c>
      <c r="FU7" s="439"/>
      <c r="FV7" s="253">
        <f>IF(FR7&lt;&gt;0,FT7-FR7,0)</f>
        <v>0</v>
      </c>
      <c r="FW7" s="276"/>
      <c r="FX7" s="278">
        <f>FX12+FX17+FX22</f>
        <v>87.4</v>
      </c>
      <c r="FY7" s="388"/>
      <c r="FZ7" s="437"/>
      <c r="GA7" s="438">
        <f>GA12+GA17+GA22</f>
        <v>917000</v>
      </c>
      <c r="GB7" s="439"/>
      <c r="GC7" s="253">
        <f>IF(FY7&lt;&gt;0,GA7-FY7,0)</f>
        <v>0</v>
      </c>
      <c r="GD7" s="276"/>
      <c r="GE7" s="278">
        <f>GE12+GE17+GE22</f>
        <v>84</v>
      </c>
      <c r="GF7" s="388"/>
      <c r="GG7" s="437"/>
      <c r="GH7" s="438">
        <f>GH12+GH17+GH22</f>
        <v>887250</v>
      </c>
      <c r="GI7" s="439"/>
      <c r="GJ7" s="253">
        <f>IF(GF7&lt;&gt;0,GH7-GF7,0)</f>
        <v>0</v>
      </c>
      <c r="GK7" s="276"/>
      <c r="GL7" s="278">
        <f>GL12+GL17+GL22</f>
        <v>82</v>
      </c>
      <c r="GM7" s="388"/>
      <c r="GN7" s="437"/>
      <c r="GO7" s="438">
        <f>GO12+GO17+GO22</f>
        <v>862750</v>
      </c>
      <c r="GP7" s="439"/>
      <c r="GQ7" s="253">
        <f>IF(GM7&lt;&gt;0,GO7-GM7,0)</f>
        <v>0</v>
      </c>
      <c r="GR7" s="276"/>
      <c r="GS7" s="278">
        <f>GS12+GS17+GS22</f>
        <v>65.2</v>
      </c>
      <c r="GT7" s="388"/>
      <c r="GU7" s="437"/>
      <c r="GV7" s="438">
        <f>GV12+GV17+GV22</f>
        <v>688100</v>
      </c>
      <c r="GW7" s="439"/>
      <c r="GX7" s="253">
        <f>IF(GT7&lt;&gt;0,GV7-GT7,0)</f>
        <v>0</v>
      </c>
      <c r="GY7" s="263"/>
    </row>
    <row r="8" spans="1:207" s="110" customFormat="1" ht="27.6" customHeight="1" thickBot="1" x14ac:dyDescent="0.35">
      <c r="A8" s="294"/>
      <c r="B8" s="306"/>
      <c r="C8" s="310"/>
      <c r="D8" s="272"/>
      <c r="E8" s="264"/>
      <c r="F8" s="277"/>
      <c r="G8" s="277"/>
      <c r="H8" s="277"/>
      <c r="I8" s="277"/>
      <c r="J8" s="277"/>
      <c r="K8" s="263"/>
      <c r="L8" s="264"/>
      <c r="M8" s="277"/>
      <c r="N8" s="277"/>
      <c r="O8" s="277"/>
      <c r="P8" s="277"/>
      <c r="Q8" s="277"/>
      <c r="R8" s="263"/>
      <c r="S8" s="264"/>
      <c r="T8" s="277"/>
      <c r="U8" s="277"/>
      <c r="V8" s="277"/>
      <c r="W8" s="277"/>
      <c r="X8" s="277"/>
      <c r="Y8" s="263"/>
      <c r="Z8" s="264"/>
      <c r="AA8" s="277"/>
      <c r="AB8" s="277"/>
      <c r="AC8" s="277"/>
      <c r="AD8" s="277"/>
      <c r="AE8" s="277"/>
      <c r="AF8" s="263"/>
      <c r="AG8" s="264"/>
      <c r="AH8" s="277"/>
      <c r="AI8" s="277"/>
      <c r="AJ8" s="277"/>
      <c r="AK8" s="277"/>
      <c r="AL8" s="277"/>
      <c r="AM8" s="263"/>
      <c r="AN8" s="264"/>
      <c r="AO8" s="277"/>
      <c r="AP8" s="277"/>
      <c r="AQ8" s="277"/>
      <c r="AR8" s="277"/>
      <c r="AS8" s="277"/>
      <c r="AT8" s="263"/>
      <c r="AU8" s="264"/>
      <c r="AV8" s="277"/>
      <c r="AW8" s="277"/>
      <c r="AX8" s="277"/>
      <c r="AY8" s="277"/>
      <c r="AZ8" s="277"/>
      <c r="BA8" s="263"/>
      <c r="BB8" s="264"/>
      <c r="BC8" s="277"/>
      <c r="BD8" s="277"/>
      <c r="BE8" s="277"/>
      <c r="BF8" s="277"/>
      <c r="BG8" s="277"/>
      <c r="BH8" s="263"/>
      <c r="BI8" s="264"/>
      <c r="BJ8" s="277"/>
      <c r="BK8" s="277"/>
      <c r="BL8" s="277"/>
      <c r="BM8" s="277"/>
      <c r="BN8" s="277"/>
      <c r="BO8" s="263"/>
      <c r="BP8" s="264"/>
      <c r="BQ8" s="277"/>
      <c r="BR8" s="277"/>
      <c r="BS8" s="277"/>
      <c r="BT8" s="277"/>
      <c r="BU8" s="277"/>
      <c r="BV8" s="263"/>
      <c r="BW8" s="264"/>
      <c r="BX8" s="277"/>
      <c r="BY8" s="277"/>
      <c r="BZ8" s="277"/>
      <c r="CA8" s="277"/>
      <c r="CB8" s="277"/>
      <c r="CC8" s="263"/>
      <c r="CD8" s="264"/>
      <c r="CE8" s="277"/>
      <c r="CF8" s="277"/>
      <c r="CG8" s="277"/>
      <c r="CH8" s="277"/>
      <c r="CI8" s="277"/>
      <c r="CJ8" s="263"/>
      <c r="CK8" s="264"/>
      <c r="CL8" s="277"/>
      <c r="CM8" s="277"/>
      <c r="CN8" s="277"/>
      <c r="CO8" s="277"/>
      <c r="CP8" s="277"/>
      <c r="CQ8" s="263"/>
      <c r="CR8" s="264"/>
      <c r="CS8" s="277"/>
      <c r="CT8" s="277"/>
      <c r="CU8" s="277"/>
      <c r="CV8" s="277"/>
      <c r="CW8" s="277"/>
      <c r="CX8" s="263"/>
      <c r="CY8" s="264"/>
      <c r="CZ8" s="277"/>
      <c r="DA8" s="277"/>
      <c r="DB8" s="277"/>
      <c r="DC8" s="277"/>
      <c r="DD8" s="277"/>
      <c r="DE8" s="263"/>
      <c r="DF8" s="264"/>
      <c r="DG8" s="277"/>
      <c r="DH8" s="277"/>
      <c r="DI8" s="277"/>
      <c r="DJ8" s="277"/>
      <c r="DK8" s="277"/>
      <c r="DL8" s="263"/>
      <c r="DM8" s="264"/>
      <c r="DN8" s="277"/>
      <c r="DO8" s="277"/>
      <c r="DP8" s="277"/>
      <c r="DQ8" s="277"/>
      <c r="DR8" s="277"/>
      <c r="DS8" s="263"/>
      <c r="DT8" s="264"/>
      <c r="DU8" s="277"/>
      <c r="DV8" s="277"/>
      <c r="DW8" s="277"/>
      <c r="DX8" s="277"/>
      <c r="DY8" s="277"/>
      <c r="DZ8" s="263"/>
      <c r="EA8" s="264"/>
      <c r="EB8" s="277"/>
      <c r="EC8" s="277"/>
      <c r="ED8" s="277"/>
      <c r="EE8" s="277"/>
      <c r="EF8" s="277"/>
      <c r="EG8" s="263"/>
      <c r="EH8" s="264"/>
      <c r="EI8" s="277"/>
      <c r="EJ8" s="277"/>
      <c r="EK8" s="277"/>
      <c r="EL8" s="277"/>
      <c r="EM8" s="277"/>
      <c r="EN8" s="263"/>
      <c r="EO8" s="264"/>
      <c r="EP8" s="277"/>
      <c r="EQ8" s="277"/>
      <c r="ER8" s="277"/>
      <c r="ES8" s="277"/>
      <c r="ET8" s="277"/>
      <c r="EU8" s="263"/>
      <c r="EV8" s="264"/>
      <c r="EW8" s="277"/>
      <c r="EX8" s="277"/>
      <c r="EY8" s="277"/>
      <c r="EZ8" s="277"/>
      <c r="FA8" s="277"/>
      <c r="FB8" s="263"/>
      <c r="FC8" s="264"/>
      <c r="FD8" s="277"/>
      <c r="FE8" s="277"/>
      <c r="FF8" s="277"/>
      <c r="FG8" s="277"/>
      <c r="FH8" s="277"/>
      <c r="FI8" s="263"/>
      <c r="FJ8" s="264"/>
      <c r="FK8" s="277"/>
      <c r="FL8" s="277"/>
      <c r="FM8" s="277"/>
      <c r="FN8" s="277"/>
      <c r="FO8" s="277"/>
      <c r="FP8" s="263"/>
      <c r="FQ8" s="264"/>
      <c r="FR8" s="277"/>
      <c r="FS8" s="277"/>
      <c r="FT8" s="277"/>
      <c r="FU8" s="277"/>
      <c r="FV8" s="277"/>
      <c r="FW8" s="263"/>
      <c r="FX8" s="264"/>
      <c r="FY8" s="277"/>
      <c r="FZ8" s="277"/>
      <c r="GA8" s="277"/>
      <c r="GB8" s="277"/>
      <c r="GC8" s="277"/>
      <c r="GD8" s="263"/>
      <c r="GE8" s="264"/>
      <c r="GF8" s="277"/>
      <c r="GG8" s="277"/>
      <c r="GH8" s="277"/>
      <c r="GI8" s="277"/>
      <c r="GJ8" s="277"/>
      <c r="GK8" s="263"/>
      <c r="GL8" s="264"/>
      <c r="GM8" s="277"/>
      <c r="GN8" s="277"/>
      <c r="GO8" s="277"/>
      <c r="GP8" s="277"/>
      <c r="GQ8" s="277"/>
      <c r="GR8" s="263"/>
      <c r="GS8" s="264"/>
      <c r="GT8" s="277"/>
      <c r="GU8" s="277"/>
      <c r="GV8" s="277"/>
      <c r="GW8" s="277"/>
      <c r="GX8" s="277"/>
      <c r="GY8" s="263"/>
    </row>
    <row r="9" spans="1:207" s="196" customFormat="1" ht="16.05" customHeight="1" x14ac:dyDescent="0.3">
      <c r="A9" s="294"/>
      <c r="B9" s="308"/>
      <c r="C9" s="454" t="s">
        <v>60</v>
      </c>
      <c r="D9" s="273"/>
      <c r="E9" s="266" t="s">
        <v>688</v>
      </c>
      <c r="F9" s="394" t="s">
        <v>689</v>
      </c>
      <c r="G9" s="402"/>
      <c r="H9" s="442" t="s">
        <v>687</v>
      </c>
      <c r="I9" s="443"/>
      <c r="J9" s="261" t="s">
        <v>690</v>
      </c>
      <c r="K9" s="265"/>
      <c r="L9" s="298" t="s">
        <v>688</v>
      </c>
      <c r="M9" s="394" t="s">
        <v>689</v>
      </c>
      <c r="N9" s="402"/>
      <c r="O9" s="442" t="s">
        <v>687</v>
      </c>
      <c r="P9" s="443"/>
      <c r="Q9" s="261" t="s">
        <v>690</v>
      </c>
      <c r="R9" s="265"/>
      <c r="S9" s="298" t="s">
        <v>688</v>
      </c>
      <c r="T9" s="394" t="s">
        <v>689</v>
      </c>
      <c r="U9" s="402"/>
      <c r="V9" s="442" t="s">
        <v>687</v>
      </c>
      <c r="W9" s="443"/>
      <c r="X9" s="261" t="s">
        <v>690</v>
      </c>
      <c r="Y9" s="265"/>
      <c r="Z9" s="298" t="s">
        <v>688</v>
      </c>
      <c r="AA9" s="394" t="s">
        <v>689</v>
      </c>
      <c r="AB9" s="402"/>
      <c r="AC9" s="442" t="s">
        <v>687</v>
      </c>
      <c r="AD9" s="443"/>
      <c r="AE9" s="261" t="s">
        <v>690</v>
      </c>
      <c r="AF9" s="265"/>
      <c r="AG9" s="298" t="s">
        <v>688</v>
      </c>
      <c r="AH9" s="394" t="s">
        <v>689</v>
      </c>
      <c r="AI9" s="402"/>
      <c r="AJ9" s="442" t="s">
        <v>687</v>
      </c>
      <c r="AK9" s="443"/>
      <c r="AL9" s="261" t="s">
        <v>690</v>
      </c>
      <c r="AM9" s="265"/>
      <c r="AN9" s="298" t="s">
        <v>688</v>
      </c>
      <c r="AO9" s="394" t="s">
        <v>689</v>
      </c>
      <c r="AP9" s="402"/>
      <c r="AQ9" s="442" t="s">
        <v>687</v>
      </c>
      <c r="AR9" s="443"/>
      <c r="AS9" s="261" t="s">
        <v>690</v>
      </c>
      <c r="AT9" s="265"/>
      <c r="AU9" s="298" t="s">
        <v>688</v>
      </c>
      <c r="AV9" s="394" t="s">
        <v>689</v>
      </c>
      <c r="AW9" s="402"/>
      <c r="AX9" s="442" t="s">
        <v>687</v>
      </c>
      <c r="AY9" s="443"/>
      <c r="AZ9" s="261" t="s">
        <v>690</v>
      </c>
      <c r="BA9" s="265"/>
      <c r="BB9" s="298" t="s">
        <v>688</v>
      </c>
      <c r="BC9" s="394" t="s">
        <v>689</v>
      </c>
      <c r="BD9" s="402"/>
      <c r="BE9" s="442" t="s">
        <v>687</v>
      </c>
      <c r="BF9" s="443"/>
      <c r="BG9" s="261" t="s">
        <v>690</v>
      </c>
      <c r="BH9" s="265"/>
      <c r="BI9" s="298" t="s">
        <v>688</v>
      </c>
      <c r="BJ9" s="394" t="s">
        <v>689</v>
      </c>
      <c r="BK9" s="402"/>
      <c r="BL9" s="442" t="s">
        <v>687</v>
      </c>
      <c r="BM9" s="443"/>
      <c r="BN9" s="261" t="s">
        <v>690</v>
      </c>
      <c r="BO9" s="265"/>
      <c r="BP9" s="298" t="s">
        <v>688</v>
      </c>
      <c r="BQ9" s="394" t="s">
        <v>689</v>
      </c>
      <c r="BR9" s="402"/>
      <c r="BS9" s="442" t="s">
        <v>687</v>
      </c>
      <c r="BT9" s="443"/>
      <c r="BU9" s="261" t="s">
        <v>690</v>
      </c>
      <c r="BV9" s="265"/>
      <c r="BW9" s="298" t="s">
        <v>688</v>
      </c>
      <c r="BX9" s="394" t="s">
        <v>689</v>
      </c>
      <c r="BY9" s="402"/>
      <c r="BZ9" s="442" t="s">
        <v>687</v>
      </c>
      <c r="CA9" s="443"/>
      <c r="CB9" s="261" t="s">
        <v>690</v>
      </c>
      <c r="CC9" s="265"/>
      <c r="CD9" s="298" t="s">
        <v>688</v>
      </c>
      <c r="CE9" s="394" t="s">
        <v>689</v>
      </c>
      <c r="CF9" s="402"/>
      <c r="CG9" s="442" t="s">
        <v>687</v>
      </c>
      <c r="CH9" s="443"/>
      <c r="CI9" s="261" t="s">
        <v>690</v>
      </c>
      <c r="CJ9" s="265"/>
      <c r="CK9" s="298" t="s">
        <v>688</v>
      </c>
      <c r="CL9" s="394" t="s">
        <v>689</v>
      </c>
      <c r="CM9" s="402"/>
      <c r="CN9" s="442" t="s">
        <v>687</v>
      </c>
      <c r="CO9" s="443"/>
      <c r="CP9" s="261" t="s">
        <v>690</v>
      </c>
      <c r="CQ9" s="265"/>
      <c r="CR9" s="298" t="s">
        <v>688</v>
      </c>
      <c r="CS9" s="394" t="s">
        <v>689</v>
      </c>
      <c r="CT9" s="402"/>
      <c r="CU9" s="442" t="s">
        <v>687</v>
      </c>
      <c r="CV9" s="443"/>
      <c r="CW9" s="261" t="s">
        <v>690</v>
      </c>
      <c r="CX9" s="265"/>
      <c r="CY9" s="298" t="s">
        <v>688</v>
      </c>
      <c r="CZ9" s="394" t="s">
        <v>689</v>
      </c>
      <c r="DA9" s="402"/>
      <c r="DB9" s="442" t="s">
        <v>687</v>
      </c>
      <c r="DC9" s="443"/>
      <c r="DD9" s="261" t="s">
        <v>690</v>
      </c>
      <c r="DE9" s="265"/>
      <c r="DF9" s="298" t="s">
        <v>688</v>
      </c>
      <c r="DG9" s="394" t="s">
        <v>689</v>
      </c>
      <c r="DH9" s="402"/>
      <c r="DI9" s="442" t="s">
        <v>687</v>
      </c>
      <c r="DJ9" s="443"/>
      <c r="DK9" s="261" t="s">
        <v>690</v>
      </c>
      <c r="DL9" s="265"/>
      <c r="DM9" s="298" t="s">
        <v>688</v>
      </c>
      <c r="DN9" s="394" t="s">
        <v>689</v>
      </c>
      <c r="DO9" s="402"/>
      <c r="DP9" s="442" t="s">
        <v>687</v>
      </c>
      <c r="DQ9" s="443"/>
      <c r="DR9" s="261" t="s">
        <v>690</v>
      </c>
      <c r="DS9" s="265"/>
      <c r="DT9" s="298" t="s">
        <v>688</v>
      </c>
      <c r="DU9" s="394" t="s">
        <v>689</v>
      </c>
      <c r="DV9" s="402"/>
      <c r="DW9" s="442" t="s">
        <v>687</v>
      </c>
      <c r="DX9" s="443"/>
      <c r="DY9" s="261" t="s">
        <v>690</v>
      </c>
      <c r="DZ9" s="265"/>
      <c r="EA9" s="298" t="s">
        <v>688</v>
      </c>
      <c r="EB9" s="394" t="s">
        <v>689</v>
      </c>
      <c r="EC9" s="402"/>
      <c r="ED9" s="442" t="s">
        <v>687</v>
      </c>
      <c r="EE9" s="443"/>
      <c r="EF9" s="261" t="s">
        <v>690</v>
      </c>
      <c r="EG9" s="265"/>
      <c r="EH9" s="298" t="s">
        <v>688</v>
      </c>
      <c r="EI9" s="394" t="s">
        <v>689</v>
      </c>
      <c r="EJ9" s="402"/>
      <c r="EK9" s="442" t="s">
        <v>687</v>
      </c>
      <c r="EL9" s="443"/>
      <c r="EM9" s="261" t="s">
        <v>690</v>
      </c>
      <c r="EN9" s="265"/>
      <c r="EO9" s="298" t="s">
        <v>688</v>
      </c>
      <c r="EP9" s="394" t="s">
        <v>689</v>
      </c>
      <c r="EQ9" s="402"/>
      <c r="ER9" s="442" t="s">
        <v>687</v>
      </c>
      <c r="ES9" s="443"/>
      <c r="ET9" s="261" t="s">
        <v>690</v>
      </c>
      <c r="EU9" s="265"/>
      <c r="EV9" s="298" t="s">
        <v>688</v>
      </c>
      <c r="EW9" s="394" t="s">
        <v>689</v>
      </c>
      <c r="EX9" s="402"/>
      <c r="EY9" s="442" t="s">
        <v>687</v>
      </c>
      <c r="EZ9" s="443"/>
      <c r="FA9" s="261" t="s">
        <v>690</v>
      </c>
      <c r="FB9" s="265"/>
      <c r="FC9" s="298" t="s">
        <v>688</v>
      </c>
      <c r="FD9" s="394" t="s">
        <v>689</v>
      </c>
      <c r="FE9" s="402"/>
      <c r="FF9" s="442" t="s">
        <v>687</v>
      </c>
      <c r="FG9" s="443"/>
      <c r="FH9" s="261" t="s">
        <v>690</v>
      </c>
      <c r="FI9" s="265"/>
      <c r="FJ9" s="298" t="s">
        <v>688</v>
      </c>
      <c r="FK9" s="394" t="s">
        <v>689</v>
      </c>
      <c r="FL9" s="402"/>
      <c r="FM9" s="442" t="s">
        <v>687</v>
      </c>
      <c r="FN9" s="443"/>
      <c r="FO9" s="261" t="s">
        <v>690</v>
      </c>
      <c r="FP9" s="265"/>
      <c r="FQ9" s="298" t="s">
        <v>688</v>
      </c>
      <c r="FR9" s="394" t="s">
        <v>689</v>
      </c>
      <c r="FS9" s="402"/>
      <c r="FT9" s="442" t="s">
        <v>687</v>
      </c>
      <c r="FU9" s="443"/>
      <c r="FV9" s="261" t="s">
        <v>690</v>
      </c>
      <c r="FW9" s="265"/>
      <c r="FX9" s="298" t="s">
        <v>688</v>
      </c>
      <c r="FY9" s="394" t="s">
        <v>689</v>
      </c>
      <c r="FZ9" s="402"/>
      <c r="GA9" s="442" t="s">
        <v>687</v>
      </c>
      <c r="GB9" s="443"/>
      <c r="GC9" s="261" t="s">
        <v>690</v>
      </c>
      <c r="GD9" s="265"/>
      <c r="GE9" s="298" t="s">
        <v>688</v>
      </c>
      <c r="GF9" s="394" t="s">
        <v>689</v>
      </c>
      <c r="GG9" s="402"/>
      <c r="GH9" s="442" t="s">
        <v>687</v>
      </c>
      <c r="GI9" s="443"/>
      <c r="GJ9" s="261" t="s">
        <v>690</v>
      </c>
      <c r="GK9" s="265"/>
      <c r="GL9" s="298" t="s">
        <v>688</v>
      </c>
      <c r="GM9" s="394" t="s">
        <v>689</v>
      </c>
      <c r="GN9" s="402"/>
      <c r="GO9" s="442" t="s">
        <v>687</v>
      </c>
      <c r="GP9" s="443"/>
      <c r="GQ9" s="261" t="s">
        <v>690</v>
      </c>
      <c r="GR9" s="265"/>
      <c r="GS9" s="298" t="s">
        <v>688</v>
      </c>
      <c r="GT9" s="394" t="s">
        <v>689</v>
      </c>
      <c r="GU9" s="402"/>
      <c r="GV9" s="442" t="s">
        <v>687</v>
      </c>
      <c r="GW9" s="443"/>
      <c r="GX9" s="261" t="s">
        <v>690</v>
      </c>
      <c r="GY9" s="283"/>
    </row>
    <row r="10" spans="1:207" s="196" customFormat="1" ht="16.05" customHeight="1" x14ac:dyDescent="0.3">
      <c r="A10" s="294"/>
      <c r="B10" s="308"/>
      <c r="C10" s="455"/>
      <c r="D10" s="273"/>
      <c r="E10" s="267">
        <v>350</v>
      </c>
      <c r="F10" s="448">
        <f>F12/E10</f>
        <v>428.57142857142856</v>
      </c>
      <c r="G10" s="449"/>
      <c r="H10" s="446">
        <f>'Pilotage effectif PA'!N47*7</f>
        <v>259</v>
      </c>
      <c r="I10" s="447"/>
      <c r="J10" s="300">
        <f>IF(F10&lt;&gt;0,H10-F10,0)</f>
        <v>-169.57142857142856</v>
      </c>
      <c r="K10" s="265"/>
      <c r="L10" s="299">
        <v>350</v>
      </c>
      <c r="M10" s="448">
        <f>M12/L10</f>
        <v>583.98</v>
      </c>
      <c r="N10" s="449"/>
      <c r="O10" s="446">
        <f>'Pilotage effectif PA'!U47*35</f>
        <v>1295</v>
      </c>
      <c r="P10" s="447"/>
      <c r="Q10" s="262">
        <f>IF(M10&lt;&gt;0,O10-M10,0)</f>
        <v>711.02</v>
      </c>
      <c r="R10" s="265"/>
      <c r="S10" s="299">
        <v>350</v>
      </c>
      <c r="T10" s="448">
        <f>T12/S10</f>
        <v>583.98</v>
      </c>
      <c r="U10" s="449"/>
      <c r="V10" s="446">
        <f>'Pilotage effectif PA'!AB47*35</f>
        <v>1225</v>
      </c>
      <c r="W10" s="447"/>
      <c r="X10" s="262">
        <f>IF(T10&lt;&gt;0,V10-T10,0)</f>
        <v>641.02</v>
      </c>
      <c r="Y10" s="265"/>
      <c r="Z10" s="299">
        <v>320</v>
      </c>
      <c r="AA10" s="448">
        <f>AA12/Z10</f>
        <v>654.35</v>
      </c>
      <c r="AB10" s="449"/>
      <c r="AC10" s="446">
        <f>'Pilotage effectif PA'!AI47*35</f>
        <v>1225</v>
      </c>
      <c r="AD10" s="447"/>
      <c r="AE10" s="311">
        <f>IF(AA10&lt;&gt;0,AC10-AA10,0)</f>
        <v>570.65</v>
      </c>
      <c r="AF10" s="265"/>
      <c r="AG10" s="299">
        <v>350</v>
      </c>
      <c r="AH10" s="448">
        <f>AH12/AG10</f>
        <v>0</v>
      </c>
      <c r="AI10" s="449"/>
      <c r="AJ10" s="446">
        <f>'Pilotage effectif PA'!AP47*35</f>
        <v>1225</v>
      </c>
      <c r="AK10" s="447"/>
      <c r="AL10" s="262">
        <f>IF(AH10&lt;&gt;0,AJ10-AH10,0)</f>
        <v>0</v>
      </c>
      <c r="AM10" s="265"/>
      <c r="AN10" s="299">
        <v>350</v>
      </c>
      <c r="AO10" s="448">
        <f>AO12/AN10</f>
        <v>0</v>
      </c>
      <c r="AP10" s="449"/>
      <c r="AQ10" s="446">
        <f>'Pilotage effectif PA'!AW47*35</f>
        <v>1225</v>
      </c>
      <c r="AR10" s="447"/>
      <c r="AS10" s="262">
        <f>IF(AO10&lt;&gt;0,AQ10-AO10,0)</f>
        <v>0</v>
      </c>
      <c r="AT10" s="265"/>
      <c r="AU10" s="299">
        <v>350</v>
      </c>
      <c r="AV10" s="448">
        <f>AV12/AU10</f>
        <v>0</v>
      </c>
      <c r="AW10" s="449"/>
      <c r="AX10" s="446">
        <f>'Pilotage effectif PA'!BD47*35</f>
        <v>1183</v>
      </c>
      <c r="AY10" s="447"/>
      <c r="AZ10" s="262">
        <f>IF(AV10&lt;&gt;0,AX10-AV10,0)</f>
        <v>0</v>
      </c>
      <c r="BA10" s="265"/>
      <c r="BB10" s="299">
        <v>350</v>
      </c>
      <c r="BC10" s="448">
        <f>BC12/BB10</f>
        <v>0</v>
      </c>
      <c r="BD10" s="449"/>
      <c r="BE10" s="446">
        <f>'Pilotage effectif PA'!BK47*35</f>
        <v>1190</v>
      </c>
      <c r="BF10" s="447"/>
      <c r="BG10" s="262">
        <f>IF(BC10&lt;&gt;0,BE10-BC10,0)</f>
        <v>0</v>
      </c>
      <c r="BH10" s="265"/>
      <c r="BI10" s="299">
        <v>350</v>
      </c>
      <c r="BJ10" s="448">
        <f>BJ12/BI10</f>
        <v>0</v>
      </c>
      <c r="BK10" s="449"/>
      <c r="BL10" s="446">
        <f>'Pilotage effectif PA'!BR47*35</f>
        <v>1295</v>
      </c>
      <c r="BM10" s="447"/>
      <c r="BN10" s="262">
        <f>IF(BJ10&lt;&gt;0,BL10-BJ10,0)</f>
        <v>0</v>
      </c>
      <c r="BO10" s="265"/>
      <c r="BP10" s="299">
        <v>350</v>
      </c>
      <c r="BQ10" s="448">
        <f>BQ12/BP10</f>
        <v>0</v>
      </c>
      <c r="BR10" s="449"/>
      <c r="BS10" s="446">
        <f>'Pilotage effectif PA'!BY47*35</f>
        <v>1260</v>
      </c>
      <c r="BT10" s="447"/>
      <c r="BU10" s="262">
        <f>IF(BQ10&lt;&gt;0,BS10-BQ10,0)</f>
        <v>0</v>
      </c>
      <c r="BV10" s="265"/>
      <c r="BW10" s="299">
        <v>350</v>
      </c>
      <c r="BX10" s="448">
        <f>BX12/BW10</f>
        <v>0</v>
      </c>
      <c r="BY10" s="449"/>
      <c r="BZ10" s="446">
        <f>'Pilotage effectif PA'!CF47*35</f>
        <v>1225</v>
      </c>
      <c r="CA10" s="447"/>
      <c r="CB10" s="262">
        <f>IF(BX10&lt;&gt;0,BZ10-BX10,0)</f>
        <v>0</v>
      </c>
      <c r="CC10" s="265"/>
      <c r="CD10" s="299">
        <v>350</v>
      </c>
      <c r="CE10" s="448">
        <f>CE12/CD10</f>
        <v>0</v>
      </c>
      <c r="CF10" s="449"/>
      <c r="CG10" s="446">
        <f>'Pilotage effectif PA'!CM47*35</f>
        <v>1260</v>
      </c>
      <c r="CH10" s="447"/>
      <c r="CI10" s="262">
        <f>IF(CE10&lt;&gt;0,CG10-CE10,0)</f>
        <v>0</v>
      </c>
      <c r="CJ10" s="265"/>
      <c r="CK10" s="299">
        <v>350</v>
      </c>
      <c r="CL10" s="448">
        <f>CL12/CK10</f>
        <v>0</v>
      </c>
      <c r="CM10" s="449"/>
      <c r="CN10" s="446">
        <f>'Pilotage effectif PA'!CT47*35</f>
        <v>1225</v>
      </c>
      <c r="CO10" s="447"/>
      <c r="CP10" s="262">
        <f>IF(CL10&lt;&gt;0,CN10-CL10,0)</f>
        <v>0</v>
      </c>
      <c r="CQ10" s="265"/>
      <c r="CR10" s="299">
        <v>350</v>
      </c>
      <c r="CS10" s="448">
        <f>CS12/CR10</f>
        <v>0</v>
      </c>
      <c r="CT10" s="449"/>
      <c r="CU10" s="446">
        <f>'Pilotage effectif PA'!DA47*35</f>
        <v>1225</v>
      </c>
      <c r="CV10" s="447"/>
      <c r="CW10" s="262">
        <f>IF(CS10&lt;&gt;0,CU10-CS10,0)</f>
        <v>0</v>
      </c>
      <c r="CX10" s="265"/>
      <c r="CY10" s="299">
        <v>350</v>
      </c>
      <c r="CZ10" s="448">
        <f>CZ12/CY10</f>
        <v>0</v>
      </c>
      <c r="DA10" s="449"/>
      <c r="DB10" s="446">
        <f>'Pilotage effectif PA'!DH47*35</f>
        <v>1155</v>
      </c>
      <c r="DC10" s="447"/>
      <c r="DD10" s="262">
        <f>IF(CZ10&lt;&gt;0,DB10-CZ10,0)</f>
        <v>0</v>
      </c>
      <c r="DE10" s="265"/>
      <c r="DF10" s="299">
        <v>350</v>
      </c>
      <c r="DG10" s="448"/>
      <c r="DH10" s="449"/>
      <c r="DI10" s="446">
        <f>'Pilotage effectif PA'!DO47*35</f>
        <v>1050</v>
      </c>
      <c r="DJ10" s="447"/>
      <c r="DK10" s="262">
        <f>IF(DG10&lt;&gt;0,DI10-DG10,0)</f>
        <v>0</v>
      </c>
      <c r="DL10" s="265"/>
      <c r="DM10" s="299">
        <v>350</v>
      </c>
      <c r="DN10" s="448"/>
      <c r="DO10" s="449"/>
      <c r="DP10" s="446">
        <f>'Pilotage effectif PA'!DV47*35</f>
        <v>903</v>
      </c>
      <c r="DQ10" s="447"/>
      <c r="DR10" s="262">
        <f>IF(DN10&lt;&gt;0,DP10-DN10,0)</f>
        <v>0</v>
      </c>
      <c r="DS10" s="265"/>
      <c r="DT10" s="299">
        <v>350</v>
      </c>
      <c r="DU10" s="448"/>
      <c r="DV10" s="449"/>
      <c r="DW10" s="446">
        <f>'Pilotage effectif PA'!EC47*35</f>
        <v>938</v>
      </c>
      <c r="DX10" s="447"/>
      <c r="DY10" s="262">
        <f>IF(DU10&lt;&gt;0,DW10-DU10,0)</f>
        <v>0</v>
      </c>
      <c r="DZ10" s="265"/>
      <c r="EA10" s="299">
        <v>350</v>
      </c>
      <c r="EB10" s="448"/>
      <c r="EC10" s="449"/>
      <c r="ED10" s="446">
        <f>'Pilotage effectif PA'!EJ47*35</f>
        <v>1015</v>
      </c>
      <c r="EE10" s="447"/>
      <c r="EF10" s="262">
        <f>IF(EB10&lt;&gt;0,ED10-EB10,0)</f>
        <v>0</v>
      </c>
      <c r="EG10" s="265"/>
      <c r="EH10" s="299">
        <v>350</v>
      </c>
      <c r="EI10" s="448"/>
      <c r="EJ10" s="449"/>
      <c r="EK10" s="446">
        <f>'Pilotage effectif PA'!EQ47*35</f>
        <v>1106</v>
      </c>
      <c r="EL10" s="447"/>
      <c r="EM10" s="262">
        <f>IF(EI10&lt;&gt;0,EK10-EI10,0)</f>
        <v>0</v>
      </c>
      <c r="EN10" s="265"/>
      <c r="EO10" s="299">
        <v>350</v>
      </c>
      <c r="EP10" s="448"/>
      <c r="EQ10" s="449"/>
      <c r="ER10" s="446">
        <f>'Pilotage effectif PA'!EX47*35</f>
        <v>1085</v>
      </c>
      <c r="ES10" s="447"/>
      <c r="ET10" s="262">
        <f>IF(EP10&lt;&gt;0,ER10-EP10,0)</f>
        <v>0</v>
      </c>
      <c r="EU10" s="265"/>
      <c r="EV10" s="299">
        <v>350</v>
      </c>
      <c r="EW10" s="448"/>
      <c r="EX10" s="449"/>
      <c r="EY10" s="446">
        <f>'Pilotage effectif PA'!FE47*35</f>
        <v>1015</v>
      </c>
      <c r="EZ10" s="447"/>
      <c r="FA10" s="262">
        <f>IF(EW10&lt;&gt;0,EY10-EW10,0)</f>
        <v>0</v>
      </c>
      <c r="FB10" s="265"/>
      <c r="FC10" s="299">
        <v>350</v>
      </c>
      <c r="FD10" s="448"/>
      <c r="FE10" s="449"/>
      <c r="FF10" s="446">
        <f>'Pilotage effectif PA'!FL47*35</f>
        <v>1155</v>
      </c>
      <c r="FG10" s="447"/>
      <c r="FH10" s="262">
        <f>IF(FD10&lt;&gt;0,FF10-FD10,0)</f>
        <v>0</v>
      </c>
      <c r="FI10" s="265"/>
      <c r="FJ10" s="299">
        <v>350</v>
      </c>
      <c r="FK10" s="448"/>
      <c r="FL10" s="449"/>
      <c r="FM10" s="446">
        <f>'Pilotage effectif PA'!FS47*35</f>
        <v>903</v>
      </c>
      <c r="FN10" s="447"/>
      <c r="FO10" s="262">
        <f>IF(FK10&lt;&gt;0,FM10-FK10,0)</f>
        <v>0</v>
      </c>
      <c r="FP10" s="265"/>
      <c r="FQ10" s="299">
        <v>350</v>
      </c>
      <c r="FR10" s="448"/>
      <c r="FS10" s="449"/>
      <c r="FT10" s="446">
        <f>'Pilotage effectif PA'!FZ47*35</f>
        <v>1015</v>
      </c>
      <c r="FU10" s="447"/>
      <c r="FV10" s="262">
        <f>IF(FR10&lt;&gt;0,FT10-FR10,0)</f>
        <v>0</v>
      </c>
      <c r="FW10" s="265"/>
      <c r="FX10" s="299">
        <v>350</v>
      </c>
      <c r="FY10" s="448"/>
      <c r="FZ10" s="449"/>
      <c r="GA10" s="446">
        <f>'Pilotage effectif PA'!GG47*35</f>
        <v>1015</v>
      </c>
      <c r="GB10" s="447"/>
      <c r="GC10" s="262">
        <f>IF(FY10&lt;&gt;0,GA10-FY10,0)</f>
        <v>0</v>
      </c>
      <c r="GD10" s="265"/>
      <c r="GE10" s="299">
        <v>350</v>
      </c>
      <c r="GF10" s="448"/>
      <c r="GG10" s="449"/>
      <c r="GH10" s="446">
        <f>'Pilotage effectif PA'!GN47*35</f>
        <v>1015</v>
      </c>
      <c r="GI10" s="447"/>
      <c r="GJ10" s="262">
        <f>IF(GF10&lt;&gt;0,GH10-GF10,0)</f>
        <v>0</v>
      </c>
      <c r="GK10" s="265"/>
      <c r="GL10" s="299">
        <v>350</v>
      </c>
      <c r="GM10" s="448"/>
      <c r="GN10" s="449"/>
      <c r="GO10" s="446">
        <f>'Pilotage effectif PA'!GU47*35</f>
        <v>980</v>
      </c>
      <c r="GP10" s="447"/>
      <c r="GQ10" s="262">
        <f>IF(GM10&lt;&gt;0,GO10-GM10,0)</f>
        <v>0</v>
      </c>
      <c r="GR10" s="265"/>
      <c r="GS10" s="299">
        <v>350</v>
      </c>
      <c r="GT10" s="448"/>
      <c r="GU10" s="449"/>
      <c r="GV10" s="446">
        <f>'Pilotage effectif PA'!HB47*35</f>
        <v>840</v>
      </c>
      <c r="GW10" s="447"/>
      <c r="GX10" s="262">
        <f>IF(GT10&lt;&gt;0,GV10-GT10,0)</f>
        <v>0</v>
      </c>
      <c r="GY10" s="283"/>
    </row>
    <row r="11" spans="1:207" s="196" customFormat="1" ht="16.05" customHeight="1" x14ac:dyDescent="0.3">
      <c r="A11" s="294"/>
      <c r="B11" s="308"/>
      <c r="C11" s="455"/>
      <c r="D11" s="273"/>
      <c r="E11" s="268" t="s">
        <v>692</v>
      </c>
      <c r="F11" s="400" t="s">
        <v>691</v>
      </c>
      <c r="G11" s="401"/>
      <c r="H11" s="440" t="s">
        <v>412</v>
      </c>
      <c r="I11" s="441"/>
      <c r="J11" s="247" t="s">
        <v>690</v>
      </c>
      <c r="K11" s="265"/>
      <c r="L11" s="297" t="s">
        <v>692</v>
      </c>
      <c r="M11" s="400" t="s">
        <v>691</v>
      </c>
      <c r="N11" s="401"/>
      <c r="O11" s="440" t="s">
        <v>412</v>
      </c>
      <c r="P11" s="441"/>
      <c r="Q11" s="247" t="s">
        <v>690</v>
      </c>
      <c r="R11" s="265"/>
      <c r="S11" s="297" t="s">
        <v>692</v>
      </c>
      <c r="T11" s="400" t="s">
        <v>691</v>
      </c>
      <c r="U11" s="401"/>
      <c r="V11" s="440" t="s">
        <v>412</v>
      </c>
      <c r="W11" s="441"/>
      <c r="X11" s="247" t="s">
        <v>690</v>
      </c>
      <c r="Y11" s="265"/>
      <c r="Z11" s="297" t="s">
        <v>692</v>
      </c>
      <c r="AA11" s="400" t="s">
        <v>691</v>
      </c>
      <c r="AB11" s="401"/>
      <c r="AC11" s="440" t="s">
        <v>412</v>
      </c>
      <c r="AD11" s="441"/>
      <c r="AE11" s="247" t="s">
        <v>690</v>
      </c>
      <c r="AF11" s="265"/>
      <c r="AG11" s="297" t="s">
        <v>692</v>
      </c>
      <c r="AH11" s="400" t="s">
        <v>691</v>
      </c>
      <c r="AI11" s="401"/>
      <c r="AJ11" s="440" t="s">
        <v>412</v>
      </c>
      <c r="AK11" s="441"/>
      <c r="AL11" s="247" t="s">
        <v>690</v>
      </c>
      <c r="AM11" s="265"/>
      <c r="AN11" s="297" t="s">
        <v>692</v>
      </c>
      <c r="AO11" s="400" t="s">
        <v>691</v>
      </c>
      <c r="AP11" s="401"/>
      <c r="AQ11" s="440" t="s">
        <v>412</v>
      </c>
      <c r="AR11" s="441"/>
      <c r="AS11" s="247" t="s">
        <v>690</v>
      </c>
      <c r="AT11" s="265"/>
      <c r="AU11" s="297" t="s">
        <v>692</v>
      </c>
      <c r="AV11" s="400" t="s">
        <v>691</v>
      </c>
      <c r="AW11" s="401"/>
      <c r="AX11" s="440" t="s">
        <v>412</v>
      </c>
      <c r="AY11" s="441"/>
      <c r="AZ11" s="247" t="s">
        <v>690</v>
      </c>
      <c r="BA11" s="265"/>
      <c r="BB11" s="297" t="s">
        <v>692</v>
      </c>
      <c r="BC11" s="400" t="s">
        <v>691</v>
      </c>
      <c r="BD11" s="401"/>
      <c r="BE11" s="440" t="s">
        <v>412</v>
      </c>
      <c r="BF11" s="441"/>
      <c r="BG11" s="247" t="s">
        <v>690</v>
      </c>
      <c r="BH11" s="265"/>
      <c r="BI11" s="297" t="s">
        <v>692</v>
      </c>
      <c r="BJ11" s="400" t="s">
        <v>691</v>
      </c>
      <c r="BK11" s="401"/>
      <c r="BL11" s="440" t="s">
        <v>412</v>
      </c>
      <c r="BM11" s="441"/>
      <c r="BN11" s="247" t="s">
        <v>690</v>
      </c>
      <c r="BO11" s="265"/>
      <c r="BP11" s="297" t="s">
        <v>692</v>
      </c>
      <c r="BQ11" s="400" t="s">
        <v>691</v>
      </c>
      <c r="BR11" s="401"/>
      <c r="BS11" s="440" t="s">
        <v>412</v>
      </c>
      <c r="BT11" s="441"/>
      <c r="BU11" s="247" t="s">
        <v>690</v>
      </c>
      <c r="BV11" s="265"/>
      <c r="BW11" s="297" t="s">
        <v>692</v>
      </c>
      <c r="BX11" s="400" t="s">
        <v>691</v>
      </c>
      <c r="BY11" s="401"/>
      <c r="BZ11" s="440" t="s">
        <v>412</v>
      </c>
      <c r="CA11" s="441"/>
      <c r="CB11" s="247" t="s">
        <v>690</v>
      </c>
      <c r="CC11" s="265"/>
      <c r="CD11" s="297" t="s">
        <v>692</v>
      </c>
      <c r="CE11" s="400" t="s">
        <v>691</v>
      </c>
      <c r="CF11" s="401"/>
      <c r="CG11" s="440" t="s">
        <v>412</v>
      </c>
      <c r="CH11" s="441"/>
      <c r="CI11" s="247" t="s">
        <v>690</v>
      </c>
      <c r="CJ11" s="265"/>
      <c r="CK11" s="297" t="s">
        <v>692</v>
      </c>
      <c r="CL11" s="400" t="s">
        <v>691</v>
      </c>
      <c r="CM11" s="401"/>
      <c r="CN11" s="440" t="s">
        <v>412</v>
      </c>
      <c r="CO11" s="441"/>
      <c r="CP11" s="247" t="s">
        <v>690</v>
      </c>
      <c r="CQ11" s="265"/>
      <c r="CR11" s="297" t="s">
        <v>692</v>
      </c>
      <c r="CS11" s="400" t="s">
        <v>691</v>
      </c>
      <c r="CT11" s="401"/>
      <c r="CU11" s="440" t="s">
        <v>412</v>
      </c>
      <c r="CV11" s="441"/>
      <c r="CW11" s="247" t="s">
        <v>690</v>
      </c>
      <c r="CX11" s="265"/>
      <c r="CY11" s="297" t="s">
        <v>692</v>
      </c>
      <c r="CZ11" s="400" t="s">
        <v>691</v>
      </c>
      <c r="DA11" s="401"/>
      <c r="DB11" s="440" t="s">
        <v>412</v>
      </c>
      <c r="DC11" s="441"/>
      <c r="DD11" s="247" t="s">
        <v>690</v>
      </c>
      <c r="DE11" s="265"/>
      <c r="DF11" s="297" t="s">
        <v>692</v>
      </c>
      <c r="DG11" s="400" t="s">
        <v>691</v>
      </c>
      <c r="DH11" s="401"/>
      <c r="DI11" s="440" t="s">
        <v>412</v>
      </c>
      <c r="DJ11" s="441"/>
      <c r="DK11" s="247" t="s">
        <v>690</v>
      </c>
      <c r="DL11" s="265"/>
      <c r="DM11" s="297" t="s">
        <v>692</v>
      </c>
      <c r="DN11" s="400" t="s">
        <v>691</v>
      </c>
      <c r="DO11" s="401"/>
      <c r="DP11" s="440" t="s">
        <v>412</v>
      </c>
      <c r="DQ11" s="441"/>
      <c r="DR11" s="247" t="s">
        <v>690</v>
      </c>
      <c r="DS11" s="265"/>
      <c r="DT11" s="297" t="s">
        <v>692</v>
      </c>
      <c r="DU11" s="400" t="s">
        <v>691</v>
      </c>
      <c r="DV11" s="401"/>
      <c r="DW11" s="440" t="s">
        <v>412</v>
      </c>
      <c r="DX11" s="441"/>
      <c r="DY11" s="247" t="s">
        <v>690</v>
      </c>
      <c r="DZ11" s="265"/>
      <c r="EA11" s="297" t="s">
        <v>692</v>
      </c>
      <c r="EB11" s="400" t="s">
        <v>691</v>
      </c>
      <c r="EC11" s="401"/>
      <c r="ED11" s="440" t="s">
        <v>412</v>
      </c>
      <c r="EE11" s="441"/>
      <c r="EF11" s="247" t="s">
        <v>690</v>
      </c>
      <c r="EG11" s="265"/>
      <c r="EH11" s="297" t="s">
        <v>692</v>
      </c>
      <c r="EI11" s="400" t="s">
        <v>691</v>
      </c>
      <c r="EJ11" s="401"/>
      <c r="EK11" s="440" t="s">
        <v>412</v>
      </c>
      <c r="EL11" s="441"/>
      <c r="EM11" s="247" t="s">
        <v>690</v>
      </c>
      <c r="EN11" s="265"/>
      <c r="EO11" s="297" t="s">
        <v>692</v>
      </c>
      <c r="EP11" s="400" t="s">
        <v>691</v>
      </c>
      <c r="EQ11" s="401"/>
      <c r="ER11" s="440" t="s">
        <v>412</v>
      </c>
      <c r="ES11" s="441"/>
      <c r="ET11" s="247" t="s">
        <v>690</v>
      </c>
      <c r="EU11" s="265"/>
      <c r="EV11" s="297" t="s">
        <v>692</v>
      </c>
      <c r="EW11" s="400" t="s">
        <v>691</v>
      </c>
      <c r="EX11" s="401"/>
      <c r="EY11" s="440" t="s">
        <v>412</v>
      </c>
      <c r="EZ11" s="441"/>
      <c r="FA11" s="247" t="s">
        <v>690</v>
      </c>
      <c r="FB11" s="265"/>
      <c r="FC11" s="297" t="s">
        <v>692</v>
      </c>
      <c r="FD11" s="400" t="s">
        <v>691</v>
      </c>
      <c r="FE11" s="401"/>
      <c r="FF11" s="440" t="s">
        <v>412</v>
      </c>
      <c r="FG11" s="441"/>
      <c r="FH11" s="247" t="s">
        <v>690</v>
      </c>
      <c r="FI11" s="265"/>
      <c r="FJ11" s="297" t="s">
        <v>692</v>
      </c>
      <c r="FK11" s="400" t="s">
        <v>691</v>
      </c>
      <c r="FL11" s="401"/>
      <c r="FM11" s="440" t="s">
        <v>412</v>
      </c>
      <c r="FN11" s="441"/>
      <c r="FO11" s="247" t="s">
        <v>690</v>
      </c>
      <c r="FP11" s="265"/>
      <c r="FQ11" s="297" t="s">
        <v>692</v>
      </c>
      <c r="FR11" s="400" t="s">
        <v>691</v>
      </c>
      <c r="FS11" s="401"/>
      <c r="FT11" s="440" t="s">
        <v>412</v>
      </c>
      <c r="FU11" s="441"/>
      <c r="FV11" s="247" t="s">
        <v>690</v>
      </c>
      <c r="FW11" s="265"/>
      <c r="FX11" s="297" t="s">
        <v>692</v>
      </c>
      <c r="FY11" s="400" t="s">
        <v>691</v>
      </c>
      <c r="FZ11" s="401"/>
      <c r="GA11" s="440" t="s">
        <v>412</v>
      </c>
      <c r="GB11" s="441"/>
      <c r="GC11" s="247" t="s">
        <v>690</v>
      </c>
      <c r="GD11" s="265"/>
      <c r="GE11" s="297" t="s">
        <v>692</v>
      </c>
      <c r="GF11" s="400" t="s">
        <v>691</v>
      </c>
      <c r="GG11" s="401"/>
      <c r="GH11" s="440" t="s">
        <v>412</v>
      </c>
      <c r="GI11" s="441"/>
      <c r="GJ11" s="247" t="s">
        <v>690</v>
      </c>
      <c r="GK11" s="265"/>
      <c r="GL11" s="297" t="s">
        <v>692</v>
      </c>
      <c r="GM11" s="400" t="s">
        <v>691</v>
      </c>
      <c r="GN11" s="401"/>
      <c r="GO11" s="440" t="s">
        <v>412</v>
      </c>
      <c r="GP11" s="441"/>
      <c r="GQ11" s="247" t="s">
        <v>690</v>
      </c>
      <c r="GR11" s="265"/>
      <c r="GS11" s="297" t="s">
        <v>692</v>
      </c>
      <c r="GT11" s="400" t="s">
        <v>691</v>
      </c>
      <c r="GU11" s="401"/>
      <c r="GV11" s="440" t="s">
        <v>412</v>
      </c>
      <c r="GW11" s="441"/>
      <c r="GX11" s="247" t="s">
        <v>690</v>
      </c>
      <c r="GY11" s="283"/>
    </row>
    <row r="12" spans="1:207" s="196" customFormat="1" ht="16.05" customHeight="1" thickBot="1" x14ac:dyDescent="0.35">
      <c r="A12" s="294"/>
      <c r="B12" s="308"/>
      <c r="C12" s="455"/>
      <c r="D12" s="273"/>
      <c r="E12" s="269">
        <f>'Pilotage effectif PA'!N47</f>
        <v>37</v>
      </c>
      <c r="F12" s="450">
        <v>150000</v>
      </c>
      <c r="G12" s="451"/>
      <c r="H12" s="458">
        <f>H10*E10</f>
        <v>90650</v>
      </c>
      <c r="I12" s="459"/>
      <c r="J12" s="275">
        <f>IF(F12&lt;&gt;0,H12-F12,0)</f>
        <v>-59350</v>
      </c>
      <c r="K12" s="265"/>
      <c r="L12" s="269">
        <f>'Pilotage effectif PA'!U47</f>
        <v>37</v>
      </c>
      <c r="M12" s="450">
        <v>204393</v>
      </c>
      <c r="N12" s="451"/>
      <c r="O12" s="438">
        <f>O10*L10</f>
        <v>453250</v>
      </c>
      <c r="P12" s="439"/>
      <c r="Q12" s="275">
        <f>IF(M12&lt;&gt;0,O12-M12,0)</f>
        <v>248857</v>
      </c>
      <c r="R12" s="265"/>
      <c r="S12" s="269">
        <f>'Pilotage effectif PA'!AB47</f>
        <v>35</v>
      </c>
      <c r="T12" s="450">
        <v>204393</v>
      </c>
      <c r="U12" s="451"/>
      <c r="V12" s="458">
        <f>V10*S10</f>
        <v>428750</v>
      </c>
      <c r="W12" s="459"/>
      <c r="X12" s="275">
        <f>IF(T12&lt;&gt;0,V12-T12,0)</f>
        <v>224357</v>
      </c>
      <c r="Y12" s="265"/>
      <c r="Z12" s="269">
        <f>'Pilotage effectif PA'!AI47</f>
        <v>35</v>
      </c>
      <c r="AA12" s="388">
        <v>209392</v>
      </c>
      <c r="AB12" s="437"/>
      <c r="AC12" s="438">
        <f>AC10*Z10</f>
        <v>392000</v>
      </c>
      <c r="AD12" s="439"/>
      <c r="AE12" s="275">
        <f>IF(AA12&lt;&gt;0,AC12-AA12,0)</f>
        <v>182608</v>
      </c>
      <c r="AF12" s="265"/>
      <c r="AG12" s="269">
        <f>'Pilotage effectif PA'!AP47</f>
        <v>35</v>
      </c>
      <c r="AH12" s="388"/>
      <c r="AI12" s="437"/>
      <c r="AJ12" s="438">
        <f>AJ10*AG10</f>
        <v>428750</v>
      </c>
      <c r="AK12" s="439"/>
      <c r="AL12" s="275">
        <f>IF(AH12&lt;&gt;0,AJ12-AH12,0)</f>
        <v>0</v>
      </c>
      <c r="AM12" s="265"/>
      <c r="AN12" s="269">
        <f>'Pilotage effectif PA'!AW47</f>
        <v>35</v>
      </c>
      <c r="AO12" s="388"/>
      <c r="AP12" s="437"/>
      <c r="AQ12" s="438">
        <f>AQ10*AN10</f>
        <v>428750</v>
      </c>
      <c r="AR12" s="439"/>
      <c r="AS12" s="275">
        <f>IF(AO12&lt;&gt;0,AQ12-AO12,0)</f>
        <v>0</v>
      </c>
      <c r="AT12" s="265"/>
      <c r="AU12" s="269">
        <f>'Pilotage effectif PA'!BD47</f>
        <v>33.799999999999997</v>
      </c>
      <c r="AV12" s="388"/>
      <c r="AW12" s="437"/>
      <c r="AX12" s="438">
        <f>AX10*AU10</f>
        <v>414050</v>
      </c>
      <c r="AY12" s="439"/>
      <c r="AZ12" s="275">
        <f>IF(AV12&lt;&gt;0,AX12-AV12,0)</f>
        <v>0</v>
      </c>
      <c r="BA12" s="265"/>
      <c r="BB12" s="269">
        <f>'Pilotage effectif PA'!BK47</f>
        <v>34</v>
      </c>
      <c r="BC12" s="388"/>
      <c r="BD12" s="437"/>
      <c r="BE12" s="438">
        <f>BE10*BB10</f>
        <v>416500</v>
      </c>
      <c r="BF12" s="439"/>
      <c r="BG12" s="275">
        <f>IF(BC12&lt;&gt;0,BE12-BC12,0)</f>
        <v>0</v>
      </c>
      <c r="BH12" s="265"/>
      <c r="BI12" s="269">
        <f>'Pilotage effectif PA'!BR47</f>
        <v>37</v>
      </c>
      <c r="BJ12" s="388"/>
      <c r="BK12" s="437"/>
      <c r="BL12" s="438">
        <f>BL10*BI10</f>
        <v>453250</v>
      </c>
      <c r="BM12" s="439"/>
      <c r="BN12" s="275">
        <f>IF(BJ12&lt;&gt;0,BL12-BJ12,0)</f>
        <v>0</v>
      </c>
      <c r="BO12" s="265"/>
      <c r="BP12" s="269">
        <f>'Pilotage effectif PA'!BY47</f>
        <v>36</v>
      </c>
      <c r="BQ12" s="388"/>
      <c r="BR12" s="437"/>
      <c r="BS12" s="438">
        <f>BS10*BP10</f>
        <v>441000</v>
      </c>
      <c r="BT12" s="439"/>
      <c r="BU12" s="275">
        <f>IF(BQ12&lt;&gt;0,BS12-BQ12,0)</f>
        <v>0</v>
      </c>
      <c r="BV12" s="265"/>
      <c r="BW12" s="269">
        <f>'Pilotage effectif PA'!CF47</f>
        <v>35</v>
      </c>
      <c r="BX12" s="388"/>
      <c r="BY12" s="437"/>
      <c r="BZ12" s="438">
        <f>BZ10*BW10</f>
        <v>428750</v>
      </c>
      <c r="CA12" s="439"/>
      <c r="CB12" s="275">
        <f>IF(BX12&lt;&gt;0,BZ12-BX12,0)</f>
        <v>0</v>
      </c>
      <c r="CC12" s="265"/>
      <c r="CD12" s="269">
        <f>'Pilotage effectif PA'!CM47</f>
        <v>36</v>
      </c>
      <c r="CE12" s="388"/>
      <c r="CF12" s="437"/>
      <c r="CG12" s="438">
        <f>CG10*CD10</f>
        <v>441000</v>
      </c>
      <c r="CH12" s="439"/>
      <c r="CI12" s="275">
        <f>IF(CE12&lt;&gt;0,CG12-CE12,0)</f>
        <v>0</v>
      </c>
      <c r="CJ12" s="265"/>
      <c r="CK12" s="269">
        <f>'Pilotage effectif PA'!CT47</f>
        <v>35</v>
      </c>
      <c r="CL12" s="388"/>
      <c r="CM12" s="437"/>
      <c r="CN12" s="438">
        <f>CN10*CK10</f>
        <v>428750</v>
      </c>
      <c r="CO12" s="439"/>
      <c r="CP12" s="275">
        <f>IF(CL12&lt;&gt;0,CN12-CL12,0)</f>
        <v>0</v>
      </c>
      <c r="CQ12" s="265"/>
      <c r="CR12" s="269">
        <f>'Pilotage effectif PA'!DA47</f>
        <v>35</v>
      </c>
      <c r="CS12" s="388"/>
      <c r="CT12" s="437"/>
      <c r="CU12" s="438">
        <f>CU10*CR10</f>
        <v>428750</v>
      </c>
      <c r="CV12" s="439"/>
      <c r="CW12" s="275">
        <f>IF(CS12&lt;&gt;0,CU12-CS12,0)</f>
        <v>0</v>
      </c>
      <c r="CX12" s="265"/>
      <c r="CY12" s="269">
        <f>'Pilotage effectif PA'!DH47</f>
        <v>33</v>
      </c>
      <c r="CZ12" s="388"/>
      <c r="DA12" s="437"/>
      <c r="DB12" s="438">
        <f>DB10*CY10</f>
        <v>404250</v>
      </c>
      <c r="DC12" s="439"/>
      <c r="DD12" s="275">
        <f>IF(CZ12&lt;&gt;0,DB12-CZ12,0)</f>
        <v>0</v>
      </c>
      <c r="DE12" s="265"/>
      <c r="DF12" s="269">
        <f>'Pilotage effectif PA'!DO47</f>
        <v>30</v>
      </c>
      <c r="DG12" s="388"/>
      <c r="DH12" s="437"/>
      <c r="DI12" s="438">
        <f>DI10*DF10</f>
        <v>367500</v>
      </c>
      <c r="DJ12" s="439"/>
      <c r="DK12" s="275">
        <f>IF(DG12&lt;&gt;0,DI12-DG12,0)</f>
        <v>0</v>
      </c>
      <c r="DL12" s="265"/>
      <c r="DM12" s="269">
        <f>'Pilotage effectif PA'!DV47</f>
        <v>25.8</v>
      </c>
      <c r="DN12" s="388"/>
      <c r="DO12" s="437"/>
      <c r="DP12" s="438">
        <f>DP10*DM10</f>
        <v>316050</v>
      </c>
      <c r="DQ12" s="439"/>
      <c r="DR12" s="275">
        <f>IF(DN12&lt;&gt;0,DP12-DN12,0)</f>
        <v>0</v>
      </c>
      <c r="DS12" s="265"/>
      <c r="DT12" s="269">
        <f>'Pilotage effectif PA'!EC47</f>
        <v>26.8</v>
      </c>
      <c r="DU12" s="388"/>
      <c r="DV12" s="437"/>
      <c r="DW12" s="438">
        <f>DW10*DT10</f>
        <v>328300</v>
      </c>
      <c r="DX12" s="439"/>
      <c r="DY12" s="275">
        <f>IF(DU12&lt;&gt;0,DW12-DU12,0)</f>
        <v>0</v>
      </c>
      <c r="DZ12" s="265"/>
      <c r="EA12" s="269">
        <f>'Pilotage effectif PA'!EJ47</f>
        <v>29</v>
      </c>
      <c r="EB12" s="388"/>
      <c r="EC12" s="437"/>
      <c r="ED12" s="438">
        <f>ED10*EA10</f>
        <v>355250</v>
      </c>
      <c r="EE12" s="439"/>
      <c r="EF12" s="275">
        <f>IF(EB12&lt;&gt;0,ED12-EB12,0)</f>
        <v>0</v>
      </c>
      <c r="EG12" s="265"/>
      <c r="EH12" s="269">
        <f>'Pilotage effectif PA'!EQ47</f>
        <v>31.6</v>
      </c>
      <c r="EI12" s="388"/>
      <c r="EJ12" s="437"/>
      <c r="EK12" s="438">
        <f>EK10*EH10</f>
        <v>387100</v>
      </c>
      <c r="EL12" s="439"/>
      <c r="EM12" s="275">
        <f>IF(EI12&lt;&gt;0,EK12-EI12,0)</f>
        <v>0</v>
      </c>
      <c r="EN12" s="265"/>
      <c r="EO12" s="269">
        <f>'Pilotage effectif PA'!EX47</f>
        <v>31</v>
      </c>
      <c r="EP12" s="388"/>
      <c r="EQ12" s="437"/>
      <c r="ER12" s="438">
        <f>ER10*EO10</f>
        <v>379750</v>
      </c>
      <c r="ES12" s="439"/>
      <c r="ET12" s="275">
        <f>IF(EP12&lt;&gt;0,ER12-EP12,0)</f>
        <v>0</v>
      </c>
      <c r="EU12" s="265"/>
      <c r="EV12" s="269">
        <f>'Pilotage effectif PA'!FE47</f>
        <v>29</v>
      </c>
      <c r="EW12" s="388"/>
      <c r="EX12" s="437"/>
      <c r="EY12" s="438">
        <f>EY10*EV10</f>
        <v>355250</v>
      </c>
      <c r="EZ12" s="439"/>
      <c r="FA12" s="275">
        <f>IF(EW12&lt;&gt;0,EY12-EW12,0)</f>
        <v>0</v>
      </c>
      <c r="FB12" s="265"/>
      <c r="FC12" s="269">
        <f>'Pilotage effectif PA'!FL47</f>
        <v>33</v>
      </c>
      <c r="FD12" s="388"/>
      <c r="FE12" s="437"/>
      <c r="FF12" s="438">
        <f>FF10*FC10</f>
        <v>404250</v>
      </c>
      <c r="FG12" s="439"/>
      <c r="FH12" s="275">
        <f>IF(FD12&lt;&gt;0,FF12-FD12,0)</f>
        <v>0</v>
      </c>
      <c r="FI12" s="265"/>
      <c r="FJ12" s="269">
        <f>'Pilotage effectif PA'!FS47</f>
        <v>25.8</v>
      </c>
      <c r="FK12" s="388"/>
      <c r="FL12" s="437"/>
      <c r="FM12" s="438">
        <f>FM10*FJ10</f>
        <v>316050</v>
      </c>
      <c r="FN12" s="439"/>
      <c r="FO12" s="275">
        <f>IF(FK12&lt;&gt;0,FM12-FK12,0)</f>
        <v>0</v>
      </c>
      <c r="FP12" s="265"/>
      <c r="FQ12" s="269">
        <f>'Pilotage effectif PA'!FZ47</f>
        <v>29</v>
      </c>
      <c r="FR12" s="388"/>
      <c r="FS12" s="437"/>
      <c r="FT12" s="438">
        <f>FT10*FQ10</f>
        <v>355250</v>
      </c>
      <c r="FU12" s="439"/>
      <c r="FV12" s="275">
        <f>IF(FR12&lt;&gt;0,FT12-FR12,0)</f>
        <v>0</v>
      </c>
      <c r="FW12" s="265"/>
      <c r="FX12" s="269">
        <f>'Pilotage effectif PA'!GG47</f>
        <v>29</v>
      </c>
      <c r="FY12" s="388"/>
      <c r="FZ12" s="437"/>
      <c r="GA12" s="438">
        <f>GA10*FX10</f>
        <v>355250</v>
      </c>
      <c r="GB12" s="439"/>
      <c r="GC12" s="275">
        <f>IF(FY12&lt;&gt;0,GA12-FY12,0)</f>
        <v>0</v>
      </c>
      <c r="GD12" s="265"/>
      <c r="GE12" s="269">
        <f>'Pilotage effectif PA'!GN47</f>
        <v>29</v>
      </c>
      <c r="GF12" s="388"/>
      <c r="GG12" s="437"/>
      <c r="GH12" s="438">
        <f>GH10*GE10</f>
        <v>355250</v>
      </c>
      <c r="GI12" s="439"/>
      <c r="GJ12" s="275">
        <f>IF(GF12&lt;&gt;0,GH12-GF12,0)</f>
        <v>0</v>
      </c>
      <c r="GK12" s="265"/>
      <c r="GL12" s="269">
        <f>'Pilotage effectif PA'!GU47</f>
        <v>28</v>
      </c>
      <c r="GM12" s="388"/>
      <c r="GN12" s="437"/>
      <c r="GO12" s="438">
        <f>GO10*GL10</f>
        <v>343000</v>
      </c>
      <c r="GP12" s="439"/>
      <c r="GQ12" s="275">
        <f>IF(GM12&lt;&gt;0,GO12-GM12,0)</f>
        <v>0</v>
      </c>
      <c r="GR12" s="265"/>
      <c r="GS12" s="269">
        <f>'Pilotage effectif PA'!HB47</f>
        <v>24</v>
      </c>
      <c r="GT12" s="388"/>
      <c r="GU12" s="437"/>
      <c r="GV12" s="438">
        <f>GV10*GS10</f>
        <v>294000</v>
      </c>
      <c r="GW12" s="439"/>
      <c r="GX12" s="275">
        <f>IF(GT12&lt;&gt;0,GV12-GT12,0)</f>
        <v>0</v>
      </c>
      <c r="GY12" s="283"/>
    </row>
    <row r="13" spans="1:207" s="110" customFormat="1" ht="16.05" customHeight="1" thickBot="1" x14ac:dyDescent="0.35">
      <c r="A13" s="294"/>
      <c r="B13" s="306"/>
      <c r="C13" s="309"/>
      <c r="D13" s="272"/>
      <c r="E13" s="255"/>
      <c r="F13" s="256"/>
      <c r="G13" s="256"/>
      <c r="H13" s="256"/>
      <c r="I13" s="256"/>
      <c r="J13" s="256"/>
      <c r="K13" s="263"/>
      <c r="L13" s="255"/>
      <c r="M13" s="256"/>
      <c r="N13" s="256"/>
      <c r="O13" s="256"/>
      <c r="P13" s="256"/>
      <c r="Q13" s="256"/>
      <c r="R13" s="263"/>
      <c r="S13" s="255"/>
      <c r="T13" s="256"/>
      <c r="U13" s="256"/>
      <c r="V13" s="256"/>
      <c r="W13" s="256"/>
      <c r="X13" s="256"/>
      <c r="Y13" s="263"/>
      <c r="Z13" s="255"/>
      <c r="AA13" s="256"/>
      <c r="AB13" s="256"/>
      <c r="AC13" s="256"/>
      <c r="AD13" s="256"/>
      <c r="AE13" s="256"/>
      <c r="AF13" s="263"/>
      <c r="AG13" s="255"/>
      <c r="AH13" s="256"/>
      <c r="AI13" s="256"/>
      <c r="AJ13" s="256"/>
      <c r="AK13" s="256"/>
      <c r="AL13" s="256"/>
      <c r="AM13" s="263"/>
      <c r="AN13" s="255"/>
      <c r="AO13" s="256"/>
      <c r="AP13" s="256"/>
      <c r="AQ13" s="256"/>
      <c r="AR13" s="256"/>
      <c r="AS13" s="256"/>
      <c r="AT13" s="263"/>
      <c r="AU13" s="255"/>
      <c r="AV13" s="256"/>
      <c r="AW13" s="256"/>
      <c r="AX13" s="256"/>
      <c r="AY13" s="256"/>
      <c r="AZ13" s="256"/>
      <c r="BA13" s="263"/>
      <c r="BB13" s="255"/>
      <c r="BC13" s="256"/>
      <c r="BD13" s="256"/>
      <c r="BE13" s="256"/>
      <c r="BF13" s="256"/>
      <c r="BG13" s="256"/>
      <c r="BH13" s="263"/>
      <c r="BI13" s="255"/>
      <c r="BJ13" s="256"/>
      <c r="BK13" s="256"/>
      <c r="BL13" s="256"/>
      <c r="BM13" s="256"/>
      <c r="BN13" s="256"/>
      <c r="BO13" s="263"/>
      <c r="BP13" s="255"/>
      <c r="BQ13" s="256"/>
      <c r="BR13" s="256"/>
      <c r="BS13" s="256"/>
      <c r="BT13" s="256"/>
      <c r="BU13" s="256"/>
      <c r="BV13" s="263"/>
      <c r="BW13" s="255"/>
      <c r="BX13" s="256"/>
      <c r="BY13" s="256"/>
      <c r="BZ13" s="256"/>
      <c r="CA13" s="256"/>
      <c r="CB13" s="256"/>
      <c r="CC13" s="263"/>
      <c r="CD13" s="255"/>
      <c r="CE13" s="256"/>
      <c r="CF13" s="256"/>
      <c r="CG13" s="256"/>
      <c r="CH13" s="256"/>
      <c r="CI13" s="256"/>
      <c r="CJ13" s="263"/>
      <c r="CK13" s="255"/>
      <c r="CL13" s="256"/>
      <c r="CM13" s="256"/>
      <c r="CN13" s="256"/>
      <c r="CO13" s="256"/>
      <c r="CP13" s="256"/>
      <c r="CQ13" s="263"/>
      <c r="CR13" s="255"/>
      <c r="CS13" s="256"/>
      <c r="CT13" s="256"/>
      <c r="CU13" s="256"/>
      <c r="CV13" s="256"/>
      <c r="CW13" s="256"/>
      <c r="CX13" s="263"/>
      <c r="CY13" s="255"/>
      <c r="CZ13" s="256"/>
      <c r="DA13" s="256"/>
      <c r="DB13" s="256"/>
      <c r="DC13" s="256"/>
      <c r="DD13" s="256"/>
      <c r="DE13" s="263"/>
      <c r="DF13" s="255"/>
      <c r="DG13" s="256"/>
      <c r="DH13" s="256"/>
      <c r="DI13" s="256"/>
      <c r="DJ13" s="256"/>
      <c r="DK13" s="256"/>
      <c r="DL13" s="263"/>
      <c r="DM13" s="255"/>
      <c r="DN13" s="256"/>
      <c r="DO13" s="256"/>
      <c r="DP13" s="256"/>
      <c r="DQ13" s="256"/>
      <c r="DR13" s="256"/>
      <c r="DS13" s="263"/>
      <c r="DT13" s="255"/>
      <c r="DU13" s="256"/>
      <c r="DV13" s="256"/>
      <c r="DW13" s="256"/>
      <c r="DX13" s="256"/>
      <c r="DY13" s="256"/>
      <c r="DZ13" s="263"/>
      <c r="EA13" s="255"/>
      <c r="EB13" s="256"/>
      <c r="EC13" s="256"/>
      <c r="ED13" s="256"/>
      <c r="EE13" s="256"/>
      <c r="EF13" s="256"/>
      <c r="EG13" s="263"/>
      <c r="EH13" s="255"/>
      <c r="EI13" s="256"/>
      <c r="EJ13" s="256"/>
      <c r="EK13" s="256"/>
      <c r="EL13" s="256"/>
      <c r="EM13" s="256"/>
      <c r="EN13" s="263"/>
      <c r="EO13" s="255"/>
      <c r="EP13" s="256"/>
      <c r="EQ13" s="256"/>
      <c r="ER13" s="256"/>
      <c r="ES13" s="256"/>
      <c r="ET13" s="256"/>
      <c r="EU13" s="263"/>
      <c r="EV13" s="255"/>
      <c r="EW13" s="256"/>
      <c r="EX13" s="256"/>
      <c r="EY13" s="256"/>
      <c r="EZ13" s="256"/>
      <c r="FA13" s="256"/>
      <c r="FB13" s="263"/>
      <c r="FC13" s="255"/>
      <c r="FD13" s="256"/>
      <c r="FE13" s="256"/>
      <c r="FF13" s="256"/>
      <c r="FG13" s="256"/>
      <c r="FH13" s="256"/>
      <c r="FI13" s="263"/>
      <c r="FJ13" s="255"/>
      <c r="FK13" s="256"/>
      <c r="FL13" s="256"/>
      <c r="FM13" s="256"/>
      <c r="FN13" s="256"/>
      <c r="FO13" s="256"/>
      <c r="FP13" s="263"/>
      <c r="FQ13" s="255"/>
      <c r="FR13" s="256"/>
      <c r="FS13" s="256"/>
      <c r="FT13" s="256"/>
      <c r="FU13" s="256"/>
      <c r="FV13" s="256"/>
      <c r="FW13" s="263"/>
      <c r="FX13" s="255"/>
      <c r="FY13" s="256"/>
      <c r="FZ13" s="256"/>
      <c r="GA13" s="256"/>
      <c r="GB13" s="256"/>
      <c r="GC13" s="256"/>
      <c r="GD13" s="263"/>
      <c r="GE13" s="255"/>
      <c r="GF13" s="256"/>
      <c r="GG13" s="256"/>
      <c r="GH13" s="256"/>
      <c r="GI13" s="256"/>
      <c r="GJ13" s="256"/>
      <c r="GK13" s="263"/>
      <c r="GL13" s="255"/>
      <c r="GM13" s="256"/>
      <c r="GN13" s="256"/>
      <c r="GO13" s="256"/>
      <c r="GP13" s="256"/>
      <c r="GQ13" s="256"/>
      <c r="GR13" s="263"/>
      <c r="GS13" s="255"/>
      <c r="GT13" s="256"/>
      <c r="GU13" s="256"/>
      <c r="GV13" s="256"/>
      <c r="GW13" s="256"/>
      <c r="GX13" s="256"/>
      <c r="GY13" s="263"/>
    </row>
    <row r="14" spans="1:207" s="196" customFormat="1" ht="16.05" customHeight="1" x14ac:dyDescent="0.3">
      <c r="A14" s="294"/>
      <c r="B14" s="308"/>
      <c r="C14" s="421" t="s">
        <v>20</v>
      </c>
      <c r="D14" s="274"/>
      <c r="E14" s="258" t="s">
        <v>688</v>
      </c>
      <c r="F14" s="429" t="s">
        <v>689</v>
      </c>
      <c r="G14" s="430"/>
      <c r="H14" s="456" t="s">
        <v>687</v>
      </c>
      <c r="I14" s="457"/>
      <c r="J14" s="259" t="s">
        <v>690</v>
      </c>
      <c r="K14" s="265"/>
      <c r="L14" s="301" t="s">
        <v>688</v>
      </c>
      <c r="M14" s="429" t="s">
        <v>689</v>
      </c>
      <c r="N14" s="430"/>
      <c r="O14" s="442" t="s">
        <v>687</v>
      </c>
      <c r="P14" s="443"/>
      <c r="Q14" s="259" t="s">
        <v>690</v>
      </c>
      <c r="R14" s="265"/>
      <c r="S14" s="301" t="s">
        <v>688</v>
      </c>
      <c r="T14" s="429" t="s">
        <v>689</v>
      </c>
      <c r="U14" s="430"/>
      <c r="V14" s="456" t="s">
        <v>687</v>
      </c>
      <c r="W14" s="457"/>
      <c r="X14" s="259" t="s">
        <v>690</v>
      </c>
      <c r="Y14" s="265"/>
      <c r="Z14" s="301" t="s">
        <v>688</v>
      </c>
      <c r="AA14" s="394" t="s">
        <v>689</v>
      </c>
      <c r="AB14" s="402"/>
      <c r="AC14" s="442" t="s">
        <v>687</v>
      </c>
      <c r="AD14" s="443"/>
      <c r="AE14" s="259" t="s">
        <v>690</v>
      </c>
      <c r="AF14" s="265"/>
      <c r="AG14" s="301" t="s">
        <v>688</v>
      </c>
      <c r="AH14" s="394" t="s">
        <v>689</v>
      </c>
      <c r="AI14" s="402"/>
      <c r="AJ14" s="442" t="s">
        <v>687</v>
      </c>
      <c r="AK14" s="443"/>
      <c r="AL14" s="259" t="s">
        <v>690</v>
      </c>
      <c r="AM14" s="265"/>
      <c r="AN14" s="301" t="s">
        <v>688</v>
      </c>
      <c r="AO14" s="394" t="s">
        <v>689</v>
      </c>
      <c r="AP14" s="402"/>
      <c r="AQ14" s="442" t="s">
        <v>687</v>
      </c>
      <c r="AR14" s="443"/>
      <c r="AS14" s="259" t="s">
        <v>690</v>
      </c>
      <c r="AT14" s="265"/>
      <c r="AU14" s="301" t="s">
        <v>688</v>
      </c>
      <c r="AV14" s="394" t="s">
        <v>689</v>
      </c>
      <c r="AW14" s="402"/>
      <c r="AX14" s="442" t="s">
        <v>687</v>
      </c>
      <c r="AY14" s="443"/>
      <c r="AZ14" s="259" t="s">
        <v>690</v>
      </c>
      <c r="BA14" s="265"/>
      <c r="BB14" s="301" t="s">
        <v>688</v>
      </c>
      <c r="BC14" s="394" t="s">
        <v>689</v>
      </c>
      <c r="BD14" s="402"/>
      <c r="BE14" s="442" t="s">
        <v>687</v>
      </c>
      <c r="BF14" s="443"/>
      <c r="BG14" s="259" t="s">
        <v>690</v>
      </c>
      <c r="BH14" s="265"/>
      <c r="BI14" s="301" t="s">
        <v>688</v>
      </c>
      <c r="BJ14" s="394" t="s">
        <v>689</v>
      </c>
      <c r="BK14" s="402"/>
      <c r="BL14" s="442" t="s">
        <v>687</v>
      </c>
      <c r="BM14" s="443"/>
      <c r="BN14" s="259" t="s">
        <v>690</v>
      </c>
      <c r="BO14" s="265"/>
      <c r="BP14" s="301" t="s">
        <v>688</v>
      </c>
      <c r="BQ14" s="394" t="s">
        <v>689</v>
      </c>
      <c r="BR14" s="402"/>
      <c r="BS14" s="442" t="s">
        <v>687</v>
      </c>
      <c r="BT14" s="443"/>
      <c r="BU14" s="259" t="s">
        <v>690</v>
      </c>
      <c r="BV14" s="265"/>
      <c r="BW14" s="301" t="s">
        <v>688</v>
      </c>
      <c r="BX14" s="394" t="s">
        <v>689</v>
      </c>
      <c r="BY14" s="402"/>
      <c r="BZ14" s="442" t="s">
        <v>687</v>
      </c>
      <c r="CA14" s="443"/>
      <c r="CB14" s="259" t="s">
        <v>690</v>
      </c>
      <c r="CC14" s="265"/>
      <c r="CD14" s="301" t="s">
        <v>688</v>
      </c>
      <c r="CE14" s="394" t="s">
        <v>689</v>
      </c>
      <c r="CF14" s="402"/>
      <c r="CG14" s="442" t="s">
        <v>687</v>
      </c>
      <c r="CH14" s="443"/>
      <c r="CI14" s="259" t="s">
        <v>690</v>
      </c>
      <c r="CJ14" s="265"/>
      <c r="CK14" s="301" t="s">
        <v>688</v>
      </c>
      <c r="CL14" s="394" t="s">
        <v>689</v>
      </c>
      <c r="CM14" s="402"/>
      <c r="CN14" s="442" t="s">
        <v>687</v>
      </c>
      <c r="CO14" s="443"/>
      <c r="CP14" s="259" t="s">
        <v>690</v>
      </c>
      <c r="CQ14" s="265"/>
      <c r="CR14" s="301" t="s">
        <v>688</v>
      </c>
      <c r="CS14" s="394" t="s">
        <v>689</v>
      </c>
      <c r="CT14" s="402"/>
      <c r="CU14" s="442" t="s">
        <v>687</v>
      </c>
      <c r="CV14" s="443"/>
      <c r="CW14" s="259" t="s">
        <v>690</v>
      </c>
      <c r="CX14" s="265"/>
      <c r="CY14" s="301" t="s">
        <v>688</v>
      </c>
      <c r="CZ14" s="394" t="s">
        <v>689</v>
      </c>
      <c r="DA14" s="402"/>
      <c r="DB14" s="442" t="s">
        <v>687</v>
      </c>
      <c r="DC14" s="443"/>
      <c r="DD14" s="259" t="s">
        <v>690</v>
      </c>
      <c r="DE14" s="265"/>
      <c r="DF14" s="301" t="s">
        <v>688</v>
      </c>
      <c r="DG14" s="394" t="s">
        <v>689</v>
      </c>
      <c r="DH14" s="402"/>
      <c r="DI14" s="442" t="s">
        <v>687</v>
      </c>
      <c r="DJ14" s="443"/>
      <c r="DK14" s="259" t="s">
        <v>690</v>
      </c>
      <c r="DL14" s="265"/>
      <c r="DM14" s="301" t="s">
        <v>688</v>
      </c>
      <c r="DN14" s="394" t="s">
        <v>689</v>
      </c>
      <c r="DO14" s="402"/>
      <c r="DP14" s="442" t="s">
        <v>687</v>
      </c>
      <c r="DQ14" s="443"/>
      <c r="DR14" s="259" t="s">
        <v>690</v>
      </c>
      <c r="DS14" s="265"/>
      <c r="DT14" s="301" t="s">
        <v>688</v>
      </c>
      <c r="DU14" s="394" t="s">
        <v>689</v>
      </c>
      <c r="DV14" s="402"/>
      <c r="DW14" s="442" t="s">
        <v>687</v>
      </c>
      <c r="DX14" s="443"/>
      <c r="DY14" s="259" t="s">
        <v>690</v>
      </c>
      <c r="DZ14" s="265"/>
      <c r="EA14" s="301" t="s">
        <v>688</v>
      </c>
      <c r="EB14" s="394" t="s">
        <v>689</v>
      </c>
      <c r="EC14" s="402"/>
      <c r="ED14" s="442" t="s">
        <v>687</v>
      </c>
      <c r="EE14" s="443"/>
      <c r="EF14" s="259" t="s">
        <v>690</v>
      </c>
      <c r="EG14" s="265"/>
      <c r="EH14" s="301" t="s">
        <v>688</v>
      </c>
      <c r="EI14" s="394" t="s">
        <v>689</v>
      </c>
      <c r="EJ14" s="402"/>
      <c r="EK14" s="442" t="s">
        <v>687</v>
      </c>
      <c r="EL14" s="443"/>
      <c r="EM14" s="259" t="s">
        <v>690</v>
      </c>
      <c r="EN14" s="265"/>
      <c r="EO14" s="301" t="s">
        <v>688</v>
      </c>
      <c r="EP14" s="394" t="s">
        <v>689</v>
      </c>
      <c r="EQ14" s="402"/>
      <c r="ER14" s="442" t="s">
        <v>687</v>
      </c>
      <c r="ES14" s="443"/>
      <c r="ET14" s="259" t="s">
        <v>690</v>
      </c>
      <c r="EU14" s="265"/>
      <c r="EV14" s="301" t="s">
        <v>688</v>
      </c>
      <c r="EW14" s="394" t="s">
        <v>689</v>
      </c>
      <c r="EX14" s="402"/>
      <c r="EY14" s="442" t="s">
        <v>687</v>
      </c>
      <c r="EZ14" s="443"/>
      <c r="FA14" s="259" t="s">
        <v>690</v>
      </c>
      <c r="FB14" s="265"/>
      <c r="FC14" s="301" t="s">
        <v>688</v>
      </c>
      <c r="FD14" s="394" t="s">
        <v>689</v>
      </c>
      <c r="FE14" s="402"/>
      <c r="FF14" s="442" t="s">
        <v>687</v>
      </c>
      <c r="FG14" s="443"/>
      <c r="FH14" s="259" t="s">
        <v>690</v>
      </c>
      <c r="FI14" s="265"/>
      <c r="FJ14" s="301" t="s">
        <v>688</v>
      </c>
      <c r="FK14" s="394" t="s">
        <v>689</v>
      </c>
      <c r="FL14" s="402"/>
      <c r="FM14" s="442" t="s">
        <v>687</v>
      </c>
      <c r="FN14" s="443"/>
      <c r="FO14" s="259" t="s">
        <v>690</v>
      </c>
      <c r="FP14" s="265"/>
      <c r="FQ14" s="301" t="s">
        <v>688</v>
      </c>
      <c r="FR14" s="394" t="s">
        <v>689</v>
      </c>
      <c r="FS14" s="402"/>
      <c r="FT14" s="442" t="s">
        <v>687</v>
      </c>
      <c r="FU14" s="443"/>
      <c r="FV14" s="259" t="s">
        <v>690</v>
      </c>
      <c r="FW14" s="265"/>
      <c r="FX14" s="301" t="s">
        <v>688</v>
      </c>
      <c r="FY14" s="394" t="s">
        <v>689</v>
      </c>
      <c r="FZ14" s="402"/>
      <c r="GA14" s="442" t="s">
        <v>687</v>
      </c>
      <c r="GB14" s="443"/>
      <c r="GC14" s="259" t="s">
        <v>690</v>
      </c>
      <c r="GD14" s="265"/>
      <c r="GE14" s="301" t="s">
        <v>688</v>
      </c>
      <c r="GF14" s="394" t="s">
        <v>689</v>
      </c>
      <c r="GG14" s="402"/>
      <c r="GH14" s="442" t="s">
        <v>687</v>
      </c>
      <c r="GI14" s="443"/>
      <c r="GJ14" s="259" t="s">
        <v>690</v>
      </c>
      <c r="GK14" s="265"/>
      <c r="GL14" s="301" t="s">
        <v>688</v>
      </c>
      <c r="GM14" s="394" t="s">
        <v>689</v>
      </c>
      <c r="GN14" s="402"/>
      <c r="GO14" s="442" t="s">
        <v>687</v>
      </c>
      <c r="GP14" s="443"/>
      <c r="GQ14" s="259" t="s">
        <v>690</v>
      </c>
      <c r="GR14" s="265"/>
      <c r="GS14" s="301" t="s">
        <v>688</v>
      </c>
      <c r="GT14" s="394" t="s">
        <v>689</v>
      </c>
      <c r="GU14" s="402"/>
      <c r="GV14" s="442" t="s">
        <v>687</v>
      </c>
      <c r="GW14" s="443"/>
      <c r="GX14" s="259" t="s">
        <v>690</v>
      </c>
      <c r="GY14" s="283"/>
    </row>
    <row r="15" spans="1:207" s="196" customFormat="1" ht="16.05" customHeight="1" x14ac:dyDescent="0.3">
      <c r="A15" s="294"/>
      <c r="B15" s="308"/>
      <c r="C15" s="422"/>
      <c r="D15" s="274"/>
      <c r="E15" s="267">
        <v>250</v>
      </c>
      <c r="F15" s="444">
        <f>F17/E15</f>
        <v>600</v>
      </c>
      <c r="G15" s="445"/>
      <c r="H15" s="446">
        <f>'Pilotage effectif EUP'!N43*7</f>
        <v>245</v>
      </c>
      <c r="I15" s="447"/>
      <c r="J15" s="300">
        <f>IF(F15&lt;&gt;0,H15-F15,0)</f>
        <v>-355</v>
      </c>
      <c r="K15" s="265"/>
      <c r="L15" s="299">
        <v>250</v>
      </c>
      <c r="M15" s="444">
        <f>M17/L15</f>
        <v>0</v>
      </c>
      <c r="N15" s="445"/>
      <c r="O15" s="446">
        <f>'Pilotage effectif EUP'!U43*35</f>
        <v>1225</v>
      </c>
      <c r="P15" s="447"/>
      <c r="Q15" s="262">
        <f>IF(M15&lt;&gt;0,O15-M15,0)</f>
        <v>0</v>
      </c>
      <c r="R15" s="265"/>
      <c r="S15" s="299">
        <v>300</v>
      </c>
      <c r="T15" s="444">
        <f>T17/S15</f>
        <v>0</v>
      </c>
      <c r="U15" s="445"/>
      <c r="V15" s="446">
        <f>'Pilotage effectif EUP'!AB43*35</f>
        <v>1120</v>
      </c>
      <c r="W15" s="447"/>
      <c r="X15" s="262">
        <f>IF(T15&lt;&gt;0,V15-T15,0)</f>
        <v>0</v>
      </c>
      <c r="Y15" s="265"/>
      <c r="Z15" s="299">
        <v>320</v>
      </c>
      <c r="AA15" s="448">
        <f>AA17/Z15</f>
        <v>726.33749999999998</v>
      </c>
      <c r="AB15" s="449"/>
      <c r="AC15" s="446">
        <f>'Pilotage effectif EUP'!AI43*35</f>
        <v>1120</v>
      </c>
      <c r="AD15" s="447"/>
      <c r="AE15" s="311">
        <f>IF(AA15&lt;&gt;0,AC15-AA15,0)</f>
        <v>393.66250000000002</v>
      </c>
      <c r="AF15" s="265"/>
      <c r="AG15" s="299">
        <v>250</v>
      </c>
      <c r="AH15" s="444">
        <f>AH17/AG15</f>
        <v>0</v>
      </c>
      <c r="AI15" s="445"/>
      <c r="AJ15" s="446">
        <f>'Pilotage effectif EUP'!AP43*35</f>
        <v>1050</v>
      </c>
      <c r="AK15" s="447"/>
      <c r="AL15" s="262">
        <f>IF(AH15&lt;&gt;0,AJ15-AH15,0)</f>
        <v>0</v>
      </c>
      <c r="AM15" s="265"/>
      <c r="AN15" s="299">
        <v>250</v>
      </c>
      <c r="AO15" s="444">
        <f>AO17/AN15</f>
        <v>0</v>
      </c>
      <c r="AP15" s="445"/>
      <c r="AQ15" s="446">
        <f>'Pilotage effectif EUP'!AW43*35</f>
        <v>1050</v>
      </c>
      <c r="AR15" s="447"/>
      <c r="AS15" s="262">
        <f>IF(AO15&lt;&gt;0,AQ15-AO15,0)</f>
        <v>0</v>
      </c>
      <c r="AT15" s="265"/>
      <c r="AU15" s="299">
        <v>250</v>
      </c>
      <c r="AV15" s="444">
        <f>AV17/AU15</f>
        <v>0</v>
      </c>
      <c r="AW15" s="445"/>
      <c r="AX15" s="446">
        <f>'Pilotage effectif EUP'!BD43*35</f>
        <v>1085</v>
      </c>
      <c r="AY15" s="447"/>
      <c r="AZ15" s="262">
        <f>IF(AV15&lt;&gt;0,AX15-AV15,0)</f>
        <v>0</v>
      </c>
      <c r="BA15" s="265"/>
      <c r="BB15" s="299">
        <v>250</v>
      </c>
      <c r="BC15" s="444">
        <f>BC17/BB15</f>
        <v>0</v>
      </c>
      <c r="BD15" s="445"/>
      <c r="BE15" s="446">
        <f>'Pilotage effectif EUP'!BK43*35</f>
        <v>1085</v>
      </c>
      <c r="BF15" s="447"/>
      <c r="BG15" s="262">
        <f>IF(BC15&lt;&gt;0,BE15-BC15,0)</f>
        <v>0</v>
      </c>
      <c r="BH15" s="265"/>
      <c r="BI15" s="299">
        <v>250</v>
      </c>
      <c r="BJ15" s="444">
        <f>BJ17/BI15</f>
        <v>0</v>
      </c>
      <c r="BK15" s="445"/>
      <c r="BL15" s="446">
        <f>'Pilotage effectif EUP'!BR43*35</f>
        <v>1085</v>
      </c>
      <c r="BM15" s="447"/>
      <c r="BN15" s="262">
        <f>IF(BJ15&lt;&gt;0,BL15-BJ15,0)</f>
        <v>0</v>
      </c>
      <c r="BO15" s="265"/>
      <c r="BP15" s="299">
        <v>250</v>
      </c>
      <c r="BQ15" s="444">
        <f>BQ17/BP15</f>
        <v>0</v>
      </c>
      <c r="BR15" s="445"/>
      <c r="BS15" s="446">
        <f>'Pilotage effectif EUP'!BY43*35</f>
        <v>1120</v>
      </c>
      <c r="BT15" s="447"/>
      <c r="BU15" s="262">
        <f>IF(BQ15&lt;&gt;0,BS15-BQ15,0)</f>
        <v>0</v>
      </c>
      <c r="BV15" s="265"/>
      <c r="BW15" s="299">
        <v>250</v>
      </c>
      <c r="BX15" s="444">
        <f>BX17/BW15</f>
        <v>0</v>
      </c>
      <c r="BY15" s="445"/>
      <c r="BZ15" s="446">
        <f>'Pilotage effectif EUP'!CF43*35</f>
        <v>1155</v>
      </c>
      <c r="CA15" s="447"/>
      <c r="CB15" s="262">
        <f>IF(BX15&lt;&gt;0,BZ15-BX15,0)</f>
        <v>0</v>
      </c>
      <c r="CC15" s="265"/>
      <c r="CD15" s="299">
        <v>250</v>
      </c>
      <c r="CE15" s="444">
        <f>CE17/CD15</f>
        <v>0</v>
      </c>
      <c r="CF15" s="445"/>
      <c r="CG15" s="446">
        <f>'Pilotage effectif EUP'!CM43*35</f>
        <v>980</v>
      </c>
      <c r="CH15" s="447"/>
      <c r="CI15" s="262">
        <f>IF(CE15&lt;&gt;0,CG15-CE15,0)</f>
        <v>0</v>
      </c>
      <c r="CJ15" s="265"/>
      <c r="CK15" s="299">
        <v>250</v>
      </c>
      <c r="CL15" s="444">
        <f>CL17/CK15</f>
        <v>0</v>
      </c>
      <c r="CM15" s="445"/>
      <c r="CN15" s="446">
        <f>'Pilotage effectif EUP'!CT43*35</f>
        <v>980</v>
      </c>
      <c r="CO15" s="447"/>
      <c r="CP15" s="262">
        <f>IF(CL15&lt;&gt;0,CN15-CL15,0)</f>
        <v>0</v>
      </c>
      <c r="CQ15" s="265"/>
      <c r="CR15" s="299">
        <v>250</v>
      </c>
      <c r="CS15" s="444">
        <f>CS17/CR15</f>
        <v>0</v>
      </c>
      <c r="CT15" s="445"/>
      <c r="CU15" s="446">
        <f>'Pilotage effectif EUP'!DA43*35</f>
        <v>980</v>
      </c>
      <c r="CV15" s="447"/>
      <c r="CW15" s="262">
        <f>IF(CS15&lt;&gt;0,CU15-CS15,0)</f>
        <v>0</v>
      </c>
      <c r="CX15" s="265"/>
      <c r="CY15" s="299">
        <v>250</v>
      </c>
      <c r="CZ15" s="444">
        <f>CZ17/CY15</f>
        <v>0</v>
      </c>
      <c r="DA15" s="445"/>
      <c r="DB15" s="446">
        <f>'Pilotage effectif EUP'!DH43*35</f>
        <v>1029</v>
      </c>
      <c r="DC15" s="447"/>
      <c r="DD15" s="262">
        <f>IF(CZ15&lt;&gt;0,DB15-CZ15,0)</f>
        <v>0</v>
      </c>
      <c r="DE15" s="265"/>
      <c r="DF15" s="299">
        <v>250</v>
      </c>
      <c r="DG15" s="444">
        <f>DG17/DF15</f>
        <v>0</v>
      </c>
      <c r="DH15" s="445"/>
      <c r="DI15" s="446">
        <f>'Pilotage effectif EUP'!DO43*35</f>
        <v>945</v>
      </c>
      <c r="DJ15" s="447"/>
      <c r="DK15" s="262">
        <f>IF(DG15&lt;&gt;0,DI15-DG15,0)</f>
        <v>0</v>
      </c>
      <c r="DL15" s="265"/>
      <c r="DM15" s="299">
        <v>250</v>
      </c>
      <c r="DN15" s="444">
        <f>DN17/DM15</f>
        <v>0</v>
      </c>
      <c r="DO15" s="445"/>
      <c r="DP15" s="446">
        <f>'Pilotage effectif EUP'!DV43*35</f>
        <v>945</v>
      </c>
      <c r="DQ15" s="447"/>
      <c r="DR15" s="262">
        <f>IF(DN15&lt;&gt;0,DP15-DN15,0)</f>
        <v>0</v>
      </c>
      <c r="DS15" s="265"/>
      <c r="DT15" s="299">
        <v>250</v>
      </c>
      <c r="DU15" s="444">
        <f>DU17/DT15</f>
        <v>0</v>
      </c>
      <c r="DV15" s="445"/>
      <c r="DW15" s="446">
        <f>'Pilotage effectif EUP'!EC43*35</f>
        <v>777</v>
      </c>
      <c r="DX15" s="447"/>
      <c r="DY15" s="262">
        <f>IF(DU15&lt;&gt;0,DW15-DU15,0)</f>
        <v>0</v>
      </c>
      <c r="DZ15" s="265"/>
      <c r="EA15" s="299">
        <v>250</v>
      </c>
      <c r="EB15" s="444">
        <f>EB17/EA15</f>
        <v>0</v>
      </c>
      <c r="EC15" s="445"/>
      <c r="ED15" s="446">
        <f>'Pilotage effectif EUP'!EJ43*35</f>
        <v>861</v>
      </c>
      <c r="EE15" s="447"/>
      <c r="EF15" s="262">
        <f>IF(EB15&lt;&gt;0,ED15-EB15,0)</f>
        <v>0</v>
      </c>
      <c r="EG15" s="265"/>
      <c r="EH15" s="299">
        <v>250</v>
      </c>
      <c r="EI15" s="444">
        <f>EI17/EH15</f>
        <v>0</v>
      </c>
      <c r="EJ15" s="445"/>
      <c r="EK15" s="446">
        <f>'Pilotage effectif EUP'!EQ43*35</f>
        <v>945</v>
      </c>
      <c r="EL15" s="447"/>
      <c r="EM15" s="262">
        <f>IF(EI15&lt;&gt;0,EK15-EI15,0)</f>
        <v>0</v>
      </c>
      <c r="EN15" s="265"/>
      <c r="EO15" s="299">
        <v>250</v>
      </c>
      <c r="EP15" s="444">
        <f>EP17/EO15</f>
        <v>0</v>
      </c>
      <c r="EQ15" s="445"/>
      <c r="ER15" s="446">
        <f>'Pilotage effectif EUP'!EX43*35</f>
        <v>1050</v>
      </c>
      <c r="ES15" s="447"/>
      <c r="ET15" s="262">
        <f>IF(EP15&lt;&gt;0,ER15-EP15,0)</f>
        <v>0</v>
      </c>
      <c r="EU15" s="265"/>
      <c r="EV15" s="299">
        <v>250</v>
      </c>
      <c r="EW15" s="444">
        <f>EW17/EV15</f>
        <v>0</v>
      </c>
      <c r="EX15" s="445"/>
      <c r="EY15" s="446">
        <f>'Pilotage effectif EUP'!FE43*35</f>
        <v>945</v>
      </c>
      <c r="EZ15" s="447"/>
      <c r="FA15" s="262">
        <f>IF(EW15&lt;&gt;0,EY15-EW15,0)</f>
        <v>0</v>
      </c>
      <c r="FB15" s="265"/>
      <c r="FC15" s="299">
        <v>250</v>
      </c>
      <c r="FD15" s="444">
        <f>FD17/FC15</f>
        <v>0</v>
      </c>
      <c r="FE15" s="445"/>
      <c r="FF15" s="446">
        <f>'Pilotage effectif EUP'!FL43*35</f>
        <v>980</v>
      </c>
      <c r="FG15" s="447"/>
      <c r="FH15" s="262">
        <f>IF(FD15&lt;&gt;0,FF15-FD15,0)</f>
        <v>0</v>
      </c>
      <c r="FI15" s="265"/>
      <c r="FJ15" s="299">
        <v>250</v>
      </c>
      <c r="FK15" s="444">
        <f>FK17/FJ15</f>
        <v>0</v>
      </c>
      <c r="FL15" s="445"/>
      <c r="FM15" s="446">
        <f>'Pilotage effectif EUP'!FS43*35</f>
        <v>854</v>
      </c>
      <c r="FN15" s="447"/>
      <c r="FO15" s="262">
        <f>IF(FK15&lt;&gt;0,FM15-FK15,0)</f>
        <v>0</v>
      </c>
      <c r="FP15" s="265"/>
      <c r="FQ15" s="299">
        <v>250</v>
      </c>
      <c r="FR15" s="444">
        <f>FR17/FQ15</f>
        <v>0</v>
      </c>
      <c r="FS15" s="445"/>
      <c r="FT15" s="446">
        <f>'Pilotage effectif EUP'!FZ43*35</f>
        <v>1015</v>
      </c>
      <c r="FU15" s="447"/>
      <c r="FV15" s="262">
        <f>IF(FR15&lt;&gt;0,FT15-FR15,0)</f>
        <v>0</v>
      </c>
      <c r="FW15" s="265"/>
      <c r="FX15" s="299">
        <v>250</v>
      </c>
      <c r="FY15" s="444">
        <f>FY17/FX15</f>
        <v>0</v>
      </c>
      <c r="FZ15" s="445"/>
      <c r="GA15" s="446">
        <f>'Pilotage effectif EUP'!GG43*35</f>
        <v>1029</v>
      </c>
      <c r="GB15" s="447"/>
      <c r="GC15" s="262">
        <f>IF(FY15&lt;&gt;0,GA15-FY15,0)</f>
        <v>0</v>
      </c>
      <c r="GD15" s="265"/>
      <c r="GE15" s="299">
        <v>250</v>
      </c>
      <c r="GF15" s="444">
        <f>GF17/GE15</f>
        <v>0</v>
      </c>
      <c r="GG15" s="445"/>
      <c r="GH15" s="446">
        <f>'Pilotage effectif EUP'!GN43*35</f>
        <v>910</v>
      </c>
      <c r="GI15" s="447"/>
      <c r="GJ15" s="262">
        <f>IF(GF15&lt;&gt;0,GH15-GF15,0)</f>
        <v>0</v>
      </c>
      <c r="GK15" s="265"/>
      <c r="GL15" s="299">
        <v>250</v>
      </c>
      <c r="GM15" s="444">
        <f>GM17/GL15</f>
        <v>0</v>
      </c>
      <c r="GN15" s="445"/>
      <c r="GO15" s="446">
        <f>'Pilotage effectif EUP'!GU43*35</f>
        <v>945</v>
      </c>
      <c r="GP15" s="447"/>
      <c r="GQ15" s="262">
        <f>IF(GM15&lt;&gt;0,GO15-GM15,0)</f>
        <v>0</v>
      </c>
      <c r="GR15" s="265"/>
      <c r="GS15" s="299">
        <v>250</v>
      </c>
      <c r="GT15" s="444">
        <f>GT17/GS15</f>
        <v>0</v>
      </c>
      <c r="GU15" s="445"/>
      <c r="GV15" s="446">
        <f>'Pilotage effectif EUP'!HB43*35</f>
        <v>770</v>
      </c>
      <c r="GW15" s="447"/>
      <c r="GX15" s="262">
        <f>IF(GT15&lt;&gt;0,GV15-GT15,0)</f>
        <v>0</v>
      </c>
      <c r="GY15" s="283"/>
    </row>
    <row r="16" spans="1:207" s="196" customFormat="1" ht="16.05" customHeight="1" x14ac:dyDescent="0.3">
      <c r="A16" s="294"/>
      <c r="B16" s="308"/>
      <c r="C16" s="422"/>
      <c r="D16" s="274"/>
      <c r="E16" s="268" t="s">
        <v>692</v>
      </c>
      <c r="F16" s="400" t="s">
        <v>691</v>
      </c>
      <c r="G16" s="401"/>
      <c r="H16" s="440" t="s">
        <v>412</v>
      </c>
      <c r="I16" s="441"/>
      <c r="J16" s="247" t="s">
        <v>690</v>
      </c>
      <c r="K16" s="265"/>
      <c r="L16" s="297" t="s">
        <v>692</v>
      </c>
      <c r="M16" s="400" t="s">
        <v>691</v>
      </c>
      <c r="N16" s="401"/>
      <c r="O16" s="440" t="s">
        <v>412</v>
      </c>
      <c r="P16" s="441"/>
      <c r="Q16" s="247" t="s">
        <v>690</v>
      </c>
      <c r="R16" s="265"/>
      <c r="S16" s="297" t="s">
        <v>692</v>
      </c>
      <c r="T16" s="400" t="s">
        <v>691</v>
      </c>
      <c r="U16" s="401"/>
      <c r="V16" s="440" t="s">
        <v>412</v>
      </c>
      <c r="W16" s="441"/>
      <c r="X16" s="247" t="s">
        <v>690</v>
      </c>
      <c r="Y16" s="265"/>
      <c r="Z16" s="297" t="s">
        <v>692</v>
      </c>
      <c r="AA16" s="400" t="s">
        <v>691</v>
      </c>
      <c r="AB16" s="401"/>
      <c r="AC16" s="440" t="s">
        <v>412</v>
      </c>
      <c r="AD16" s="441"/>
      <c r="AE16" s="247" t="s">
        <v>690</v>
      </c>
      <c r="AF16" s="265"/>
      <c r="AG16" s="297" t="s">
        <v>692</v>
      </c>
      <c r="AH16" s="400" t="s">
        <v>691</v>
      </c>
      <c r="AI16" s="401"/>
      <c r="AJ16" s="440" t="s">
        <v>412</v>
      </c>
      <c r="AK16" s="441"/>
      <c r="AL16" s="247" t="s">
        <v>690</v>
      </c>
      <c r="AM16" s="265"/>
      <c r="AN16" s="297" t="s">
        <v>692</v>
      </c>
      <c r="AO16" s="400" t="s">
        <v>691</v>
      </c>
      <c r="AP16" s="401"/>
      <c r="AQ16" s="440" t="s">
        <v>412</v>
      </c>
      <c r="AR16" s="441"/>
      <c r="AS16" s="247" t="s">
        <v>690</v>
      </c>
      <c r="AT16" s="265"/>
      <c r="AU16" s="297" t="s">
        <v>692</v>
      </c>
      <c r="AV16" s="400" t="s">
        <v>691</v>
      </c>
      <c r="AW16" s="401"/>
      <c r="AX16" s="440" t="s">
        <v>412</v>
      </c>
      <c r="AY16" s="441"/>
      <c r="AZ16" s="247" t="s">
        <v>690</v>
      </c>
      <c r="BA16" s="265"/>
      <c r="BB16" s="297" t="s">
        <v>692</v>
      </c>
      <c r="BC16" s="400" t="s">
        <v>691</v>
      </c>
      <c r="BD16" s="401"/>
      <c r="BE16" s="440" t="s">
        <v>412</v>
      </c>
      <c r="BF16" s="441"/>
      <c r="BG16" s="247" t="s">
        <v>690</v>
      </c>
      <c r="BH16" s="265"/>
      <c r="BI16" s="297" t="s">
        <v>692</v>
      </c>
      <c r="BJ16" s="400" t="s">
        <v>691</v>
      </c>
      <c r="BK16" s="401"/>
      <c r="BL16" s="440" t="s">
        <v>412</v>
      </c>
      <c r="BM16" s="441"/>
      <c r="BN16" s="247" t="s">
        <v>690</v>
      </c>
      <c r="BO16" s="265"/>
      <c r="BP16" s="297" t="s">
        <v>692</v>
      </c>
      <c r="BQ16" s="400" t="s">
        <v>691</v>
      </c>
      <c r="BR16" s="401"/>
      <c r="BS16" s="440" t="s">
        <v>412</v>
      </c>
      <c r="BT16" s="441"/>
      <c r="BU16" s="247" t="s">
        <v>690</v>
      </c>
      <c r="BV16" s="265"/>
      <c r="BW16" s="297" t="s">
        <v>692</v>
      </c>
      <c r="BX16" s="400" t="s">
        <v>691</v>
      </c>
      <c r="BY16" s="401"/>
      <c r="BZ16" s="440" t="s">
        <v>412</v>
      </c>
      <c r="CA16" s="441"/>
      <c r="CB16" s="247" t="s">
        <v>690</v>
      </c>
      <c r="CC16" s="265"/>
      <c r="CD16" s="297" t="s">
        <v>692</v>
      </c>
      <c r="CE16" s="400" t="s">
        <v>691</v>
      </c>
      <c r="CF16" s="401"/>
      <c r="CG16" s="440" t="s">
        <v>412</v>
      </c>
      <c r="CH16" s="441"/>
      <c r="CI16" s="247" t="s">
        <v>690</v>
      </c>
      <c r="CJ16" s="265"/>
      <c r="CK16" s="297" t="s">
        <v>692</v>
      </c>
      <c r="CL16" s="400" t="s">
        <v>691</v>
      </c>
      <c r="CM16" s="401"/>
      <c r="CN16" s="440" t="s">
        <v>412</v>
      </c>
      <c r="CO16" s="441"/>
      <c r="CP16" s="247" t="s">
        <v>690</v>
      </c>
      <c r="CQ16" s="265"/>
      <c r="CR16" s="297" t="s">
        <v>692</v>
      </c>
      <c r="CS16" s="400" t="s">
        <v>691</v>
      </c>
      <c r="CT16" s="401"/>
      <c r="CU16" s="440" t="s">
        <v>412</v>
      </c>
      <c r="CV16" s="441"/>
      <c r="CW16" s="247" t="s">
        <v>690</v>
      </c>
      <c r="CX16" s="265"/>
      <c r="CY16" s="297" t="s">
        <v>692</v>
      </c>
      <c r="CZ16" s="400" t="s">
        <v>691</v>
      </c>
      <c r="DA16" s="401"/>
      <c r="DB16" s="440" t="s">
        <v>412</v>
      </c>
      <c r="DC16" s="441"/>
      <c r="DD16" s="247" t="s">
        <v>690</v>
      </c>
      <c r="DE16" s="265"/>
      <c r="DF16" s="297" t="s">
        <v>692</v>
      </c>
      <c r="DG16" s="400" t="s">
        <v>691</v>
      </c>
      <c r="DH16" s="401"/>
      <c r="DI16" s="440" t="s">
        <v>412</v>
      </c>
      <c r="DJ16" s="441"/>
      <c r="DK16" s="247" t="s">
        <v>690</v>
      </c>
      <c r="DL16" s="265"/>
      <c r="DM16" s="297" t="s">
        <v>692</v>
      </c>
      <c r="DN16" s="400" t="s">
        <v>691</v>
      </c>
      <c r="DO16" s="401"/>
      <c r="DP16" s="440" t="s">
        <v>412</v>
      </c>
      <c r="DQ16" s="441"/>
      <c r="DR16" s="247" t="s">
        <v>690</v>
      </c>
      <c r="DS16" s="265"/>
      <c r="DT16" s="297" t="s">
        <v>692</v>
      </c>
      <c r="DU16" s="400" t="s">
        <v>691</v>
      </c>
      <c r="DV16" s="401"/>
      <c r="DW16" s="440" t="s">
        <v>412</v>
      </c>
      <c r="DX16" s="441"/>
      <c r="DY16" s="247" t="s">
        <v>690</v>
      </c>
      <c r="DZ16" s="265"/>
      <c r="EA16" s="297" t="s">
        <v>692</v>
      </c>
      <c r="EB16" s="400" t="s">
        <v>691</v>
      </c>
      <c r="EC16" s="401"/>
      <c r="ED16" s="440" t="s">
        <v>412</v>
      </c>
      <c r="EE16" s="441"/>
      <c r="EF16" s="247" t="s">
        <v>690</v>
      </c>
      <c r="EG16" s="265"/>
      <c r="EH16" s="297" t="s">
        <v>692</v>
      </c>
      <c r="EI16" s="400" t="s">
        <v>691</v>
      </c>
      <c r="EJ16" s="401"/>
      <c r="EK16" s="440" t="s">
        <v>412</v>
      </c>
      <c r="EL16" s="441"/>
      <c r="EM16" s="247" t="s">
        <v>690</v>
      </c>
      <c r="EN16" s="265"/>
      <c r="EO16" s="297" t="s">
        <v>692</v>
      </c>
      <c r="EP16" s="400" t="s">
        <v>691</v>
      </c>
      <c r="EQ16" s="401"/>
      <c r="ER16" s="440" t="s">
        <v>412</v>
      </c>
      <c r="ES16" s="441"/>
      <c r="ET16" s="247" t="s">
        <v>690</v>
      </c>
      <c r="EU16" s="265"/>
      <c r="EV16" s="297" t="s">
        <v>692</v>
      </c>
      <c r="EW16" s="400" t="s">
        <v>691</v>
      </c>
      <c r="EX16" s="401"/>
      <c r="EY16" s="440" t="s">
        <v>412</v>
      </c>
      <c r="EZ16" s="441"/>
      <c r="FA16" s="247" t="s">
        <v>690</v>
      </c>
      <c r="FB16" s="265"/>
      <c r="FC16" s="297" t="s">
        <v>692</v>
      </c>
      <c r="FD16" s="400" t="s">
        <v>691</v>
      </c>
      <c r="FE16" s="401"/>
      <c r="FF16" s="440" t="s">
        <v>412</v>
      </c>
      <c r="FG16" s="441"/>
      <c r="FH16" s="247" t="s">
        <v>690</v>
      </c>
      <c r="FI16" s="265"/>
      <c r="FJ16" s="297" t="s">
        <v>692</v>
      </c>
      <c r="FK16" s="400" t="s">
        <v>691</v>
      </c>
      <c r="FL16" s="401"/>
      <c r="FM16" s="440" t="s">
        <v>412</v>
      </c>
      <c r="FN16" s="441"/>
      <c r="FO16" s="247" t="s">
        <v>690</v>
      </c>
      <c r="FP16" s="265"/>
      <c r="FQ16" s="297" t="s">
        <v>692</v>
      </c>
      <c r="FR16" s="400" t="s">
        <v>691</v>
      </c>
      <c r="FS16" s="401"/>
      <c r="FT16" s="440" t="s">
        <v>412</v>
      </c>
      <c r="FU16" s="441"/>
      <c r="FV16" s="247" t="s">
        <v>690</v>
      </c>
      <c r="FW16" s="265"/>
      <c r="FX16" s="297" t="s">
        <v>692</v>
      </c>
      <c r="FY16" s="400" t="s">
        <v>691</v>
      </c>
      <c r="FZ16" s="401"/>
      <c r="GA16" s="440" t="s">
        <v>412</v>
      </c>
      <c r="GB16" s="441"/>
      <c r="GC16" s="247" t="s">
        <v>690</v>
      </c>
      <c r="GD16" s="265"/>
      <c r="GE16" s="297" t="s">
        <v>692</v>
      </c>
      <c r="GF16" s="400" t="s">
        <v>691</v>
      </c>
      <c r="GG16" s="401"/>
      <c r="GH16" s="440" t="s">
        <v>412</v>
      </c>
      <c r="GI16" s="441"/>
      <c r="GJ16" s="247" t="s">
        <v>690</v>
      </c>
      <c r="GK16" s="265"/>
      <c r="GL16" s="297" t="s">
        <v>692</v>
      </c>
      <c r="GM16" s="400" t="s">
        <v>691</v>
      </c>
      <c r="GN16" s="401"/>
      <c r="GO16" s="440" t="s">
        <v>412</v>
      </c>
      <c r="GP16" s="441"/>
      <c r="GQ16" s="247" t="s">
        <v>690</v>
      </c>
      <c r="GR16" s="265"/>
      <c r="GS16" s="297" t="s">
        <v>692</v>
      </c>
      <c r="GT16" s="400" t="s">
        <v>691</v>
      </c>
      <c r="GU16" s="401"/>
      <c r="GV16" s="440" t="s">
        <v>412</v>
      </c>
      <c r="GW16" s="441"/>
      <c r="GX16" s="247" t="s">
        <v>690</v>
      </c>
      <c r="GY16" s="283"/>
    </row>
    <row r="17" spans="1:207" s="196" customFormat="1" ht="16.05" customHeight="1" thickBot="1" x14ac:dyDescent="0.35">
      <c r="A17" s="294"/>
      <c r="B17" s="308"/>
      <c r="C17" s="423"/>
      <c r="D17" s="274"/>
      <c r="E17" s="269">
        <f>'Pilotage effectif EUP'!N43</f>
        <v>35</v>
      </c>
      <c r="F17" s="388">
        <v>150000</v>
      </c>
      <c r="G17" s="437"/>
      <c r="H17" s="438">
        <f>H15*E15</f>
        <v>61250</v>
      </c>
      <c r="I17" s="439"/>
      <c r="J17" s="275">
        <f>IF(F17&lt;&gt;0,H17-F17,0)</f>
        <v>-88750</v>
      </c>
      <c r="K17" s="265"/>
      <c r="L17" s="269">
        <f>'Pilotage effectif EUP'!U43</f>
        <v>35</v>
      </c>
      <c r="M17" s="388"/>
      <c r="N17" s="437"/>
      <c r="O17" s="438">
        <f>O15*L15</f>
        <v>306250</v>
      </c>
      <c r="P17" s="439"/>
      <c r="Q17" s="275">
        <f>IF(M17&lt;&gt;0,O17-M17,0)</f>
        <v>0</v>
      </c>
      <c r="R17" s="265"/>
      <c r="S17" s="269">
        <f>'Pilotage effectif EUP'!AB43</f>
        <v>32</v>
      </c>
      <c r="T17" s="388"/>
      <c r="U17" s="437"/>
      <c r="V17" s="438">
        <f>V15*S15</f>
        <v>336000</v>
      </c>
      <c r="W17" s="439"/>
      <c r="X17" s="275">
        <f>IF(T17&lt;&gt;0,V17-T17,0)</f>
        <v>0</v>
      </c>
      <c r="Y17" s="265"/>
      <c r="Z17" s="269">
        <f>'Pilotage effectif EUP'!AI43</f>
        <v>32</v>
      </c>
      <c r="AA17" s="388">
        <v>232428</v>
      </c>
      <c r="AB17" s="437"/>
      <c r="AC17" s="438">
        <f>AC15*Z15</f>
        <v>358400</v>
      </c>
      <c r="AD17" s="439"/>
      <c r="AE17" s="275">
        <f>IF(AA17&lt;&gt;0,AC17-AA17,0)</f>
        <v>125972</v>
      </c>
      <c r="AF17" s="265"/>
      <c r="AG17" s="269">
        <f>'Pilotage effectif EUP'!AP43</f>
        <v>30</v>
      </c>
      <c r="AH17" s="388"/>
      <c r="AI17" s="437"/>
      <c r="AJ17" s="438">
        <f>AJ15*AG15</f>
        <v>262500</v>
      </c>
      <c r="AK17" s="439"/>
      <c r="AL17" s="275">
        <f>IF(AH17&lt;&gt;0,AJ17-AH17,0)</f>
        <v>0</v>
      </c>
      <c r="AM17" s="265"/>
      <c r="AN17" s="269">
        <f>'Pilotage effectif EUP'!AW43</f>
        <v>30</v>
      </c>
      <c r="AO17" s="388"/>
      <c r="AP17" s="437"/>
      <c r="AQ17" s="438">
        <f>AQ15*AN15</f>
        <v>262500</v>
      </c>
      <c r="AR17" s="439"/>
      <c r="AS17" s="275">
        <f>IF(AO17&lt;&gt;0,AQ17-AO17,0)</f>
        <v>0</v>
      </c>
      <c r="AT17" s="265"/>
      <c r="AU17" s="269">
        <f>'Pilotage effectif EUP'!BD43</f>
        <v>31</v>
      </c>
      <c r="AV17" s="388"/>
      <c r="AW17" s="437"/>
      <c r="AX17" s="438">
        <f>AX15*AU15</f>
        <v>271250</v>
      </c>
      <c r="AY17" s="439"/>
      <c r="AZ17" s="275">
        <f>IF(AV17&lt;&gt;0,AX17-AV17,0)</f>
        <v>0</v>
      </c>
      <c r="BA17" s="265"/>
      <c r="BB17" s="269">
        <f>'Pilotage effectif EUP'!BK43</f>
        <v>31</v>
      </c>
      <c r="BC17" s="388"/>
      <c r="BD17" s="437"/>
      <c r="BE17" s="438">
        <f>BE15*BB15</f>
        <v>271250</v>
      </c>
      <c r="BF17" s="439"/>
      <c r="BG17" s="275">
        <f>IF(BC17&lt;&gt;0,BE17-BC17,0)</f>
        <v>0</v>
      </c>
      <c r="BH17" s="265"/>
      <c r="BI17" s="269">
        <f>'Pilotage effectif EUP'!BR43</f>
        <v>31</v>
      </c>
      <c r="BJ17" s="388"/>
      <c r="BK17" s="437"/>
      <c r="BL17" s="438">
        <f>BL15*BI15</f>
        <v>271250</v>
      </c>
      <c r="BM17" s="439"/>
      <c r="BN17" s="275">
        <f>IF(BJ17&lt;&gt;0,BL17-BJ17,0)</f>
        <v>0</v>
      </c>
      <c r="BO17" s="265"/>
      <c r="BP17" s="269">
        <f>'Pilotage effectif EUP'!BY43</f>
        <v>32</v>
      </c>
      <c r="BQ17" s="388"/>
      <c r="BR17" s="437"/>
      <c r="BS17" s="438">
        <f>BS15*BP15</f>
        <v>280000</v>
      </c>
      <c r="BT17" s="439"/>
      <c r="BU17" s="275">
        <f>IF(BQ17&lt;&gt;0,BS17-BQ17,0)</f>
        <v>0</v>
      </c>
      <c r="BV17" s="265"/>
      <c r="BW17" s="269">
        <f>'Pilotage effectif EUP'!CF43</f>
        <v>33</v>
      </c>
      <c r="BX17" s="388"/>
      <c r="BY17" s="437"/>
      <c r="BZ17" s="438">
        <f>BZ15*BW15</f>
        <v>288750</v>
      </c>
      <c r="CA17" s="439"/>
      <c r="CB17" s="275">
        <f>IF(BX17&lt;&gt;0,BZ17-BX17,0)</f>
        <v>0</v>
      </c>
      <c r="CC17" s="265"/>
      <c r="CD17" s="269">
        <f>'Pilotage effectif EUP'!CM43</f>
        <v>28</v>
      </c>
      <c r="CE17" s="388"/>
      <c r="CF17" s="437"/>
      <c r="CG17" s="438">
        <f>CG15*CD15</f>
        <v>245000</v>
      </c>
      <c r="CH17" s="439"/>
      <c r="CI17" s="275">
        <f>IF(CE17&lt;&gt;0,CG17-CE17,0)</f>
        <v>0</v>
      </c>
      <c r="CJ17" s="265"/>
      <c r="CK17" s="269">
        <f>'Pilotage effectif EUP'!CT43</f>
        <v>28</v>
      </c>
      <c r="CL17" s="388"/>
      <c r="CM17" s="437"/>
      <c r="CN17" s="438">
        <f>CN15*CK15</f>
        <v>245000</v>
      </c>
      <c r="CO17" s="439"/>
      <c r="CP17" s="275">
        <f>IF(CL17&lt;&gt;0,CN17-CL17,0)</f>
        <v>0</v>
      </c>
      <c r="CQ17" s="265"/>
      <c r="CR17" s="269">
        <f>'Pilotage effectif EUP'!DA43</f>
        <v>28</v>
      </c>
      <c r="CS17" s="388"/>
      <c r="CT17" s="437"/>
      <c r="CU17" s="438">
        <f>CU15*CR15</f>
        <v>245000</v>
      </c>
      <c r="CV17" s="439"/>
      <c r="CW17" s="275">
        <f>IF(CS17&lt;&gt;0,CU17-CS17,0)</f>
        <v>0</v>
      </c>
      <c r="CX17" s="265"/>
      <c r="CY17" s="269">
        <f>'Pilotage effectif EUP'!DH43</f>
        <v>29.4</v>
      </c>
      <c r="CZ17" s="388"/>
      <c r="DA17" s="437"/>
      <c r="DB17" s="438">
        <f>DB15*CY15</f>
        <v>257250</v>
      </c>
      <c r="DC17" s="439"/>
      <c r="DD17" s="275">
        <f>IF(CZ17&lt;&gt;0,DB17-CZ17,0)</f>
        <v>0</v>
      </c>
      <c r="DE17" s="265"/>
      <c r="DF17" s="269">
        <f>'Pilotage effectif EUP'!DO43</f>
        <v>27</v>
      </c>
      <c r="DG17" s="388"/>
      <c r="DH17" s="437"/>
      <c r="DI17" s="438">
        <f>DI15*DF15</f>
        <v>236250</v>
      </c>
      <c r="DJ17" s="439"/>
      <c r="DK17" s="275">
        <f>IF(DG17&lt;&gt;0,DI17-DG17,0)</f>
        <v>0</v>
      </c>
      <c r="DL17" s="265"/>
      <c r="DM17" s="269">
        <f>'Pilotage effectif EUP'!DV43</f>
        <v>27</v>
      </c>
      <c r="DN17" s="388"/>
      <c r="DO17" s="437"/>
      <c r="DP17" s="438">
        <f>DP15*DM15</f>
        <v>236250</v>
      </c>
      <c r="DQ17" s="439"/>
      <c r="DR17" s="275">
        <f>IF(DN17&lt;&gt;0,DP17-DN17,0)</f>
        <v>0</v>
      </c>
      <c r="DS17" s="265"/>
      <c r="DT17" s="269">
        <f>'Pilotage effectif EUP'!EC43</f>
        <v>22.2</v>
      </c>
      <c r="DU17" s="388"/>
      <c r="DV17" s="437"/>
      <c r="DW17" s="438">
        <f>DW15*DT15</f>
        <v>194250</v>
      </c>
      <c r="DX17" s="439"/>
      <c r="DY17" s="275">
        <f>IF(DU17&lt;&gt;0,DW17-DU17,0)</f>
        <v>0</v>
      </c>
      <c r="DZ17" s="265"/>
      <c r="EA17" s="269">
        <f>'Pilotage effectif EUP'!EJ43</f>
        <v>24.6</v>
      </c>
      <c r="EB17" s="388"/>
      <c r="EC17" s="437"/>
      <c r="ED17" s="438">
        <f>ED15*EA15</f>
        <v>215250</v>
      </c>
      <c r="EE17" s="439"/>
      <c r="EF17" s="275">
        <f>IF(EB17&lt;&gt;0,ED17-EB17,0)</f>
        <v>0</v>
      </c>
      <c r="EG17" s="265"/>
      <c r="EH17" s="269">
        <f>'Pilotage effectif EUP'!EQ43</f>
        <v>27</v>
      </c>
      <c r="EI17" s="388"/>
      <c r="EJ17" s="437"/>
      <c r="EK17" s="438">
        <f>EK15*EH15</f>
        <v>236250</v>
      </c>
      <c r="EL17" s="439"/>
      <c r="EM17" s="275">
        <f>IF(EI17&lt;&gt;0,EK17-EI17,0)</f>
        <v>0</v>
      </c>
      <c r="EN17" s="265"/>
      <c r="EO17" s="269">
        <f>'Pilotage effectif EUP'!EX43</f>
        <v>30</v>
      </c>
      <c r="EP17" s="388"/>
      <c r="EQ17" s="437"/>
      <c r="ER17" s="438">
        <f>ER15*EO15</f>
        <v>262500</v>
      </c>
      <c r="ES17" s="439"/>
      <c r="ET17" s="275">
        <f>IF(EP17&lt;&gt;0,ER17-EP17,0)</f>
        <v>0</v>
      </c>
      <c r="EU17" s="265"/>
      <c r="EV17" s="269">
        <f>'Pilotage effectif EUP'!FE43</f>
        <v>27</v>
      </c>
      <c r="EW17" s="388"/>
      <c r="EX17" s="437"/>
      <c r="EY17" s="438">
        <f>EY15*EV15</f>
        <v>236250</v>
      </c>
      <c r="EZ17" s="439"/>
      <c r="FA17" s="275">
        <f>IF(EW17&lt;&gt;0,EY17-EW17,0)</f>
        <v>0</v>
      </c>
      <c r="FB17" s="265"/>
      <c r="FC17" s="269">
        <f>'Pilotage effectif EUP'!FL43</f>
        <v>28</v>
      </c>
      <c r="FD17" s="388"/>
      <c r="FE17" s="437"/>
      <c r="FF17" s="438">
        <f>FF15*FC15</f>
        <v>245000</v>
      </c>
      <c r="FG17" s="439"/>
      <c r="FH17" s="275">
        <f>IF(FD17&lt;&gt;0,FF17-FD17,0)</f>
        <v>0</v>
      </c>
      <c r="FI17" s="265"/>
      <c r="FJ17" s="269">
        <f>'Pilotage effectif EUP'!FS43</f>
        <v>24.4</v>
      </c>
      <c r="FK17" s="388"/>
      <c r="FL17" s="437"/>
      <c r="FM17" s="438">
        <f>FM15*FJ15</f>
        <v>213500</v>
      </c>
      <c r="FN17" s="439"/>
      <c r="FO17" s="275">
        <f>IF(FK17&lt;&gt;0,FM17-FK17,0)</f>
        <v>0</v>
      </c>
      <c r="FP17" s="265"/>
      <c r="FQ17" s="269">
        <f>'Pilotage effectif EUP'!FZ43</f>
        <v>29</v>
      </c>
      <c r="FR17" s="388"/>
      <c r="FS17" s="437"/>
      <c r="FT17" s="438">
        <f>FT15*FQ15</f>
        <v>253750</v>
      </c>
      <c r="FU17" s="439"/>
      <c r="FV17" s="275">
        <f>IF(FR17&lt;&gt;0,FT17-FR17,0)</f>
        <v>0</v>
      </c>
      <c r="FW17" s="265"/>
      <c r="FX17" s="269">
        <f>'Pilotage effectif EUP'!GG43</f>
        <v>29.4</v>
      </c>
      <c r="FY17" s="388"/>
      <c r="FZ17" s="437"/>
      <c r="GA17" s="438">
        <f>GA15*FX15</f>
        <v>257250</v>
      </c>
      <c r="GB17" s="439"/>
      <c r="GC17" s="275">
        <f>IF(FY17&lt;&gt;0,GA17-FY17,0)</f>
        <v>0</v>
      </c>
      <c r="GD17" s="265"/>
      <c r="GE17" s="269">
        <f>'Pilotage effectif EUP'!GN43</f>
        <v>26</v>
      </c>
      <c r="GF17" s="388"/>
      <c r="GG17" s="437"/>
      <c r="GH17" s="438">
        <f>GH15*GE15</f>
        <v>227500</v>
      </c>
      <c r="GI17" s="439"/>
      <c r="GJ17" s="275">
        <f>IF(GF17&lt;&gt;0,GH17-GF17,0)</f>
        <v>0</v>
      </c>
      <c r="GK17" s="265"/>
      <c r="GL17" s="269">
        <f>'Pilotage effectif EUP'!GU43</f>
        <v>27</v>
      </c>
      <c r="GM17" s="388"/>
      <c r="GN17" s="437"/>
      <c r="GO17" s="438">
        <f>GO15*GL15</f>
        <v>236250</v>
      </c>
      <c r="GP17" s="439"/>
      <c r="GQ17" s="275">
        <f>IF(GM17&lt;&gt;0,GO17-GM17,0)</f>
        <v>0</v>
      </c>
      <c r="GR17" s="265"/>
      <c r="GS17" s="269">
        <f>'Pilotage effectif EUP'!HB43</f>
        <v>22</v>
      </c>
      <c r="GT17" s="388"/>
      <c r="GU17" s="437"/>
      <c r="GV17" s="438">
        <f>GV15*GS15</f>
        <v>192500</v>
      </c>
      <c r="GW17" s="439"/>
      <c r="GX17" s="275">
        <f>IF(GT17&lt;&gt;0,GV17-GT17,0)</f>
        <v>0</v>
      </c>
      <c r="GY17" s="283"/>
    </row>
    <row r="18" spans="1:207" s="110" customFormat="1" ht="16.05" customHeight="1" thickBot="1" x14ac:dyDescent="0.35">
      <c r="A18" s="294"/>
      <c r="B18" s="306"/>
      <c r="C18" s="309"/>
      <c r="D18" s="272"/>
      <c r="E18" s="255"/>
      <c r="F18" s="256"/>
      <c r="G18" s="256"/>
      <c r="H18" s="256"/>
      <c r="I18" s="256"/>
      <c r="J18" s="256"/>
      <c r="K18" s="263"/>
      <c r="L18" s="255"/>
      <c r="M18" s="256"/>
      <c r="N18" s="256"/>
      <c r="O18" s="256"/>
      <c r="P18" s="256"/>
      <c r="Q18" s="256"/>
      <c r="R18" s="263"/>
      <c r="S18" s="255"/>
      <c r="T18" s="256"/>
      <c r="U18" s="256"/>
      <c r="V18" s="256"/>
      <c r="W18" s="256"/>
      <c r="X18" s="256"/>
      <c r="Y18" s="263"/>
      <c r="Z18" s="255"/>
      <c r="AA18" s="256"/>
      <c r="AB18" s="256"/>
      <c r="AC18" s="256"/>
      <c r="AD18" s="256"/>
      <c r="AE18" s="256"/>
      <c r="AF18" s="263"/>
      <c r="AG18" s="255"/>
      <c r="AH18" s="256"/>
      <c r="AI18" s="256"/>
      <c r="AJ18" s="256"/>
      <c r="AK18" s="256"/>
      <c r="AL18" s="256"/>
      <c r="AM18" s="263"/>
      <c r="AN18" s="255"/>
      <c r="AO18" s="256"/>
      <c r="AP18" s="256"/>
      <c r="AQ18" s="256"/>
      <c r="AR18" s="256"/>
      <c r="AS18" s="256"/>
      <c r="AT18" s="263"/>
      <c r="AU18" s="255"/>
      <c r="AV18" s="256"/>
      <c r="AW18" s="256"/>
      <c r="AX18" s="256"/>
      <c r="AY18" s="256"/>
      <c r="AZ18" s="256"/>
      <c r="BA18" s="263"/>
      <c r="BB18" s="255"/>
      <c r="BC18" s="256"/>
      <c r="BD18" s="256"/>
      <c r="BE18" s="256"/>
      <c r="BF18" s="256"/>
      <c r="BG18" s="256"/>
      <c r="BH18" s="263"/>
      <c r="BI18" s="255"/>
      <c r="BJ18" s="256"/>
      <c r="BK18" s="256"/>
      <c r="BL18" s="256"/>
      <c r="BM18" s="256"/>
      <c r="BN18" s="256"/>
      <c r="BO18" s="263"/>
      <c r="BP18" s="255"/>
      <c r="BQ18" s="256"/>
      <c r="BR18" s="256"/>
      <c r="BS18" s="256"/>
      <c r="BT18" s="256"/>
      <c r="BU18" s="256"/>
      <c r="BV18" s="263"/>
      <c r="BW18" s="255"/>
      <c r="BX18" s="256"/>
      <c r="BY18" s="256"/>
      <c r="BZ18" s="256"/>
      <c r="CA18" s="256"/>
      <c r="CB18" s="256"/>
      <c r="CC18" s="263"/>
      <c r="CD18" s="255"/>
      <c r="CE18" s="256"/>
      <c r="CF18" s="256"/>
      <c r="CG18" s="256"/>
      <c r="CH18" s="256"/>
      <c r="CI18" s="256"/>
      <c r="CJ18" s="263"/>
      <c r="CK18" s="255"/>
      <c r="CL18" s="256"/>
      <c r="CM18" s="256"/>
      <c r="CN18" s="256"/>
      <c r="CO18" s="256"/>
      <c r="CP18" s="256"/>
      <c r="CQ18" s="263"/>
      <c r="CR18" s="255"/>
      <c r="CS18" s="256"/>
      <c r="CT18" s="256"/>
      <c r="CU18" s="256"/>
      <c r="CV18" s="256"/>
      <c r="CW18" s="256"/>
      <c r="CX18" s="263"/>
      <c r="CY18" s="255"/>
      <c r="CZ18" s="256"/>
      <c r="DA18" s="256"/>
      <c r="DB18" s="256"/>
      <c r="DC18" s="256"/>
      <c r="DD18" s="256"/>
      <c r="DE18" s="263"/>
      <c r="DF18" s="255"/>
      <c r="DG18" s="256"/>
      <c r="DH18" s="256"/>
      <c r="DI18" s="256"/>
      <c r="DJ18" s="256"/>
      <c r="DK18" s="256"/>
      <c r="DL18" s="263"/>
      <c r="DM18" s="255"/>
      <c r="DN18" s="256"/>
      <c r="DO18" s="256"/>
      <c r="DP18" s="256"/>
      <c r="DQ18" s="256"/>
      <c r="DR18" s="256"/>
      <c r="DS18" s="263"/>
      <c r="DT18" s="255"/>
      <c r="DU18" s="256"/>
      <c r="DV18" s="256"/>
      <c r="DW18" s="256"/>
      <c r="DX18" s="256"/>
      <c r="DY18" s="256"/>
      <c r="DZ18" s="263"/>
      <c r="EA18" s="255"/>
      <c r="EB18" s="256"/>
      <c r="EC18" s="256"/>
      <c r="ED18" s="256"/>
      <c r="EE18" s="256"/>
      <c r="EF18" s="256"/>
      <c r="EG18" s="263"/>
      <c r="EH18" s="255"/>
      <c r="EI18" s="256"/>
      <c r="EJ18" s="256"/>
      <c r="EK18" s="256"/>
      <c r="EL18" s="256"/>
      <c r="EM18" s="256"/>
      <c r="EN18" s="263"/>
      <c r="EO18" s="255"/>
      <c r="EP18" s="256"/>
      <c r="EQ18" s="256"/>
      <c r="ER18" s="256"/>
      <c r="ES18" s="256"/>
      <c r="ET18" s="256"/>
      <c r="EU18" s="263"/>
      <c r="EV18" s="255"/>
      <c r="EW18" s="256"/>
      <c r="EX18" s="256"/>
      <c r="EY18" s="256"/>
      <c r="EZ18" s="256"/>
      <c r="FA18" s="256"/>
      <c r="FB18" s="263"/>
      <c r="FC18" s="255"/>
      <c r="FD18" s="256"/>
      <c r="FE18" s="256"/>
      <c r="FF18" s="256"/>
      <c r="FG18" s="256"/>
      <c r="FH18" s="256"/>
      <c r="FI18" s="263"/>
      <c r="FJ18" s="255"/>
      <c r="FK18" s="256"/>
      <c r="FL18" s="256"/>
      <c r="FM18" s="256"/>
      <c r="FN18" s="256"/>
      <c r="FO18" s="256"/>
      <c r="FP18" s="263"/>
      <c r="FQ18" s="255"/>
      <c r="FR18" s="256"/>
      <c r="FS18" s="256"/>
      <c r="FT18" s="256"/>
      <c r="FU18" s="256"/>
      <c r="FV18" s="256"/>
      <c r="FW18" s="263"/>
      <c r="FX18" s="255"/>
      <c r="FY18" s="256"/>
      <c r="FZ18" s="256"/>
      <c r="GA18" s="256"/>
      <c r="GB18" s="256"/>
      <c r="GC18" s="256"/>
      <c r="GD18" s="263"/>
      <c r="GE18" s="255"/>
      <c r="GF18" s="256"/>
      <c r="GG18" s="256"/>
      <c r="GH18" s="256"/>
      <c r="GI18" s="256"/>
      <c r="GJ18" s="256"/>
      <c r="GK18" s="263"/>
      <c r="GL18" s="255"/>
      <c r="GM18" s="256"/>
      <c r="GN18" s="256"/>
      <c r="GO18" s="256"/>
      <c r="GP18" s="256"/>
      <c r="GQ18" s="256"/>
      <c r="GR18" s="263"/>
      <c r="GS18" s="255"/>
      <c r="GT18" s="256"/>
      <c r="GU18" s="256"/>
      <c r="GV18" s="256"/>
      <c r="GW18" s="256"/>
      <c r="GX18" s="256"/>
      <c r="GY18" s="263"/>
    </row>
    <row r="19" spans="1:207" s="196" customFormat="1" ht="16.05" customHeight="1" x14ac:dyDescent="0.3">
      <c r="A19" s="294"/>
      <c r="B19" s="308"/>
      <c r="C19" s="417" t="s">
        <v>12</v>
      </c>
      <c r="D19" s="274"/>
      <c r="E19" s="266" t="s">
        <v>688</v>
      </c>
      <c r="F19" s="394" t="s">
        <v>689</v>
      </c>
      <c r="G19" s="402"/>
      <c r="H19" s="442" t="s">
        <v>687</v>
      </c>
      <c r="I19" s="443"/>
      <c r="J19" s="261" t="s">
        <v>690</v>
      </c>
      <c r="K19" s="265"/>
      <c r="L19" s="298" t="s">
        <v>688</v>
      </c>
      <c r="M19" s="394" t="s">
        <v>689</v>
      </c>
      <c r="N19" s="402"/>
      <c r="O19" s="442" t="s">
        <v>687</v>
      </c>
      <c r="P19" s="443"/>
      <c r="Q19" s="261" t="s">
        <v>690</v>
      </c>
      <c r="R19" s="265"/>
      <c r="S19" s="298" t="s">
        <v>688</v>
      </c>
      <c r="T19" s="394" t="s">
        <v>689</v>
      </c>
      <c r="U19" s="402"/>
      <c r="V19" s="442" t="s">
        <v>687</v>
      </c>
      <c r="W19" s="443"/>
      <c r="X19" s="261" t="s">
        <v>690</v>
      </c>
      <c r="Y19" s="265"/>
      <c r="Z19" s="298" t="s">
        <v>688</v>
      </c>
      <c r="AA19" s="394" t="s">
        <v>689</v>
      </c>
      <c r="AB19" s="402"/>
      <c r="AC19" s="442" t="s">
        <v>687</v>
      </c>
      <c r="AD19" s="443"/>
      <c r="AE19" s="261" t="s">
        <v>690</v>
      </c>
      <c r="AF19" s="265"/>
      <c r="AG19" s="298" t="s">
        <v>688</v>
      </c>
      <c r="AH19" s="394" t="s">
        <v>689</v>
      </c>
      <c r="AI19" s="402"/>
      <c r="AJ19" s="442" t="s">
        <v>687</v>
      </c>
      <c r="AK19" s="443"/>
      <c r="AL19" s="261" t="s">
        <v>690</v>
      </c>
      <c r="AM19" s="265"/>
      <c r="AN19" s="298" t="s">
        <v>688</v>
      </c>
      <c r="AO19" s="394" t="s">
        <v>689</v>
      </c>
      <c r="AP19" s="402"/>
      <c r="AQ19" s="442" t="s">
        <v>687</v>
      </c>
      <c r="AR19" s="443"/>
      <c r="AS19" s="261" t="s">
        <v>690</v>
      </c>
      <c r="AT19" s="265"/>
      <c r="AU19" s="298" t="s">
        <v>688</v>
      </c>
      <c r="AV19" s="394" t="s">
        <v>689</v>
      </c>
      <c r="AW19" s="402"/>
      <c r="AX19" s="442" t="s">
        <v>687</v>
      </c>
      <c r="AY19" s="443"/>
      <c r="AZ19" s="261" t="s">
        <v>690</v>
      </c>
      <c r="BA19" s="265"/>
      <c r="BB19" s="298" t="s">
        <v>688</v>
      </c>
      <c r="BC19" s="394" t="s">
        <v>689</v>
      </c>
      <c r="BD19" s="402"/>
      <c r="BE19" s="442" t="s">
        <v>687</v>
      </c>
      <c r="BF19" s="443"/>
      <c r="BG19" s="261" t="s">
        <v>690</v>
      </c>
      <c r="BH19" s="265"/>
      <c r="BI19" s="298" t="s">
        <v>688</v>
      </c>
      <c r="BJ19" s="394" t="s">
        <v>689</v>
      </c>
      <c r="BK19" s="402"/>
      <c r="BL19" s="442" t="s">
        <v>687</v>
      </c>
      <c r="BM19" s="443"/>
      <c r="BN19" s="261" t="s">
        <v>690</v>
      </c>
      <c r="BO19" s="265"/>
      <c r="BP19" s="298" t="s">
        <v>688</v>
      </c>
      <c r="BQ19" s="394" t="s">
        <v>689</v>
      </c>
      <c r="BR19" s="402"/>
      <c r="BS19" s="442" t="s">
        <v>687</v>
      </c>
      <c r="BT19" s="443"/>
      <c r="BU19" s="261" t="s">
        <v>690</v>
      </c>
      <c r="BV19" s="265"/>
      <c r="BW19" s="298" t="s">
        <v>688</v>
      </c>
      <c r="BX19" s="394" t="s">
        <v>689</v>
      </c>
      <c r="BY19" s="402"/>
      <c r="BZ19" s="442" t="s">
        <v>687</v>
      </c>
      <c r="CA19" s="443"/>
      <c r="CB19" s="261" t="s">
        <v>690</v>
      </c>
      <c r="CC19" s="265"/>
      <c r="CD19" s="298" t="s">
        <v>688</v>
      </c>
      <c r="CE19" s="394" t="s">
        <v>689</v>
      </c>
      <c r="CF19" s="402"/>
      <c r="CG19" s="442" t="s">
        <v>687</v>
      </c>
      <c r="CH19" s="443"/>
      <c r="CI19" s="261" t="s">
        <v>690</v>
      </c>
      <c r="CJ19" s="265"/>
      <c r="CK19" s="298" t="s">
        <v>688</v>
      </c>
      <c r="CL19" s="394" t="s">
        <v>689</v>
      </c>
      <c r="CM19" s="402"/>
      <c r="CN19" s="442" t="s">
        <v>687</v>
      </c>
      <c r="CO19" s="443"/>
      <c r="CP19" s="261" t="s">
        <v>690</v>
      </c>
      <c r="CQ19" s="265"/>
      <c r="CR19" s="298" t="s">
        <v>688</v>
      </c>
      <c r="CS19" s="394" t="s">
        <v>689</v>
      </c>
      <c r="CT19" s="402"/>
      <c r="CU19" s="442" t="s">
        <v>687</v>
      </c>
      <c r="CV19" s="443"/>
      <c r="CW19" s="261" t="s">
        <v>690</v>
      </c>
      <c r="CX19" s="265"/>
      <c r="CY19" s="298" t="s">
        <v>688</v>
      </c>
      <c r="CZ19" s="394" t="s">
        <v>689</v>
      </c>
      <c r="DA19" s="402"/>
      <c r="DB19" s="442" t="s">
        <v>687</v>
      </c>
      <c r="DC19" s="443"/>
      <c r="DD19" s="261" t="s">
        <v>690</v>
      </c>
      <c r="DE19" s="265"/>
      <c r="DF19" s="298" t="s">
        <v>688</v>
      </c>
      <c r="DG19" s="394" t="s">
        <v>689</v>
      </c>
      <c r="DH19" s="402"/>
      <c r="DI19" s="442" t="s">
        <v>687</v>
      </c>
      <c r="DJ19" s="443"/>
      <c r="DK19" s="261" t="s">
        <v>690</v>
      </c>
      <c r="DL19" s="265"/>
      <c r="DM19" s="298" t="s">
        <v>688</v>
      </c>
      <c r="DN19" s="394" t="s">
        <v>689</v>
      </c>
      <c r="DO19" s="402"/>
      <c r="DP19" s="442" t="s">
        <v>687</v>
      </c>
      <c r="DQ19" s="443"/>
      <c r="DR19" s="261" t="s">
        <v>690</v>
      </c>
      <c r="DS19" s="265"/>
      <c r="DT19" s="298" t="s">
        <v>688</v>
      </c>
      <c r="DU19" s="394" t="s">
        <v>689</v>
      </c>
      <c r="DV19" s="402"/>
      <c r="DW19" s="442" t="s">
        <v>687</v>
      </c>
      <c r="DX19" s="443"/>
      <c r="DY19" s="261" t="s">
        <v>690</v>
      </c>
      <c r="DZ19" s="265"/>
      <c r="EA19" s="298" t="s">
        <v>688</v>
      </c>
      <c r="EB19" s="394" t="s">
        <v>689</v>
      </c>
      <c r="EC19" s="402"/>
      <c r="ED19" s="442" t="s">
        <v>687</v>
      </c>
      <c r="EE19" s="443"/>
      <c r="EF19" s="261" t="s">
        <v>690</v>
      </c>
      <c r="EG19" s="265"/>
      <c r="EH19" s="298" t="s">
        <v>688</v>
      </c>
      <c r="EI19" s="394" t="s">
        <v>689</v>
      </c>
      <c r="EJ19" s="402"/>
      <c r="EK19" s="442" t="s">
        <v>687</v>
      </c>
      <c r="EL19" s="443"/>
      <c r="EM19" s="261" t="s">
        <v>690</v>
      </c>
      <c r="EN19" s="265"/>
      <c r="EO19" s="298" t="s">
        <v>688</v>
      </c>
      <c r="EP19" s="394" t="s">
        <v>689</v>
      </c>
      <c r="EQ19" s="402"/>
      <c r="ER19" s="442" t="s">
        <v>687</v>
      </c>
      <c r="ES19" s="443"/>
      <c r="ET19" s="261" t="s">
        <v>690</v>
      </c>
      <c r="EU19" s="265"/>
      <c r="EV19" s="298" t="s">
        <v>688</v>
      </c>
      <c r="EW19" s="394" t="s">
        <v>689</v>
      </c>
      <c r="EX19" s="402"/>
      <c r="EY19" s="442" t="s">
        <v>687</v>
      </c>
      <c r="EZ19" s="443"/>
      <c r="FA19" s="261" t="s">
        <v>690</v>
      </c>
      <c r="FB19" s="265"/>
      <c r="FC19" s="298" t="s">
        <v>688</v>
      </c>
      <c r="FD19" s="394" t="s">
        <v>689</v>
      </c>
      <c r="FE19" s="402"/>
      <c r="FF19" s="442" t="s">
        <v>687</v>
      </c>
      <c r="FG19" s="443"/>
      <c r="FH19" s="261" t="s">
        <v>690</v>
      </c>
      <c r="FI19" s="265"/>
      <c r="FJ19" s="298" t="s">
        <v>688</v>
      </c>
      <c r="FK19" s="394" t="s">
        <v>689</v>
      </c>
      <c r="FL19" s="402"/>
      <c r="FM19" s="442" t="s">
        <v>687</v>
      </c>
      <c r="FN19" s="443"/>
      <c r="FO19" s="261" t="s">
        <v>690</v>
      </c>
      <c r="FP19" s="265"/>
      <c r="FQ19" s="298" t="s">
        <v>688</v>
      </c>
      <c r="FR19" s="394" t="s">
        <v>689</v>
      </c>
      <c r="FS19" s="402"/>
      <c r="FT19" s="442" t="s">
        <v>687</v>
      </c>
      <c r="FU19" s="443"/>
      <c r="FV19" s="261" t="s">
        <v>690</v>
      </c>
      <c r="FW19" s="265"/>
      <c r="FX19" s="298" t="s">
        <v>688</v>
      </c>
      <c r="FY19" s="394" t="s">
        <v>689</v>
      </c>
      <c r="FZ19" s="402"/>
      <c r="GA19" s="442" t="s">
        <v>687</v>
      </c>
      <c r="GB19" s="443"/>
      <c r="GC19" s="261" t="s">
        <v>690</v>
      </c>
      <c r="GD19" s="265"/>
      <c r="GE19" s="298" t="s">
        <v>688</v>
      </c>
      <c r="GF19" s="394" t="s">
        <v>689</v>
      </c>
      <c r="GG19" s="402"/>
      <c r="GH19" s="442" t="s">
        <v>687</v>
      </c>
      <c r="GI19" s="443"/>
      <c r="GJ19" s="261" t="s">
        <v>690</v>
      </c>
      <c r="GK19" s="265"/>
      <c r="GL19" s="298" t="s">
        <v>688</v>
      </c>
      <c r="GM19" s="394" t="s">
        <v>689</v>
      </c>
      <c r="GN19" s="402"/>
      <c r="GO19" s="442" t="s">
        <v>687</v>
      </c>
      <c r="GP19" s="443"/>
      <c r="GQ19" s="261" t="s">
        <v>690</v>
      </c>
      <c r="GR19" s="265"/>
      <c r="GS19" s="298" t="s">
        <v>688</v>
      </c>
      <c r="GT19" s="394" t="s">
        <v>689</v>
      </c>
      <c r="GU19" s="402"/>
      <c r="GV19" s="442" t="s">
        <v>687</v>
      </c>
      <c r="GW19" s="443"/>
      <c r="GX19" s="261" t="s">
        <v>690</v>
      </c>
      <c r="GY19" s="283"/>
    </row>
    <row r="20" spans="1:207" s="196" customFormat="1" ht="16.05" customHeight="1" x14ac:dyDescent="0.3">
      <c r="A20" s="294"/>
      <c r="B20" s="308"/>
      <c r="C20" s="418"/>
      <c r="D20" s="274"/>
      <c r="E20" s="267">
        <v>300</v>
      </c>
      <c r="F20" s="444">
        <f>F22/E20</f>
        <v>500</v>
      </c>
      <c r="G20" s="445"/>
      <c r="H20" s="446">
        <f>'Pilotage effectif CFP'!N43*7</f>
        <v>245</v>
      </c>
      <c r="I20" s="447"/>
      <c r="J20" s="300">
        <f>IF(F20&lt;&gt;0,H20-F20,0)</f>
        <v>-255</v>
      </c>
      <c r="K20" s="265"/>
      <c r="L20" s="299">
        <v>300</v>
      </c>
      <c r="M20" s="444">
        <f>M22/L20</f>
        <v>0</v>
      </c>
      <c r="N20" s="445"/>
      <c r="O20" s="446">
        <f>'Pilotage effectif CFP'!U43*35</f>
        <v>1176</v>
      </c>
      <c r="P20" s="447"/>
      <c r="Q20" s="262">
        <f>IF(M20&lt;&gt;0,O20-M20,0)</f>
        <v>0</v>
      </c>
      <c r="R20" s="265"/>
      <c r="S20" s="299">
        <v>350</v>
      </c>
      <c r="T20" s="444">
        <f>T22/S20</f>
        <v>0</v>
      </c>
      <c r="U20" s="445"/>
      <c r="V20" s="446">
        <f>'Pilotage effectif CFP'!AB43*35</f>
        <v>1050</v>
      </c>
      <c r="W20" s="447"/>
      <c r="X20" s="262">
        <f>IF(T20&lt;&gt;0,V20-T20,0)</f>
        <v>0</v>
      </c>
      <c r="Y20" s="265"/>
      <c r="Z20" s="299">
        <v>320</v>
      </c>
      <c r="AA20" s="448">
        <f>AA22/Z20</f>
        <v>835.93437500000005</v>
      </c>
      <c r="AB20" s="449"/>
      <c r="AC20" s="446">
        <f>'Pilotage effectif CFP'!AI43*35</f>
        <v>980</v>
      </c>
      <c r="AD20" s="447"/>
      <c r="AE20" s="311">
        <f>IF(AA20&lt;&gt;0,AC20-AA20,0)</f>
        <v>144.06562499999995</v>
      </c>
      <c r="AF20" s="265"/>
      <c r="AG20" s="299">
        <v>300</v>
      </c>
      <c r="AH20" s="444">
        <f>AH22/AG20</f>
        <v>0</v>
      </c>
      <c r="AI20" s="445"/>
      <c r="AJ20" s="446">
        <f>'Pilotage effectif CFP'!AP43*35</f>
        <v>980</v>
      </c>
      <c r="AK20" s="447"/>
      <c r="AL20" s="262">
        <f>IF(AH20&lt;&gt;0,AJ20-AH20,0)</f>
        <v>0</v>
      </c>
      <c r="AM20" s="265"/>
      <c r="AN20" s="299">
        <v>300</v>
      </c>
      <c r="AO20" s="444">
        <f>AO22/AN20</f>
        <v>0</v>
      </c>
      <c r="AP20" s="445"/>
      <c r="AQ20" s="446">
        <f>'Pilotage effectif CFP'!AW43*35</f>
        <v>1050</v>
      </c>
      <c r="AR20" s="447"/>
      <c r="AS20" s="262">
        <f>IF(AO20&lt;&gt;0,AQ20-AO20,0)</f>
        <v>0</v>
      </c>
      <c r="AT20" s="265"/>
      <c r="AU20" s="299">
        <v>300</v>
      </c>
      <c r="AV20" s="444">
        <f>AV22/AU20</f>
        <v>0</v>
      </c>
      <c r="AW20" s="445"/>
      <c r="AX20" s="446">
        <f>'Pilotage effectif CFP'!BD43*35</f>
        <v>1015</v>
      </c>
      <c r="AY20" s="447"/>
      <c r="AZ20" s="262">
        <f>IF(AV20&lt;&gt;0,AX20-AV20,0)</f>
        <v>0</v>
      </c>
      <c r="BA20" s="265"/>
      <c r="BB20" s="299">
        <v>300</v>
      </c>
      <c r="BC20" s="444">
        <f>BC22/BB20</f>
        <v>0</v>
      </c>
      <c r="BD20" s="445"/>
      <c r="BE20" s="446">
        <f>'Pilotage effectif CFP'!BK43*35</f>
        <v>980</v>
      </c>
      <c r="BF20" s="447"/>
      <c r="BG20" s="262">
        <f>IF(BC20&lt;&gt;0,BE20-BC20,0)</f>
        <v>0</v>
      </c>
      <c r="BH20" s="265"/>
      <c r="BI20" s="299">
        <v>300</v>
      </c>
      <c r="BJ20" s="444">
        <f>BJ22/BI20</f>
        <v>0</v>
      </c>
      <c r="BK20" s="445"/>
      <c r="BL20" s="446">
        <f>'Pilotage effectif CFP'!BR43*35</f>
        <v>1120</v>
      </c>
      <c r="BM20" s="447"/>
      <c r="BN20" s="262">
        <f>IF(BJ20&lt;&gt;0,BL20-BJ20,0)</f>
        <v>0</v>
      </c>
      <c r="BO20" s="265"/>
      <c r="BP20" s="299">
        <v>300</v>
      </c>
      <c r="BQ20" s="444">
        <f>BQ22/BP20</f>
        <v>0</v>
      </c>
      <c r="BR20" s="445"/>
      <c r="BS20" s="446">
        <f>'Pilotage effectif CFP'!BY43*35</f>
        <v>1120</v>
      </c>
      <c r="BT20" s="447"/>
      <c r="BU20" s="262">
        <f>IF(BQ20&lt;&gt;0,BS20-BQ20,0)</f>
        <v>0</v>
      </c>
      <c r="BV20" s="265"/>
      <c r="BW20" s="299">
        <v>300</v>
      </c>
      <c r="BX20" s="444">
        <f>BX22/BW20</f>
        <v>0</v>
      </c>
      <c r="BY20" s="445"/>
      <c r="BZ20" s="446">
        <f>'Pilotage effectif CFP'!CF43*35</f>
        <v>1050</v>
      </c>
      <c r="CA20" s="447"/>
      <c r="CB20" s="262">
        <f>IF(BX20&lt;&gt;0,BZ20-BX20,0)</f>
        <v>0</v>
      </c>
      <c r="CC20" s="265"/>
      <c r="CD20" s="299">
        <v>300</v>
      </c>
      <c r="CE20" s="444">
        <f>CE22/CD20</f>
        <v>0</v>
      </c>
      <c r="CF20" s="445"/>
      <c r="CG20" s="446">
        <f>'Pilotage effectif CFP'!CM43*35</f>
        <v>980</v>
      </c>
      <c r="CH20" s="447"/>
      <c r="CI20" s="262">
        <f>IF(CE20&lt;&gt;0,CG20-CE20,0)</f>
        <v>0</v>
      </c>
      <c r="CJ20" s="265"/>
      <c r="CK20" s="299">
        <v>300</v>
      </c>
      <c r="CL20" s="444">
        <f>CL22/CK20</f>
        <v>0</v>
      </c>
      <c r="CM20" s="445"/>
      <c r="CN20" s="446">
        <f>'Pilotage effectif CFP'!CT43*35</f>
        <v>1085</v>
      </c>
      <c r="CO20" s="447"/>
      <c r="CP20" s="262">
        <f>IF(CL20&lt;&gt;0,CN20-CL20,0)</f>
        <v>0</v>
      </c>
      <c r="CQ20" s="265"/>
      <c r="CR20" s="299">
        <v>300</v>
      </c>
      <c r="CS20" s="444">
        <f>CS22/CR20</f>
        <v>0</v>
      </c>
      <c r="CT20" s="445"/>
      <c r="CU20" s="446">
        <f>'Pilotage effectif CFP'!DA43*35</f>
        <v>1120</v>
      </c>
      <c r="CV20" s="447"/>
      <c r="CW20" s="262">
        <f>IF(CS20&lt;&gt;0,CU20-CS20,0)</f>
        <v>0</v>
      </c>
      <c r="CX20" s="265"/>
      <c r="CY20" s="299">
        <v>300</v>
      </c>
      <c r="CZ20" s="444">
        <f>CZ22/CY20</f>
        <v>0</v>
      </c>
      <c r="DA20" s="445"/>
      <c r="DB20" s="446">
        <f>'Pilotage effectif CFP'!DH43*35</f>
        <v>1015</v>
      </c>
      <c r="DC20" s="447"/>
      <c r="DD20" s="262">
        <f>IF(CZ20&lt;&gt;0,DB20-CZ20,0)</f>
        <v>0</v>
      </c>
      <c r="DE20" s="265"/>
      <c r="DF20" s="299">
        <v>300</v>
      </c>
      <c r="DG20" s="444">
        <f>DG22/DF20</f>
        <v>0</v>
      </c>
      <c r="DH20" s="445"/>
      <c r="DI20" s="446">
        <f>'Pilotage effectif CFP'!DO43*35</f>
        <v>805</v>
      </c>
      <c r="DJ20" s="447"/>
      <c r="DK20" s="262">
        <f>IF(DG20&lt;&gt;0,DI20-DG20,0)</f>
        <v>0</v>
      </c>
      <c r="DL20" s="265"/>
      <c r="DM20" s="299">
        <v>300</v>
      </c>
      <c r="DN20" s="444">
        <f>DN22/DM20</f>
        <v>0</v>
      </c>
      <c r="DO20" s="445"/>
      <c r="DP20" s="446">
        <f>'Pilotage effectif CFP'!DV43*35</f>
        <v>868</v>
      </c>
      <c r="DQ20" s="447"/>
      <c r="DR20" s="262">
        <f>IF(DN20&lt;&gt;0,DP20-DN20,0)</f>
        <v>0</v>
      </c>
      <c r="DS20" s="265"/>
      <c r="DT20" s="299">
        <v>300</v>
      </c>
      <c r="DU20" s="444">
        <f>DU22/DT20</f>
        <v>0</v>
      </c>
      <c r="DV20" s="445"/>
      <c r="DW20" s="446">
        <f>'Pilotage effectif CFP'!EC43*35</f>
        <v>868</v>
      </c>
      <c r="DX20" s="447"/>
      <c r="DY20" s="262">
        <f>IF(DU20&lt;&gt;0,DW20-DU20,0)</f>
        <v>0</v>
      </c>
      <c r="DZ20" s="265"/>
      <c r="EA20" s="299">
        <v>300</v>
      </c>
      <c r="EB20" s="444">
        <f>EB22/EA20</f>
        <v>0</v>
      </c>
      <c r="EC20" s="445"/>
      <c r="ED20" s="446">
        <f>'Pilotage effectif CFP'!EJ43*35</f>
        <v>980</v>
      </c>
      <c r="EE20" s="447"/>
      <c r="EF20" s="262">
        <f>IF(EB20&lt;&gt;0,ED20-EB20,0)</f>
        <v>0</v>
      </c>
      <c r="EG20" s="265"/>
      <c r="EH20" s="299">
        <v>300</v>
      </c>
      <c r="EI20" s="444">
        <f>EI22/EH20</f>
        <v>0</v>
      </c>
      <c r="EJ20" s="445"/>
      <c r="EK20" s="446">
        <f>'Pilotage effectif CFP'!EQ43*35</f>
        <v>1015</v>
      </c>
      <c r="EL20" s="447"/>
      <c r="EM20" s="262">
        <f>IF(EI20&lt;&gt;0,EK20-EI20,0)</f>
        <v>0</v>
      </c>
      <c r="EN20" s="265"/>
      <c r="EO20" s="299">
        <v>300</v>
      </c>
      <c r="EP20" s="444">
        <f>EP22/EO20</f>
        <v>0</v>
      </c>
      <c r="EQ20" s="445"/>
      <c r="ER20" s="446">
        <f>'Pilotage effectif CFP'!EX43*35</f>
        <v>1050</v>
      </c>
      <c r="ES20" s="447"/>
      <c r="ET20" s="262">
        <f>IF(EP20&lt;&gt;0,ER20-EP20,0)</f>
        <v>0</v>
      </c>
      <c r="EU20" s="265"/>
      <c r="EV20" s="299">
        <v>300</v>
      </c>
      <c r="EW20" s="444">
        <f>EW22/EV20</f>
        <v>0</v>
      </c>
      <c r="EX20" s="445"/>
      <c r="EY20" s="446">
        <f>'Pilotage effectif CFP'!FE43*35</f>
        <v>1015</v>
      </c>
      <c r="EZ20" s="447"/>
      <c r="FA20" s="262">
        <f>IF(EW20&lt;&gt;0,EY20-EW20,0)</f>
        <v>0</v>
      </c>
      <c r="FB20" s="265"/>
      <c r="FC20" s="299">
        <v>300</v>
      </c>
      <c r="FD20" s="444">
        <f>FD22/FC20</f>
        <v>0</v>
      </c>
      <c r="FE20" s="445"/>
      <c r="FF20" s="446">
        <f>'Pilotage effectif CFP'!FL43*35</f>
        <v>1015</v>
      </c>
      <c r="FG20" s="447"/>
      <c r="FH20" s="262">
        <f>IF(FD20&lt;&gt;0,FF20-FD20,0)</f>
        <v>0</v>
      </c>
      <c r="FI20" s="265"/>
      <c r="FJ20" s="299">
        <v>300</v>
      </c>
      <c r="FK20" s="444">
        <f>FK22/FJ20</f>
        <v>0</v>
      </c>
      <c r="FL20" s="445"/>
      <c r="FM20" s="446">
        <f>'Pilotage effectif CFP'!FS43*35</f>
        <v>868</v>
      </c>
      <c r="FN20" s="447"/>
      <c r="FO20" s="262">
        <f>IF(FK20&lt;&gt;0,FM20-FK20,0)</f>
        <v>0</v>
      </c>
      <c r="FP20" s="265"/>
      <c r="FQ20" s="299">
        <v>300</v>
      </c>
      <c r="FR20" s="444">
        <f>FR22/FQ20</f>
        <v>0</v>
      </c>
      <c r="FS20" s="445"/>
      <c r="FT20" s="446">
        <f>'Pilotage effectif CFP'!FZ43*35</f>
        <v>1015</v>
      </c>
      <c r="FU20" s="447"/>
      <c r="FV20" s="262">
        <f>IF(FR20&lt;&gt;0,FT20-FR20,0)</f>
        <v>0</v>
      </c>
      <c r="FW20" s="265"/>
      <c r="FX20" s="299">
        <v>300</v>
      </c>
      <c r="FY20" s="444">
        <f>FY22/FX20</f>
        <v>0</v>
      </c>
      <c r="FZ20" s="445"/>
      <c r="GA20" s="446">
        <f>'Pilotage effectif CFP'!GG43*35</f>
        <v>1015</v>
      </c>
      <c r="GB20" s="447"/>
      <c r="GC20" s="262">
        <f>IF(FY20&lt;&gt;0,GA20-FY20,0)</f>
        <v>0</v>
      </c>
      <c r="GD20" s="265"/>
      <c r="GE20" s="299">
        <v>300</v>
      </c>
      <c r="GF20" s="444">
        <f>GF22/GE20</f>
        <v>0</v>
      </c>
      <c r="GG20" s="445"/>
      <c r="GH20" s="446">
        <f>'Pilotage effectif CFP'!GN43*35</f>
        <v>1015</v>
      </c>
      <c r="GI20" s="447"/>
      <c r="GJ20" s="262">
        <f>IF(GF20&lt;&gt;0,GH20-GF20,0)</f>
        <v>0</v>
      </c>
      <c r="GK20" s="265"/>
      <c r="GL20" s="299">
        <v>300</v>
      </c>
      <c r="GM20" s="444">
        <f>GM22/GL20</f>
        <v>0</v>
      </c>
      <c r="GN20" s="445"/>
      <c r="GO20" s="446">
        <f>'Pilotage effectif CFP'!GU43*35</f>
        <v>945</v>
      </c>
      <c r="GP20" s="447"/>
      <c r="GQ20" s="262">
        <f>IF(GM20&lt;&gt;0,GO20-GM20,0)</f>
        <v>0</v>
      </c>
      <c r="GR20" s="265"/>
      <c r="GS20" s="299">
        <v>300</v>
      </c>
      <c r="GT20" s="444">
        <f>GT22/GS20</f>
        <v>0</v>
      </c>
      <c r="GU20" s="445"/>
      <c r="GV20" s="446">
        <f>'Pilotage effectif CFP'!HB43*35</f>
        <v>672</v>
      </c>
      <c r="GW20" s="447"/>
      <c r="GX20" s="262">
        <f>IF(GT20&lt;&gt;0,GV20-GT20,0)</f>
        <v>0</v>
      </c>
      <c r="GY20" s="283"/>
    </row>
    <row r="21" spans="1:207" s="196" customFormat="1" ht="16.05" customHeight="1" x14ac:dyDescent="0.3">
      <c r="A21" s="294"/>
      <c r="B21" s="308"/>
      <c r="C21" s="418"/>
      <c r="D21" s="274"/>
      <c r="E21" s="268" t="s">
        <v>692</v>
      </c>
      <c r="F21" s="400" t="s">
        <v>691</v>
      </c>
      <c r="G21" s="401"/>
      <c r="H21" s="440" t="s">
        <v>412</v>
      </c>
      <c r="I21" s="441"/>
      <c r="J21" s="247" t="s">
        <v>690</v>
      </c>
      <c r="K21" s="265"/>
      <c r="L21" s="297" t="s">
        <v>692</v>
      </c>
      <c r="M21" s="400" t="s">
        <v>691</v>
      </c>
      <c r="N21" s="401"/>
      <c r="O21" s="440" t="s">
        <v>412</v>
      </c>
      <c r="P21" s="441"/>
      <c r="Q21" s="247" t="s">
        <v>690</v>
      </c>
      <c r="R21" s="265"/>
      <c r="S21" s="297" t="s">
        <v>692</v>
      </c>
      <c r="T21" s="400" t="s">
        <v>691</v>
      </c>
      <c r="U21" s="401"/>
      <c r="V21" s="440" t="s">
        <v>412</v>
      </c>
      <c r="W21" s="441"/>
      <c r="X21" s="247" t="s">
        <v>690</v>
      </c>
      <c r="Y21" s="265"/>
      <c r="Z21" s="297" t="s">
        <v>692</v>
      </c>
      <c r="AA21" s="400" t="s">
        <v>691</v>
      </c>
      <c r="AB21" s="401"/>
      <c r="AC21" s="440" t="s">
        <v>412</v>
      </c>
      <c r="AD21" s="441"/>
      <c r="AE21" s="247" t="s">
        <v>690</v>
      </c>
      <c r="AF21" s="265"/>
      <c r="AG21" s="297" t="s">
        <v>692</v>
      </c>
      <c r="AH21" s="400" t="s">
        <v>691</v>
      </c>
      <c r="AI21" s="401"/>
      <c r="AJ21" s="440" t="s">
        <v>412</v>
      </c>
      <c r="AK21" s="441"/>
      <c r="AL21" s="247" t="s">
        <v>690</v>
      </c>
      <c r="AM21" s="265"/>
      <c r="AN21" s="297" t="s">
        <v>692</v>
      </c>
      <c r="AO21" s="400" t="s">
        <v>691</v>
      </c>
      <c r="AP21" s="401"/>
      <c r="AQ21" s="440" t="s">
        <v>412</v>
      </c>
      <c r="AR21" s="441"/>
      <c r="AS21" s="247" t="s">
        <v>690</v>
      </c>
      <c r="AT21" s="265"/>
      <c r="AU21" s="297" t="s">
        <v>692</v>
      </c>
      <c r="AV21" s="400" t="s">
        <v>691</v>
      </c>
      <c r="AW21" s="401"/>
      <c r="AX21" s="440" t="s">
        <v>412</v>
      </c>
      <c r="AY21" s="441"/>
      <c r="AZ21" s="247" t="s">
        <v>690</v>
      </c>
      <c r="BA21" s="265"/>
      <c r="BB21" s="297" t="s">
        <v>692</v>
      </c>
      <c r="BC21" s="400" t="s">
        <v>691</v>
      </c>
      <c r="BD21" s="401"/>
      <c r="BE21" s="440" t="s">
        <v>412</v>
      </c>
      <c r="BF21" s="441"/>
      <c r="BG21" s="247" t="s">
        <v>690</v>
      </c>
      <c r="BH21" s="265"/>
      <c r="BI21" s="297" t="s">
        <v>692</v>
      </c>
      <c r="BJ21" s="400" t="s">
        <v>691</v>
      </c>
      <c r="BK21" s="401"/>
      <c r="BL21" s="440" t="s">
        <v>412</v>
      </c>
      <c r="BM21" s="441"/>
      <c r="BN21" s="247" t="s">
        <v>690</v>
      </c>
      <c r="BO21" s="265"/>
      <c r="BP21" s="297" t="s">
        <v>692</v>
      </c>
      <c r="BQ21" s="400" t="s">
        <v>691</v>
      </c>
      <c r="BR21" s="401"/>
      <c r="BS21" s="440" t="s">
        <v>412</v>
      </c>
      <c r="BT21" s="441"/>
      <c r="BU21" s="247" t="s">
        <v>690</v>
      </c>
      <c r="BV21" s="265"/>
      <c r="BW21" s="297" t="s">
        <v>692</v>
      </c>
      <c r="BX21" s="400" t="s">
        <v>691</v>
      </c>
      <c r="BY21" s="401"/>
      <c r="BZ21" s="440" t="s">
        <v>412</v>
      </c>
      <c r="CA21" s="441"/>
      <c r="CB21" s="247" t="s">
        <v>690</v>
      </c>
      <c r="CC21" s="265"/>
      <c r="CD21" s="297" t="s">
        <v>692</v>
      </c>
      <c r="CE21" s="400" t="s">
        <v>691</v>
      </c>
      <c r="CF21" s="401"/>
      <c r="CG21" s="440" t="s">
        <v>412</v>
      </c>
      <c r="CH21" s="441"/>
      <c r="CI21" s="247" t="s">
        <v>690</v>
      </c>
      <c r="CJ21" s="265"/>
      <c r="CK21" s="297" t="s">
        <v>692</v>
      </c>
      <c r="CL21" s="400" t="s">
        <v>691</v>
      </c>
      <c r="CM21" s="401"/>
      <c r="CN21" s="440" t="s">
        <v>412</v>
      </c>
      <c r="CO21" s="441"/>
      <c r="CP21" s="247" t="s">
        <v>690</v>
      </c>
      <c r="CQ21" s="265"/>
      <c r="CR21" s="297" t="s">
        <v>692</v>
      </c>
      <c r="CS21" s="400" t="s">
        <v>691</v>
      </c>
      <c r="CT21" s="401"/>
      <c r="CU21" s="440" t="s">
        <v>412</v>
      </c>
      <c r="CV21" s="441"/>
      <c r="CW21" s="247" t="s">
        <v>690</v>
      </c>
      <c r="CX21" s="265"/>
      <c r="CY21" s="297" t="s">
        <v>692</v>
      </c>
      <c r="CZ21" s="400" t="s">
        <v>691</v>
      </c>
      <c r="DA21" s="401"/>
      <c r="DB21" s="440" t="s">
        <v>412</v>
      </c>
      <c r="DC21" s="441"/>
      <c r="DD21" s="247" t="s">
        <v>690</v>
      </c>
      <c r="DE21" s="265"/>
      <c r="DF21" s="297" t="s">
        <v>692</v>
      </c>
      <c r="DG21" s="400" t="s">
        <v>691</v>
      </c>
      <c r="DH21" s="401"/>
      <c r="DI21" s="440" t="s">
        <v>412</v>
      </c>
      <c r="DJ21" s="441"/>
      <c r="DK21" s="247" t="s">
        <v>690</v>
      </c>
      <c r="DL21" s="265"/>
      <c r="DM21" s="297" t="s">
        <v>692</v>
      </c>
      <c r="DN21" s="400" t="s">
        <v>691</v>
      </c>
      <c r="DO21" s="401"/>
      <c r="DP21" s="440" t="s">
        <v>412</v>
      </c>
      <c r="DQ21" s="441"/>
      <c r="DR21" s="247" t="s">
        <v>690</v>
      </c>
      <c r="DS21" s="265"/>
      <c r="DT21" s="297" t="s">
        <v>692</v>
      </c>
      <c r="DU21" s="400" t="s">
        <v>691</v>
      </c>
      <c r="DV21" s="401"/>
      <c r="DW21" s="440" t="s">
        <v>412</v>
      </c>
      <c r="DX21" s="441"/>
      <c r="DY21" s="247" t="s">
        <v>690</v>
      </c>
      <c r="DZ21" s="265"/>
      <c r="EA21" s="297" t="s">
        <v>692</v>
      </c>
      <c r="EB21" s="400" t="s">
        <v>691</v>
      </c>
      <c r="EC21" s="401"/>
      <c r="ED21" s="440" t="s">
        <v>412</v>
      </c>
      <c r="EE21" s="441"/>
      <c r="EF21" s="247" t="s">
        <v>690</v>
      </c>
      <c r="EG21" s="265"/>
      <c r="EH21" s="297" t="s">
        <v>692</v>
      </c>
      <c r="EI21" s="400" t="s">
        <v>691</v>
      </c>
      <c r="EJ21" s="401"/>
      <c r="EK21" s="440" t="s">
        <v>412</v>
      </c>
      <c r="EL21" s="441"/>
      <c r="EM21" s="247" t="s">
        <v>690</v>
      </c>
      <c r="EN21" s="265"/>
      <c r="EO21" s="297" t="s">
        <v>692</v>
      </c>
      <c r="EP21" s="400" t="s">
        <v>691</v>
      </c>
      <c r="EQ21" s="401"/>
      <c r="ER21" s="440" t="s">
        <v>412</v>
      </c>
      <c r="ES21" s="441"/>
      <c r="ET21" s="247" t="s">
        <v>690</v>
      </c>
      <c r="EU21" s="265"/>
      <c r="EV21" s="297" t="s">
        <v>692</v>
      </c>
      <c r="EW21" s="400" t="s">
        <v>691</v>
      </c>
      <c r="EX21" s="401"/>
      <c r="EY21" s="440" t="s">
        <v>412</v>
      </c>
      <c r="EZ21" s="441"/>
      <c r="FA21" s="247" t="s">
        <v>690</v>
      </c>
      <c r="FB21" s="265"/>
      <c r="FC21" s="297" t="s">
        <v>692</v>
      </c>
      <c r="FD21" s="400" t="s">
        <v>691</v>
      </c>
      <c r="FE21" s="401"/>
      <c r="FF21" s="440" t="s">
        <v>412</v>
      </c>
      <c r="FG21" s="441"/>
      <c r="FH21" s="247" t="s">
        <v>690</v>
      </c>
      <c r="FI21" s="265"/>
      <c r="FJ21" s="297" t="s">
        <v>692</v>
      </c>
      <c r="FK21" s="400" t="s">
        <v>691</v>
      </c>
      <c r="FL21" s="401"/>
      <c r="FM21" s="440" t="s">
        <v>412</v>
      </c>
      <c r="FN21" s="441"/>
      <c r="FO21" s="247" t="s">
        <v>690</v>
      </c>
      <c r="FP21" s="265"/>
      <c r="FQ21" s="297" t="s">
        <v>692</v>
      </c>
      <c r="FR21" s="400" t="s">
        <v>691</v>
      </c>
      <c r="FS21" s="401"/>
      <c r="FT21" s="440" t="s">
        <v>412</v>
      </c>
      <c r="FU21" s="441"/>
      <c r="FV21" s="247" t="s">
        <v>690</v>
      </c>
      <c r="FW21" s="265"/>
      <c r="FX21" s="297" t="s">
        <v>692</v>
      </c>
      <c r="FY21" s="400" t="s">
        <v>691</v>
      </c>
      <c r="FZ21" s="401"/>
      <c r="GA21" s="440" t="s">
        <v>412</v>
      </c>
      <c r="GB21" s="441"/>
      <c r="GC21" s="247" t="s">
        <v>690</v>
      </c>
      <c r="GD21" s="265"/>
      <c r="GE21" s="297" t="s">
        <v>692</v>
      </c>
      <c r="GF21" s="400" t="s">
        <v>691</v>
      </c>
      <c r="GG21" s="401"/>
      <c r="GH21" s="440" t="s">
        <v>412</v>
      </c>
      <c r="GI21" s="441"/>
      <c r="GJ21" s="247" t="s">
        <v>690</v>
      </c>
      <c r="GK21" s="265"/>
      <c r="GL21" s="297" t="s">
        <v>692</v>
      </c>
      <c r="GM21" s="400" t="s">
        <v>691</v>
      </c>
      <c r="GN21" s="401"/>
      <c r="GO21" s="440" t="s">
        <v>412</v>
      </c>
      <c r="GP21" s="441"/>
      <c r="GQ21" s="247" t="s">
        <v>690</v>
      </c>
      <c r="GR21" s="265"/>
      <c r="GS21" s="297" t="s">
        <v>692</v>
      </c>
      <c r="GT21" s="400" t="s">
        <v>691</v>
      </c>
      <c r="GU21" s="401"/>
      <c r="GV21" s="440" t="s">
        <v>412</v>
      </c>
      <c r="GW21" s="441"/>
      <c r="GX21" s="247" t="s">
        <v>690</v>
      </c>
      <c r="GY21" s="283"/>
    </row>
    <row r="22" spans="1:207" s="196" customFormat="1" ht="16.05" customHeight="1" thickBot="1" x14ac:dyDescent="0.35">
      <c r="A22" s="294"/>
      <c r="B22" s="308"/>
      <c r="C22" s="419"/>
      <c r="D22" s="274"/>
      <c r="E22" s="269">
        <f>'Pilotage effectif CFP'!N43</f>
        <v>35</v>
      </c>
      <c r="F22" s="388">
        <v>150000</v>
      </c>
      <c r="G22" s="437"/>
      <c r="H22" s="438">
        <f>H20*E20</f>
        <v>73500</v>
      </c>
      <c r="I22" s="439"/>
      <c r="J22" s="275">
        <f>IF(F22&lt;&gt;0,H22-F22,0)</f>
        <v>-76500</v>
      </c>
      <c r="K22" s="265"/>
      <c r="L22" s="269">
        <f>'Pilotage effectif CFP'!U43</f>
        <v>33.6</v>
      </c>
      <c r="M22" s="388"/>
      <c r="N22" s="437"/>
      <c r="O22" s="438">
        <f>O20*L20</f>
        <v>352800</v>
      </c>
      <c r="P22" s="439"/>
      <c r="Q22" s="275">
        <f>IF(M22&lt;&gt;0,O22-M22,0)</f>
        <v>0</v>
      </c>
      <c r="R22" s="265"/>
      <c r="S22" s="269">
        <f>'Pilotage effectif CFP'!AB43</f>
        <v>30</v>
      </c>
      <c r="T22" s="388"/>
      <c r="U22" s="437"/>
      <c r="V22" s="438">
        <f>V20*S20</f>
        <v>367500</v>
      </c>
      <c r="W22" s="439"/>
      <c r="X22" s="275">
        <f>IF(T22&lt;&gt;0,V22-T22,0)</f>
        <v>0</v>
      </c>
      <c r="Y22" s="265"/>
      <c r="Z22" s="269">
        <f>'Pilotage effectif CFP'!AI43</f>
        <v>28</v>
      </c>
      <c r="AA22" s="388">
        <v>267499</v>
      </c>
      <c r="AB22" s="437"/>
      <c r="AC22" s="438">
        <f>AC20*Z20</f>
        <v>313600</v>
      </c>
      <c r="AD22" s="439"/>
      <c r="AE22" s="275">
        <f>IF(AA22&lt;&gt;0,AC22-AA22,0)</f>
        <v>46101</v>
      </c>
      <c r="AF22" s="265"/>
      <c r="AG22" s="269">
        <f>'Pilotage effectif CFP'!AP43</f>
        <v>28</v>
      </c>
      <c r="AH22" s="388"/>
      <c r="AI22" s="437"/>
      <c r="AJ22" s="438">
        <f>AJ20*AG20</f>
        <v>294000</v>
      </c>
      <c r="AK22" s="439"/>
      <c r="AL22" s="275">
        <f>IF(AH22&lt;&gt;0,AJ22-AH22,0)</f>
        <v>0</v>
      </c>
      <c r="AM22" s="265"/>
      <c r="AN22" s="269">
        <f>'Pilotage effectif CFP'!AW43</f>
        <v>30</v>
      </c>
      <c r="AO22" s="388"/>
      <c r="AP22" s="437"/>
      <c r="AQ22" s="438">
        <f>AQ20*AN20</f>
        <v>315000</v>
      </c>
      <c r="AR22" s="439"/>
      <c r="AS22" s="275">
        <f>IF(AO22&lt;&gt;0,AQ22-AO22,0)</f>
        <v>0</v>
      </c>
      <c r="AT22" s="265"/>
      <c r="AU22" s="269">
        <f>'Pilotage effectif CFP'!BD43</f>
        <v>29</v>
      </c>
      <c r="AV22" s="388"/>
      <c r="AW22" s="437"/>
      <c r="AX22" s="438">
        <f>AX20*AU20</f>
        <v>304500</v>
      </c>
      <c r="AY22" s="439"/>
      <c r="AZ22" s="275">
        <f>IF(AV22&lt;&gt;0,AX22-AV22,0)</f>
        <v>0</v>
      </c>
      <c r="BA22" s="265"/>
      <c r="BB22" s="269">
        <f>'Pilotage effectif CFP'!BK43</f>
        <v>28</v>
      </c>
      <c r="BC22" s="388"/>
      <c r="BD22" s="437"/>
      <c r="BE22" s="438">
        <f>BE20*BB20</f>
        <v>294000</v>
      </c>
      <c r="BF22" s="439"/>
      <c r="BG22" s="275">
        <f>IF(BC22&lt;&gt;0,BE22-BC22,0)</f>
        <v>0</v>
      </c>
      <c r="BH22" s="265"/>
      <c r="BI22" s="269">
        <f>'Pilotage effectif CFP'!BR43</f>
        <v>32</v>
      </c>
      <c r="BJ22" s="388"/>
      <c r="BK22" s="437"/>
      <c r="BL22" s="438">
        <f>BL20*BI20</f>
        <v>336000</v>
      </c>
      <c r="BM22" s="439"/>
      <c r="BN22" s="275">
        <f>IF(BJ22&lt;&gt;0,BL22-BJ22,0)</f>
        <v>0</v>
      </c>
      <c r="BO22" s="265"/>
      <c r="BP22" s="269">
        <f>'Pilotage effectif CFP'!BY43</f>
        <v>32</v>
      </c>
      <c r="BQ22" s="388"/>
      <c r="BR22" s="437"/>
      <c r="BS22" s="438">
        <f>BS20*BP20</f>
        <v>336000</v>
      </c>
      <c r="BT22" s="439"/>
      <c r="BU22" s="275">
        <f>IF(BQ22&lt;&gt;0,BS22-BQ22,0)</f>
        <v>0</v>
      </c>
      <c r="BV22" s="265"/>
      <c r="BW22" s="269">
        <f>'Pilotage effectif CFP'!CF43</f>
        <v>30</v>
      </c>
      <c r="BX22" s="388"/>
      <c r="BY22" s="437"/>
      <c r="BZ22" s="438">
        <f>BZ20*BW20</f>
        <v>315000</v>
      </c>
      <c r="CA22" s="439"/>
      <c r="CB22" s="275">
        <f>IF(BX22&lt;&gt;0,BZ22-BX22,0)</f>
        <v>0</v>
      </c>
      <c r="CC22" s="265"/>
      <c r="CD22" s="269">
        <f>'Pilotage effectif CFP'!CM43</f>
        <v>28</v>
      </c>
      <c r="CE22" s="388"/>
      <c r="CF22" s="437"/>
      <c r="CG22" s="438">
        <f>CG20*CD20</f>
        <v>294000</v>
      </c>
      <c r="CH22" s="439"/>
      <c r="CI22" s="275">
        <f>IF(CE22&lt;&gt;0,CG22-CE22,0)</f>
        <v>0</v>
      </c>
      <c r="CJ22" s="265"/>
      <c r="CK22" s="269">
        <f>'Pilotage effectif CFP'!CT43</f>
        <v>31</v>
      </c>
      <c r="CL22" s="388"/>
      <c r="CM22" s="437"/>
      <c r="CN22" s="438">
        <f>CN20*CK20</f>
        <v>325500</v>
      </c>
      <c r="CO22" s="439"/>
      <c r="CP22" s="275">
        <f>IF(CL22&lt;&gt;0,CN22-CL22,0)</f>
        <v>0</v>
      </c>
      <c r="CQ22" s="265"/>
      <c r="CR22" s="269">
        <f>'Pilotage effectif CFP'!DA43</f>
        <v>32</v>
      </c>
      <c r="CS22" s="388"/>
      <c r="CT22" s="437"/>
      <c r="CU22" s="438">
        <f>CU20*CR20</f>
        <v>336000</v>
      </c>
      <c r="CV22" s="439"/>
      <c r="CW22" s="275">
        <f>IF(CS22&lt;&gt;0,CU22-CS22,0)</f>
        <v>0</v>
      </c>
      <c r="CX22" s="265"/>
      <c r="CY22" s="269">
        <f>'Pilotage effectif CFP'!DH43</f>
        <v>29</v>
      </c>
      <c r="CZ22" s="388"/>
      <c r="DA22" s="437"/>
      <c r="DB22" s="438">
        <f>DB20*CY20</f>
        <v>304500</v>
      </c>
      <c r="DC22" s="439"/>
      <c r="DD22" s="275">
        <f>IF(CZ22&lt;&gt;0,DB22-CZ22,0)</f>
        <v>0</v>
      </c>
      <c r="DE22" s="265"/>
      <c r="DF22" s="269">
        <f>'Pilotage effectif CFP'!DO43</f>
        <v>23</v>
      </c>
      <c r="DG22" s="388"/>
      <c r="DH22" s="437"/>
      <c r="DI22" s="438">
        <f>DI20*DF20</f>
        <v>241500</v>
      </c>
      <c r="DJ22" s="439"/>
      <c r="DK22" s="275">
        <f>IF(DG22&lt;&gt;0,DI22-DG22,0)</f>
        <v>0</v>
      </c>
      <c r="DL22" s="265"/>
      <c r="DM22" s="269">
        <f>'Pilotage effectif CFP'!DV43</f>
        <v>24.8</v>
      </c>
      <c r="DN22" s="388"/>
      <c r="DO22" s="437"/>
      <c r="DP22" s="438">
        <f>DP20*DM20</f>
        <v>260400</v>
      </c>
      <c r="DQ22" s="439"/>
      <c r="DR22" s="275">
        <f>IF(DN22&lt;&gt;0,DP22-DN22,0)</f>
        <v>0</v>
      </c>
      <c r="DS22" s="265"/>
      <c r="DT22" s="269">
        <f>'Pilotage effectif CFP'!EC43</f>
        <v>24.8</v>
      </c>
      <c r="DU22" s="388"/>
      <c r="DV22" s="437"/>
      <c r="DW22" s="438">
        <f>DW20*DT20</f>
        <v>260400</v>
      </c>
      <c r="DX22" s="439"/>
      <c r="DY22" s="275">
        <f>IF(DU22&lt;&gt;0,DW22-DU22,0)</f>
        <v>0</v>
      </c>
      <c r="DZ22" s="265"/>
      <c r="EA22" s="269">
        <f>'Pilotage effectif CFP'!EJ43</f>
        <v>28</v>
      </c>
      <c r="EB22" s="388"/>
      <c r="EC22" s="437"/>
      <c r="ED22" s="438">
        <f>ED20*EA20</f>
        <v>294000</v>
      </c>
      <c r="EE22" s="439"/>
      <c r="EF22" s="275">
        <f>IF(EB22&lt;&gt;0,ED22-EB22,0)</f>
        <v>0</v>
      </c>
      <c r="EG22" s="265"/>
      <c r="EH22" s="269">
        <f>'Pilotage effectif CFP'!EQ43</f>
        <v>29</v>
      </c>
      <c r="EI22" s="388"/>
      <c r="EJ22" s="437"/>
      <c r="EK22" s="438">
        <f>EK20*EH20</f>
        <v>304500</v>
      </c>
      <c r="EL22" s="439"/>
      <c r="EM22" s="275">
        <f>IF(EI22&lt;&gt;0,EK22-EI22,0)</f>
        <v>0</v>
      </c>
      <c r="EN22" s="265"/>
      <c r="EO22" s="269">
        <f>'Pilotage effectif CFP'!EX43</f>
        <v>30</v>
      </c>
      <c r="EP22" s="388"/>
      <c r="EQ22" s="437"/>
      <c r="ER22" s="438">
        <f>ER20*EO20</f>
        <v>315000</v>
      </c>
      <c r="ES22" s="439"/>
      <c r="ET22" s="275">
        <f>IF(EP22&lt;&gt;0,ER22-EP22,0)</f>
        <v>0</v>
      </c>
      <c r="EU22" s="265"/>
      <c r="EV22" s="269">
        <f>'Pilotage effectif CFP'!FE43</f>
        <v>29</v>
      </c>
      <c r="EW22" s="388"/>
      <c r="EX22" s="437"/>
      <c r="EY22" s="438">
        <f>EY20*EV20</f>
        <v>304500</v>
      </c>
      <c r="EZ22" s="439"/>
      <c r="FA22" s="275">
        <f>IF(EW22&lt;&gt;0,EY22-EW22,0)</f>
        <v>0</v>
      </c>
      <c r="FB22" s="265"/>
      <c r="FC22" s="269">
        <f>'Pilotage effectif CFP'!FL43</f>
        <v>29</v>
      </c>
      <c r="FD22" s="388"/>
      <c r="FE22" s="437"/>
      <c r="FF22" s="438">
        <f>FF20*FC20</f>
        <v>304500</v>
      </c>
      <c r="FG22" s="439"/>
      <c r="FH22" s="275">
        <f>IF(FD22&lt;&gt;0,FF22-FD22,0)</f>
        <v>0</v>
      </c>
      <c r="FI22" s="265"/>
      <c r="FJ22" s="269">
        <f>'Pilotage effectif CFP'!FS43</f>
        <v>24.8</v>
      </c>
      <c r="FK22" s="388"/>
      <c r="FL22" s="437"/>
      <c r="FM22" s="438">
        <f>FM20*FJ20</f>
        <v>260400</v>
      </c>
      <c r="FN22" s="439"/>
      <c r="FO22" s="275">
        <f>IF(FK22&lt;&gt;0,FM22-FK22,0)</f>
        <v>0</v>
      </c>
      <c r="FP22" s="265"/>
      <c r="FQ22" s="269">
        <f>'Pilotage effectif CFP'!FZ43</f>
        <v>29</v>
      </c>
      <c r="FR22" s="388"/>
      <c r="FS22" s="437"/>
      <c r="FT22" s="438">
        <f>FT20*FQ20</f>
        <v>304500</v>
      </c>
      <c r="FU22" s="439"/>
      <c r="FV22" s="275">
        <f>IF(FR22&lt;&gt;0,FT22-FR22,0)</f>
        <v>0</v>
      </c>
      <c r="FW22" s="265"/>
      <c r="FX22" s="269">
        <f>'Pilotage effectif CFP'!GG43</f>
        <v>29</v>
      </c>
      <c r="FY22" s="388"/>
      <c r="FZ22" s="437"/>
      <c r="GA22" s="438">
        <f>GA20*FX20</f>
        <v>304500</v>
      </c>
      <c r="GB22" s="439"/>
      <c r="GC22" s="275">
        <f>IF(FY22&lt;&gt;0,GA22-FY22,0)</f>
        <v>0</v>
      </c>
      <c r="GD22" s="265"/>
      <c r="GE22" s="269">
        <f>'Pilotage effectif CFP'!GN43</f>
        <v>29</v>
      </c>
      <c r="GF22" s="388"/>
      <c r="GG22" s="437"/>
      <c r="GH22" s="438">
        <f>GH20*GE20</f>
        <v>304500</v>
      </c>
      <c r="GI22" s="439"/>
      <c r="GJ22" s="275">
        <f>IF(GF22&lt;&gt;0,GH22-GF22,0)</f>
        <v>0</v>
      </c>
      <c r="GK22" s="265"/>
      <c r="GL22" s="269">
        <f>'Pilotage effectif CFP'!GU43</f>
        <v>27</v>
      </c>
      <c r="GM22" s="388"/>
      <c r="GN22" s="437"/>
      <c r="GO22" s="438">
        <f>GO20*GL20</f>
        <v>283500</v>
      </c>
      <c r="GP22" s="439"/>
      <c r="GQ22" s="275">
        <f>IF(GM22&lt;&gt;0,GO22-GM22,0)</f>
        <v>0</v>
      </c>
      <c r="GR22" s="265"/>
      <c r="GS22" s="269">
        <f>'Pilotage effectif CFP'!HB43</f>
        <v>19.2</v>
      </c>
      <c r="GT22" s="388"/>
      <c r="GU22" s="437"/>
      <c r="GV22" s="438">
        <f>GV20*GS20</f>
        <v>201600</v>
      </c>
      <c r="GW22" s="439"/>
      <c r="GX22" s="275">
        <f>IF(GT22&lt;&gt;0,GV22-GT22,0)</f>
        <v>0</v>
      </c>
      <c r="GY22" s="283"/>
    </row>
    <row r="23" spans="1:207" s="110" customFormat="1" ht="35.4" customHeight="1" thickBot="1" x14ac:dyDescent="0.35">
      <c r="A23" s="294"/>
      <c r="B23" s="306"/>
      <c r="C23" s="307"/>
      <c r="D23" s="272"/>
      <c r="E23" s="255"/>
      <c r="F23" s="256"/>
      <c r="G23" s="256"/>
      <c r="H23" s="256"/>
      <c r="I23" s="256"/>
      <c r="J23" s="256"/>
      <c r="K23" s="263"/>
      <c r="L23" s="257"/>
      <c r="M23" s="257"/>
      <c r="N23" s="257"/>
      <c r="O23" s="257"/>
      <c r="P23" s="257"/>
      <c r="Q23" s="255"/>
      <c r="R23" s="281"/>
      <c r="S23" s="254"/>
      <c r="T23" s="254"/>
      <c r="U23" s="254"/>
      <c r="V23" s="254"/>
      <c r="W23" s="254"/>
      <c r="X23" s="254"/>
      <c r="Z23" s="254"/>
      <c r="AA23" s="254"/>
      <c r="AB23" s="254"/>
      <c r="AC23" s="254"/>
      <c r="AD23" s="254"/>
      <c r="AE23" s="254"/>
      <c r="AG23" s="254"/>
      <c r="AH23" s="254"/>
      <c r="AI23" s="254"/>
      <c r="AJ23" s="254"/>
      <c r="AK23" s="254"/>
      <c r="AL23" s="254"/>
      <c r="AN23" s="254"/>
      <c r="AO23" s="254"/>
      <c r="AP23" s="254"/>
      <c r="AQ23" s="254"/>
      <c r="AR23" s="254"/>
      <c r="AS23" s="254"/>
      <c r="AU23" s="254"/>
      <c r="AV23" s="254"/>
      <c r="AW23" s="254"/>
      <c r="AX23" s="254"/>
      <c r="AY23" s="254"/>
      <c r="AZ23" s="254"/>
      <c r="BB23" s="254"/>
      <c r="BC23" s="254"/>
      <c r="BD23" s="254"/>
      <c r="BE23" s="254"/>
      <c r="BF23" s="254"/>
      <c r="BG23" s="254"/>
      <c r="BI23" s="254"/>
      <c r="BJ23" s="254"/>
      <c r="BK23" s="254"/>
      <c r="BL23" s="254"/>
      <c r="BM23" s="254"/>
      <c r="BN23" s="254"/>
      <c r="BP23" s="254"/>
      <c r="BQ23" s="254"/>
      <c r="BR23" s="254"/>
      <c r="BS23" s="254"/>
      <c r="BT23" s="254"/>
      <c r="BU23" s="254"/>
      <c r="BW23" s="254"/>
      <c r="BX23" s="254"/>
      <c r="BY23" s="254"/>
      <c r="BZ23" s="254"/>
      <c r="CA23" s="254"/>
      <c r="CB23" s="254"/>
      <c r="CD23" s="254"/>
      <c r="CE23" s="254"/>
      <c r="CF23" s="254"/>
      <c r="CG23" s="254"/>
      <c r="CH23" s="254"/>
      <c r="CI23" s="254"/>
      <c r="CK23" s="254"/>
      <c r="CL23" s="254"/>
      <c r="CM23" s="254"/>
      <c r="CN23" s="254"/>
      <c r="CO23" s="254"/>
      <c r="CP23" s="254"/>
      <c r="CR23" s="254"/>
      <c r="CS23" s="254"/>
      <c r="CT23" s="254"/>
      <c r="CU23" s="254"/>
      <c r="CV23" s="254"/>
      <c r="CW23" s="254"/>
      <c r="CY23" s="254"/>
      <c r="CZ23" s="254"/>
      <c r="DA23" s="254"/>
      <c r="DB23" s="254"/>
      <c r="DC23" s="254"/>
      <c r="DD23" s="254"/>
      <c r="DF23" s="254"/>
      <c r="DG23" s="254"/>
      <c r="DH23" s="254"/>
      <c r="DI23" s="254"/>
      <c r="DJ23" s="254"/>
      <c r="DK23" s="254"/>
      <c r="DM23" s="254"/>
      <c r="DN23" s="254"/>
      <c r="DO23" s="254"/>
      <c r="DP23" s="254"/>
      <c r="DQ23" s="254"/>
      <c r="DR23" s="254"/>
      <c r="DT23" s="254"/>
      <c r="DU23" s="254"/>
      <c r="DV23" s="254"/>
      <c r="DW23" s="254"/>
      <c r="DX23" s="254"/>
      <c r="DY23" s="254"/>
      <c r="EA23" s="254"/>
      <c r="EB23" s="254"/>
      <c r="EC23" s="254"/>
      <c r="ED23" s="254"/>
      <c r="EE23" s="254"/>
      <c r="EF23" s="254"/>
      <c r="EH23" s="254"/>
      <c r="EI23" s="254"/>
      <c r="EJ23" s="254"/>
      <c r="EK23" s="254"/>
      <c r="EL23" s="254"/>
      <c r="EM23" s="254"/>
      <c r="EO23" s="254"/>
      <c r="EP23" s="254"/>
      <c r="EQ23" s="254"/>
      <c r="ER23" s="254"/>
      <c r="ES23" s="254"/>
      <c r="ET23" s="254"/>
      <c r="EV23" s="254"/>
      <c r="EW23" s="254"/>
      <c r="EX23" s="254"/>
      <c r="EY23" s="254"/>
      <c r="EZ23" s="254"/>
      <c r="FA23" s="254"/>
      <c r="FC23" s="254"/>
      <c r="FD23" s="254"/>
      <c r="FE23" s="254"/>
      <c r="FF23" s="254"/>
      <c r="FG23" s="254"/>
      <c r="FH23" s="254"/>
      <c r="FJ23" s="254"/>
      <c r="FK23" s="254"/>
      <c r="FL23" s="254"/>
      <c r="FM23" s="254"/>
      <c r="FN23" s="254"/>
      <c r="FO23" s="254"/>
      <c r="FQ23" s="254"/>
      <c r="FR23" s="254"/>
      <c r="FS23" s="254"/>
      <c r="FT23" s="254"/>
      <c r="FU23" s="254"/>
      <c r="FV23" s="254"/>
      <c r="FX23" s="254"/>
      <c r="FY23" s="254"/>
      <c r="FZ23" s="254"/>
      <c r="GA23" s="254"/>
      <c r="GB23" s="254"/>
      <c r="GC23" s="254"/>
      <c r="GE23" s="254"/>
      <c r="GF23" s="254"/>
      <c r="GG23" s="254"/>
      <c r="GH23" s="254"/>
      <c r="GI23" s="254"/>
      <c r="GJ23" s="254"/>
      <c r="GL23" s="254"/>
      <c r="GM23" s="254"/>
      <c r="GN23" s="254"/>
      <c r="GO23" s="254"/>
      <c r="GP23" s="254"/>
      <c r="GQ23" s="254"/>
      <c r="GS23" s="254"/>
      <c r="GT23" s="254"/>
      <c r="GU23" s="254"/>
      <c r="GV23" s="254"/>
      <c r="GW23" s="254"/>
      <c r="GX23" s="254"/>
    </row>
    <row r="24" spans="1:207" s="196" customFormat="1" x14ac:dyDescent="0.3">
      <c r="A24" s="294"/>
      <c r="B24" s="306"/>
      <c r="C24" s="306"/>
      <c r="D24"/>
      <c r="E24" s="383" t="str">
        <f>"S"&amp;WEEKNUM(E25)</f>
        <v>S24</v>
      </c>
      <c r="F24" s="384"/>
      <c r="G24" s="384"/>
      <c r="H24" s="384"/>
      <c r="I24" s="384"/>
      <c r="J24" s="385"/>
      <c r="K24" s="265"/>
      <c r="L24" s="383" t="str">
        <f>"S"&amp;WEEKNUM(L25)</f>
        <v>S25</v>
      </c>
      <c r="M24" s="384"/>
      <c r="N24" s="384"/>
      <c r="O24" s="384"/>
      <c r="P24" s="384"/>
      <c r="Q24" s="385"/>
      <c r="R24" s="265"/>
      <c r="S24" s="383" t="str">
        <f>"S"&amp;WEEKNUM(S25)</f>
        <v>S26</v>
      </c>
      <c r="T24" s="384"/>
      <c r="U24" s="384"/>
      <c r="V24" s="384"/>
      <c r="W24" s="384"/>
      <c r="X24" s="385"/>
      <c r="Y24" s="265"/>
      <c r="Z24" s="383" t="str">
        <f>"S"&amp;WEEKNUM(Z25)</f>
        <v>S27</v>
      </c>
      <c r="AA24" s="384"/>
      <c r="AB24" s="384"/>
      <c r="AC24" s="384"/>
      <c r="AD24" s="384"/>
      <c r="AE24" s="385"/>
      <c r="AF24" s="265"/>
      <c r="AG24" s="383" t="str">
        <f>"S"&amp;WEEKNUM(AG25)</f>
        <v>S28</v>
      </c>
      <c r="AH24" s="384"/>
      <c r="AI24" s="384"/>
      <c r="AJ24" s="384"/>
      <c r="AK24" s="384"/>
      <c r="AL24" s="385"/>
      <c r="AM24" s="265"/>
      <c r="AN24" s="383" t="str">
        <f>"S"&amp;WEEKNUM(AN25)</f>
        <v>S29</v>
      </c>
      <c r="AO24" s="384"/>
      <c r="AP24" s="384"/>
      <c r="AQ24" s="384"/>
      <c r="AR24" s="384"/>
      <c r="AS24" s="385"/>
      <c r="AT24" s="265"/>
      <c r="AU24" s="383" t="str">
        <f>"S"&amp;WEEKNUM(AU25)</f>
        <v>S30</v>
      </c>
      <c r="AV24" s="384"/>
      <c r="AW24" s="384"/>
      <c r="AX24" s="384"/>
      <c r="AY24" s="384"/>
      <c r="AZ24" s="385"/>
      <c r="BA24" s="265"/>
      <c r="BB24" s="383" t="str">
        <f>"S"&amp;WEEKNUM(BB25)</f>
        <v>S31</v>
      </c>
      <c r="BC24" s="384"/>
      <c r="BD24" s="384"/>
      <c r="BE24" s="384"/>
      <c r="BF24" s="384"/>
      <c r="BG24" s="385"/>
      <c r="BH24" s="265"/>
      <c r="BI24" s="383" t="str">
        <f>"S"&amp;WEEKNUM(BI25)</f>
        <v>S32</v>
      </c>
      <c r="BJ24" s="384"/>
      <c r="BK24" s="384"/>
      <c r="BL24" s="384"/>
      <c r="BM24" s="384"/>
      <c r="BN24" s="385"/>
      <c r="BO24" s="265"/>
      <c r="BP24" s="383" t="str">
        <f>"S"&amp;WEEKNUM(BP25)</f>
        <v>S33</v>
      </c>
      <c r="BQ24" s="384"/>
      <c r="BR24" s="384"/>
      <c r="BS24" s="384"/>
      <c r="BT24" s="384"/>
      <c r="BU24" s="385"/>
      <c r="BV24" s="265"/>
      <c r="BW24" s="383" t="str">
        <f>"S"&amp;WEEKNUM(BW25)</f>
        <v>S34</v>
      </c>
      <c r="BX24" s="384"/>
      <c r="BY24" s="384"/>
      <c r="BZ24" s="384"/>
      <c r="CA24" s="384"/>
      <c r="CB24" s="385"/>
      <c r="CC24" s="265"/>
      <c r="CD24" s="383" t="str">
        <f>"S"&amp;WEEKNUM(CD25)</f>
        <v>S35</v>
      </c>
      <c r="CE24" s="384"/>
      <c r="CF24" s="384"/>
      <c r="CG24" s="384"/>
      <c r="CH24" s="384"/>
      <c r="CI24" s="385"/>
      <c r="CJ24" s="265"/>
      <c r="CK24" s="383" t="str">
        <f>"S"&amp;WEEKNUM(CK25)</f>
        <v>S36</v>
      </c>
      <c r="CL24" s="384"/>
      <c r="CM24" s="384"/>
      <c r="CN24" s="384"/>
      <c r="CO24" s="384"/>
      <c r="CP24" s="385"/>
      <c r="CQ24" s="265"/>
      <c r="CR24" s="383" t="str">
        <f>"S"&amp;WEEKNUM(CR25)</f>
        <v>S37</v>
      </c>
      <c r="CS24" s="384"/>
      <c r="CT24" s="384"/>
      <c r="CU24" s="384"/>
      <c r="CV24" s="384"/>
      <c r="CW24" s="385"/>
      <c r="CX24" s="265"/>
      <c r="CY24" s="383" t="str">
        <f>"S"&amp;WEEKNUM(CY25)</f>
        <v>S38</v>
      </c>
      <c r="CZ24" s="384"/>
      <c r="DA24" s="384"/>
      <c r="DB24" s="384"/>
      <c r="DC24" s="384"/>
      <c r="DD24" s="385"/>
      <c r="DE24" s="265"/>
      <c r="DF24" s="383" t="str">
        <f>"S"&amp;WEEKNUM(DF25)</f>
        <v>S39</v>
      </c>
      <c r="DG24" s="384"/>
      <c r="DH24" s="384"/>
      <c r="DI24" s="384"/>
      <c r="DJ24" s="384"/>
      <c r="DK24" s="385"/>
      <c r="DL24" s="265"/>
      <c r="DM24" s="383" t="str">
        <f>"S"&amp;WEEKNUM(DM25)</f>
        <v>S40</v>
      </c>
      <c r="DN24" s="384"/>
      <c r="DO24" s="384"/>
      <c r="DP24" s="384"/>
      <c r="DQ24" s="384"/>
      <c r="DR24" s="385"/>
      <c r="DS24" s="265"/>
      <c r="DT24" s="383" t="str">
        <f>"S"&amp;WEEKNUM(DT25)</f>
        <v>S41</v>
      </c>
      <c r="DU24" s="384"/>
      <c r="DV24" s="384"/>
      <c r="DW24" s="384"/>
      <c r="DX24" s="384"/>
      <c r="DY24" s="385"/>
      <c r="DZ24" s="265"/>
      <c r="EA24" s="383" t="str">
        <f>"S"&amp;WEEKNUM(EA25)</f>
        <v>S42</v>
      </c>
      <c r="EB24" s="384"/>
      <c r="EC24" s="384"/>
      <c r="ED24" s="384"/>
      <c r="EE24" s="384"/>
      <c r="EF24" s="385"/>
      <c r="EG24" s="265"/>
      <c r="EH24" s="383" t="str">
        <f>"S"&amp;WEEKNUM(EH25)</f>
        <v>S43</v>
      </c>
      <c r="EI24" s="384"/>
      <c r="EJ24" s="384"/>
      <c r="EK24" s="384"/>
      <c r="EL24" s="384"/>
      <c r="EM24" s="385"/>
      <c r="EN24" s="265"/>
      <c r="EO24" s="383" t="str">
        <f>"S"&amp;WEEKNUM(EO25)</f>
        <v>S44</v>
      </c>
      <c r="EP24" s="384"/>
      <c r="EQ24" s="384"/>
      <c r="ER24" s="384"/>
      <c r="ES24" s="384"/>
      <c r="ET24" s="385"/>
      <c r="EU24" s="265"/>
      <c r="EV24" s="383" t="str">
        <f>"S"&amp;WEEKNUM(EV25)</f>
        <v>S45</v>
      </c>
      <c r="EW24" s="384"/>
      <c r="EX24" s="384"/>
      <c r="EY24" s="384"/>
      <c r="EZ24" s="384"/>
      <c r="FA24" s="385"/>
      <c r="FB24" s="265"/>
      <c r="FC24" s="383" t="str">
        <f>"S"&amp;WEEKNUM(FC25)</f>
        <v>S46</v>
      </c>
      <c r="FD24" s="384"/>
      <c r="FE24" s="384"/>
      <c r="FF24" s="384"/>
      <c r="FG24" s="384"/>
      <c r="FH24" s="385"/>
      <c r="FI24" s="265"/>
      <c r="FJ24" s="383" t="str">
        <f>"S"&amp;WEEKNUM(FJ25)</f>
        <v>S47</v>
      </c>
      <c r="FK24" s="384"/>
      <c r="FL24" s="384"/>
      <c r="FM24" s="384"/>
      <c r="FN24" s="384"/>
      <c r="FO24" s="385"/>
      <c r="FP24" s="265"/>
      <c r="FQ24" s="383" t="str">
        <f>"S"&amp;WEEKNUM(FQ25)</f>
        <v>S48</v>
      </c>
      <c r="FR24" s="384"/>
      <c r="FS24" s="384"/>
      <c r="FT24" s="384"/>
      <c r="FU24" s="384"/>
      <c r="FV24" s="385"/>
      <c r="FW24" s="265"/>
      <c r="FX24" s="383" t="str">
        <f>"S"&amp;WEEKNUM(FX25)</f>
        <v>S49</v>
      </c>
      <c r="FY24" s="384"/>
      <c r="FZ24" s="384"/>
      <c r="GA24" s="384"/>
      <c r="GB24" s="384"/>
      <c r="GC24" s="385"/>
      <c r="GD24" s="265"/>
      <c r="GE24" s="383" t="str">
        <f>"S"&amp;WEEKNUM(GE25)</f>
        <v>S47</v>
      </c>
      <c r="GF24" s="384"/>
      <c r="GG24" s="384"/>
      <c r="GH24" s="384"/>
      <c r="GI24" s="384"/>
      <c r="GJ24" s="385"/>
      <c r="GK24" s="265"/>
      <c r="GL24" s="383" t="str">
        <f>"S"&amp;WEEKNUM(GL25)</f>
        <v>S48</v>
      </c>
      <c r="GM24" s="384"/>
      <c r="GN24" s="384"/>
      <c r="GO24" s="384"/>
      <c r="GP24" s="384"/>
      <c r="GQ24" s="385"/>
      <c r="GR24" s="265"/>
      <c r="GS24" s="383" t="str">
        <f>"S"&amp;WEEKNUM(GS25)</f>
        <v>S49</v>
      </c>
      <c r="GT24" s="384"/>
      <c r="GU24" s="384"/>
      <c r="GV24" s="384"/>
      <c r="GW24" s="384"/>
      <c r="GX24" s="385"/>
      <c r="GY24" s="283"/>
    </row>
    <row r="25" spans="1:207" s="196" customFormat="1" x14ac:dyDescent="0.3">
      <c r="A25" s="294"/>
      <c r="B25" s="305"/>
      <c r="C25" s="305"/>
      <c r="D25"/>
      <c r="E25" s="130">
        <v>45453</v>
      </c>
      <c r="F25" s="131">
        <v>45454</v>
      </c>
      <c r="G25" s="131">
        <v>45455</v>
      </c>
      <c r="H25" s="131">
        <v>45456</v>
      </c>
      <c r="I25" s="131">
        <v>45457</v>
      </c>
      <c r="J25" s="132">
        <v>45458</v>
      </c>
      <c r="K25" s="265"/>
      <c r="L25" s="130">
        <v>45460</v>
      </c>
      <c r="M25" s="131">
        <v>45461</v>
      </c>
      <c r="N25" s="131">
        <v>45462</v>
      </c>
      <c r="O25" s="131">
        <v>45463</v>
      </c>
      <c r="P25" s="131">
        <v>45464</v>
      </c>
      <c r="Q25" s="131">
        <v>45465</v>
      </c>
      <c r="R25" s="265"/>
      <c r="S25" s="130">
        <v>45467</v>
      </c>
      <c r="T25" s="131">
        <v>45468</v>
      </c>
      <c r="U25" s="131">
        <v>45469</v>
      </c>
      <c r="V25" s="131">
        <v>45470</v>
      </c>
      <c r="W25" s="131">
        <v>45471</v>
      </c>
      <c r="X25" s="132">
        <v>45472</v>
      </c>
      <c r="Y25" s="265"/>
      <c r="Z25" s="130">
        <v>45474</v>
      </c>
      <c r="AA25" s="131">
        <v>45475</v>
      </c>
      <c r="AB25" s="131">
        <v>45476</v>
      </c>
      <c r="AC25" s="131">
        <v>45477</v>
      </c>
      <c r="AD25" s="131">
        <v>45478</v>
      </c>
      <c r="AE25" s="131">
        <v>45479</v>
      </c>
      <c r="AF25" s="265"/>
      <c r="AG25" s="130">
        <v>45481</v>
      </c>
      <c r="AH25" s="131">
        <v>45482</v>
      </c>
      <c r="AI25" s="131">
        <v>45483</v>
      </c>
      <c r="AJ25" s="131">
        <v>45484</v>
      </c>
      <c r="AK25" s="131">
        <v>45485</v>
      </c>
      <c r="AL25" s="132">
        <v>45486</v>
      </c>
      <c r="AM25" s="265"/>
      <c r="AN25" s="130">
        <v>45488</v>
      </c>
      <c r="AO25" s="131">
        <v>45489</v>
      </c>
      <c r="AP25" s="131">
        <v>45490</v>
      </c>
      <c r="AQ25" s="131">
        <v>45491</v>
      </c>
      <c r="AR25" s="131">
        <v>45492</v>
      </c>
      <c r="AS25" s="131">
        <v>45493</v>
      </c>
      <c r="AT25" s="265"/>
      <c r="AU25" s="130">
        <v>45495</v>
      </c>
      <c r="AV25" s="131">
        <v>45496</v>
      </c>
      <c r="AW25" s="131">
        <v>45497</v>
      </c>
      <c r="AX25" s="131">
        <v>45498</v>
      </c>
      <c r="AY25" s="131">
        <v>45499</v>
      </c>
      <c r="AZ25" s="132">
        <v>45500</v>
      </c>
      <c r="BA25" s="265"/>
      <c r="BB25" s="130">
        <v>45502</v>
      </c>
      <c r="BC25" s="131">
        <v>45503</v>
      </c>
      <c r="BD25" s="131">
        <v>45504</v>
      </c>
      <c r="BE25" s="131">
        <v>45505</v>
      </c>
      <c r="BF25" s="131">
        <v>45506</v>
      </c>
      <c r="BG25" s="131">
        <v>45507</v>
      </c>
      <c r="BH25" s="265"/>
      <c r="BI25" s="130">
        <v>45509</v>
      </c>
      <c r="BJ25" s="131">
        <v>45510</v>
      </c>
      <c r="BK25" s="131">
        <v>45511</v>
      </c>
      <c r="BL25" s="131">
        <v>45512</v>
      </c>
      <c r="BM25" s="131">
        <v>45513</v>
      </c>
      <c r="BN25" s="132">
        <v>45514</v>
      </c>
      <c r="BO25" s="265"/>
      <c r="BP25" s="130">
        <v>45516</v>
      </c>
      <c r="BQ25" s="131">
        <v>45517</v>
      </c>
      <c r="BR25" s="131">
        <v>45518</v>
      </c>
      <c r="BS25" s="131">
        <v>45519</v>
      </c>
      <c r="BT25" s="131">
        <v>45520</v>
      </c>
      <c r="BU25" s="131">
        <v>45521</v>
      </c>
      <c r="BV25" s="265"/>
      <c r="BW25" s="130">
        <v>45523</v>
      </c>
      <c r="BX25" s="131">
        <v>45524</v>
      </c>
      <c r="BY25" s="131">
        <v>45525</v>
      </c>
      <c r="BZ25" s="131">
        <v>45526</v>
      </c>
      <c r="CA25" s="131">
        <v>45527</v>
      </c>
      <c r="CB25" s="132">
        <v>45528</v>
      </c>
      <c r="CC25" s="265"/>
      <c r="CD25" s="130">
        <v>45530</v>
      </c>
      <c r="CE25" s="131">
        <v>45531</v>
      </c>
      <c r="CF25" s="131">
        <v>45532</v>
      </c>
      <c r="CG25" s="131">
        <v>45533</v>
      </c>
      <c r="CH25" s="131">
        <v>45534</v>
      </c>
      <c r="CI25" s="131">
        <v>45535</v>
      </c>
      <c r="CJ25" s="265"/>
      <c r="CK25" s="130">
        <v>45537</v>
      </c>
      <c r="CL25" s="131">
        <v>45538</v>
      </c>
      <c r="CM25" s="131">
        <v>45539</v>
      </c>
      <c r="CN25" s="131">
        <v>45540</v>
      </c>
      <c r="CO25" s="131">
        <v>45541</v>
      </c>
      <c r="CP25" s="132">
        <v>45542</v>
      </c>
      <c r="CQ25" s="265"/>
      <c r="CR25" s="130">
        <v>45544</v>
      </c>
      <c r="CS25" s="131">
        <v>45545</v>
      </c>
      <c r="CT25" s="131">
        <v>45546</v>
      </c>
      <c r="CU25" s="131">
        <v>45547</v>
      </c>
      <c r="CV25" s="131">
        <v>45548</v>
      </c>
      <c r="CW25" s="131">
        <v>45549</v>
      </c>
      <c r="CX25" s="265"/>
      <c r="CY25" s="130">
        <v>45551</v>
      </c>
      <c r="CZ25" s="131">
        <v>45552</v>
      </c>
      <c r="DA25" s="131">
        <v>45553</v>
      </c>
      <c r="DB25" s="131">
        <v>45554</v>
      </c>
      <c r="DC25" s="131">
        <v>45555</v>
      </c>
      <c r="DD25" s="132">
        <v>45556</v>
      </c>
      <c r="DE25" s="265"/>
      <c r="DF25" s="130">
        <v>45558</v>
      </c>
      <c r="DG25" s="131">
        <v>45559</v>
      </c>
      <c r="DH25" s="131">
        <v>45560</v>
      </c>
      <c r="DI25" s="131">
        <v>45561</v>
      </c>
      <c r="DJ25" s="131">
        <v>45562</v>
      </c>
      <c r="DK25" s="131">
        <v>45563</v>
      </c>
      <c r="DL25" s="265"/>
      <c r="DM25" s="130">
        <v>45565</v>
      </c>
      <c r="DN25" s="131">
        <v>45566</v>
      </c>
      <c r="DO25" s="131">
        <v>45567</v>
      </c>
      <c r="DP25" s="131">
        <v>45568</v>
      </c>
      <c r="DQ25" s="131">
        <v>45569</v>
      </c>
      <c r="DR25" s="132">
        <v>45570</v>
      </c>
      <c r="DS25" s="265"/>
      <c r="DT25" s="130">
        <v>45572</v>
      </c>
      <c r="DU25" s="131">
        <v>45573</v>
      </c>
      <c r="DV25" s="131">
        <v>45574</v>
      </c>
      <c r="DW25" s="131">
        <v>45575</v>
      </c>
      <c r="DX25" s="131">
        <v>45576</v>
      </c>
      <c r="DY25" s="131">
        <v>45577</v>
      </c>
      <c r="DZ25" s="265"/>
      <c r="EA25" s="130">
        <v>45579</v>
      </c>
      <c r="EB25" s="131">
        <v>45580</v>
      </c>
      <c r="EC25" s="131">
        <v>45581</v>
      </c>
      <c r="ED25" s="131">
        <v>45582</v>
      </c>
      <c r="EE25" s="131">
        <v>45583</v>
      </c>
      <c r="EF25" s="132">
        <v>45584</v>
      </c>
      <c r="EG25" s="265"/>
      <c r="EH25" s="130">
        <v>45586</v>
      </c>
      <c r="EI25" s="131">
        <v>45587</v>
      </c>
      <c r="EJ25" s="131">
        <v>45588</v>
      </c>
      <c r="EK25" s="131">
        <v>45589</v>
      </c>
      <c r="EL25" s="131">
        <v>45590</v>
      </c>
      <c r="EM25" s="131">
        <v>45591</v>
      </c>
      <c r="EN25" s="265"/>
      <c r="EO25" s="130">
        <v>45593</v>
      </c>
      <c r="EP25" s="131">
        <v>45594</v>
      </c>
      <c r="EQ25" s="131">
        <v>45595</v>
      </c>
      <c r="ER25" s="131">
        <v>45596</v>
      </c>
      <c r="ES25" s="131">
        <v>45597</v>
      </c>
      <c r="ET25" s="132">
        <v>45598</v>
      </c>
      <c r="EU25" s="265"/>
      <c r="EV25" s="130">
        <v>45600</v>
      </c>
      <c r="EW25" s="131">
        <v>45601</v>
      </c>
      <c r="EX25" s="131">
        <v>45602</v>
      </c>
      <c r="EY25" s="131">
        <v>45603</v>
      </c>
      <c r="EZ25" s="131">
        <v>45604</v>
      </c>
      <c r="FA25" s="131">
        <v>45605</v>
      </c>
      <c r="FB25" s="265"/>
      <c r="FC25" s="130">
        <v>45607</v>
      </c>
      <c r="FD25" s="131">
        <v>45608</v>
      </c>
      <c r="FE25" s="131">
        <v>45609</v>
      </c>
      <c r="FF25" s="131">
        <v>45610</v>
      </c>
      <c r="FG25" s="131">
        <v>45611</v>
      </c>
      <c r="FH25" s="132">
        <v>45612</v>
      </c>
      <c r="FI25" s="265"/>
      <c r="FJ25" s="130">
        <v>45614</v>
      </c>
      <c r="FK25" s="131">
        <v>45615</v>
      </c>
      <c r="FL25" s="131">
        <v>45616</v>
      </c>
      <c r="FM25" s="131">
        <v>45617</v>
      </c>
      <c r="FN25" s="131">
        <v>45618</v>
      </c>
      <c r="FO25" s="131">
        <v>45619</v>
      </c>
      <c r="FP25" s="265"/>
      <c r="FQ25" s="130">
        <v>45621</v>
      </c>
      <c r="FR25" s="131">
        <v>45622</v>
      </c>
      <c r="FS25" s="131">
        <v>45623</v>
      </c>
      <c r="FT25" s="131">
        <v>45624</v>
      </c>
      <c r="FU25" s="131">
        <v>45625</v>
      </c>
      <c r="FV25" s="132">
        <v>45626</v>
      </c>
      <c r="FW25" s="265"/>
      <c r="FX25" s="130">
        <v>45628</v>
      </c>
      <c r="FY25" s="131">
        <v>45629</v>
      </c>
      <c r="FZ25" s="131">
        <v>45630</v>
      </c>
      <c r="GA25" s="131">
        <v>45631</v>
      </c>
      <c r="GB25" s="131">
        <v>45632</v>
      </c>
      <c r="GC25" s="131">
        <v>45633</v>
      </c>
      <c r="GD25" s="265"/>
      <c r="GE25" s="130">
        <v>45614</v>
      </c>
      <c r="GF25" s="131">
        <v>45615</v>
      </c>
      <c r="GG25" s="131">
        <v>45616</v>
      </c>
      <c r="GH25" s="131">
        <v>45617</v>
      </c>
      <c r="GI25" s="131">
        <v>45618</v>
      </c>
      <c r="GJ25" s="131">
        <v>45619</v>
      </c>
      <c r="GK25" s="265"/>
      <c r="GL25" s="130">
        <v>45621</v>
      </c>
      <c r="GM25" s="131">
        <v>45622</v>
      </c>
      <c r="GN25" s="131">
        <v>45623</v>
      </c>
      <c r="GO25" s="131">
        <v>45624</v>
      </c>
      <c r="GP25" s="131">
        <v>45625</v>
      </c>
      <c r="GQ25" s="132">
        <v>45626</v>
      </c>
      <c r="GR25" s="265"/>
      <c r="GS25" s="130">
        <v>45628</v>
      </c>
      <c r="GT25" s="131">
        <v>45629</v>
      </c>
      <c r="GU25" s="131">
        <v>45630</v>
      </c>
      <c r="GV25" s="131">
        <v>45631</v>
      </c>
      <c r="GW25" s="131">
        <v>45632</v>
      </c>
      <c r="GX25" s="131">
        <v>45633</v>
      </c>
      <c r="GY25" s="283"/>
    </row>
    <row r="26" spans="1:207" s="196" customFormat="1" ht="15" thickBot="1" x14ac:dyDescent="0.35">
      <c r="A26" s="294"/>
      <c r="B26" s="306"/>
      <c r="C26" s="306"/>
      <c r="E26" s="237" t="str">
        <f>TEXT(E25,"jjj.")</f>
        <v>lun.</v>
      </c>
      <c r="F26" s="235" t="str">
        <f>TEXT(F25,"jjj.")</f>
        <v>mar.</v>
      </c>
      <c r="G26" s="235" t="str">
        <f>TEXT(G25,"jjj.")</f>
        <v>mer.</v>
      </c>
      <c r="H26" s="235" t="str">
        <f>TEXT(H25,"jjj.")</f>
        <v>jeu.</v>
      </c>
      <c r="I26" s="235" t="str">
        <f>TEXT(I25,"jjj.")</f>
        <v>ven.</v>
      </c>
      <c r="J26" s="236" t="s">
        <v>694</v>
      </c>
      <c r="K26" s="265"/>
      <c r="L26" s="237" t="str">
        <f>TEXT(L25,"jjj.")</f>
        <v>lun.</v>
      </c>
      <c r="M26" s="235" t="str">
        <f>TEXT(M25,"jjj.")</f>
        <v>mar.</v>
      </c>
      <c r="N26" s="235" t="str">
        <f>TEXT(N25,"jjj.")</f>
        <v>mer.</v>
      </c>
      <c r="O26" s="235" t="str">
        <f>TEXT(O25,"jjj.")</f>
        <v>jeu.</v>
      </c>
      <c r="P26" s="235" t="str">
        <f>TEXT(P25,"jjj.")</f>
        <v>ven.</v>
      </c>
      <c r="Q26" s="236" t="s">
        <v>694</v>
      </c>
      <c r="R26" s="265"/>
      <c r="S26" s="237" t="str">
        <f>TEXT(S25,"jjj.")</f>
        <v>lun.</v>
      </c>
      <c r="T26" s="235" t="str">
        <f>TEXT(T25,"jjj.")</f>
        <v>mar.</v>
      </c>
      <c r="U26" s="235" t="str">
        <f>TEXT(U25,"jjj.")</f>
        <v>mer.</v>
      </c>
      <c r="V26" s="235" t="str">
        <f>TEXT(V25,"jjj.")</f>
        <v>jeu.</v>
      </c>
      <c r="W26" s="235" t="str">
        <f>TEXT(W25,"jjj.")</f>
        <v>ven.</v>
      </c>
      <c r="X26" s="236" t="s">
        <v>694</v>
      </c>
      <c r="Y26" s="265"/>
      <c r="Z26" s="237" t="str">
        <f>TEXT(Z25,"jjj.")</f>
        <v>lun.</v>
      </c>
      <c r="AA26" s="235" t="str">
        <f>TEXT(AA25,"jjj.")</f>
        <v>mar.</v>
      </c>
      <c r="AB26" s="235" t="str">
        <f>TEXT(AB25,"jjj.")</f>
        <v>mer.</v>
      </c>
      <c r="AC26" s="235" t="str">
        <f>TEXT(AC25,"jjj.")</f>
        <v>jeu.</v>
      </c>
      <c r="AD26" s="235" t="str">
        <f>TEXT(AD25,"jjj.")</f>
        <v>ven.</v>
      </c>
      <c r="AE26" s="236" t="s">
        <v>694</v>
      </c>
      <c r="AF26" s="265"/>
      <c r="AG26" s="237" t="str">
        <f>TEXT(AG25,"jjj.")</f>
        <v>lun.</v>
      </c>
      <c r="AH26" s="235" t="str">
        <f>TEXT(AH25,"jjj.")</f>
        <v>mar.</v>
      </c>
      <c r="AI26" s="235" t="str">
        <f>TEXT(AI25,"jjj.")</f>
        <v>mer.</v>
      </c>
      <c r="AJ26" s="235" t="str">
        <f>TEXT(AJ25,"jjj.")</f>
        <v>jeu.</v>
      </c>
      <c r="AK26" s="235" t="str">
        <f>TEXT(AK25,"jjj.")</f>
        <v>ven.</v>
      </c>
      <c r="AL26" s="236" t="s">
        <v>694</v>
      </c>
      <c r="AM26" s="265"/>
      <c r="AN26" s="237" t="str">
        <f>TEXT(AN25,"jjj.")</f>
        <v>lun.</v>
      </c>
      <c r="AO26" s="235" t="str">
        <f>TEXT(AO25,"jjj.")</f>
        <v>mar.</v>
      </c>
      <c r="AP26" s="235" t="str">
        <f>TEXT(AP25,"jjj.")</f>
        <v>mer.</v>
      </c>
      <c r="AQ26" s="235" t="str">
        <f>TEXT(AQ25,"jjj.")</f>
        <v>jeu.</v>
      </c>
      <c r="AR26" s="235" t="str">
        <f>TEXT(AR25,"jjj.")</f>
        <v>ven.</v>
      </c>
      <c r="AS26" s="236" t="s">
        <v>694</v>
      </c>
      <c r="AT26" s="265"/>
      <c r="AU26" s="237" t="str">
        <f>TEXT(AU25,"jjj.")</f>
        <v>lun.</v>
      </c>
      <c r="AV26" s="235" t="str">
        <f>TEXT(AV25,"jjj.")</f>
        <v>mar.</v>
      </c>
      <c r="AW26" s="235" t="str">
        <f>TEXT(AW25,"jjj.")</f>
        <v>mer.</v>
      </c>
      <c r="AX26" s="235" t="str">
        <f>TEXT(AX25,"jjj.")</f>
        <v>jeu.</v>
      </c>
      <c r="AY26" s="235" t="str">
        <f>TEXT(AY25,"jjj.")</f>
        <v>ven.</v>
      </c>
      <c r="AZ26" s="236" t="s">
        <v>694</v>
      </c>
      <c r="BA26" s="265"/>
      <c r="BB26" s="237" t="str">
        <f>TEXT(BB25,"jjj.")</f>
        <v>lun.</v>
      </c>
      <c r="BC26" s="235" t="str">
        <f>TEXT(BC25,"jjj.")</f>
        <v>mar.</v>
      </c>
      <c r="BD26" s="235" t="str">
        <f>TEXT(BD25,"jjj.")</f>
        <v>mer.</v>
      </c>
      <c r="BE26" s="235" t="str">
        <f>TEXT(BE25,"jjj.")</f>
        <v>jeu.</v>
      </c>
      <c r="BF26" s="235" t="str">
        <f>TEXT(BF25,"jjj.")</f>
        <v>ven.</v>
      </c>
      <c r="BG26" s="236" t="s">
        <v>694</v>
      </c>
      <c r="BH26" s="265"/>
      <c r="BI26" s="237" t="str">
        <f>TEXT(BI25,"jjj.")</f>
        <v>lun.</v>
      </c>
      <c r="BJ26" s="235" t="str">
        <f>TEXT(BJ25,"jjj.")</f>
        <v>mar.</v>
      </c>
      <c r="BK26" s="235" t="str">
        <f>TEXT(BK25,"jjj.")</f>
        <v>mer.</v>
      </c>
      <c r="BL26" s="235" t="str">
        <f>TEXT(BL25,"jjj.")</f>
        <v>jeu.</v>
      </c>
      <c r="BM26" s="235" t="str">
        <f>TEXT(BM25,"jjj.")</f>
        <v>ven.</v>
      </c>
      <c r="BN26" s="236" t="s">
        <v>694</v>
      </c>
      <c r="BO26" s="265"/>
      <c r="BP26" s="237" t="str">
        <f>TEXT(BP25,"jjj.")</f>
        <v>lun.</v>
      </c>
      <c r="BQ26" s="235" t="str">
        <f>TEXT(BQ25,"jjj.")</f>
        <v>mar.</v>
      </c>
      <c r="BR26" s="235" t="str">
        <f>TEXT(BR25,"jjj.")</f>
        <v>mer.</v>
      </c>
      <c r="BS26" s="235" t="str">
        <f>TEXT(BS25,"jjj.")</f>
        <v>jeu.</v>
      </c>
      <c r="BT26" s="235" t="str">
        <f>TEXT(BT25,"jjj.")</f>
        <v>ven.</v>
      </c>
      <c r="BU26" s="236" t="s">
        <v>694</v>
      </c>
      <c r="BV26" s="265"/>
      <c r="BW26" s="237" t="str">
        <f>TEXT(BW25,"jjj.")</f>
        <v>lun.</v>
      </c>
      <c r="BX26" s="235" t="str">
        <f>TEXT(BX25,"jjj.")</f>
        <v>mar.</v>
      </c>
      <c r="BY26" s="235" t="str">
        <f>TEXT(BY25,"jjj.")</f>
        <v>mer.</v>
      </c>
      <c r="BZ26" s="235" t="str">
        <f>TEXT(BZ25,"jjj.")</f>
        <v>jeu.</v>
      </c>
      <c r="CA26" s="235" t="str">
        <f>TEXT(CA25,"jjj.")</f>
        <v>ven.</v>
      </c>
      <c r="CB26" s="236" t="s">
        <v>694</v>
      </c>
      <c r="CC26" s="265"/>
      <c r="CD26" s="237" t="str">
        <f>TEXT(CD25,"jjj.")</f>
        <v>lun.</v>
      </c>
      <c r="CE26" s="235" t="str">
        <f>TEXT(CE25,"jjj.")</f>
        <v>mar.</v>
      </c>
      <c r="CF26" s="235" t="str">
        <f>TEXT(CF25,"jjj.")</f>
        <v>mer.</v>
      </c>
      <c r="CG26" s="235" t="str">
        <f>TEXT(CG25,"jjj.")</f>
        <v>jeu.</v>
      </c>
      <c r="CH26" s="235" t="str">
        <f>TEXT(CH25,"jjj.")</f>
        <v>ven.</v>
      </c>
      <c r="CI26" s="236" t="s">
        <v>694</v>
      </c>
      <c r="CJ26" s="265"/>
      <c r="CK26" s="237" t="str">
        <f>TEXT(CK25,"jjj.")</f>
        <v>lun.</v>
      </c>
      <c r="CL26" s="235" t="str">
        <f>TEXT(CL25,"jjj.")</f>
        <v>mar.</v>
      </c>
      <c r="CM26" s="235" t="str">
        <f>TEXT(CM25,"jjj.")</f>
        <v>mer.</v>
      </c>
      <c r="CN26" s="235" t="str">
        <f>TEXT(CN25,"jjj.")</f>
        <v>jeu.</v>
      </c>
      <c r="CO26" s="235" t="str">
        <f>TEXT(CO25,"jjj.")</f>
        <v>ven.</v>
      </c>
      <c r="CP26" s="236" t="s">
        <v>694</v>
      </c>
      <c r="CQ26" s="265"/>
      <c r="CR26" s="237" t="str">
        <f>TEXT(CR25,"jjj.")</f>
        <v>lun.</v>
      </c>
      <c r="CS26" s="235" t="str">
        <f>TEXT(CS25,"jjj.")</f>
        <v>mar.</v>
      </c>
      <c r="CT26" s="235" t="str">
        <f>TEXT(CT25,"jjj.")</f>
        <v>mer.</v>
      </c>
      <c r="CU26" s="235" t="str">
        <f>TEXT(CU25,"jjj.")</f>
        <v>jeu.</v>
      </c>
      <c r="CV26" s="235" t="str">
        <f>TEXT(CV25,"jjj.")</f>
        <v>ven.</v>
      </c>
      <c r="CW26" s="236" t="s">
        <v>694</v>
      </c>
      <c r="CX26" s="265"/>
      <c r="CY26" s="237" t="str">
        <f>TEXT(CY25,"jjj.")</f>
        <v>lun.</v>
      </c>
      <c r="CZ26" s="235" t="str">
        <f>TEXT(CZ25,"jjj.")</f>
        <v>mar.</v>
      </c>
      <c r="DA26" s="235" t="str">
        <f>TEXT(DA25,"jjj.")</f>
        <v>mer.</v>
      </c>
      <c r="DB26" s="235" t="str">
        <f>TEXT(DB25,"jjj.")</f>
        <v>jeu.</v>
      </c>
      <c r="DC26" s="235" t="str">
        <f>TEXT(DC25,"jjj.")</f>
        <v>ven.</v>
      </c>
      <c r="DD26" s="236" t="s">
        <v>694</v>
      </c>
      <c r="DE26" s="265"/>
      <c r="DF26" s="237" t="str">
        <f>TEXT(DF25,"jjj.")</f>
        <v>lun.</v>
      </c>
      <c r="DG26" s="235" t="str">
        <f>TEXT(DG25,"jjj.")</f>
        <v>mar.</v>
      </c>
      <c r="DH26" s="235" t="str">
        <f>TEXT(DH25,"jjj.")</f>
        <v>mer.</v>
      </c>
      <c r="DI26" s="235" t="str">
        <f>TEXT(DI25,"jjj.")</f>
        <v>jeu.</v>
      </c>
      <c r="DJ26" s="235" t="str">
        <f>TEXT(DJ25,"jjj.")</f>
        <v>ven.</v>
      </c>
      <c r="DK26" s="236" t="s">
        <v>694</v>
      </c>
      <c r="DL26" s="265"/>
      <c r="DM26" s="237" t="str">
        <f>TEXT(DM25,"jjj.")</f>
        <v>lun.</v>
      </c>
      <c r="DN26" s="235" t="str">
        <f>TEXT(DN25,"jjj.")</f>
        <v>mar.</v>
      </c>
      <c r="DO26" s="235" t="str">
        <f>TEXT(DO25,"jjj.")</f>
        <v>mer.</v>
      </c>
      <c r="DP26" s="235" t="str">
        <f>TEXT(DP25,"jjj.")</f>
        <v>jeu.</v>
      </c>
      <c r="DQ26" s="235" t="str">
        <f>TEXT(DQ25,"jjj.")</f>
        <v>ven.</v>
      </c>
      <c r="DR26" s="236" t="s">
        <v>694</v>
      </c>
      <c r="DS26" s="265"/>
      <c r="DT26" s="237" t="str">
        <f>TEXT(DT25,"jjj.")</f>
        <v>lun.</v>
      </c>
      <c r="DU26" s="235" t="str">
        <f>TEXT(DU25,"jjj.")</f>
        <v>mar.</v>
      </c>
      <c r="DV26" s="235" t="str">
        <f>TEXT(DV25,"jjj.")</f>
        <v>mer.</v>
      </c>
      <c r="DW26" s="235" t="str">
        <f>TEXT(DW25,"jjj.")</f>
        <v>jeu.</v>
      </c>
      <c r="DX26" s="235" t="str">
        <f>TEXT(DX25,"jjj.")</f>
        <v>ven.</v>
      </c>
      <c r="DY26" s="236" t="s">
        <v>694</v>
      </c>
      <c r="DZ26" s="265"/>
      <c r="EA26" s="237" t="str">
        <f>TEXT(EA25,"jjj.")</f>
        <v>lun.</v>
      </c>
      <c r="EB26" s="235" t="str">
        <f>TEXT(EB25,"jjj.")</f>
        <v>mar.</v>
      </c>
      <c r="EC26" s="235" t="str">
        <f>TEXT(EC25,"jjj.")</f>
        <v>mer.</v>
      </c>
      <c r="ED26" s="235" t="str">
        <f>TEXT(ED25,"jjj.")</f>
        <v>jeu.</v>
      </c>
      <c r="EE26" s="235" t="str">
        <f>TEXT(EE25,"jjj.")</f>
        <v>ven.</v>
      </c>
      <c r="EF26" s="236" t="s">
        <v>694</v>
      </c>
      <c r="EG26" s="265"/>
      <c r="EH26" s="237" t="str">
        <f>TEXT(EH25,"jjj.")</f>
        <v>lun.</v>
      </c>
      <c r="EI26" s="235" t="str">
        <f>TEXT(EI25,"jjj.")</f>
        <v>mar.</v>
      </c>
      <c r="EJ26" s="235" t="str">
        <f>TEXT(EJ25,"jjj.")</f>
        <v>mer.</v>
      </c>
      <c r="EK26" s="235" t="str">
        <f>TEXT(EK25,"jjj.")</f>
        <v>jeu.</v>
      </c>
      <c r="EL26" s="235" t="str">
        <f>TEXT(EL25,"jjj.")</f>
        <v>ven.</v>
      </c>
      <c r="EM26" s="236" t="s">
        <v>694</v>
      </c>
      <c r="EN26" s="265"/>
      <c r="EO26" s="237" t="str">
        <f>TEXT(EO25,"jjj.")</f>
        <v>lun.</v>
      </c>
      <c r="EP26" s="235" t="str">
        <f>TEXT(EP25,"jjj.")</f>
        <v>mar.</v>
      </c>
      <c r="EQ26" s="235" t="str">
        <f>TEXT(EQ25,"jjj.")</f>
        <v>mer.</v>
      </c>
      <c r="ER26" s="235" t="str">
        <f>TEXT(ER25,"jjj.")</f>
        <v>jeu.</v>
      </c>
      <c r="ES26" s="235" t="str">
        <f>TEXT(ES25,"jjj.")</f>
        <v>ven.</v>
      </c>
      <c r="ET26" s="236" t="s">
        <v>694</v>
      </c>
      <c r="EU26" s="265"/>
      <c r="EV26" s="237" t="str">
        <f>TEXT(EV25,"jjj.")</f>
        <v>lun.</v>
      </c>
      <c r="EW26" s="235" t="str">
        <f>TEXT(EW25,"jjj.")</f>
        <v>mar.</v>
      </c>
      <c r="EX26" s="235" t="str">
        <f>TEXT(EX25,"jjj.")</f>
        <v>mer.</v>
      </c>
      <c r="EY26" s="235" t="str">
        <f>TEXT(EY25,"jjj.")</f>
        <v>jeu.</v>
      </c>
      <c r="EZ26" s="235" t="str">
        <f>TEXT(EZ25,"jjj.")</f>
        <v>ven.</v>
      </c>
      <c r="FA26" s="236" t="s">
        <v>694</v>
      </c>
      <c r="FB26" s="265"/>
      <c r="FC26" s="237" t="str">
        <f>TEXT(FC25,"jjj.")</f>
        <v>lun.</v>
      </c>
      <c r="FD26" s="235" t="str">
        <f>TEXT(FD25,"jjj.")</f>
        <v>mar.</v>
      </c>
      <c r="FE26" s="235" t="str">
        <f>TEXT(FE25,"jjj.")</f>
        <v>mer.</v>
      </c>
      <c r="FF26" s="235" t="str">
        <f>TEXT(FF25,"jjj.")</f>
        <v>jeu.</v>
      </c>
      <c r="FG26" s="235" t="str">
        <f>TEXT(FG25,"jjj.")</f>
        <v>ven.</v>
      </c>
      <c r="FH26" s="236" t="s">
        <v>694</v>
      </c>
      <c r="FI26" s="265"/>
      <c r="FJ26" s="237" t="str">
        <f>TEXT(FJ25,"jjj.")</f>
        <v>lun.</v>
      </c>
      <c r="FK26" s="235" t="str">
        <f>TEXT(FK25,"jjj.")</f>
        <v>mar.</v>
      </c>
      <c r="FL26" s="235" t="str">
        <f>TEXT(FL25,"jjj.")</f>
        <v>mer.</v>
      </c>
      <c r="FM26" s="235" t="str">
        <f>TEXT(FM25,"jjj.")</f>
        <v>jeu.</v>
      </c>
      <c r="FN26" s="235" t="str">
        <f>TEXT(FN25,"jjj.")</f>
        <v>ven.</v>
      </c>
      <c r="FO26" s="236" t="s">
        <v>694</v>
      </c>
      <c r="FP26" s="265"/>
      <c r="FQ26" s="237" t="str">
        <f>TEXT(FQ25,"jjj.")</f>
        <v>lun.</v>
      </c>
      <c r="FR26" s="235" t="str">
        <f>TEXT(FR25,"jjj.")</f>
        <v>mar.</v>
      </c>
      <c r="FS26" s="235" t="str">
        <f>TEXT(FS25,"jjj.")</f>
        <v>mer.</v>
      </c>
      <c r="FT26" s="235" t="str">
        <f>TEXT(FT25,"jjj.")</f>
        <v>jeu.</v>
      </c>
      <c r="FU26" s="235" t="str">
        <f>TEXT(FU25,"jjj.")</f>
        <v>ven.</v>
      </c>
      <c r="FV26" s="236" t="s">
        <v>694</v>
      </c>
      <c r="FW26" s="265"/>
      <c r="FX26" s="237" t="str">
        <f>TEXT(FX25,"jjj.")</f>
        <v>lun.</v>
      </c>
      <c r="FY26" s="235" t="str">
        <f>TEXT(FY25,"jjj.")</f>
        <v>mar.</v>
      </c>
      <c r="FZ26" s="235" t="str">
        <f>TEXT(FZ25,"jjj.")</f>
        <v>mer.</v>
      </c>
      <c r="GA26" s="235" t="str">
        <f>TEXT(GA25,"jjj.")</f>
        <v>jeu.</v>
      </c>
      <c r="GB26" s="235" t="str">
        <f>TEXT(GB25,"jjj.")</f>
        <v>ven.</v>
      </c>
      <c r="GC26" s="236" t="s">
        <v>694</v>
      </c>
      <c r="GD26" s="265"/>
      <c r="GE26" s="237" t="str">
        <f>TEXT(GE25,"jjj.")</f>
        <v>lun.</v>
      </c>
      <c r="GF26" s="235" t="str">
        <f>TEXT(GF25,"jjj.")</f>
        <v>mar.</v>
      </c>
      <c r="GG26" s="235" t="str">
        <f>TEXT(GG25,"jjj.")</f>
        <v>mer.</v>
      </c>
      <c r="GH26" s="235" t="str">
        <f>TEXT(GH25,"jjj.")</f>
        <v>jeu.</v>
      </c>
      <c r="GI26" s="235" t="str">
        <f>TEXT(GI25,"jjj.")</f>
        <v>ven.</v>
      </c>
      <c r="GJ26" s="236" t="s">
        <v>694</v>
      </c>
      <c r="GK26" s="265"/>
      <c r="GL26" s="237" t="str">
        <f>TEXT(GL25,"jjj.")</f>
        <v>lun.</v>
      </c>
      <c r="GM26" s="235" t="str">
        <f>TEXT(GM25,"jjj.")</f>
        <v>mar.</v>
      </c>
      <c r="GN26" s="235" t="str">
        <f>TEXT(GN25,"jjj.")</f>
        <v>mer.</v>
      </c>
      <c r="GO26" s="235" t="str">
        <f>TEXT(GO25,"jjj.")</f>
        <v>jeu.</v>
      </c>
      <c r="GP26" s="235" t="str">
        <f>TEXT(GP25,"jjj.")</f>
        <v>ven.</v>
      </c>
      <c r="GQ26" s="236" t="s">
        <v>694</v>
      </c>
      <c r="GR26" s="265"/>
      <c r="GS26" s="237" t="str">
        <f>TEXT(GS25,"jjj.")</f>
        <v>lun.</v>
      </c>
      <c r="GT26" s="235" t="str">
        <f>TEXT(GT25,"jjj.")</f>
        <v>mar.</v>
      </c>
      <c r="GU26" s="235" t="str">
        <f>TEXT(GU25,"jjj.")</f>
        <v>mer.</v>
      </c>
      <c r="GV26" s="235" t="str">
        <f>TEXT(GV25,"jjj.")</f>
        <v>jeu.</v>
      </c>
      <c r="GW26" s="235" t="str">
        <f>TEXT(GW25,"jjj.")</f>
        <v>ven.</v>
      </c>
      <c r="GX26" s="236" t="s">
        <v>694</v>
      </c>
      <c r="GY26" s="283"/>
    </row>
    <row r="27" spans="1:207" s="196" customFormat="1" ht="16.05" customHeight="1" x14ac:dyDescent="0.3">
      <c r="A27" s="294"/>
      <c r="B27" s="284" t="s">
        <v>386</v>
      </c>
      <c r="C27" s="285" t="s">
        <v>415</v>
      </c>
      <c r="D27" s="270"/>
      <c r="E27" s="279">
        <v>5</v>
      </c>
      <c r="F27" s="280">
        <v>2</v>
      </c>
      <c r="G27" s="280">
        <v>0</v>
      </c>
      <c r="H27" s="280">
        <v>1</v>
      </c>
      <c r="I27" s="280">
        <v>5</v>
      </c>
      <c r="J27" s="302">
        <f>SUM(E27:I27)</f>
        <v>13</v>
      </c>
      <c r="K27" s="265"/>
      <c r="L27" s="279"/>
      <c r="M27" s="280"/>
      <c r="N27" s="280"/>
      <c r="O27" s="280"/>
      <c r="P27" s="280"/>
      <c r="Q27" s="302">
        <f>SUM(L27:P27)</f>
        <v>0</v>
      </c>
      <c r="R27" s="265"/>
      <c r="S27" s="279">
        <v>12</v>
      </c>
      <c r="T27" s="280">
        <v>12</v>
      </c>
      <c r="U27" s="280">
        <v>12</v>
      </c>
      <c r="V27" s="280">
        <v>12</v>
      </c>
      <c r="W27" s="280">
        <v>12</v>
      </c>
      <c r="X27" s="302">
        <f>SUM(S27:W27)</f>
        <v>60</v>
      </c>
      <c r="Y27" s="265"/>
      <c r="Z27" s="279">
        <v>12</v>
      </c>
      <c r="AA27" s="280">
        <v>12</v>
      </c>
      <c r="AB27" s="280">
        <v>12</v>
      </c>
      <c r="AC27" s="280">
        <v>12</v>
      </c>
      <c r="AD27" s="280">
        <v>12</v>
      </c>
      <c r="AE27" s="302">
        <f>SUM(Z27:AD27)</f>
        <v>60</v>
      </c>
      <c r="AF27" s="265"/>
      <c r="AG27" s="279">
        <v>12</v>
      </c>
      <c r="AH27" s="280">
        <v>12</v>
      </c>
      <c r="AI27" s="280">
        <v>12</v>
      </c>
      <c r="AJ27" s="280">
        <v>12</v>
      </c>
      <c r="AK27" s="280">
        <v>12</v>
      </c>
      <c r="AL27" s="302">
        <f>SUM(AG27:AK27)</f>
        <v>60</v>
      </c>
      <c r="AM27" s="265"/>
      <c r="AN27" s="279"/>
      <c r="AO27" s="280"/>
      <c r="AP27" s="280"/>
      <c r="AQ27" s="280"/>
      <c r="AR27" s="280"/>
      <c r="AS27" s="302">
        <f>SUM(AN27:AR27)</f>
        <v>0</v>
      </c>
      <c r="AT27" s="265"/>
      <c r="AU27" s="279"/>
      <c r="AV27" s="280"/>
      <c r="AW27" s="280"/>
      <c r="AX27" s="280"/>
      <c r="AY27" s="280"/>
      <c r="AZ27" s="302">
        <f>SUM(AU27:AY27)</f>
        <v>0</v>
      </c>
      <c r="BA27" s="265"/>
      <c r="BB27" s="279"/>
      <c r="BC27" s="280"/>
      <c r="BD27" s="280"/>
      <c r="BE27" s="280"/>
      <c r="BF27" s="280"/>
      <c r="BG27" s="302">
        <f>SUM(BB27:BF27)</f>
        <v>0</v>
      </c>
      <c r="BH27" s="265"/>
      <c r="BI27" s="279"/>
      <c r="BJ27" s="280"/>
      <c r="BK27" s="280"/>
      <c r="BL27" s="280"/>
      <c r="BM27" s="280"/>
      <c r="BN27" s="302">
        <f>SUM(BI27:BM27)</f>
        <v>0</v>
      </c>
      <c r="BO27" s="265"/>
      <c r="BP27" s="279"/>
      <c r="BQ27" s="280"/>
      <c r="BR27" s="280"/>
      <c r="BS27" s="280"/>
      <c r="BT27" s="280"/>
      <c r="BU27" s="302">
        <f>SUM(BP27:BT27)</f>
        <v>0</v>
      </c>
      <c r="BV27" s="265"/>
      <c r="BW27" s="279"/>
      <c r="BX27" s="280"/>
      <c r="BY27" s="280"/>
      <c r="BZ27" s="280"/>
      <c r="CA27" s="280"/>
      <c r="CB27" s="302">
        <f>SUM(BW27:CA27)</f>
        <v>0</v>
      </c>
      <c r="CC27" s="265"/>
      <c r="CD27" s="279"/>
      <c r="CE27" s="280"/>
      <c r="CF27" s="280"/>
      <c r="CG27" s="280"/>
      <c r="CH27" s="280"/>
      <c r="CI27" s="302">
        <f>SUM(CD27:CH27)</f>
        <v>0</v>
      </c>
      <c r="CJ27" s="265"/>
      <c r="CK27" s="279"/>
      <c r="CL27" s="280"/>
      <c r="CM27" s="280"/>
      <c r="CN27" s="280"/>
      <c r="CO27" s="280"/>
      <c r="CP27" s="302">
        <f>SUM(CK27:CO27)</f>
        <v>0</v>
      </c>
      <c r="CQ27" s="265"/>
      <c r="CR27" s="279"/>
      <c r="CS27" s="280"/>
      <c r="CT27" s="280"/>
      <c r="CU27" s="280"/>
      <c r="CV27" s="280"/>
      <c r="CW27" s="302">
        <f>SUM(CR27:CV27)</f>
        <v>0</v>
      </c>
      <c r="CX27" s="265"/>
      <c r="CY27" s="279"/>
      <c r="CZ27" s="280"/>
      <c r="DA27" s="280"/>
      <c r="DB27" s="280"/>
      <c r="DC27" s="280"/>
      <c r="DD27" s="302">
        <f>SUM(CY27:DC27)</f>
        <v>0</v>
      </c>
      <c r="DE27" s="265"/>
      <c r="DF27" s="279"/>
      <c r="DG27" s="280"/>
      <c r="DH27" s="280"/>
      <c r="DI27" s="280"/>
      <c r="DJ27" s="280"/>
      <c r="DK27" s="302">
        <f>SUM(DF27:DJ27)</f>
        <v>0</v>
      </c>
      <c r="DL27" s="265"/>
      <c r="DM27" s="279"/>
      <c r="DN27" s="280"/>
      <c r="DO27" s="280"/>
      <c r="DP27" s="280"/>
      <c r="DQ27" s="280"/>
      <c r="DR27" s="302">
        <f>SUM(DM27:DQ27)</f>
        <v>0</v>
      </c>
      <c r="DS27" s="265"/>
      <c r="DT27" s="279"/>
      <c r="DU27" s="280"/>
      <c r="DV27" s="280"/>
      <c r="DW27" s="280"/>
      <c r="DX27" s="280"/>
      <c r="DY27" s="302">
        <f>SUM(DT27:DX27)</f>
        <v>0</v>
      </c>
      <c r="DZ27" s="265"/>
      <c r="EA27" s="279"/>
      <c r="EB27" s="280"/>
      <c r="EC27" s="280"/>
      <c r="ED27" s="280"/>
      <c r="EE27" s="280"/>
      <c r="EF27" s="302">
        <f>SUM(EA27:EE27)</f>
        <v>0</v>
      </c>
      <c r="EG27" s="265"/>
      <c r="EH27" s="279"/>
      <c r="EI27" s="280"/>
      <c r="EJ27" s="280"/>
      <c r="EK27" s="280"/>
      <c r="EL27" s="280"/>
      <c r="EM27" s="302">
        <f>SUM(EH27:EL27)</f>
        <v>0</v>
      </c>
      <c r="EN27" s="265"/>
      <c r="EO27" s="279"/>
      <c r="EP27" s="280"/>
      <c r="EQ27" s="280"/>
      <c r="ER27" s="280"/>
      <c r="ES27" s="280"/>
      <c r="ET27" s="302">
        <f>SUM(EO27:ES27)</f>
        <v>0</v>
      </c>
      <c r="EU27" s="265"/>
      <c r="EV27" s="279"/>
      <c r="EW27" s="280"/>
      <c r="EX27" s="280"/>
      <c r="EY27" s="280"/>
      <c r="EZ27" s="280"/>
      <c r="FA27" s="302">
        <f>SUM(EV27:EZ27)</f>
        <v>0</v>
      </c>
      <c r="FB27" s="265"/>
      <c r="FC27" s="279"/>
      <c r="FD27" s="280"/>
      <c r="FE27" s="280"/>
      <c r="FF27" s="280"/>
      <c r="FG27" s="280"/>
      <c r="FH27" s="302">
        <f>SUM(FC27:FG27)</f>
        <v>0</v>
      </c>
      <c r="FI27" s="265"/>
      <c r="FJ27" s="279"/>
      <c r="FK27" s="280"/>
      <c r="FL27" s="280"/>
      <c r="FM27" s="280"/>
      <c r="FN27" s="280"/>
      <c r="FO27" s="302">
        <f>SUM(FJ27:FN27)</f>
        <v>0</v>
      </c>
      <c r="FP27" s="265"/>
      <c r="FQ27" s="279"/>
      <c r="FR27" s="280"/>
      <c r="FS27" s="280"/>
      <c r="FT27" s="280"/>
      <c r="FU27" s="280"/>
      <c r="FV27" s="302">
        <f>SUM(FQ27:FU27)</f>
        <v>0</v>
      </c>
      <c r="FW27" s="265"/>
      <c r="FX27" s="279"/>
      <c r="FY27" s="280"/>
      <c r="FZ27" s="280"/>
      <c r="GA27" s="280"/>
      <c r="GB27" s="280"/>
      <c r="GC27" s="302">
        <f>SUM(FX27:GB27)</f>
        <v>0</v>
      </c>
      <c r="GD27" s="265"/>
      <c r="GE27" s="279"/>
      <c r="GF27" s="280"/>
      <c r="GG27" s="280"/>
      <c r="GH27" s="280"/>
      <c r="GI27" s="280"/>
      <c r="GJ27" s="302">
        <f>SUM(GE27:GI27)</f>
        <v>0</v>
      </c>
      <c r="GK27" s="265"/>
      <c r="GL27" s="279"/>
      <c r="GM27" s="280"/>
      <c r="GN27" s="280"/>
      <c r="GO27" s="280"/>
      <c r="GP27" s="280"/>
      <c r="GQ27" s="302">
        <f>SUM(GL27:GP27)</f>
        <v>0</v>
      </c>
      <c r="GR27" s="265"/>
      <c r="GS27" s="279"/>
      <c r="GT27" s="280"/>
      <c r="GU27" s="280"/>
      <c r="GV27" s="280"/>
      <c r="GW27" s="280"/>
      <c r="GX27" s="302">
        <f>SUM(GS27:GW27)</f>
        <v>0</v>
      </c>
      <c r="GY27" s="283"/>
    </row>
    <row r="28" spans="1:207" s="196" customFormat="1" ht="16.05" customHeight="1" x14ac:dyDescent="0.3">
      <c r="A28" s="294"/>
      <c r="B28" s="282"/>
      <c r="C28" s="286" t="s">
        <v>416</v>
      </c>
      <c r="D28" s="271"/>
      <c r="E28" s="227">
        <f>'Pilotage effectif 27O'!I44</f>
        <v>7</v>
      </c>
      <c r="F28" s="228">
        <f>'Pilotage effectif 27O'!J44</f>
        <v>7</v>
      </c>
      <c r="G28" s="228">
        <f>'Pilotage effectif 27O'!K44</f>
        <v>0</v>
      </c>
      <c r="H28" s="228">
        <f>'Pilotage effectif 27O'!L44</f>
        <v>7</v>
      </c>
      <c r="I28" s="228">
        <f>'Pilotage effectif 27O'!M44</f>
        <v>7</v>
      </c>
      <c r="J28" s="303">
        <f>'Pilotage effectif 27O'!N44</f>
        <v>28</v>
      </c>
      <c r="K28" s="265"/>
      <c r="L28" s="227">
        <f>'Pilotage effectif 27O'!P44</f>
        <v>0</v>
      </c>
      <c r="M28" s="228">
        <f>'Pilotage effectif 27O'!Q44</f>
        <v>0</v>
      </c>
      <c r="N28" s="228">
        <f>'Pilotage effectif 27O'!R44</f>
        <v>0</v>
      </c>
      <c r="O28" s="228">
        <f>'Pilotage effectif 27O'!S44</f>
        <v>0</v>
      </c>
      <c r="P28" s="228">
        <f>'Pilotage effectif 27O'!T44</f>
        <v>0</v>
      </c>
      <c r="Q28" s="303">
        <f>'Pilotage effectif 27O'!U44</f>
        <v>0</v>
      </c>
      <c r="R28" s="265"/>
      <c r="S28" s="227">
        <f>'Pilotage effectif 27O'!W44</f>
        <v>0</v>
      </c>
      <c r="T28" s="228">
        <f>'Pilotage effectif 27O'!X44</f>
        <v>0</v>
      </c>
      <c r="U28" s="228">
        <f>'Pilotage effectif 27O'!Y44</f>
        <v>0</v>
      </c>
      <c r="V28" s="228">
        <f>'Pilotage effectif 27O'!Z44</f>
        <v>0</v>
      </c>
      <c r="W28" s="228">
        <f>'Pilotage effectif 27O'!AA44</f>
        <v>0</v>
      </c>
      <c r="X28" s="303">
        <f>'Pilotage effectif 27O'!AB44</f>
        <v>0</v>
      </c>
      <c r="Y28" s="265"/>
      <c r="Z28" s="227">
        <f>'Pilotage effectif 27O'!AD44</f>
        <v>0</v>
      </c>
      <c r="AA28" s="228">
        <f>'Pilotage effectif 27O'!AE44</f>
        <v>0</v>
      </c>
      <c r="AB28" s="228">
        <f>'Pilotage effectif 27O'!AF44</f>
        <v>0</v>
      </c>
      <c r="AC28" s="228">
        <f>'Pilotage effectif 27O'!AG44</f>
        <v>0</v>
      </c>
      <c r="AD28" s="228">
        <f>'Pilotage effectif 27O'!AH44</f>
        <v>0</v>
      </c>
      <c r="AE28" s="303">
        <f>'Pilotage effectif 27O'!AI44</f>
        <v>0</v>
      </c>
      <c r="AF28" s="265"/>
      <c r="AG28" s="227">
        <f>'Pilotage effectif 27O'!AK44</f>
        <v>0</v>
      </c>
      <c r="AH28" s="228">
        <f>'Pilotage effectif 27O'!AL44</f>
        <v>0</v>
      </c>
      <c r="AI28" s="228">
        <f>'Pilotage effectif 27O'!AM44</f>
        <v>0</v>
      </c>
      <c r="AJ28" s="228">
        <f>'Pilotage effectif 27O'!AN44</f>
        <v>0</v>
      </c>
      <c r="AK28" s="228">
        <f>'Pilotage effectif 27O'!AO44</f>
        <v>0</v>
      </c>
      <c r="AL28" s="303">
        <f>'Pilotage effectif 27O'!AP44</f>
        <v>0</v>
      </c>
      <c r="AM28" s="265"/>
      <c r="AN28" s="227">
        <f>'Pilotage effectif 27O'!AR44</f>
        <v>0</v>
      </c>
      <c r="AO28" s="228">
        <f>'Pilotage effectif 27O'!AS44</f>
        <v>0</v>
      </c>
      <c r="AP28" s="228">
        <f>'Pilotage effectif 27O'!AT44</f>
        <v>0</v>
      </c>
      <c r="AQ28" s="228">
        <f>'Pilotage effectif 27O'!AU44</f>
        <v>0</v>
      </c>
      <c r="AR28" s="228">
        <f>'Pilotage effectif 27O'!AV44</f>
        <v>0</v>
      </c>
      <c r="AS28" s="303">
        <f>'Pilotage effectif 27O'!AW44</f>
        <v>0</v>
      </c>
      <c r="AT28" s="265"/>
      <c r="AU28" s="227">
        <f>'Pilotage effectif 27O'!AY44</f>
        <v>0</v>
      </c>
      <c r="AV28" s="228">
        <f>'Pilotage effectif 27O'!AZ44</f>
        <v>0</v>
      </c>
      <c r="AW28" s="228">
        <f>'Pilotage effectif 27O'!BA44</f>
        <v>0</v>
      </c>
      <c r="AX28" s="228">
        <f>'Pilotage effectif 27O'!BB44</f>
        <v>0</v>
      </c>
      <c r="AY28" s="228">
        <f>'Pilotage effectif 27O'!BC44</f>
        <v>0</v>
      </c>
      <c r="AZ28" s="303">
        <f>'Pilotage effectif 27O'!BD44</f>
        <v>0</v>
      </c>
      <c r="BA28" s="265"/>
      <c r="BB28" s="227">
        <f>'Pilotage effectif 27O'!BF44</f>
        <v>0</v>
      </c>
      <c r="BC28" s="228">
        <f>'Pilotage effectif 27O'!BG44</f>
        <v>0</v>
      </c>
      <c r="BD28" s="228">
        <f>'Pilotage effectif 27O'!BH44</f>
        <v>0</v>
      </c>
      <c r="BE28" s="228">
        <f>'Pilotage effectif 27O'!BI44</f>
        <v>0</v>
      </c>
      <c r="BF28" s="228">
        <f>'Pilotage effectif 27O'!BJ44</f>
        <v>0</v>
      </c>
      <c r="BG28" s="303">
        <f>'Pilotage effectif 27O'!BK44</f>
        <v>0</v>
      </c>
      <c r="BH28" s="265"/>
      <c r="BI28" s="227">
        <f>'Pilotage effectif 27O'!BM44</f>
        <v>0</v>
      </c>
      <c r="BJ28" s="228">
        <f>'Pilotage effectif 27O'!BN44</f>
        <v>0</v>
      </c>
      <c r="BK28" s="228">
        <f>'Pilotage effectif 27O'!BO44</f>
        <v>0</v>
      </c>
      <c r="BL28" s="228">
        <f>'Pilotage effectif 27O'!BP44</f>
        <v>0</v>
      </c>
      <c r="BM28" s="228">
        <f>'Pilotage effectif 27O'!BQ44</f>
        <v>0</v>
      </c>
      <c r="BN28" s="303">
        <f>'Pilotage effectif 27O'!BR44</f>
        <v>0</v>
      </c>
      <c r="BO28" s="265"/>
      <c r="BP28" s="227">
        <f>'Pilotage effectif 27O'!BT44</f>
        <v>0</v>
      </c>
      <c r="BQ28" s="228">
        <f>'Pilotage effectif 27O'!BU44</f>
        <v>0</v>
      </c>
      <c r="BR28" s="228">
        <f>'Pilotage effectif 27O'!BV44</f>
        <v>0</v>
      </c>
      <c r="BS28" s="228">
        <f>'Pilotage effectif 27O'!BW44</f>
        <v>0</v>
      </c>
      <c r="BT28" s="228">
        <f>'Pilotage effectif 27O'!BX44</f>
        <v>0</v>
      </c>
      <c r="BU28" s="303">
        <f>'Pilotage effectif 27O'!BY44</f>
        <v>0</v>
      </c>
      <c r="BV28" s="265"/>
      <c r="BW28" s="227">
        <f>'Pilotage effectif 27O'!CA44</f>
        <v>0</v>
      </c>
      <c r="BX28" s="228">
        <f>'Pilotage effectif 27O'!CB44</f>
        <v>0</v>
      </c>
      <c r="BY28" s="228">
        <f>'Pilotage effectif 27O'!CC44</f>
        <v>0</v>
      </c>
      <c r="BZ28" s="228">
        <f>'Pilotage effectif 27O'!CD44</f>
        <v>0</v>
      </c>
      <c r="CA28" s="228">
        <f>'Pilotage effectif 27O'!CE44</f>
        <v>0</v>
      </c>
      <c r="CB28" s="303">
        <f>'Pilotage effectif 27O'!CF44</f>
        <v>0</v>
      </c>
      <c r="CC28" s="265"/>
      <c r="CD28" s="227">
        <f>'Pilotage effectif 27O'!CH44</f>
        <v>0</v>
      </c>
      <c r="CE28" s="228">
        <f>'Pilotage effectif 27O'!CI44</f>
        <v>0</v>
      </c>
      <c r="CF28" s="228">
        <f>'Pilotage effectif 27O'!CJ44</f>
        <v>0</v>
      </c>
      <c r="CG28" s="228">
        <f>'Pilotage effectif 27O'!CK44</f>
        <v>0</v>
      </c>
      <c r="CH28" s="228">
        <f>'Pilotage effectif 27O'!CL44</f>
        <v>0</v>
      </c>
      <c r="CI28" s="303">
        <f>'Pilotage effectif 27O'!CM44</f>
        <v>0</v>
      </c>
      <c r="CJ28" s="265"/>
      <c r="CK28" s="227">
        <f>'Pilotage effectif 27O'!CO44</f>
        <v>0</v>
      </c>
      <c r="CL28" s="228">
        <f>'Pilotage effectif 27O'!CP44</f>
        <v>0</v>
      </c>
      <c r="CM28" s="228">
        <f>'Pilotage effectif 27O'!CQ44</f>
        <v>0</v>
      </c>
      <c r="CN28" s="228">
        <f>'Pilotage effectif 27O'!CR44</f>
        <v>0</v>
      </c>
      <c r="CO28" s="228">
        <f>'Pilotage effectif 27O'!CS44</f>
        <v>0</v>
      </c>
      <c r="CP28" s="303">
        <f>'Pilotage effectif 27O'!CT44</f>
        <v>0</v>
      </c>
      <c r="CQ28" s="265"/>
      <c r="CR28" s="227">
        <f>'Pilotage effectif 27O'!CV44</f>
        <v>0</v>
      </c>
      <c r="CS28" s="228">
        <f>'Pilotage effectif 27O'!CW44</f>
        <v>0</v>
      </c>
      <c r="CT28" s="228">
        <f>'Pilotage effectif 27O'!CX44</f>
        <v>0</v>
      </c>
      <c r="CU28" s="228">
        <f>'Pilotage effectif 27O'!CY44</f>
        <v>0</v>
      </c>
      <c r="CV28" s="228">
        <f>'Pilotage effectif 27O'!CZ44</f>
        <v>0</v>
      </c>
      <c r="CW28" s="303">
        <f>'Pilotage effectif 27O'!DA44</f>
        <v>0</v>
      </c>
      <c r="CX28" s="265"/>
      <c r="CY28" s="227">
        <f>'Pilotage effectif 27O'!DC44</f>
        <v>0</v>
      </c>
      <c r="CZ28" s="228">
        <f>'Pilotage effectif 27O'!DD44</f>
        <v>0</v>
      </c>
      <c r="DA28" s="228">
        <f>'Pilotage effectif 27O'!DE44</f>
        <v>0</v>
      </c>
      <c r="DB28" s="228">
        <f>'Pilotage effectif 27O'!DF44</f>
        <v>0</v>
      </c>
      <c r="DC28" s="228">
        <f>'Pilotage effectif 27O'!DG44</f>
        <v>0</v>
      </c>
      <c r="DD28" s="303">
        <f>'Pilotage effectif 27O'!DH44</f>
        <v>0</v>
      </c>
      <c r="DE28" s="265"/>
      <c r="DF28" s="227">
        <f>'Pilotage effectif 27O'!DJ44</f>
        <v>0</v>
      </c>
      <c r="DG28" s="228">
        <f>'Pilotage effectif 27O'!DK44</f>
        <v>0</v>
      </c>
      <c r="DH28" s="228">
        <f>'Pilotage effectif 27O'!DL44</f>
        <v>0</v>
      </c>
      <c r="DI28" s="228">
        <f>'Pilotage effectif 27O'!DM44</f>
        <v>0</v>
      </c>
      <c r="DJ28" s="228">
        <f>'Pilotage effectif 27O'!DN44</f>
        <v>0</v>
      </c>
      <c r="DK28" s="303">
        <f>'Pilotage effectif 27O'!DO44</f>
        <v>0</v>
      </c>
      <c r="DL28" s="265"/>
      <c r="DM28" s="227">
        <f>'Pilotage effectif 27O'!DQ44</f>
        <v>0</v>
      </c>
      <c r="DN28" s="228">
        <f>'Pilotage effectif 27O'!DR44</f>
        <v>0</v>
      </c>
      <c r="DO28" s="228">
        <f>'Pilotage effectif 27O'!DS44</f>
        <v>0</v>
      </c>
      <c r="DP28" s="228">
        <f>'Pilotage effectif 27O'!DT44</f>
        <v>0</v>
      </c>
      <c r="DQ28" s="228">
        <f>'Pilotage effectif 27O'!DU44</f>
        <v>0</v>
      </c>
      <c r="DR28" s="303">
        <f>'Pilotage effectif 27O'!DV44</f>
        <v>0</v>
      </c>
      <c r="DS28" s="265"/>
      <c r="DT28" s="227">
        <f>'Pilotage effectif 27O'!DX44</f>
        <v>0</v>
      </c>
      <c r="DU28" s="228">
        <f>'Pilotage effectif 27O'!DY44</f>
        <v>0</v>
      </c>
      <c r="DV28" s="228">
        <f>'Pilotage effectif 27O'!DZ44</f>
        <v>0</v>
      </c>
      <c r="DW28" s="228">
        <f>'Pilotage effectif 27O'!EA44</f>
        <v>0</v>
      </c>
      <c r="DX28" s="228">
        <f>'Pilotage effectif 27O'!EB44</f>
        <v>0</v>
      </c>
      <c r="DY28" s="303">
        <f>'Pilotage effectif 27O'!EC44</f>
        <v>0</v>
      </c>
      <c r="DZ28" s="265"/>
      <c r="EA28" s="227">
        <f>'Pilotage effectif 27O'!EE44</f>
        <v>0</v>
      </c>
      <c r="EB28" s="228">
        <f>'Pilotage effectif 27O'!EF44</f>
        <v>0</v>
      </c>
      <c r="EC28" s="228">
        <f>'Pilotage effectif 27O'!EG44</f>
        <v>0</v>
      </c>
      <c r="ED28" s="228">
        <f>'Pilotage effectif 27O'!EH44</f>
        <v>0</v>
      </c>
      <c r="EE28" s="228">
        <f>'Pilotage effectif 27O'!EI44</f>
        <v>0</v>
      </c>
      <c r="EF28" s="303">
        <f>'Pilotage effectif 27O'!EJ44</f>
        <v>0</v>
      </c>
      <c r="EG28" s="265"/>
      <c r="EH28" s="227">
        <f>'Pilotage effectif 27O'!EL44</f>
        <v>0</v>
      </c>
      <c r="EI28" s="228">
        <f>'Pilotage effectif 27O'!EM44</f>
        <v>0</v>
      </c>
      <c r="EJ28" s="228">
        <f>'Pilotage effectif 27O'!EN44</f>
        <v>0</v>
      </c>
      <c r="EK28" s="228">
        <f>'Pilotage effectif 27O'!EO44</f>
        <v>0</v>
      </c>
      <c r="EL28" s="228">
        <f>'Pilotage effectif 27O'!EP44</f>
        <v>0</v>
      </c>
      <c r="EM28" s="303">
        <f>'Pilotage effectif 27O'!EQ44</f>
        <v>0</v>
      </c>
      <c r="EN28" s="265"/>
      <c r="EO28" s="227">
        <f>'Pilotage effectif 27O'!ES44</f>
        <v>0</v>
      </c>
      <c r="EP28" s="228">
        <f>'Pilotage effectif 27O'!ET44</f>
        <v>0</v>
      </c>
      <c r="EQ28" s="228">
        <f>'Pilotage effectif 27O'!EU44</f>
        <v>0</v>
      </c>
      <c r="ER28" s="228">
        <f>'Pilotage effectif 27O'!EV44</f>
        <v>0</v>
      </c>
      <c r="ES28" s="228">
        <f>'Pilotage effectif 27O'!EW44</f>
        <v>0</v>
      </c>
      <c r="ET28" s="303">
        <f>'Pilotage effectif 27O'!EX44</f>
        <v>0</v>
      </c>
      <c r="EU28" s="265"/>
      <c r="EV28" s="227">
        <f>'Pilotage effectif 27O'!EZ44</f>
        <v>0</v>
      </c>
      <c r="EW28" s="228">
        <f>'Pilotage effectif 27O'!FA44</f>
        <v>0</v>
      </c>
      <c r="EX28" s="228">
        <f>'Pilotage effectif 27O'!FB44</f>
        <v>0</v>
      </c>
      <c r="EY28" s="228">
        <f>'Pilotage effectif 27O'!FC44</f>
        <v>0</v>
      </c>
      <c r="EZ28" s="228">
        <f>'Pilotage effectif 27O'!FD44</f>
        <v>0</v>
      </c>
      <c r="FA28" s="303">
        <f>'Pilotage effectif 27O'!FE44</f>
        <v>0</v>
      </c>
      <c r="FB28" s="265"/>
      <c r="FC28" s="227">
        <f>'Pilotage effectif 27O'!FG44</f>
        <v>0</v>
      </c>
      <c r="FD28" s="228">
        <f>'Pilotage effectif 27O'!FH44</f>
        <v>0</v>
      </c>
      <c r="FE28" s="228">
        <f>'Pilotage effectif 27O'!FI44</f>
        <v>0</v>
      </c>
      <c r="FF28" s="228">
        <f>'Pilotage effectif 27O'!FJ44</f>
        <v>0</v>
      </c>
      <c r="FG28" s="228">
        <f>'Pilotage effectif 27O'!FK44</f>
        <v>0</v>
      </c>
      <c r="FH28" s="303">
        <f>'Pilotage effectif 27O'!FL44</f>
        <v>0</v>
      </c>
      <c r="FI28" s="265"/>
      <c r="FJ28" s="227">
        <f>'Pilotage effectif 27O'!FN44</f>
        <v>0</v>
      </c>
      <c r="FK28" s="228">
        <f>'Pilotage effectif 27O'!FO44</f>
        <v>0</v>
      </c>
      <c r="FL28" s="228">
        <f>'Pilotage effectif 27O'!FP44</f>
        <v>0</v>
      </c>
      <c r="FM28" s="228">
        <f>'Pilotage effectif 27O'!FQ44</f>
        <v>0</v>
      </c>
      <c r="FN28" s="228">
        <f>'Pilotage effectif 27O'!FR44</f>
        <v>0</v>
      </c>
      <c r="FO28" s="303">
        <f>'Pilotage effectif 27O'!FS44</f>
        <v>0</v>
      </c>
      <c r="FP28" s="265"/>
      <c r="FQ28" s="227">
        <f>'Pilotage effectif 27O'!FU44</f>
        <v>0</v>
      </c>
      <c r="FR28" s="228">
        <f>'Pilotage effectif 27O'!FV44</f>
        <v>0</v>
      </c>
      <c r="FS28" s="228">
        <f>'Pilotage effectif 27O'!FW44</f>
        <v>0</v>
      </c>
      <c r="FT28" s="228">
        <f>'Pilotage effectif 27O'!FX44</f>
        <v>0</v>
      </c>
      <c r="FU28" s="228">
        <f>'Pilotage effectif 27O'!FY44</f>
        <v>0</v>
      </c>
      <c r="FV28" s="303">
        <f>'Pilotage effectif 27O'!FZ44</f>
        <v>0</v>
      </c>
      <c r="FW28" s="265"/>
      <c r="FX28" s="227">
        <f>'Pilotage effectif 27O'!GB44</f>
        <v>0</v>
      </c>
      <c r="FY28" s="228">
        <f>'Pilotage effectif 27O'!GC44</f>
        <v>0</v>
      </c>
      <c r="FZ28" s="228">
        <f>'Pilotage effectif 27O'!GD44</f>
        <v>0</v>
      </c>
      <c r="GA28" s="228">
        <f>'Pilotage effectif 27O'!GE44</f>
        <v>0</v>
      </c>
      <c r="GB28" s="228">
        <f>'Pilotage effectif 27O'!GF44</f>
        <v>0</v>
      </c>
      <c r="GC28" s="303">
        <f>'Pilotage effectif 27O'!GG44</f>
        <v>0</v>
      </c>
      <c r="GD28" s="265"/>
      <c r="GE28" s="227">
        <f>'Pilotage effectif 27O'!GI44</f>
        <v>0</v>
      </c>
      <c r="GF28" s="228">
        <f>'Pilotage effectif 27O'!GJ44</f>
        <v>0</v>
      </c>
      <c r="GG28" s="228">
        <f>'Pilotage effectif 27O'!GK44</f>
        <v>0</v>
      </c>
      <c r="GH28" s="228">
        <f>'Pilotage effectif 27O'!GL44</f>
        <v>0</v>
      </c>
      <c r="GI28" s="228">
        <f>'Pilotage effectif 27O'!GM44</f>
        <v>0</v>
      </c>
      <c r="GJ28" s="303">
        <f>'Pilotage effectif 27O'!GN44</f>
        <v>0</v>
      </c>
      <c r="GK28" s="265"/>
      <c r="GL28" s="227">
        <f>'Pilotage effectif 27O'!GP44</f>
        <v>0</v>
      </c>
      <c r="GM28" s="228">
        <f>'Pilotage effectif 27O'!GQ44</f>
        <v>0</v>
      </c>
      <c r="GN28" s="228">
        <f>'Pilotage effectif 27O'!GR44</f>
        <v>0</v>
      </c>
      <c r="GO28" s="228">
        <f>'Pilotage effectif 27O'!GS44</f>
        <v>0</v>
      </c>
      <c r="GP28" s="228">
        <f>'Pilotage effectif 27O'!GT44</f>
        <v>0</v>
      </c>
      <c r="GQ28" s="303">
        <f>'Pilotage effectif 27O'!GU44</f>
        <v>0</v>
      </c>
      <c r="GR28" s="265"/>
      <c r="GS28" s="227">
        <f>'Pilotage effectif 27O'!GW44</f>
        <v>0</v>
      </c>
      <c r="GT28" s="228">
        <f>'Pilotage effectif 27O'!GX44</f>
        <v>0</v>
      </c>
      <c r="GU28" s="228">
        <f>'Pilotage effectif 27O'!GY44</f>
        <v>0</v>
      </c>
      <c r="GV28" s="228">
        <f>'Pilotage effectif 27O'!GZ44</f>
        <v>0</v>
      </c>
      <c r="GW28" s="228">
        <f>'Pilotage effectif 27O'!HA44</f>
        <v>0</v>
      </c>
      <c r="GX28" s="303">
        <f>'Pilotage effectif 27O'!HB44</f>
        <v>0</v>
      </c>
      <c r="GY28" s="283"/>
    </row>
    <row r="29" spans="1:207" s="196" customFormat="1" ht="16.05" customHeight="1" thickBot="1" x14ac:dyDescent="0.35">
      <c r="A29" s="294"/>
      <c r="B29" s="282"/>
      <c r="C29" s="287" t="s">
        <v>690</v>
      </c>
      <c r="D29" s="270"/>
      <c r="E29" s="292" t="str">
        <f t="shared" ref="E29:J29" si="0">IF(E27&lt;&gt;"",IF(E28-E27&gt;0,"+"&amp;E28-E27,E28-E27),"-")</f>
        <v>+2</v>
      </c>
      <c r="F29" s="293" t="str">
        <f t="shared" si="0"/>
        <v>+5</v>
      </c>
      <c r="G29" s="293">
        <f t="shared" si="0"/>
        <v>0</v>
      </c>
      <c r="H29" s="293" t="str">
        <f t="shared" si="0"/>
        <v>+6</v>
      </c>
      <c r="I29" s="293" t="str">
        <f t="shared" si="0"/>
        <v>+2</v>
      </c>
      <c r="J29" s="304" t="str">
        <f t="shared" si="0"/>
        <v>+15</v>
      </c>
      <c r="K29" s="265"/>
      <c r="L29" s="292" t="str">
        <f t="shared" ref="L29:Q29" si="1">IF(L27&lt;&gt;"",IF(L28-L27&gt;0,"+"&amp;L28-L27,L28-L27),"-")</f>
        <v>-</v>
      </c>
      <c r="M29" s="293" t="str">
        <f t="shared" si="1"/>
        <v>-</v>
      </c>
      <c r="N29" s="293" t="str">
        <f t="shared" si="1"/>
        <v>-</v>
      </c>
      <c r="O29" s="293" t="str">
        <f t="shared" si="1"/>
        <v>-</v>
      </c>
      <c r="P29" s="293" t="str">
        <f t="shared" si="1"/>
        <v>-</v>
      </c>
      <c r="Q29" s="304">
        <f t="shared" si="1"/>
        <v>0</v>
      </c>
      <c r="R29" s="265"/>
      <c r="S29" s="292">
        <f t="shared" ref="S29:X29" si="2">IF(S27&lt;&gt;"",IF(S28-S27&gt;0,"+"&amp;S28-S27,S28-S27),"-")</f>
        <v>-12</v>
      </c>
      <c r="T29" s="293">
        <f t="shared" si="2"/>
        <v>-12</v>
      </c>
      <c r="U29" s="293">
        <f t="shared" si="2"/>
        <v>-12</v>
      </c>
      <c r="V29" s="293">
        <f t="shared" si="2"/>
        <v>-12</v>
      </c>
      <c r="W29" s="293">
        <f t="shared" si="2"/>
        <v>-12</v>
      </c>
      <c r="X29" s="304">
        <f t="shared" si="2"/>
        <v>-60</v>
      </c>
      <c r="Y29" s="265"/>
      <c r="Z29" s="292">
        <f t="shared" ref="Z29:AE29" si="3">IF(Z27&lt;&gt;"",IF(Z28-Z27&gt;0,"+"&amp;Z28-Z27,Z28-Z27),"-")</f>
        <v>-12</v>
      </c>
      <c r="AA29" s="293">
        <f t="shared" si="3"/>
        <v>-12</v>
      </c>
      <c r="AB29" s="293">
        <f t="shared" si="3"/>
        <v>-12</v>
      </c>
      <c r="AC29" s="293">
        <f t="shared" si="3"/>
        <v>-12</v>
      </c>
      <c r="AD29" s="293">
        <f t="shared" si="3"/>
        <v>-12</v>
      </c>
      <c r="AE29" s="304">
        <f t="shared" si="3"/>
        <v>-60</v>
      </c>
      <c r="AF29" s="265"/>
      <c r="AG29" s="292">
        <f t="shared" ref="AG29:AL29" si="4">IF(AG27&lt;&gt;"",IF(AG28-AG27&gt;0,"+"&amp;AG28-AG27,AG28-AG27),"-")</f>
        <v>-12</v>
      </c>
      <c r="AH29" s="293">
        <f t="shared" si="4"/>
        <v>-12</v>
      </c>
      <c r="AI29" s="293">
        <f t="shared" si="4"/>
        <v>-12</v>
      </c>
      <c r="AJ29" s="293">
        <f t="shared" si="4"/>
        <v>-12</v>
      </c>
      <c r="AK29" s="293">
        <f t="shared" si="4"/>
        <v>-12</v>
      </c>
      <c r="AL29" s="304">
        <f t="shared" si="4"/>
        <v>-60</v>
      </c>
      <c r="AM29" s="265"/>
      <c r="AN29" s="292" t="str">
        <f t="shared" ref="AN29:AS29" si="5">IF(AN27&lt;&gt;"",IF(AN28-AN27&gt;0,"+"&amp;AN28-AN27,AN28-AN27),"-")</f>
        <v>-</v>
      </c>
      <c r="AO29" s="293" t="str">
        <f t="shared" si="5"/>
        <v>-</v>
      </c>
      <c r="AP29" s="293" t="str">
        <f t="shared" si="5"/>
        <v>-</v>
      </c>
      <c r="AQ29" s="293" t="str">
        <f t="shared" si="5"/>
        <v>-</v>
      </c>
      <c r="AR29" s="293" t="str">
        <f t="shared" si="5"/>
        <v>-</v>
      </c>
      <c r="AS29" s="304">
        <f t="shared" si="5"/>
        <v>0</v>
      </c>
      <c r="AT29" s="265"/>
      <c r="AU29" s="292" t="str">
        <f t="shared" ref="AU29:AZ29" si="6">IF(AU27&lt;&gt;"",IF(AU28-AU27&gt;0,"+"&amp;AU28-AU27,AU28-AU27),"-")</f>
        <v>-</v>
      </c>
      <c r="AV29" s="293" t="str">
        <f t="shared" si="6"/>
        <v>-</v>
      </c>
      <c r="AW29" s="293" t="str">
        <f t="shared" si="6"/>
        <v>-</v>
      </c>
      <c r="AX29" s="293" t="str">
        <f t="shared" si="6"/>
        <v>-</v>
      </c>
      <c r="AY29" s="293" t="str">
        <f t="shared" si="6"/>
        <v>-</v>
      </c>
      <c r="AZ29" s="304">
        <f t="shared" si="6"/>
        <v>0</v>
      </c>
      <c r="BA29" s="265"/>
      <c r="BB29" s="292" t="str">
        <f t="shared" ref="BB29:BG29" si="7">IF(BB27&lt;&gt;"",IF(BB28-BB27&gt;0,"+"&amp;BB28-BB27,BB28-BB27),"-")</f>
        <v>-</v>
      </c>
      <c r="BC29" s="293" t="str">
        <f t="shared" si="7"/>
        <v>-</v>
      </c>
      <c r="BD29" s="293" t="str">
        <f t="shared" si="7"/>
        <v>-</v>
      </c>
      <c r="BE29" s="293" t="str">
        <f t="shared" si="7"/>
        <v>-</v>
      </c>
      <c r="BF29" s="293" t="str">
        <f t="shared" si="7"/>
        <v>-</v>
      </c>
      <c r="BG29" s="304">
        <f t="shared" si="7"/>
        <v>0</v>
      </c>
      <c r="BH29" s="265"/>
      <c r="BI29" s="292" t="str">
        <f t="shared" ref="BI29:BN29" si="8">IF(BI27&lt;&gt;"",IF(BI28-BI27&gt;0,"+"&amp;BI28-BI27,BI28-BI27),"-")</f>
        <v>-</v>
      </c>
      <c r="BJ29" s="293" t="str">
        <f t="shared" si="8"/>
        <v>-</v>
      </c>
      <c r="BK29" s="293" t="str">
        <f t="shared" si="8"/>
        <v>-</v>
      </c>
      <c r="BL29" s="293" t="str">
        <f t="shared" si="8"/>
        <v>-</v>
      </c>
      <c r="BM29" s="293" t="str">
        <f t="shared" si="8"/>
        <v>-</v>
      </c>
      <c r="BN29" s="304">
        <f t="shared" si="8"/>
        <v>0</v>
      </c>
      <c r="BO29" s="265"/>
      <c r="BP29" s="292" t="str">
        <f t="shared" ref="BP29:BU29" si="9">IF(BP27&lt;&gt;"",IF(BP28-BP27&gt;0,"+"&amp;BP28-BP27,BP28-BP27),"-")</f>
        <v>-</v>
      </c>
      <c r="BQ29" s="293" t="str">
        <f t="shared" si="9"/>
        <v>-</v>
      </c>
      <c r="BR29" s="293" t="str">
        <f t="shared" si="9"/>
        <v>-</v>
      </c>
      <c r="BS29" s="293" t="str">
        <f t="shared" si="9"/>
        <v>-</v>
      </c>
      <c r="BT29" s="293" t="str">
        <f t="shared" si="9"/>
        <v>-</v>
      </c>
      <c r="BU29" s="304">
        <f t="shared" si="9"/>
        <v>0</v>
      </c>
      <c r="BV29" s="265"/>
      <c r="BW29" s="292" t="str">
        <f t="shared" ref="BW29:CB29" si="10">IF(BW27&lt;&gt;"",IF(BW28-BW27&gt;0,"+"&amp;BW28-BW27,BW28-BW27),"-")</f>
        <v>-</v>
      </c>
      <c r="BX29" s="293" t="str">
        <f t="shared" si="10"/>
        <v>-</v>
      </c>
      <c r="BY29" s="293" t="str">
        <f t="shared" si="10"/>
        <v>-</v>
      </c>
      <c r="BZ29" s="293" t="str">
        <f t="shared" si="10"/>
        <v>-</v>
      </c>
      <c r="CA29" s="293" t="str">
        <f t="shared" si="10"/>
        <v>-</v>
      </c>
      <c r="CB29" s="304">
        <f t="shared" si="10"/>
        <v>0</v>
      </c>
      <c r="CC29" s="265"/>
      <c r="CD29" s="292" t="str">
        <f t="shared" ref="CD29:CI29" si="11">IF(CD27&lt;&gt;"",IF(CD28-CD27&gt;0,"+"&amp;CD28-CD27,CD28-CD27),"-")</f>
        <v>-</v>
      </c>
      <c r="CE29" s="293" t="str">
        <f t="shared" si="11"/>
        <v>-</v>
      </c>
      <c r="CF29" s="293" t="str">
        <f t="shared" si="11"/>
        <v>-</v>
      </c>
      <c r="CG29" s="293" t="str">
        <f t="shared" si="11"/>
        <v>-</v>
      </c>
      <c r="CH29" s="293" t="str">
        <f t="shared" si="11"/>
        <v>-</v>
      </c>
      <c r="CI29" s="304">
        <f t="shared" si="11"/>
        <v>0</v>
      </c>
      <c r="CJ29" s="265"/>
      <c r="CK29" s="292" t="str">
        <f t="shared" ref="CK29:CP29" si="12">IF(CK27&lt;&gt;"",IF(CK28-CK27&gt;0,"+"&amp;CK28-CK27,CK28-CK27),"-")</f>
        <v>-</v>
      </c>
      <c r="CL29" s="293" t="str">
        <f t="shared" si="12"/>
        <v>-</v>
      </c>
      <c r="CM29" s="293" t="str">
        <f t="shared" si="12"/>
        <v>-</v>
      </c>
      <c r="CN29" s="293" t="str">
        <f t="shared" si="12"/>
        <v>-</v>
      </c>
      <c r="CO29" s="293" t="str">
        <f t="shared" si="12"/>
        <v>-</v>
      </c>
      <c r="CP29" s="304">
        <f t="shared" si="12"/>
        <v>0</v>
      </c>
      <c r="CQ29" s="265"/>
      <c r="CR29" s="292" t="str">
        <f t="shared" ref="CR29:CW29" si="13">IF(CR27&lt;&gt;"",IF(CR28-CR27&gt;0,"+"&amp;CR28-CR27,CR28-CR27),"-")</f>
        <v>-</v>
      </c>
      <c r="CS29" s="293" t="str">
        <f t="shared" si="13"/>
        <v>-</v>
      </c>
      <c r="CT29" s="293" t="str">
        <f t="shared" si="13"/>
        <v>-</v>
      </c>
      <c r="CU29" s="293" t="str">
        <f t="shared" si="13"/>
        <v>-</v>
      </c>
      <c r="CV29" s="293" t="str">
        <f t="shared" si="13"/>
        <v>-</v>
      </c>
      <c r="CW29" s="304">
        <f t="shared" si="13"/>
        <v>0</v>
      </c>
      <c r="CX29" s="265"/>
      <c r="CY29" s="292" t="str">
        <f t="shared" ref="CY29:DD29" si="14">IF(CY27&lt;&gt;"",IF(CY28-CY27&gt;0,"+"&amp;CY28-CY27,CY28-CY27),"-")</f>
        <v>-</v>
      </c>
      <c r="CZ29" s="293" t="str">
        <f t="shared" si="14"/>
        <v>-</v>
      </c>
      <c r="DA29" s="293" t="str">
        <f t="shared" si="14"/>
        <v>-</v>
      </c>
      <c r="DB29" s="293" t="str">
        <f t="shared" si="14"/>
        <v>-</v>
      </c>
      <c r="DC29" s="293" t="str">
        <f t="shared" si="14"/>
        <v>-</v>
      </c>
      <c r="DD29" s="304">
        <f t="shared" si="14"/>
        <v>0</v>
      </c>
      <c r="DE29" s="265"/>
      <c r="DF29" s="292" t="str">
        <f t="shared" ref="DF29:DK29" si="15">IF(DF27&lt;&gt;"",IF(DF28-DF27&gt;0,"+"&amp;DF28-DF27,DF28-DF27),"-")</f>
        <v>-</v>
      </c>
      <c r="DG29" s="293" t="str">
        <f t="shared" si="15"/>
        <v>-</v>
      </c>
      <c r="DH29" s="293" t="str">
        <f t="shared" si="15"/>
        <v>-</v>
      </c>
      <c r="DI29" s="293" t="str">
        <f t="shared" si="15"/>
        <v>-</v>
      </c>
      <c r="DJ29" s="293" t="str">
        <f t="shared" si="15"/>
        <v>-</v>
      </c>
      <c r="DK29" s="304">
        <f t="shared" si="15"/>
        <v>0</v>
      </c>
      <c r="DL29" s="265"/>
      <c r="DM29" s="292" t="str">
        <f t="shared" ref="DM29:DR29" si="16">IF(DM27&lt;&gt;"",IF(DM28-DM27&gt;0,"+"&amp;DM28-DM27,DM28-DM27),"-")</f>
        <v>-</v>
      </c>
      <c r="DN29" s="293" t="str">
        <f t="shared" si="16"/>
        <v>-</v>
      </c>
      <c r="DO29" s="293" t="str">
        <f t="shared" si="16"/>
        <v>-</v>
      </c>
      <c r="DP29" s="293" t="str">
        <f t="shared" si="16"/>
        <v>-</v>
      </c>
      <c r="DQ29" s="293" t="str">
        <f t="shared" si="16"/>
        <v>-</v>
      </c>
      <c r="DR29" s="304">
        <f t="shared" si="16"/>
        <v>0</v>
      </c>
      <c r="DS29" s="265"/>
      <c r="DT29" s="292" t="str">
        <f t="shared" ref="DT29:DY29" si="17">IF(DT27&lt;&gt;"",IF(DT28-DT27&gt;0,"+"&amp;DT28-DT27,DT28-DT27),"-")</f>
        <v>-</v>
      </c>
      <c r="DU29" s="293" t="str">
        <f t="shared" si="17"/>
        <v>-</v>
      </c>
      <c r="DV29" s="293" t="str">
        <f t="shared" si="17"/>
        <v>-</v>
      </c>
      <c r="DW29" s="293" t="str">
        <f t="shared" si="17"/>
        <v>-</v>
      </c>
      <c r="DX29" s="293" t="str">
        <f t="shared" si="17"/>
        <v>-</v>
      </c>
      <c r="DY29" s="304">
        <f t="shared" si="17"/>
        <v>0</v>
      </c>
      <c r="DZ29" s="265"/>
      <c r="EA29" s="292" t="str">
        <f t="shared" ref="EA29:EF29" si="18">IF(EA27&lt;&gt;"",IF(EA28-EA27&gt;0,"+"&amp;EA28-EA27,EA28-EA27),"-")</f>
        <v>-</v>
      </c>
      <c r="EB29" s="293" t="str">
        <f t="shared" si="18"/>
        <v>-</v>
      </c>
      <c r="EC29" s="293" t="str">
        <f t="shared" si="18"/>
        <v>-</v>
      </c>
      <c r="ED29" s="293" t="str">
        <f t="shared" si="18"/>
        <v>-</v>
      </c>
      <c r="EE29" s="293" t="str">
        <f t="shared" si="18"/>
        <v>-</v>
      </c>
      <c r="EF29" s="304">
        <f t="shared" si="18"/>
        <v>0</v>
      </c>
      <c r="EG29" s="265"/>
      <c r="EH29" s="292" t="str">
        <f t="shared" ref="EH29:EM29" si="19">IF(EH27&lt;&gt;"",IF(EH28-EH27&gt;0,"+"&amp;EH28-EH27,EH28-EH27),"-")</f>
        <v>-</v>
      </c>
      <c r="EI29" s="293" t="str">
        <f t="shared" si="19"/>
        <v>-</v>
      </c>
      <c r="EJ29" s="293" t="str">
        <f t="shared" si="19"/>
        <v>-</v>
      </c>
      <c r="EK29" s="293" t="str">
        <f t="shared" si="19"/>
        <v>-</v>
      </c>
      <c r="EL29" s="293" t="str">
        <f t="shared" si="19"/>
        <v>-</v>
      </c>
      <c r="EM29" s="304">
        <f t="shared" si="19"/>
        <v>0</v>
      </c>
      <c r="EN29" s="265"/>
      <c r="EO29" s="292" t="str">
        <f t="shared" ref="EO29:ET29" si="20">IF(EO27&lt;&gt;"",IF(EO28-EO27&gt;0,"+"&amp;EO28-EO27,EO28-EO27),"-")</f>
        <v>-</v>
      </c>
      <c r="EP29" s="293" t="str">
        <f t="shared" si="20"/>
        <v>-</v>
      </c>
      <c r="EQ29" s="293" t="str">
        <f t="shared" si="20"/>
        <v>-</v>
      </c>
      <c r="ER29" s="293" t="str">
        <f t="shared" si="20"/>
        <v>-</v>
      </c>
      <c r="ES29" s="293" t="str">
        <f t="shared" si="20"/>
        <v>-</v>
      </c>
      <c r="ET29" s="304">
        <f t="shared" si="20"/>
        <v>0</v>
      </c>
      <c r="EU29" s="265"/>
      <c r="EV29" s="292" t="str">
        <f t="shared" ref="EV29:FA29" si="21">IF(EV27&lt;&gt;"",IF(EV28-EV27&gt;0,"+"&amp;EV28-EV27,EV28-EV27),"-")</f>
        <v>-</v>
      </c>
      <c r="EW29" s="293" t="str">
        <f t="shared" si="21"/>
        <v>-</v>
      </c>
      <c r="EX29" s="293" t="str">
        <f t="shared" si="21"/>
        <v>-</v>
      </c>
      <c r="EY29" s="293" t="str">
        <f t="shared" si="21"/>
        <v>-</v>
      </c>
      <c r="EZ29" s="293" t="str">
        <f t="shared" si="21"/>
        <v>-</v>
      </c>
      <c r="FA29" s="304">
        <f t="shared" si="21"/>
        <v>0</v>
      </c>
      <c r="FB29" s="265"/>
      <c r="FC29" s="292" t="str">
        <f t="shared" ref="FC29:FH29" si="22">IF(FC27&lt;&gt;"",IF(FC28-FC27&gt;0,"+"&amp;FC28-FC27,FC28-FC27),"-")</f>
        <v>-</v>
      </c>
      <c r="FD29" s="293" t="str">
        <f t="shared" si="22"/>
        <v>-</v>
      </c>
      <c r="FE29" s="293" t="str">
        <f t="shared" si="22"/>
        <v>-</v>
      </c>
      <c r="FF29" s="293" t="str">
        <f t="shared" si="22"/>
        <v>-</v>
      </c>
      <c r="FG29" s="293" t="str">
        <f t="shared" si="22"/>
        <v>-</v>
      </c>
      <c r="FH29" s="304">
        <f t="shared" si="22"/>
        <v>0</v>
      </c>
      <c r="FI29" s="265"/>
      <c r="FJ29" s="292" t="str">
        <f t="shared" ref="FJ29:FO29" si="23">IF(FJ27&lt;&gt;"",IF(FJ28-FJ27&gt;0,"+"&amp;FJ28-FJ27,FJ28-FJ27),"-")</f>
        <v>-</v>
      </c>
      <c r="FK29" s="293" t="str">
        <f t="shared" si="23"/>
        <v>-</v>
      </c>
      <c r="FL29" s="293" t="str">
        <f t="shared" si="23"/>
        <v>-</v>
      </c>
      <c r="FM29" s="293" t="str">
        <f t="shared" si="23"/>
        <v>-</v>
      </c>
      <c r="FN29" s="293" t="str">
        <f t="shared" si="23"/>
        <v>-</v>
      </c>
      <c r="FO29" s="304">
        <f t="shared" si="23"/>
        <v>0</v>
      </c>
      <c r="FP29" s="265"/>
      <c r="FQ29" s="292" t="str">
        <f t="shared" ref="FQ29:FV29" si="24">IF(FQ27&lt;&gt;"",IF(FQ28-FQ27&gt;0,"+"&amp;FQ28-FQ27,FQ28-FQ27),"-")</f>
        <v>-</v>
      </c>
      <c r="FR29" s="293" t="str">
        <f t="shared" si="24"/>
        <v>-</v>
      </c>
      <c r="FS29" s="293" t="str">
        <f t="shared" si="24"/>
        <v>-</v>
      </c>
      <c r="FT29" s="293" t="str">
        <f t="shared" si="24"/>
        <v>-</v>
      </c>
      <c r="FU29" s="293" t="str">
        <f t="shared" si="24"/>
        <v>-</v>
      </c>
      <c r="FV29" s="304">
        <f t="shared" si="24"/>
        <v>0</v>
      </c>
      <c r="FW29" s="265"/>
      <c r="FX29" s="292" t="str">
        <f t="shared" ref="FX29:GC29" si="25">IF(FX27&lt;&gt;"",IF(FX28-FX27&gt;0,"+"&amp;FX28-FX27,FX28-FX27),"-")</f>
        <v>-</v>
      </c>
      <c r="FY29" s="293" t="str">
        <f t="shared" si="25"/>
        <v>-</v>
      </c>
      <c r="FZ29" s="293" t="str">
        <f t="shared" si="25"/>
        <v>-</v>
      </c>
      <c r="GA29" s="293" t="str">
        <f t="shared" si="25"/>
        <v>-</v>
      </c>
      <c r="GB29" s="293" t="str">
        <f t="shared" si="25"/>
        <v>-</v>
      </c>
      <c r="GC29" s="304">
        <f t="shared" si="25"/>
        <v>0</v>
      </c>
      <c r="GD29" s="265"/>
      <c r="GE29" s="292" t="str">
        <f t="shared" ref="GE29:GJ29" si="26">IF(GE27&lt;&gt;"",IF(GE28-GE27&gt;0,"+"&amp;GE28-GE27,GE28-GE27),"-")</f>
        <v>-</v>
      </c>
      <c r="GF29" s="293" t="str">
        <f t="shared" si="26"/>
        <v>-</v>
      </c>
      <c r="GG29" s="293" t="str">
        <f t="shared" si="26"/>
        <v>-</v>
      </c>
      <c r="GH29" s="293" t="str">
        <f t="shared" si="26"/>
        <v>-</v>
      </c>
      <c r="GI29" s="293" t="str">
        <f t="shared" si="26"/>
        <v>-</v>
      </c>
      <c r="GJ29" s="304">
        <f t="shared" si="26"/>
        <v>0</v>
      </c>
      <c r="GK29" s="265"/>
      <c r="GL29" s="292" t="str">
        <f t="shared" ref="GL29:GQ29" si="27">IF(GL27&lt;&gt;"",IF(GL28-GL27&gt;0,"+"&amp;GL28-GL27,GL28-GL27),"-")</f>
        <v>-</v>
      </c>
      <c r="GM29" s="293" t="str">
        <f t="shared" si="27"/>
        <v>-</v>
      </c>
      <c r="GN29" s="293" t="str">
        <f t="shared" si="27"/>
        <v>-</v>
      </c>
      <c r="GO29" s="293" t="str">
        <f t="shared" si="27"/>
        <v>-</v>
      </c>
      <c r="GP29" s="293" t="str">
        <f t="shared" si="27"/>
        <v>-</v>
      </c>
      <c r="GQ29" s="304">
        <f t="shared" si="27"/>
        <v>0</v>
      </c>
      <c r="GR29" s="265"/>
      <c r="GS29" s="292" t="str">
        <f t="shared" ref="GS29:GX29" si="28">IF(GS27&lt;&gt;"",IF(GS28-GS27&gt;0,"+"&amp;GS28-GS27,GS28-GS27),"-")</f>
        <v>-</v>
      </c>
      <c r="GT29" s="293" t="str">
        <f t="shared" si="28"/>
        <v>-</v>
      </c>
      <c r="GU29" s="293" t="str">
        <f t="shared" si="28"/>
        <v>-</v>
      </c>
      <c r="GV29" s="293" t="str">
        <f t="shared" si="28"/>
        <v>-</v>
      </c>
      <c r="GW29" s="293" t="str">
        <f t="shared" si="28"/>
        <v>-</v>
      </c>
      <c r="GX29" s="304">
        <f t="shared" si="28"/>
        <v>0</v>
      </c>
      <c r="GY29" s="283"/>
    </row>
    <row r="30" spans="1:207" s="196" customFormat="1" ht="16.05" customHeight="1" x14ac:dyDescent="0.3">
      <c r="A30" s="294"/>
      <c r="B30" s="284" t="s">
        <v>385</v>
      </c>
      <c r="C30" s="285" t="s">
        <v>415</v>
      </c>
      <c r="D30" s="270"/>
      <c r="E30" s="279"/>
      <c r="F30" s="280"/>
      <c r="G30" s="280"/>
      <c r="H30" s="280"/>
      <c r="I30" s="280"/>
      <c r="J30" s="302">
        <f>SUM(E30:I30)</f>
        <v>0</v>
      </c>
      <c r="K30" s="265"/>
      <c r="L30" s="279"/>
      <c r="M30" s="280"/>
      <c r="N30" s="280"/>
      <c r="O30" s="280"/>
      <c r="P30" s="280"/>
      <c r="Q30" s="302">
        <f>SUM(L30:P30)</f>
        <v>0</v>
      </c>
      <c r="R30" s="265"/>
      <c r="S30" s="279">
        <v>5</v>
      </c>
      <c r="T30" s="280">
        <v>5</v>
      </c>
      <c r="U30" s="280">
        <v>5</v>
      </c>
      <c r="V30" s="280">
        <v>5</v>
      </c>
      <c r="W30" s="280">
        <v>5</v>
      </c>
      <c r="X30" s="302">
        <f>SUM(S30:W30)</f>
        <v>25</v>
      </c>
      <c r="Y30" s="265"/>
      <c r="Z30" s="279">
        <v>5</v>
      </c>
      <c r="AA30" s="280">
        <v>5</v>
      </c>
      <c r="AB30" s="280">
        <v>5</v>
      </c>
      <c r="AC30" s="280">
        <v>5</v>
      </c>
      <c r="AD30" s="280">
        <v>5</v>
      </c>
      <c r="AE30" s="302">
        <f>SUM(Z30:AD30)</f>
        <v>25</v>
      </c>
      <c r="AF30" s="265"/>
      <c r="AG30" s="279">
        <v>5</v>
      </c>
      <c r="AH30" s="280">
        <v>5</v>
      </c>
      <c r="AI30" s="280">
        <v>5</v>
      </c>
      <c r="AJ30" s="280">
        <v>5</v>
      </c>
      <c r="AK30" s="280">
        <v>5</v>
      </c>
      <c r="AL30" s="302">
        <f>SUM(AG30:AK30)</f>
        <v>25</v>
      </c>
      <c r="AM30" s="265"/>
      <c r="AN30" s="279"/>
      <c r="AO30" s="280"/>
      <c r="AP30" s="280"/>
      <c r="AQ30" s="280"/>
      <c r="AR30" s="280"/>
      <c r="AS30" s="302">
        <f>SUM(AN30:AR30)</f>
        <v>0</v>
      </c>
      <c r="AT30" s="265"/>
      <c r="AU30" s="279"/>
      <c r="AV30" s="280"/>
      <c r="AW30" s="280"/>
      <c r="AX30" s="280"/>
      <c r="AY30" s="280"/>
      <c r="AZ30" s="302">
        <f>SUM(AU30:AY30)</f>
        <v>0</v>
      </c>
      <c r="BA30" s="265"/>
      <c r="BB30" s="279"/>
      <c r="BC30" s="280"/>
      <c r="BD30" s="280"/>
      <c r="BE30" s="280"/>
      <c r="BF30" s="280"/>
      <c r="BG30" s="302">
        <f>SUM(BB30:BF30)</f>
        <v>0</v>
      </c>
      <c r="BH30" s="265"/>
      <c r="BI30" s="279"/>
      <c r="BJ30" s="280"/>
      <c r="BK30" s="280"/>
      <c r="BL30" s="280"/>
      <c r="BM30" s="280"/>
      <c r="BN30" s="302">
        <f>SUM(BI30:BM30)</f>
        <v>0</v>
      </c>
      <c r="BO30" s="265"/>
      <c r="BP30" s="279"/>
      <c r="BQ30" s="280"/>
      <c r="BR30" s="280"/>
      <c r="BS30" s="280"/>
      <c r="BT30" s="280"/>
      <c r="BU30" s="302">
        <f>SUM(BP30:BT30)</f>
        <v>0</v>
      </c>
      <c r="BV30" s="265"/>
      <c r="BW30" s="279"/>
      <c r="BX30" s="280"/>
      <c r="BY30" s="280"/>
      <c r="BZ30" s="280"/>
      <c r="CA30" s="280"/>
      <c r="CB30" s="302">
        <f>SUM(BW30:CA30)</f>
        <v>0</v>
      </c>
      <c r="CC30" s="265"/>
      <c r="CD30" s="279"/>
      <c r="CE30" s="280"/>
      <c r="CF30" s="280"/>
      <c r="CG30" s="280"/>
      <c r="CH30" s="280"/>
      <c r="CI30" s="302">
        <f>SUM(CD30:CH30)</f>
        <v>0</v>
      </c>
      <c r="CJ30" s="265"/>
      <c r="CK30" s="279"/>
      <c r="CL30" s="280"/>
      <c r="CM30" s="280"/>
      <c r="CN30" s="280"/>
      <c r="CO30" s="280"/>
      <c r="CP30" s="302">
        <f>SUM(CK30:CO30)</f>
        <v>0</v>
      </c>
      <c r="CQ30" s="265"/>
      <c r="CR30" s="279"/>
      <c r="CS30" s="280"/>
      <c r="CT30" s="280"/>
      <c r="CU30" s="280"/>
      <c r="CV30" s="280"/>
      <c r="CW30" s="302">
        <f>SUM(CR30:CV30)</f>
        <v>0</v>
      </c>
      <c r="CX30" s="265"/>
      <c r="CY30" s="279"/>
      <c r="CZ30" s="280"/>
      <c r="DA30" s="280"/>
      <c r="DB30" s="280"/>
      <c r="DC30" s="280"/>
      <c r="DD30" s="302">
        <f>SUM(CY30:DC30)</f>
        <v>0</v>
      </c>
      <c r="DE30" s="265"/>
      <c r="DF30" s="279"/>
      <c r="DG30" s="280"/>
      <c r="DH30" s="280"/>
      <c r="DI30" s="280"/>
      <c r="DJ30" s="280"/>
      <c r="DK30" s="302">
        <f>SUM(DF30:DJ30)</f>
        <v>0</v>
      </c>
      <c r="DL30" s="265"/>
      <c r="DM30" s="279"/>
      <c r="DN30" s="280"/>
      <c r="DO30" s="280"/>
      <c r="DP30" s="280"/>
      <c r="DQ30" s="280"/>
      <c r="DR30" s="302">
        <f>SUM(DM30:DQ30)</f>
        <v>0</v>
      </c>
      <c r="DS30" s="265"/>
      <c r="DT30" s="279"/>
      <c r="DU30" s="280"/>
      <c r="DV30" s="280"/>
      <c r="DW30" s="280"/>
      <c r="DX30" s="280"/>
      <c r="DY30" s="302">
        <f>SUM(DT30:DX30)</f>
        <v>0</v>
      </c>
      <c r="DZ30" s="265"/>
      <c r="EA30" s="279"/>
      <c r="EB30" s="280"/>
      <c r="EC30" s="280"/>
      <c r="ED30" s="280"/>
      <c r="EE30" s="280"/>
      <c r="EF30" s="302">
        <f>SUM(EA30:EE30)</f>
        <v>0</v>
      </c>
      <c r="EG30" s="265"/>
      <c r="EH30" s="279"/>
      <c r="EI30" s="280"/>
      <c r="EJ30" s="280"/>
      <c r="EK30" s="280"/>
      <c r="EL30" s="280"/>
      <c r="EM30" s="302">
        <f>SUM(EH30:EL30)</f>
        <v>0</v>
      </c>
      <c r="EN30" s="265"/>
      <c r="EO30" s="279"/>
      <c r="EP30" s="280"/>
      <c r="EQ30" s="280"/>
      <c r="ER30" s="280"/>
      <c r="ES30" s="280"/>
      <c r="ET30" s="302">
        <f>SUM(EO30:ES30)</f>
        <v>0</v>
      </c>
      <c r="EU30" s="265"/>
      <c r="EV30" s="279"/>
      <c r="EW30" s="280"/>
      <c r="EX30" s="280"/>
      <c r="EY30" s="280"/>
      <c r="EZ30" s="280"/>
      <c r="FA30" s="302">
        <f>SUM(EV30:EZ30)</f>
        <v>0</v>
      </c>
      <c r="FB30" s="265"/>
      <c r="FC30" s="279"/>
      <c r="FD30" s="280"/>
      <c r="FE30" s="280"/>
      <c r="FF30" s="280"/>
      <c r="FG30" s="280"/>
      <c r="FH30" s="302">
        <f>SUM(FC30:FG30)</f>
        <v>0</v>
      </c>
      <c r="FI30" s="265"/>
      <c r="FJ30" s="279"/>
      <c r="FK30" s="280"/>
      <c r="FL30" s="280"/>
      <c r="FM30" s="280"/>
      <c r="FN30" s="280"/>
      <c r="FO30" s="302">
        <f>SUM(FJ30:FN30)</f>
        <v>0</v>
      </c>
      <c r="FP30" s="265"/>
      <c r="FQ30" s="279"/>
      <c r="FR30" s="280"/>
      <c r="FS30" s="280"/>
      <c r="FT30" s="280"/>
      <c r="FU30" s="280"/>
      <c r="FV30" s="302">
        <f>SUM(FQ30:FU30)</f>
        <v>0</v>
      </c>
      <c r="FW30" s="265"/>
      <c r="FX30" s="279"/>
      <c r="FY30" s="280"/>
      <c r="FZ30" s="280"/>
      <c r="GA30" s="280"/>
      <c r="GB30" s="280"/>
      <c r="GC30" s="302">
        <f>SUM(FX30:GB30)</f>
        <v>0</v>
      </c>
      <c r="GD30" s="265"/>
      <c r="GE30" s="279"/>
      <c r="GF30" s="280"/>
      <c r="GG30" s="280"/>
      <c r="GH30" s="280"/>
      <c r="GI30" s="280"/>
      <c r="GJ30" s="302">
        <f>SUM(GE30:GI30)</f>
        <v>0</v>
      </c>
      <c r="GK30" s="265"/>
      <c r="GL30" s="279"/>
      <c r="GM30" s="280"/>
      <c r="GN30" s="280"/>
      <c r="GO30" s="280"/>
      <c r="GP30" s="280"/>
      <c r="GQ30" s="302">
        <f>SUM(GL30:GP30)</f>
        <v>0</v>
      </c>
      <c r="GR30" s="265"/>
      <c r="GS30" s="279"/>
      <c r="GT30" s="280"/>
      <c r="GU30" s="280"/>
      <c r="GV30" s="280"/>
      <c r="GW30" s="280"/>
      <c r="GX30" s="302">
        <f>SUM(GS30:GW30)</f>
        <v>0</v>
      </c>
      <c r="GY30" s="283"/>
    </row>
    <row r="31" spans="1:207" s="196" customFormat="1" ht="16.05" customHeight="1" x14ac:dyDescent="0.3">
      <c r="A31" s="294"/>
      <c r="B31" s="282"/>
      <c r="C31" s="286" t="s">
        <v>416</v>
      </c>
      <c r="D31" s="271"/>
      <c r="E31" s="227">
        <f>'Pilotage effectif 27O'!I45</f>
        <v>11</v>
      </c>
      <c r="F31" s="228">
        <f>'Pilotage effectif 27O'!J45</f>
        <v>11</v>
      </c>
      <c r="G31" s="228">
        <f>'Pilotage effectif 27O'!K45</f>
        <v>0</v>
      </c>
      <c r="H31" s="228">
        <f>'Pilotage effectif 27O'!L45</f>
        <v>11</v>
      </c>
      <c r="I31" s="228">
        <f>'Pilotage effectif 27O'!M45</f>
        <v>11</v>
      </c>
      <c r="J31" s="303">
        <f>'Pilotage effectif 27O'!N45</f>
        <v>44</v>
      </c>
      <c r="K31" s="265"/>
      <c r="L31" s="227">
        <f>'Pilotage effectif 27O'!P45</f>
        <v>0</v>
      </c>
      <c r="M31" s="228">
        <f>'Pilotage effectif 27O'!Q45</f>
        <v>0</v>
      </c>
      <c r="N31" s="228">
        <f>'Pilotage effectif 27O'!R45</f>
        <v>0</v>
      </c>
      <c r="O31" s="228">
        <f>'Pilotage effectif 27O'!S45</f>
        <v>0</v>
      </c>
      <c r="P31" s="228">
        <f>'Pilotage effectif 27O'!T45</f>
        <v>0</v>
      </c>
      <c r="Q31" s="303">
        <f>'Pilotage effectif 27O'!U45</f>
        <v>0</v>
      </c>
      <c r="R31" s="265"/>
      <c r="S31" s="227">
        <f>'Pilotage effectif 27O'!W45</f>
        <v>1</v>
      </c>
      <c r="T31" s="228">
        <f>'Pilotage effectif 27O'!X45</f>
        <v>1</v>
      </c>
      <c r="U31" s="228">
        <f>'Pilotage effectif 27O'!Y45</f>
        <v>1</v>
      </c>
      <c r="V31" s="228">
        <f>'Pilotage effectif 27O'!Z45</f>
        <v>1</v>
      </c>
      <c r="W31" s="228">
        <f>'Pilotage effectif 27O'!AA45</f>
        <v>1</v>
      </c>
      <c r="X31" s="303">
        <f>'Pilotage effectif 27O'!AB45</f>
        <v>5</v>
      </c>
      <c r="Y31" s="265"/>
      <c r="Z31" s="227">
        <f>'Pilotage effectif 27O'!AD45</f>
        <v>0</v>
      </c>
      <c r="AA31" s="228">
        <f>'Pilotage effectif 27O'!AE45</f>
        <v>0</v>
      </c>
      <c r="AB31" s="228">
        <f>'Pilotage effectif 27O'!AF45</f>
        <v>0</v>
      </c>
      <c r="AC31" s="228">
        <f>'Pilotage effectif 27O'!AG45</f>
        <v>0</v>
      </c>
      <c r="AD31" s="228">
        <f>'Pilotage effectif 27O'!AH45</f>
        <v>0</v>
      </c>
      <c r="AE31" s="303">
        <f>'Pilotage effectif 27O'!AI45</f>
        <v>0</v>
      </c>
      <c r="AF31" s="265"/>
      <c r="AG31" s="227">
        <f>'Pilotage effectif 27O'!AK45</f>
        <v>0</v>
      </c>
      <c r="AH31" s="228">
        <f>'Pilotage effectif 27O'!AL45</f>
        <v>0</v>
      </c>
      <c r="AI31" s="228">
        <f>'Pilotage effectif 27O'!AM45</f>
        <v>0</v>
      </c>
      <c r="AJ31" s="228">
        <f>'Pilotage effectif 27O'!AN45</f>
        <v>0</v>
      </c>
      <c r="AK31" s="228">
        <f>'Pilotage effectif 27O'!AO45</f>
        <v>0</v>
      </c>
      <c r="AL31" s="303">
        <f>'Pilotage effectif 27O'!AP45</f>
        <v>0</v>
      </c>
      <c r="AM31" s="265"/>
      <c r="AN31" s="227">
        <f>'Pilotage effectif 27O'!AR45</f>
        <v>0</v>
      </c>
      <c r="AO31" s="228">
        <f>'Pilotage effectif 27O'!AS45</f>
        <v>0</v>
      </c>
      <c r="AP31" s="228">
        <f>'Pilotage effectif 27O'!AT45</f>
        <v>0</v>
      </c>
      <c r="AQ31" s="228">
        <f>'Pilotage effectif 27O'!AU45</f>
        <v>0</v>
      </c>
      <c r="AR31" s="228">
        <f>'Pilotage effectif 27O'!AV45</f>
        <v>0</v>
      </c>
      <c r="AS31" s="303">
        <f>'Pilotage effectif 27O'!AW45</f>
        <v>0</v>
      </c>
      <c r="AT31" s="265"/>
      <c r="AU31" s="227">
        <f>'Pilotage effectif 27O'!AY45</f>
        <v>0</v>
      </c>
      <c r="AV31" s="228">
        <f>'Pilotage effectif 27O'!AZ45</f>
        <v>0</v>
      </c>
      <c r="AW31" s="228">
        <f>'Pilotage effectif 27O'!BA45</f>
        <v>0</v>
      </c>
      <c r="AX31" s="228">
        <f>'Pilotage effectif 27O'!BB45</f>
        <v>0</v>
      </c>
      <c r="AY31" s="228">
        <f>'Pilotage effectif 27O'!BC45</f>
        <v>0</v>
      </c>
      <c r="AZ31" s="303">
        <f>'Pilotage effectif 27O'!BD45</f>
        <v>0</v>
      </c>
      <c r="BA31" s="265"/>
      <c r="BB31" s="227">
        <f>'Pilotage effectif 27O'!BF45</f>
        <v>0</v>
      </c>
      <c r="BC31" s="228">
        <f>'Pilotage effectif 27O'!BG45</f>
        <v>0</v>
      </c>
      <c r="BD31" s="228">
        <f>'Pilotage effectif 27O'!BH45</f>
        <v>0</v>
      </c>
      <c r="BE31" s="228">
        <f>'Pilotage effectif 27O'!BI45</f>
        <v>0</v>
      </c>
      <c r="BF31" s="228">
        <f>'Pilotage effectif 27O'!BJ45</f>
        <v>0</v>
      </c>
      <c r="BG31" s="303">
        <f>'Pilotage effectif 27O'!BK45</f>
        <v>0</v>
      </c>
      <c r="BH31" s="265"/>
      <c r="BI31" s="227">
        <f>'Pilotage effectif 27O'!BM45</f>
        <v>0</v>
      </c>
      <c r="BJ31" s="228">
        <f>'Pilotage effectif 27O'!BN45</f>
        <v>0</v>
      </c>
      <c r="BK31" s="228">
        <f>'Pilotage effectif 27O'!BO45</f>
        <v>0</v>
      </c>
      <c r="BL31" s="228">
        <f>'Pilotage effectif 27O'!BP45</f>
        <v>0</v>
      </c>
      <c r="BM31" s="228">
        <f>'Pilotage effectif 27O'!BQ45</f>
        <v>0</v>
      </c>
      <c r="BN31" s="303">
        <f>'Pilotage effectif 27O'!BR45</f>
        <v>0</v>
      </c>
      <c r="BO31" s="265"/>
      <c r="BP31" s="227">
        <f>'Pilotage effectif 27O'!BT45</f>
        <v>0</v>
      </c>
      <c r="BQ31" s="228">
        <f>'Pilotage effectif 27O'!BU45</f>
        <v>0</v>
      </c>
      <c r="BR31" s="228">
        <f>'Pilotage effectif 27O'!BV45</f>
        <v>0</v>
      </c>
      <c r="BS31" s="228">
        <f>'Pilotage effectif 27O'!BW45</f>
        <v>0</v>
      </c>
      <c r="BT31" s="228">
        <f>'Pilotage effectif 27O'!BX45</f>
        <v>0</v>
      </c>
      <c r="BU31" s="303">
        <f>'Pilotage effectif 27O'!BY45</f>
        <v>0</v>
      </c>
      <c r="BV31" s="265"/>
      <c r="BW31" s="227">
        <f>'Pilotage effectif 27O'!CA45</f>
        <v>0</v>
      </c>
      <c r="BX31" s="228">
        <f>'Pilotage effectif 27O'!CB45</f>
        <v>0</v>
      </c>
      <c r="BY31" s="228">
        <f>'Pilotage effectif 27O'!CC45</f>
        <v>0</v>
      </c>
      <c r="BZ31" s="228">
        <f>'Pilotage effectif 27O'!CD45</f>
        <v>0</v>
      </c>
      <c r="CA31" s="228">
        <f>'Pilotage effectif 27O'!CE45</f>
        <v>0</v>
      </c>
      <c r="CB31" s="303">
        <f>'Pilotage effectif 27O'!CF45</f>
        <v>0</v>
      </c>
      <c r="CC31" s="265"/>
      <c r="CD31" s="227">
        <f>'Pilotage effectif 27O'!CH45</f>
        <v>0</v>
      </c>
      <c r="CE31" s="228">
        <f>'Pilotage effectif 27O'!CI45</f>
        <v>0</v>
      </c>
      <c r="CF31" s="228">
        <f>'Pilotage effectif 27O'!CJ45</f>
        <v>0</v>
      </c>
      <c r="CG31" s="228">
        <f>'Pilotage effectif 27O'!CK45</f>
        <v>0</v>
      </c>
      <c r="CH31" s="228">
        <f>'Pilotage effectif 27O'!CL45</f>
        <v>0</v>
      </c>
      <c r="CI31" s="303">
        <f>'Pilotage effectif 27O'!CM45</f>
        <v>0</v>
      </c>
      <c r="CJ31" s="265"/>
      <c r="CK31" s="227">
        <f>'Pilotage effectif 27O'!CO45</f>
        <v>0</v>
      </c>
      <c r="CL31" s="228">
        <f>'Pilotage effectif 27O'!CP45</f>
        <v>0</v>
      </c>
      <c r="CM31" s="228">
        <f>'Pilotage effectif 27O'!CQ45</f>
        <v>0</v>
      </c>
      <c r="CN31" s="228">
        <f>'Pilotage effectif 27O'!CR45</f>
        <v>0</v>
      </c>
      <c r="CO31" s="228">
        <f>'Pilotage effectif 27O'!CS45</f>
        <v>0</v>
      </c>
      <c r="CP31" s="303">
        <f>'Pilotage effectif 27O'!CT45</f>
        <v>0</v>
      </c>
      <c r="CQ31" s="265"/>
      <c r="CR31" s="227">
        <f>'Pilotage effectif 27O'!CV45</f>
        <v>0</v>
      </c>
      <c r="CS31" s="228">
        <f>'Pilotage effectif 27O'!CW45</f>
        <v>0</v>
      </c>
      <c r="CT31" s="228">
        <f>'Pilotage effectif 27O'!CX45</f>
        <v>0</v>
      </c>
      <c r="CU31" s="228">
        <f>'Pilotage effectif 27O'!CY45</f>
        <v>0</v>
      </c>
      <c r="CV31" s="228">
        <f>'Pilotage effectif 27O'!CZ45</f>
        <v>0</v>
      </c>
      <c r="CW31" s="303">
        <f>'Pilotage effectif 27O'!DA45</f>
        <v>0</v>
      </c>
      <c r="CX31" s="265"/>
      <c r="CY31" s="227">
        <f>'Pilotage effectif 27O'!DC45</f>
        <v>0</v>
      </c>
      <c r="CZ31" s="228">
        <f>'Pilotage effectif 27O'!DD45</f>
        <v>0</v>
      </c>
      <c r="DA31" s="228">
        <f>'Pilotage effectif 27O'!DE45</f>
        <v>0</v>
      </c>
      <c r="DB31" s="228">
        <f>'Pilotage effectif 27O'!DF45</f>
        <v>0</v>
      </c>
      <c r="DC31" s="228">
        <f>'Pilotage effectif 27O'!DG45</f>
        <v>0</v>
      </c>
      <c r="DD31" s="303">
        <f>'Pilotage effectif 27O'!DH45</f>
        <v>0</v>
      </c>
      <c r="DE31" s="265"/>
      <c r="DF31" s="227">
        <f>'Pilotage effectif 27O'!DJ45</f>
        <v>0</v>
      </c>
      <c r="DG31" s="228">
        <f>'Pilotage effectif 27O'!DK45</f>
        <v>0</v>
      </c>
      <c r="DH31" s="228">
        <f>'Pilotage effectif 27O'!DL45</f>
        <v>0</v>
      </c>
      <c r="DI31" s="228">
        <f>'Pilotage effectif 27O'!DM45</f>
        <v>0</v>
      </c>
      <c r="DJ31" s="228">
        <f>'Pilotage effectif 27O'!DN45</f>
        <v>0</v>
      </c>
      <c r="DK31" s="303">
        <f>'Pilotage effectif 27O'!DO45</f>
        <v>0</v>
      </c>
      <c r="DL31" s="265"/>
      <c r="DM31" s="227">
        <f>'Pilotage effectif 27O'!DQ45</f>
        <v>0</v>
      </c>
      <c r="DN31" s="228">
        <f>'Pilotage effectif 27O'!DR45</f>
        <v>0</v>
      </c>
      <c r="DO31" s="228">
        <f>'Pilotage effectif 27O'!DS45</f>
        <v>0</v>
      </c>
      <c r="DP31" s="228">
        <f>'Pilotage effectif 27O'!DT45</f>
        <v>0</v>
      </c>
      <c r="DQ31" s="228">
        <f>'Pilotage effectif 27O'!DU45</f>
        <v>0</v>
      </c>
      <c r="DR31" s="303">
        <f>'Pilotage effectif 27O'!DV45</f>
        <v>0</v>
      </c>
      <c r="DS31" s="265"/>
      <c r="DT31" s="227">
        <f>'Pilotage effectif 27O'!DX45</f>
        <v>0</v>
      </c>
      <c r="DU31" s="228">
        <f>'Pilotage effectif 27O'!DY45</f>
        <v>0</v>
      </c>
      <c r="DV31" s="228">
        <f>'Pilotage effectif 27O'!DZ45</f>
        <v>0</v>
      </c>
      <c r="DW31" s="228">
        <f>'Pilotage effectif 27O'!EA45</f>
        <v>0</v>
      </c>
      <c r="DX31" s="228">
        <f>'Pilotage effectif 27O'!EB45</f>
        <v>0</v>
      </c>
      <c r="DY31" s="303">
        <f>'Pilotage effectif 27O'!EC45</f>
        <v>0</v>
      </c>
      <c r="DZ31" s="265"/>
      <c r="EA31" s="227">
        <f>'Pilotage effectif 27O'!EE45</f>
        <v>0</v>
      </c>
      <c r="EB31" s="228">
        <f>'Pilotage effectif 27O'!EF45</f>
        <v>0</v>
      </c>
      <c r="EC31" s="228">
        <f>'Pilotage effectif 27O'!EG45</f>
        <v>0</v>
      </c>
      <c r="ED31" s="228">
        <f>'Pilotage effectif 27O'!EH45</f>
        <v>0</v>
      </c>
      <c r="EE31" s="228">
        <f>'Pilotage effectif 27O'!EI45</f>
        <v>0</v>
      </c>
      <c r="EF31" s="303">
        <f>'Pilotage effectif 27O'!EJ45</f>
        <v>0</v>
      </c>
      <c r="EG31" s="265"/>
      <c r="EH31" s="227">
        <f>'Pilotage effectif 27O'!EL45</f>
        <v>0</v>
      </c>
      <c r="EI31" s="228">
        <f>'Pilotage effectif 27O'!EM45</f>
        <v>0</v>
      </c>
      <c r="EJ31" s="228">
        <f>'Pilotage effectif 27O'!EN45</f>
        <v>0</v>
      </c>
      <c r="EK31" s="228">
        <f>'Pilotage effectif 27O'!EO45</f>
        <v>0</v>
      </c>
      <c r="EL31" s="228">
        <f>'Pilotage effectif 27O'!EP45</f>
        <v>0</v>
      </c>
      <c r="EM31" s="303">
        <f>'Pilotage effectif 27O'!EQ45</f>
        <v>0</v>
      </c>
      <c r="EN31" s="265"/>
      <c r="EO31" s="227">
        <f>'Pilotage effectif 27O'!ES45</f>
        <v>0</v>
      </c>
      <c r="EP31" s="228">
        <f>'Pilotage effectif 27O'!ET45</f>
        <v>0</v>
      </c>
      <c r="EQ31" s="228">
        <f>'Pilotage effectif 27O'!EU45</f>
        <v>0</v>
      </c>
      <c r="ER31" s="228">
        <f>'Pilotage effectif 27O'!EV45</f>
        <v>0</v>
      </c>
      <c r="ES31" s="228">
        <f>'Pilotage effectif 27O'!EW45</f>
        <v>0</v>
      </c>
      <c r="ET31" s="303">
        <f>'Pilotage effectif 27O'!EX45</f>
        <v>0</v>
      </c>
      <c r="EU31" s="265"/>
      <c r="EV31" s="227">
        <f>'Pilotage effectif 27O'!EZ45</f>
        <v>0</v>
      </c>
      <c r="EW31" s="228">
        <f>'Pilotage effectif 27O'!FA45</f>
        <v>0</v>
      </c>
      <c r="EX31" s="228">
        <f>'Pilotage effectif 27O'!FB45</f>
        <v>0</v>
      </c>
      <c r="EY31" s="228">
        <f>'Pilotage effectif 27O'!FC45</f>
        <v>0</v>
      </c>
      <c r="EZ31" s="228">
        <f>'Pilotage effectif 27O'!FD45</f>
        <v>0</v>
      </c>
      <c r="FA31" s="303">
        <f>'Pilotage effectif 27O'!FE45</f>
        <v>0</v>
      </c>
      <c r="FB31" s="265"/>
      <c r="FC31" s="227">
        <f>'Pilotage effectif 27O'!FG45</f>
        <v>0</v>
      </c>
      <c r="FD31" s="228">
        <f>'Pilotage effectif 27O'!FH45</f>
        <v>0</v>
      </c>
      <c r="FE31" s="228">
        <f>'Pilotage effectif 27O'!FI45</f>
        <v>0</v>
      </c>
      <c r="FF31" s="228">
        <f>'Pilotage effectif 27O'!FJ45</f>
        <v>0</v>
      </c>
      <c r="FG31" s="228">
        <f>'Pilotage effectif 27O'!FK45</f>
        <v>0</v>
      </c>
      <c r="FH31" s="303">
        <f>'Pilotage effectif 27O'!FL45</f>
        <v>0</v>
      </c>
      <c r="FI31" s="265"/>
      <c r="FJ31" s="227">
        <f>'Pilotage effectif 27O'!FN45</f>
        <v>0</v>
      </c>
      <c r="FK31" s="228">
        <f>'Pilotage effectif 27O'!FO45</f>
        <v>0</v>
      </c>
      <c r="FL31" s="228">
        <f>'Pilotage effectif 27O'!FP45</f>
        <v>0</v>
      </c>
      <c r="FM31" s="228">
        <f>'Pilotage effectif 27O'!FQ45</f>
        <v>0</v>
      </c>
      <c r="FN31" s="228">
        <f>'Pilotage effectif 27O'!FR45</f>
        <v>0</v>
      </c>
      <c r="FO31" s="303">
        <f>'Pilotage effectif 27O'!FS45</f>
        <v>0</v>
      </c>
      <c r="FP31" s="265"/>
      <c r="FQ31" s="227">
        <f>'Pilotage effectif 27O'!FU45</f>
        <v>0</v>
      </c>
      <c r="FR31" s="228">
        <f>'Pilotage effectif 27O'!FV45</f>
        <v>0</v>
      </c>
      <c r="FS31" s="228">
        <f>'Pilotage effectif 27O'!FW45</f>
        <v>0</v>
      </c>
      <c r="FT31" s="228">
        <f>'Pilotage effectif 27O'!FX45</f>
        <v>0</v>
      </c>
      <c r="FU31" s="228">
        <f>'Pilotage effectif 27O'!FY45</f>
        <v>0</v>
      </c>
      <c r="FV31" s="303">
        <f>'Pilotage effectif 27O'!FZ45</f>
        <v>0</v>
      </c>
      <c r="FW31" s="265"/>
      <c r="FX31" s="227">
        <f>'Pilotage effectif 27O'!GB45</f>
        <v>0</v>
      </c>
      <c r="FY31" s="228">
        <f>'Pilotage effectif 27O'!GC45</f>
        <v>0</v>
      </c>
      <c r="FZ31" s="228">
        <f>'Pilotage effectif 27O'!GD45</f>
        <v>0</v>
      </c>
      <c r="GA31" s="228">
        <f>'Pilotage effectif 27O'!GE45</f>
        <v>0</v>
      </c>
      <c r="GB31" s="228">
        <f>'Pilotage effectif 27O'!GF45</f>
        <v>0</v>
      </c>
      <c r="GC31" s="303">
        <f>'Pilotage effectif 27O'!GG45</f>
        <v>0</v>
      </c>
      <c r="GD31" s="265"/>
      <c r="GE31" s="227">
        <f>'Pilotage effectif 27O'!GI45</f>
        <v>0</v>
      </c>
      <c r="GF31" s="228">
        <f>'Pilotage effectif 27O'!GJ45</f>
        <v>0</v>
      </c>
      <c r="GG31" s="228">
        <f>'Pilotage effectif 27O'!GK45</f>
        <v>0</v>
      </c>
      <c r="GH31" s="228">
        <f>'Pilotage effectif 27O'!GL45</f>
        <v>0</v>
      </c>
      <c r="GI31" s="228">
        <f>'Pilotage effectif 27O'!GM45</f>
        <v>0</v>
      </c>
      <c r="GJ31" s="303">
        <f>'Pilotage effectif 27O'!GN45</f>
        <v>0</v>
      </c>
      <c r="GK31" s="265"/>
      <c r="GL31" s="227">
        <f>'Pilotage effectif 27O'!GP45</f>
        <v>0</v>
      </c>
      <c r="GM31" s="228">
        <f>'Pilotage effectif 27O'!GQ45</f>
        <v>0</v>
      </c>
      <c r="GN31" s="228">
        <f>'Pilotage effectif 27O'!GR45</f>
        <v>0</v>
      </c>
      <c r="GO31" s="228">
        <f>'Pilotage effectif 27O'!GS45</f>
        <v>0</v>
      </c>
      <c r="GP31" s="228">
        <f>'Pilotage effectif 27O'!GT45</f>
        <v>0</v>
      </c>
      <c r="GQ31" s="303">
        <f>'Pilotage effectif 27O'!GU45</f>
        <v>0</v>
      </c>
      <c r="GR31" s="265"/>
      <c r="GS31" s="227">
        <f>'Pilotage effectif 27O'!GW45</f>
        <v>0</v>
      </c>
      <c r="GT31" s="228">
        <f>'Pilotage effectif 27O'!GX45</f>
        <v>0</v>
      </c>
      <c r="GU31" s="228">
        <f>'Pilotage effectif 27O'!GY45</f>
        <v>0</v>
      </c>
      <c r="GV31" s="228">
        <f>'Pilotage effectif 27O'!GZ45</f>
        <v>0</v>
      </c>
      <c r="GW31" s="228">
        <f>'Pilotage effectif 27O'!HA45</f>
        <v>0</v>
      </c>
      <c r="GX31" s="303">
        <f>'Pilotage effectif 27O'!HB45</f>
        <v>0</v>
      </c>
      <c r="GY31" s="283"/>
    </row>
    <row r="32" spans="1:207" s="196" customFormat="1" ht="16.05" customHeight="1" thickBot="1" x14ac:dyDescent="0.35">
      <c r="A32" s="294"/>
      <c r="B32" s="282"/>
      <c r="C32" s="287" t="s">
        <v>690</v>
      </c>
      <c r="D32" s="271"/>
      <c r="E32" s="292" t="str">
        <f t="shared" ref="E32:J32" si="29">IF(E30&lt;&gt;"",IF(E31-E30&gt;0,"+"&amp;E31-E30,E31-E30),"-")</f>
        <v>-</v>
      </c>
      <c r="F32" s="293" t="str">
        <f t="shared" si="29"/>
        <v>-</v>
      </c>
      <c r="G32" s="293" t="str">
        <f t="shared" si="29"/>
        <v>-</v>
      </c>
      <c r="H32" s="293" t="str">
        <f t="shared" si="29"/>
        <v>-</v>
      </c>
      <c r="I32" s="293" t="str">
        <f t="shared" si="29"/>
        <v>-</v>
      </c>
      <c r="J32" s="304" t="str">
        <f t="shared" si="29"/>
        <v>+44</v>
      </c>
      <c r="K32" s="265"/>
      <c r="L32" s="292" t="str">
        <f t="shared" ref="L32:Q32" si="30">IF(L30&lt;&gt;"",IF(L31-L30&gt;0,"+"&amp;L31-L30,L31-L30),"-")</f>
        <v>-</v>
      </c>
      <c r="M32" s="293" t="str">
        <f t="shared" si="30"/>
        <v>-</v>
      </c>
      <c r="N32" s="293" t="str">
        <f t="shared" si="30"/>
        <v>-</v>
      </c>
      <c r="O32" s="293" t="str">
        <f t="shared" si="30"/>
        <v>-</v>
      </c>
      <c r="P32" s="293" t="str">
        <f t="shared" si="30"/>
        <v>-</v>
      </c>
      <c r="Q32" s="304">
        <f t="shared" si="30"/>
        <v>0</v>
      </c>
      <c r="R32" s="265"/>
      <c r="S32" s="292">
        <f t="shared" ref="S32:X32" si="31">IF(S30&lt;&gt;"",IF(S31-S30&gt;0,"+"&amp;S31-S30,S31-S30),"-")</f>
        <v>-4</v>
      </c>
      <c r="T32" s="293">
        <f t="shared" si="31"/>
        <v>-4</v>
      </c>
      <c r="U32" s="293">
        <f t="shared" si="31"/>
        <v>-4</v>
      </c>
      <c r="V32" s="293">
        <f t="shared" si="31"/>
        <v>-4</v>
      </c>
      <c r="W32" s="293">
        <f t="shared" si="31"/>
        <v>-4</v>
      </c>
      <c r="X32" s="304">
        <f t="shared" si="31"/>
        <v>-20</v>
      </c>
      <c r="Y32" s="265"/>
      <c r="Z32" s="292">
        <f t="shared" ref="Z32:AE32" si="32">IF(Z30&lt;&gt;"",IF(Z31-Z30&gt;0,"+"&amp;Z31-Z30,Z31-Z30),"-")</f>
        <v>-5</v>
      </c>
      <c r="AA32" s="293">
        <f t="shared" si="32"/>
        <v>-5</v>
      </c>
      <c r="AB32" s="293">
        <f t="shared" si="32"/>
        <v>-5</v>
      </c>
      <c r="AC32" s="293">
        <f t="shared" si="32"/>
        <v>-5</v>
      </c>
      <c r="AD32" s="293">
        <f t="shared" si="32"/>
        <v>-5</v>
      </c>
      <c r="AE32" s="304">
        <f t="shared" si="32"/>
        <v>-25</v>
      </c>
      <c r="AF32" s="265"/>
      <c r="AG32" s="292">
        <f t="shared" ref="AG32:AL32" si="33">IF(AG30&lt;&gt;"",IF(AG31-AG30&gt;0,"+"&amp;AG31-AG30,AG31-AG30),"-")</f>
        <v>-5</v>
      </c>
      <c r="AH32" s="293">
        <f t="shared" si="33"/>
        <v>-5</v>
      </c>
      <c r="AI32" s="293">
        <f t="shared" si="33"/>
        <v>-5</v>
      </c>
      <c r="AJ32" s="293">
        <f t="shared" si="33"/>
        <v>-5</v>
      </c>
      <c r="AK32" s="293">
        <f t="shared" si="33"/>
        <v>-5</v>
      </c>
      <c r="AL32" s="304">
        <f t="shared" si="33"/>
        <v>-25</v>
      </c>
      <c r="AM32" s="265"/>
      <c r="AN32" s="292" t="str">
        <f t="shared" ref="AN32:AS32" si="34">IF(AN30&lt;&gt;"",IF(AN31-AN30&gt;0,"+"&amp;AN31-AN30,AN31-AN30),"-")</f>
        <v>-</v>
      </c>
      <c r="AO32" s="293" t="str">
        <f t="shared" si="34"/>
        <v>-</v>
      </c>
      <c r="AP32" s="293" t="str">
        <f t="shared" si="34"/>
        <v>-</v>
      </c>
      <c r="AQ32" s="293" t="str">
        <f t="shared" si="34"/>
        <v>-</v>
      </c>
      <c r="AR32" s="293" t="str">
        <f t="shared" si="34"/>
        <v>-</v>
      </c>
      <c r="AS32" s="304">
        <f t="shared" si="34"/>
        <v>0</v>
      </c>
      <c r="AT32" s="265"/>
      <c r="AU32" s="292" t="str">
        <f t="shared" ref="AU32:AZ32" si="35">IF(AU30&lt;&gt;"",IF(AU31-AU30&gt;0,"+"&amp;AU31-AU30,AU31-AU30),"-")</f>
        <v>-</v>
      </c>
      <c r="AV32" s="293" t="str">
        <f t="shared" si="35"/>
        <v>-</v>
      </c>
      <c r="AW32" s="293" t="str">
        <f t="shared" si="35"/>
        <v>-</v>
      </c>
      <c r="AX32" s="293" t="str">
        <f t="shared" si="35"/>
        <v>-</v>
      </c>
      <c r="AY32" s="293" t="str">
        <f t="shared" si="35"/>
        <v>-</v>
      </c>
      <c r="AZ32" s="304">
        <f t="shared" si="35"/>
        <v>0</v>
      </c>
      <c r="BA32" s="265"/>
      <c r="BB32" s="292" t="str">
        <f t="shared" ref="BB32:BG32" si="36">IF(BB30&lt;&gt;"",IF(BB31-BB30&gt;0,"+"&amp;BB31-BB30,BB31-BB30),"-")</f>
        <v>-</v>
      </c>
      <c r="BC32" s="293" t="str">
        <f t="shared" si="36"/>
        <v>-</v>
      </c>
      <c r="BD32" s="293" t="str">
        <f t="shared" si="36"/>
        <v>-</v>
      </c>
      <c r="BE32" s="293" t="str">
        <f t="shared" si="36"/>
        <v>-</v>
      </c>
      <c r="BF32" s="293" t="str">
        <f t="shared" si="36"/>
        <v>-</v>
      </c>
      <c r="BG32" s="304">
        <f t="shared" si="36"/>
        <v>0</v>
      </c>
      <c r="BH32" s="265"/>
      <c r="BI32" s="292" t="str">
        <f t="shared" ref="BI32:BN32" si="37">IF(BI30&lt;&gt;"",IF(BI31-BI30&gt;0,"+"&amp;BI31-BI30,BI31-BI30),"-")</f>
        <v>-</v>
      </c>
      <c r="BJ32" s="293" t="str">
        <f t="shared" si="37"/>
        <v>-</v>
      </c>
      <c r="BK32" s="293" t="str">
        <f t="shared" si="37"/>
        <v>-</v>
      </c>
      <c r="BL32" s="293" t="str">
        <f t="shared" si="37"/>
        <v>-</v>
      </c>
      <c r="BM32" s="293" t="str">
        <f t="shared" si="37"/>
        <v>-</v>
      </c>
      <c r="BN32" s="304">
        <f t="shared" si="37"/>
        <v>0</v>
      </c>
      <c r="BO32" s="265"/>
      <c r="BP32" s="292" t="str">
        <f t="shared" ref="BP32:BU32" si="38">IF(BP30&lt;&gt;"",IF(BP31-BP30&gt;0,"+"&amp;BP31-BP30,BP31-BP30),"-")</f>
        <v>-</v>
      </c>
      <c r="BQ32" s="293" t="str">
        <f t="shared" si="38"/>
        <v>-</v>
      </c>
      <c r="BR32" s="293" t="str">
        <f t="shared" si="38"/>
        <v>-</v>
      </c>
      <c r="BS32" s="293" t="str">
        <f t="shared" si="38"/>
        <v>-</v>
      </c>
      <c r="BT32" s="293" t="str">
        <f t="shared" si="38"/>
        <v>-</v>
      </c>
      <c r="BU32" s="304">
        <f t="shared" si="38"/>
        <v>0</v>
      </c>
      <c r="BV32" s="265"/>
      <c r="BW32" s="292" t="str">
        <f t="shared" ref="BW32:CB32" si="39">IF(BW30&lt;&gt;"",IF(BW31-BW30&gt;0,"+"&amp;BW31-BW30,BW31-BW30),"-")</f>
        <v>-</v>
      </c>
      <c r="BX32" s="293" t="str">
        <f t="shared" si="39"/>
        <v>-</v>
      </c>
      <c r="BY32" s="293" t="str">
        <f t="shared" si="39"/>
        <v>-</v>
      </c>
      <c r="BZ32" s="293" t="str">
        <f t="shared" si="39"/>
        <v>-</v>
      </c>
      <c r="CA32" s="293" t="str">
        <f t="shared" si="39"/>
        <v>-</v>
      </c>
      <c r="CB32" s="304">
        <f t="shared" si="39"/>
        <v>0</v>
      </c>
      <c r="CC32" s="265"/>
      <c r="CD32" s="292" t="str">
        <f t="shared" ref="CD32:CI32" si="40">IF(CD30&lt;&gt;"",IF(CD31-CD30&gt;0,"+"&amp;CD31-CD30,CD31-CD30),"-")</f>
        <v>-</v>
      </c>
      <c r="CE32" s="293" t="str">
        <f t="shared" si="40"/>
        <v>-</v>
      </c>
      <c r="CF32" s="293" t="str">
        <f t="shared" si="40"/>
        <v>-</v>
      </c>
      <c r="CG32" s="293" t="str">
        <f t="shared" si="40"/>
        <v>-</v>
      </c>
      <c r="CH32" s="293" t="str">
        <f t="shared" si="40"/>
        <v>-</v>
      </c>
      <c r="CI32" s="304">
        <f t="shared" si="40"/>
        <v>0</v>
      </c>
      <c r="CJ32" s="265"/>
      <c r="CK32" s="292" t="str">
        <f t="shared" ref="CK32:CP32" si="41">IF(CK30&lt;&gt;"",IF(CK31-CK30&gt;0,"+"&amp;CK31-CK30,CK31-CK30),"-")</f>
        <v>-</v>
      </c>
      <c r="CL32" s="293" t="str">
        <f t="shared" si="41"/>
        <v>-</v>
      </c>
      <c r="CM32" s="293" t="str">
        <f t="shared" si="41"/>
        <v>-</v>
      </c>
      <c r="CN32" s="293" t="str">
        <f t="shared" si="41"/>
        <v>-</v>
      </c>
      <c r="CO32" s="293" t="str">
        <f t="shared" si="41"/>
        <v>-</v>
      </c>
      <c r="CP32" s="304">
        <f t="shared" si="41"/>
        <v>0</v>
      </c>
      <c r="CQ32" s="265"/>
      <c r="CR32" s="292" t="str">
        <f t="shared" ref="CR32:CW32" si="42">IF(CR30&lt;&gt;"",IF(CR31-CR30&gt;0,"+"&amp;CR31-CR30,CR31-CR30),"-")</f>
        <v>-</v>
      </c>
      <c r="CS32" s="293" t="str">
        <f t="shared" si="42"/>
        <v>-</v>
      </c>
      <c r="CT32" s="293" t="str">
        <f t="shared" si="42"/>
        <v>-</v>
      </c>
      <c r="CU32" s="293" t="str">
        <f t="shared" si="42"/>
        <v>-</v>
      </c>
      <c r="CV32" s="293" t="str">
        <f t="shared" si="42"/>
        <v>-</v>
      </c>
      <c r="CW32" s="304">
        <f t="shared" si="42"/>
        <v>0</v>
      </c>
      <c r="CX32" s="265"/>
      <c r="CY32" s="292" t="str">
        <f t="shared" ref="CY32:DD32" si="43">IF(CY30&lt;&gt;"",IF(CY31-CY30&gt;0,"+"&amp;CY31-CY30,CY31-CY30),"-")</f>
        <v>-</v>
      </c>
      <c r="CZ32" s="293" t="str">
        <f t="shared" si="43"/>
        <v>-</v>
      </c>
      <c r="DA32" s="293" t="str">
        <f t="shared" si="43"/>
        <v>-</v>
      </c>
      <c r="DB32" s="293" t="str">
        <f t="shared" si="43"/>
        <v>-</v>
      </c>
      <c r="DC32" s="293" t="str">
        <f t="shared" si="43"/>
        <v>-</v>
      </c>
      <c r="DD32" s="304">
        <f t="shared" si="43"/>
        <v>0</v>
      </c>
      <c r="DE32" s="265"/>
      <c r="DF32" s="292" t="str">
        <f t="shared" ref="DF32:DK32" si="44">IF(DF30&lt;&gt;"",IF(DF31-DF30&gt;0,"+"&amp;DF31-DF30,DF31-DF30),"-")</f>
        <v>-</v>
      </c>
      <c r="DG32" s="293" t="str">
        <f t="shared" si="44"/>
        <v>-</v>
      </c>
      <c r="DH32" s="293" t="str">
        <f t="shared" si="44"/>
        <v>-</v>
      </c>
      <c r="DI32" s="293" t="str">
        <f t="shared" si="44"/>
        <v>-</v>
      </c>
      <c r="DJ32" s="293" t="str">
        <f t="shared" si="44"/>
        <v>-</v>
      </c>
      <c r="DK32" s="304">
        <f t="shared" si="44"/>
        <v>0</v>
      </c>
      <c r="DL32" s="265"/>
      <c r="DM32" s="292" t="str">
        <f t="shared" ref="DM32:DR32" si="45">IF(DM30&lt;&gt;"",IF(DM31-DM30&gt;0,"+"&amp;DM31-DM30,DM31-DM30),"-")</f>
        <v>-</v>
      </c>
      <c r="DN32" s="293" t="str">
        <f t="shared" si="45"/>
        <v>-</v>
      </c>
      <c r="DO32" s="293" t="str">
        <f t="shared" si="45"/>
        <v>-</v>
      </c>
      <c r="DP32" s="293" t="str">
        <f t="shared" si="45"/>
        <v>-</v>
      </c>
      <c r="DQ32" s="293" t="str">
        <f t="shared" si="45"/>
        <v>-</v>
      </c>
      <c r="DR32" s="304">
        <f t="shared" si="45"/>
        <v>0</v>
      </c>
      <c r="DS32" s="265"/>
      <c r="DT32" s="292" t="str">
        <f t="shared" ref="DT32:DY32" si="46">IF(DT30&lt;&gt;"",IF(DT31-DT30&gt;0,"+"&amp;DT31-DT30,DT31-DT30),"-")</f>
        <v>-</v>
      </c>
      <c r="DU32" s="293" t="str">
        <f t="shared" si="46"/>
        <v>-</v>
      </c>
      <c r="DV32" s="293" t="str">
        <f t="shared" si="46"/>
        <v>-</v>
      </c>
      <c r="DW32" s="293" t="str">
        <f t="shared" si="46"/>
        <v>-</v>
      </c>
      <c r="DX32" s="293" t="str">
        <f t="shared" si="46"/>
        <v>-</v>
      </c>
      <c r="DY32" s="304">
        <f t="shared" si="46"/>
        <v>0</v>
      </c>
      <c r="DZ32" s="265"/>
      <c r="EA32" s="292" t="str">
        <f t="shared" ref="EA32:EF32" si="47">IF(EA30&lt;&gt;"",IF(EA31-EA30&gt;0,"+"&amp;EA31-EA30,EA31-EA30),"-")</f>
        <v>-</v>
      </c>
      <c r="EB32" s="293" t="str">
        <f t="shared" si="47"/>
        <v>-</v>
      </c>
      <c r="EC32" s="293" t="str">
        <f t="shared" si="47"/>
        <v>-</v>
      </c>
      <c r="ED32" s="293" t="str">
        <f t="shared" si="47"/>
        <v>-</v>
      </c>
      <c r="EE32" s="293" t="str">
        <f t="shared" si="47"/>
        <v>-</v>
      </c>
      <c r="EF32" s="304">
        <f t="shared" si="47"/>
        <v>0</v>
      </c>
      <c r="EG32" s="265"/>
      <c r="EH32" s="292" t="str">
        <f t="shared" ref="EH32:EM32" si="48">IF(EH30&lt;&gt;"",IF(EH31-EH30&gt;0,"+"&amp;EH31-EH30,EH31-EH30),"-")</f>
        <v>-</v>
      </c>
      <c r="EI32" s="293" t="str">
        <f t="shared" si="48"/>
        <v>-</v>
      </c>
      <c r="EJ32" s="293" t="str">
        <f t="shared" si="48"/>
        <v>-</v>
      </c>
      <c r="EK32" s="293" t="str">
        <f t="shared" si="48"/>
        <v>-</v>
      </c>
      <c r="EL32" s="293" t="str">
        <f t="shared" si="48"/>
        <v>-</v>
      </c>
      <c r="EM32" s="304">
        <f t="shared" si="48"/>
        <v>0</v>
      </c>
      <c r="EN32" s="265"/>
      <c r="EO32" s="292" t="str">
        <f t="shared" ref="EO32:ET32" si="49">IF(EO30&lt;&gt;"",IF(EO31-EO30&gt;0,"+"&amp;EO31-EO30,EO31-EO30),"-")</f>
        <v>-</v>
      </c>
      <c r="EP32" s="293" t="str">
        <f t="shared" si="49"/>
        <v>-</v>
      </c>
      <c r="EQ32" s="293" t="str">
        <f t="shared" si="49"/>
        <v>-</v>
      </c>
      <c r="ER32" s="293" t="str">
        <f t="shared" si="49"/>
        <v>-</v>
      </c>
      <c r="ES32" s="293" t="str">
        <f t="shared" si="49"/>
        <v>-</v>
      </c>
      <c r="ET32" s="304">
        <f t="shared" si="49"/>
        <v>0</v>
      </c>
      <c r="EU32" s="265"/>
      <c r="EV32" s="292" t="str">
        <f t="shared" ref="EV32:FA32" si="50">IF(EV30&lt;&gt;"",IF(EV31-EV30&gt;0,"+"&amp;EV31-EV30,EV31-EV30),"-")</f>
        <v>-</v>
      </c>
      <c r="EW32" s="293" t="str">
        <f t="shared" si="50"/>
        <v>-</v>
      </c>
      <c r="EX32" s="293" t="str">
        <f t="shared" si="50"/>
        <v>-</v>
      </c>
      <c r="EY32" s="293" t="str">
        <f t="shared" si="50"/>
        <v>-</v>
      </c>
      <c r="EZ32" s="293" t="str">
        <f t="shared" si="50"/>
        <v>-</v>
      </c>
      <c r="FA32" s="304">
        <f t="shared" si="50"/>
        <v>0</v>
      </c>
      <c r="FB32" s="265"/>
      <c r="FC32" s="292" t="str">
        <f t="shared" ref="FC32:FH32" si="51">IF(FC30&lt;&gt;"",IF(FC31-FC30&gt;0,"+"&amp;FC31-FC30,FC31-FC30),"-")</f>
        <v>-</v>
      </c>
      <c r="FD32" s="293" t="str">
        <f t="shared" si="51"/>
        <v>-</v>
      </c>
      <c r="FE32" s="293" t="str">
        <f t="shared" si="51"/>
        <v>-</v>
      </c>
      <c r="FF32" s="293" t="str">
        <f t="shared" si="51"/>
        <v>-</v>
      </c>
      <c r="FG32" s="293" t="str">
        <f t="shared" si="51"/>
        <v>-</v>
      </c>
      <c r="FH32" s="304">
        <f t="shared" si="51"/>
        <v>0</v>
      </c>
      <c r="FI32" s="265"/>
      <c r="FJ32" s="292" t="str">
        <f t="shared" ref="FJ32:FO32" si="52">IF(FJ30&lt;&gt;"",IF(FJ31-FJ30&gt;0,"+"&amp;FJ31-FJ30,FJ31-FJ30),"-")</f>
        <v>-</v>
      </c>
      <c r="FK32" s="293" t="str">
        <f t="shared" si="52"/>
        <v>-</v>
      </c>
      <c r="FL32" s="293" t="str">
        <f t="shared" si="52"/>
        <v>-</v>
      </c>
      <c r="FM32" s="293" t="str">
        <f t="shared" si="52"/>
        <v>-</v>
      </c>
      <c r="FN32" s="293" t="str">
        <f t="shared" si="52"/>
        <v>-</v>
      </c>
      <c r="FO32" s="304">
        <f t="shared" si="52"/>
        <v>0</v>
      </c>
      <c r="FP32" s="265"/>
      <c r="FQ32" s="292" t="str">
        <f t="shared" ref="FQ32:FV32" si="53">IF(FQ30&lt;&gt;"",IF(FQ31-FQ30&gt;0,"+"&amp;FQ31-FQ30,FQ31-FQ30),"-")</f>
        <v>-</v>
      </c>
      <c r="FR32" s="293" t="str">
        <f t="shared" si="53"/>
        <v>-</v>
      </c>
      <c r="FS32" s="293" t="str">
        <f t="shared" si="53"/>
        <v>-</v>
      </c>
      <c r="FT32" s="293" t="str">
        <f t="shared" si="53"/>
        <v>-</v>
      </c>
      <c r="FU32" s="293" t="str">
        <f t="shared" si="53"/>
        <v>-</v>
      </c>
      <c r="FV32" s="304">
        <f t="shared" si="53"/>
        <v>0</v>
      </c>
      <c r="FW32" s="265"/>
      <c r="FX32" s="292" t="str">
        <f t="shared" ref="FX32:GC32" si="54">IF(FX30&lt;&gt;"",IF(FX31-FX30&gt;0,"+"&amp;FX31-FX30,FX31-FX30),"-")</f>
        <v>-</v>
      </c>
      <c r="FY32" s="293" t="str">
        <f t="shared" si="54"/>
        <v>-</v>
      </c>
      <c r="FZ32" s="293" t="str">
        <f t="shared" si="54"/>
        <v>-</v>
      </c>
      <c r="GA32" s="293" t="str">
        <f t="shared" si="54"/>
        <v>-</v>
      </c>
      <c r="GB32" s="293" t="str">
        <f t="shared" si="54"/>
        <v>-</v>
      </c>
      <c r="GC32" s="304">
        <f t="shared" si="54"/>
        <v>0</v>
      </c>
      <c r="GD32" s="265"/>
      <c r="GE32" s="292" t="str">
        <f t="shared" ref="GE32:GJ32" si="55">IF(GE30&lt;&gt;"",IF(GE31-GE30&gt;0,"+"&amp;GE31-GE30,GE31-GE30),"-")</f>
        <v>-</v>
      </c>
      <c r="GF32" s="293" t="str">
        <f t="shared" si="55"/>
        <v>-</v>
      </c>
      <c r="GG32" s="293" t="str">
        <f t="shared" si="55"/>
        <v>-</v>
      </c>
      <c r="GH32" s="293" t="str">
        <f t="shared" si="55"/>
        <v>-</v>
      </c>
      <c r="GI32" s="293" t="str">
        <f t="shared" si="55"/>
        <v>-</v>
      </c>
      <c r="GJ32" s="304">
        <f t="shared" si="55"/>
        <v>0</v>
      </c>
      <c r="GK32" s="265"/>
      <c r="GL32" s="292" t="str">
        <f t="shared" ref="GL32:GQ32" si="56">IF(GL30&lt;&gt;"",IF(GL31-GL30&gt;0,"+"&amp;GL31-GL30,GL31-GL30),"-")</f>
        <v>-</v>
      </c>
      <c r="GM32" s="293" t="str">
        <f t="shared" si="56"/>
        <v>-</v>
      </c>
      <c r="GN32" s="293" t="str">
        <f t="shared" si="56"/>
        <v>-</v>
      </c>
      <c r="GO32" s="293" t="str">
        <f t="shared" si="56"/>
        <v>-</v>
      </c>
      <c r="GP32" s="293" t="str">
        <f t="shared" si="56"/>
        <v>-</v>
      </c>
      <c r="GQ32" s="304">
        <f t="shared" si="56"/>
        <v>0</v>
      </c>
      <c r="GR32" s="265"/>
      <c r="GS32" s="292" t="str">
        <f t="shared" ref="GS32:GX32" si="57">IF(GS30&lt;&gt;"",IF(GS31-GS30&gt;0,"+"&amp;GS31-GS30,GS31-GS30),"-")</f>
        <v>-</v>
      </c>
      <c r="GT32" s="293" t="str">
        <f t="shared" si="57"/>
        <v>-</v>
      </c>
      <c r="GU32" s="293" t="str">
        <f t="shared" si="57"/>
        <v>-</v>
      </c>
      <c r="GV32" s="293" t="str">
        <f t="shared" si="57"/>
        <v>-</v>
      </c>
      <c r="GW32" s="293" t="str">
        <f t="shared" si="57"/>
        <v>-</v>
      </c>
      <c r="GX32" s="304">
        <f t="shared" si="57"/>
        <v>0</v>
      </c>
      <c r="GY32" s="283"/>
    </row>
    <row r="33" spans="1:207" s="196" customFormat="1" ht="16.05" customHeight="1" x14ac:dyDescent="0.3">
      <c r="A33" s="294"/>
      <c r="B33" s="284" t="s">
        <v>426</v>
      </c>
      <c r="C33" s="285" t="s">
        <v>415</v>
      </c>
      <c r="D33" s="270"/>
      <c r="E33" s="279"/>
      <c r="F33" s="280"/>
      <c r="G33" s="280"/>
      <c r="H33" s="280"/>
      <c r="I33" s="280"/>
      <c r="J33" s="302">
        <f>SUM(E33:I33)</f>
        <v>0</v>
      </c>
      <c r="K33" s="265"/>
      <c r="L33" s="279"/>
      <c r="M33" s="280"/>
      <c r="N33" s="280"/>
      <c r="O33" s="280"/>
      <c r="P33" s="280"/>
      <c r="Q33" s="302">
        <f>SUM(L33:P33)</f>
        <v>0</v>
      </c>
      <c r="R33" s="265"/>
      <c r="S33" s="279">
        <v>2</v>
      </c>
      <c r="T33" s="280">
        <v>2</v>
      </c>
      <c r="U33" s="280">
        <v>2</v>
      </c>
      <c r="V33" s="280">
        <v>2</v>
      </c>
      <c r="W33" s="280">
        <v>2</v>
      </c>
      <c r="X33" s="302">
        <f>SUM(S33:W33)</f>
        <v>10</v>
      </c>
      <c r="Y33" s="265"/>
      <c r="Z33" s="279">
        <v>2</v>
      </c>
      <c r="AA33" s="280">
        <v>2</v>
      </c>
      <c r="AB33" s="280">
        <v>2</v>
      </c>
      <c r="AC33" s="280">
        <v>2</v>
      </c>
      <c r="AD33" s="280">
        <v>2</v>
      </c>
      <c r="AE33" s="302">
        <f>SUM(Z33:AD33)</f>
        <v>10</v>
      </c>
      <c r="AF33" s="265"/>
      <c r="AG33" s="279">
        <v>2</v>
      </c>
      <c r="AH33" s="280">
        <v>2</v>
      </c>
      <c r="AI33" s="280">
        <v>2</v>
      </c>
      <c r="AJ33" s="280">
        <v>2</v>
      </c>
      <c r="AK33" s="280">
        <v>2</v>
      </c>
      <c r="AL33" s="302">
        <f>SUM(AG33:AK33)</f>
        <v>10</v>
      </c>
      <c r="AM33" s="265"/>
      <c r="AN33" s="279"/>
      <c r="AO33" s="280"/>
      <c r="AP33" s="280"/>
      <c r="AQ33" s="280"/>
      <c r="AR33" s="280"/>
      <c r="AS33" s="302">
        <f>SUM(AN33:AR33)</f>
        <v>0</v>
      </c>
      <c r="AT33" s="265"/>
      <c r="AU33" s="279"/>
      <c r="AV33" s="280"/>
      <c r="AW33" s="280"/>
      <c r="AX33" s="280"/>
      <c r="AY33" s="280"/>
      <c r="AZ33" s="302">
        <f>SUM(AU33:AY33)</f>
        <v>0</v>
      </c>
      <c r="BA33" s="265"/>
      <c r="BB33" s="279"/>
      <c r="BC33" s="280"/>
      <c r="BD33" s="280"/>
      <c r="BE33" s="280"/>
      <c r="BF33" s="280"/>
      <c r="BG33" s="302">
        <f>SUM(BB33:BF33)</f>
        <v>0</v>
      </c>
      <c r="BH33" s="265"/>
      <c r="BI33" s="279"/>
      <c r="BJ33" s="280"/>
      <c r="BK33" s="280"/>
      <c r="BL33" s="280"/>
      <c r="BM33" s="280"/>
      <c r="BN33" s="302">
        <f>SUM(BI33:BM33)</f>
        <v>0</v>
      </c>
      <c r="BO33" s="265"/>
      <c r="BP33" s="279"/>
      <c r="BQ33" s="280"/>
      <c r="BR33" s="280"/>
      <c r="BS33" s="280"/>
      <c r="BT33" s="280"/>
      <c r="BU33" s="302">
        <f>SUM(BP33:BT33)</f>
        <v>0</v>
      </c>
      <c r="BV33" s="265"/>
      <c r="BW33" s="279"/>
      <c r="BX33" s="280"/>
      <c r="BY33" s="280"/>
      <c r="BZ33" s="280"/>
      <c r="CA33" s="280"/>
      <c r="CB33" s="302">
        <f>SUM(BW33:CA33)</f>
        <v>0</v>
      </c>
      <c r="CC33" s="265"/>
      <c r="CD33" s="279"/>
      <c r="CE33" s="280"/>
      <c r="CF33" s="280"/>
      <c r="CG33" s="280"/>
      <c r="CH33" s="280"/>
      <c r="CI33" s="302">
        <f>SUM(CD33:CH33)</f>
        <v>0</v>
      </c>
      <c r="CJ33" s="265"/>
      <c r="CK33" s="279"/>
      <c r="CL33" s="280"/>
      <c r="CM33" s="280"/>
      <c r="CN33" s="280"/>
      <c r="CO33" s="280"/>
      <c r="CP33" s="302">
        <f>SUM(CK33:CO33)</f>
        <v>0</v>
      </c>
      <c r="CQ33" s="265"/>
      <c r="CR33" s="279"/>
      <c r="CS33" s="280"/>
      <c r="CT33" s="280"/>
      <c r="CU33" s="280"/>
      <c r="CV33" s="280"/>
      <c r="CW33" s="302">
        <f>SUM(CR33:CV33)</f>
        <v>0</v>
      </c>
      <c r="CX33" s="265"/>
      <c r="CY33" s="279"/>
      <c r="CZ33" s="280"/>
      <c r="DA33" s="280"/>
      <c r="DB33" s="280"/>
      <c r="DC33" s="280"/>
      <c r="DD33" s="302">
        <f>SUM(CY33:DC33)</f>
        <v>0</v>
      </c>
      <c r="DE33" s="265"/>
      <c r="DF33" s="279"/>
      <c r="DG33" s="280"/>
      <c r="DH33" s="280"/>
      <c r="DI33" s="280"/>
      <c r="DJ33" s="280"/>
      <c r="DK33" s="302">
        <f>SUM(DF33:DJ33)</f>
        <v>0</v>
      </c>
      <c r="DL33" s="265"/>
      <c r="DM33" s="279"/>
      <c r="DN33" s="280"/>
      <c r="DO33" s="280"/>
      <c r="DP33" s="280"/>
      <c r="DQ33" s="280"/>
      <c r="DR33" s="302">
        <f>SUM(DM33:DQ33)</f>
        <v>0</v>
      </c>
      <c r="DS33" s="265"/>
      <c r="DT33" s="279"/>
      <c r="DU33" s="280"/>
      <c r="DV33" s="280"/>
      <c r="DW33" s="280"/>
      <c r="DX33" s="280"/>
      <c r="DY33" s="302">
        <f>SUM(DT33:DX33)</f>
        <v>0</v>
      </c>
      <c r="DZ33" s="265"/>
      <c r="EA33" s="279"/>
      <c r="EB33" s="280"/>
      <c r="EC33" s="280"/>
      <c r="ED33" s="280"/>
      <c r="EE33" s="280"/>
      <c r="EF33" s="302">
        <f>SUM(EA33:EE33)</f>
        <v>0</v>
      </c>
      <c r="EG33" s="265"/>
      <c r="EH33" s="279"/>
      <c r="EI33" s="280"/>
      <c r="EJ33" s="280"/>
      <c r="EK33" s="280"/>
      <c r="EL33" s="280"/>
      <c r="EM33" s="302">
        <f>SUM(EH33:EL33)</f>
        <v>0</v>
      </c>
      <c r="EN33" s="265"/>
      <c r="EO33" s="279"/>
      <c r="EP33" s="280"/>
      <c r="EQ33" s="280"/>
      <c r="ER33" s="280"/>
      <c r="ES33" s="280"/>
      <c r="ET33" s="302">
        <f>SUM(EO33:ES33)</f>
        <v>0</v>
      </c>
      <c r="EU33" s="265"/>
      <c r="EV33" s="279"/>
      <c r="EW33" s="280"/>
      <c r="EX33" s="280"/>
      <c r="EY33" s="280"/>
      <c r="EZ33" s="280"/>
      <c r="FA33" s="302">
        <f>SUM(EV33:EZ33)</f>
        <v>0</v>
      </c>
      <c r="FB33" s="265"/>
      <c r="FC33" s="279"/>
      <c r="FD33" s="280"/>
      <c r="FE33" s="280"/>
      <c r="FF33" s="280"/>
      <c r="FG33" s="280"/>
      <c r="FH33" s="302">
        <f>SUM(FC33:FG33)</f>
        <v>0</v>
      </c>
      <c r="FI33" s="265"/>
      <c r="FJ33" s="279"/>
      <c r="FK33" s="280"/>
      <c r="FL33" s="280"/>
      <c r="FM33" s="280"/>
      <c r="FN33" s="280"/>
      <c r="FO33" s="302">
        <f>SUM(FJ33:FN33)</f>
        <v>0</v>
      </c>
      <c r="FP33" s="265"/>
      <c r="FQ33" s="279"/>
      <c r="FR33" s="280"/>
      <c r="FS33" s="280"/>
      <c r="FT33" s="280"/>
      <c r="FU33" s="280"/>
      <c r="FV33" s="302">
        <f>SUM(FQ33:FU33)</f>
        <v>0</v>
      </c>
      <c r="FW33" s="265"/>
      <c r="FX33" s="279"/>
      <c r="FY33" s="280"/>
      <c r="FZ33" s="280"/>
      <c r="GA33" s="280"/>
      <c r="GB33" s="280"/>
      <c r="GC33" s="302">
        <f>SUM(FX33:GB33)</f>
        <v>0</v>
      </c>
      <c r="GD33" s="265"/>
      <c r="GE33" s="279"/>
      <c r="GF33" s="280"/>
      <c r="GG33" s="280"/>
      <c r="GH33" s="280"/>
      <c r="GI33" s="280"/>
      <c r="GJ33" s="302">
        <f>SUM(GE33:GI33)</f>
        <v>0</v>
      </c>
      <c r="GK33" s="265"/>
      <c r="GL33" s="279"/>
      <c r="GM33" s="280"/>
      <c r="GN33" s="280"/>
      <c r="GO33" s="280"/>
      <c r="GP33" s="280"/>
      <c r="GQ33" s="302">
        <f>SUM(GL33:GP33)</f>
        <v>0</v>
      </c>
      <c r="GR33" s="265"/>
      <c r="GS33" s="279"/>
      <c r="GT33" s="280"/>
      <c r="GU33" s="280"/>
      <c r="GV33" s="280"/>
      <c r="GW33" s="280"/>
      <c r="GX33" s="302">
        <f>SUM(GS33:GW33)</f>
        <v>0</v>
      </c>
      <c r="GY33" s="283"/>
    </row>
    <row r="34" spans="1:207" s="196" customFormat="1" ht="16.05" customHeight="1" x14ac:dyDescent="0.3">
      <c r="A34" s="294"/>
      <c r="B34" s="282"/>
      <c r="C34" s="286" t="s">
        <v>416</v>
      </c>
      <c r="D34" s="271"/>
      <c r="E34" s="227">
        <f>'Pilotage effectif 27O'!I46</f>
        <v>0</v>
      </c>
      <c r="F34" s="228">
        <f>'Pilotage effectif 27O'!J46</f>
        <v>0</v>
      </c>
      <c r="G34" s="228">
        <f>'Pilotage effectif 27O'!K46</f>
        <v>0</v>
      </c>
      <c r="H34" s="228">
        <f>'Pilotage effectif 27O'!L46</f>
        <v>0</v>
      </c>
      <c r="I34" s="228">
        <f>'Pilotage effectif 27O'!M46</f>
        <v>0</v>
      </c>
      <c r="J34" s="303">
        <f>'Pilotage effectif 27O'!N46</f>
        <v>0</v>
      </c>
      <c r="K34" s="265"/>
      <c r="L34" s="227">
        <f>'Pilotage effectif 27O'!P46</f>
        <v>0</v>
      </c>
      <c r="M34" s="228">
        <f>'Pilotage effectif 27O'!Q46</f>
        <v>0</v>
      </c>
      <c r="N34" s="228">
        <f>'Pilotage effectif 27O'!R46</f>
        <v>0</v>
      </c>
      <c r="O34" s="228">
        <f>'Pilotage effectif 27O'!S46</f>
        <v>0</v>
      </c>
      <c r="P34" s="228">
        <f>'Pilotage effectif 27O'!T46</f>
        <v>0</v>
      </c>
      <c r="Q34" s="303">
        <f>'Pilotage effectif 27O'!U46</f>
        <v>0</v>
      </c>
      <c r="R34" s="265"/>
      <c r="S34" s="227">
        <f>'Pilotage effectif 27O'!W46</f>
        <v>0</v>
      </c>
      <c r="T34" s="228">
        <f>'Pilotage effectif 27O'!X46</f>
        <v>0</v>
      </c>
      <c r="U34" s="228">
        <f>'Pilotage effectif 27O'!Y46</f>
        <v>0</v>
      </c>
      <c r="V34" s="228">
        <f>'Pilotage effectif 27O'!Z46</f>
        <v>0</v>
      </c>
      <c r="W34" s="228">
        <f>'Pilotage effectif 27O'!AA46</f>
        <v>0</v>
      </c>
      <c r="X34" s="303">
        <f>'Pilotage effectif 27O'!AB46</f>
        <v>0</v>
      </c>
      <c r="Y34" s="265"/>
      <c r="Z34" s="227">
        <f>'Pilotage effectif 27O'!AD46</f>
        <v>0</v>
      </c>
      <c r="AA34" s="228">
        <f>'Pilotage effectif 27O'!AE46</f>
        <v>0</v>
      </c>
      <c r="AB34" s="228">
        <f>'Pilotage effectif 27O'!AF46</f>
        <v>0</v>
      </c>
      <c r="AC34" s="228">
        <f>'Pilotage effectif 27O'!AG46</f>
        <v>0</v>
      </c>
      <c r="AD34" s="228">
        <f>'Pilotage effectif 27O'!AH46</f>
        <v>0</v>
      </c>
      <c r="AE34" s="303">
        <f>'Pilotage effectif 27O'!AI46</f>
        <v>0</v>
      </c>
      <c r="AF34" s="265"/>
      <c r="AG34" s="227">
        <f>'Pilotage effectif 27O'!AK46</f>
        <v>0</v>
      </c>
      <c r="AH34" s="228">
        <f>'Pilotage effectif 27O'!AL46</f>
        <v>0</v>
      </c>
      <c r="AI34" s="228">
        <f>'Pilotage effectif 27O'!AM46</f>
        <v>0</v>
      </c>
      <c r="AJ34" s="228">
        <f>'Pilotage effectif 27O'!AN46</f>
        <v>0</v>
      </c>
      <c r="AK34" s="228">
        <f>'Pilotage effectif 27O'!AO46</f>
        <v>0</v>
      </c>
      <c r="AL34" s="303">
        <f>'Pilotage effectif 27O'!AP46</f>
        <v>0</v>
      </c>
      <c r="AM34" s="265"/>
      <c r="AN34" s="227">
        <f>'Pilotage effectif 27O'!AR46</f>
        <v>1</v>
      </c>
      <c r="AO34" s="228">
        <f>'Pilotage effectif 27O'!AS46</f>
        <v>1</v>
      </c>
      <c r="AP34" s="228">
        <f>'Pilotage effectif 27O'!AT46</f>
        <v>1</v>
      </c>
      <c r="AQ34" s="228">
        <f>'Pilotage effectif 27O'!AU46</f>
        <v>1</v>
      </c>
      <c r="AR34" s="228">
        <f>'Pilotage effectif 27O'!AV46</f>
        <v>1</v>
      </c>
      <c r="AS34" s="303">
        <f>'Pilotage effectif 27O'!AW46</f>
        <v>5</v>
      </c>
      <c r="AT34" s="265"/>
      <c r="AU34" s="227">
        <f>'Pilotage effectif 27O'!AY46</f>
        <v>0</v>
      </c>
      <c r="AV34" s="228">
        <f>'Pilotage effectif 27O'!AZ46</f>
        <v>0</v>
      </c>
      <c r="AW34" s="228">
        <f>'Pilotage effectif 27O'!BA46</f>
        <v>0</v>
      </c>
      <c r="AX34" s="228">
        <f>'Pilotage effectif 27O'!BB46</f>
        <v>0</v>
      </c>
      <c r="AY34" s="228">
        <f>'Pilotage effectif 27O'!BC46</f>
        <v>0</v>
      </c>
      <c r="AZ34" s="303">
        <f>'Pilotage effectif 27O'!BD46</f>
        <v>0</v>
      </c>
      <c r="BA34" s="265"/>
      <c r="BB34" s="227">
        <f>'Pilotage effectif 27O'!BF46</f>
        <v>0</v>
      </c>
      <c r="BC34" s="228">
        <f>'Pilotage effectif 27O'!BG46</f>
        <v>0</v>
      </c>
      <c r="BD34" s="228">
        <f>'Pilotage effectif 27O'!BH46</f>
        <v>0</v>
      </c>
      <c r="BE34" s="228">
        <f>'Pilotage effectif 27O'!BI46</f>
        <v>0</v>
      </c>
      <c r="BF34" s="228">
        <f>'Pilotage effectif 27O'!BJ46</f>
        <v>0</v>
      </c>
      <c r="BG34" s="303">
        <f>'Pilotage effectif 27O'!BK46</f>
        <v>0</v>
      </c>
      <c r="BH34" s="265"/>
      <c r="BI34" s="227">
        <f>'Pilotage effectif 27O'!BM46</f>
        <v>0</v>
      </c>
      <c r="BJ34" s="228">
        <f>'Pilotage effectif 27O'!BN46</f>
        <v>0</v>
      </c>
      <c r="BK34" s="228">
        <f>'Pilotage effectif 27O'!BO46</f>
        <v>0</v>
      </c>
      <c r="BL34" s="228">
        <f>'Pilotage effectif 27O'!BP46</f>
        <v>0</v>
      </c>
      <c r="BM34" s="228">
        <f>'Pilotage effectif 27O'!BQ46</f>
        <v>0</v>
      </c>
      <c r="BN34" s="303">
        <f>'Pilotage effectif 27O'!BR46</f>
        <v>0</v>
      </c>
      <c r="BO34" s="265"/>
      <c r="BP34" s="227">
        <f>'Pilotage effectif 27O'!BT46</f>
        <v>0</v>
      </c>
      <c r="BQ34" s="228">
        <f>'Pilotage effectif 27O'!BU46</f>
        <v>0</v>
      </c>
      <c r="BR34" s="228">
        <f>'Pilotage effectif 27O'!BV46</f>
        <v>0</v>
      </c>
      <c r="BS34" s="228">
        <f>'Pilotage effectif 27O'!BW46</f>
        <v>0</v>
      </c>
      <c r="BT34" s="228">
        <f>'Pilotage effectif 27O'!BX46</f>
        <v>0</v>
      </c>
      <c r="BU34" s="303">
        <f>'Pilotage effectif 27O'!BY46</f>
        <v>0</v>
      </c>
      <c r="BV34" s="265"/>
      <c r="BW34" s="227">
        <f>'Pilotage effectif 27O'!CA46</f>
        <v>0</v>
      </c>
      <c r="BX34" s="228">
        <f>'Pilotage effectif 27O'!CB46</f>
        <v>0</v>
      </c>
      <c r="BY34" s="228">
        <f>'Pilotage effectif 27O'!CC46</f>
        <v>0</v>
      </c>
      <c r="BZ34" s="228">
        <f>'Pilotage effectif 27O'!CD46</f>
        <v>0</v>
      </c>
      <c r="CA34" s="228">
        <f>'Pilotage effectif 27O'!CE46</f>
        <v>0</v>
      </c>
      <c r="CB34" s="303">
        <f>'Pilotage effectif 27O'!CF46</f>
        <v>0</v>
      </c>
      <c r="CC34" s="265"/>
      <c r="CD34" s="227">
        <f>'Pilotage effectif 27O'!CH46</f>
        <v>0</v>
      </c>
      <c r="CE34" s="228">
        <f>'Pilotage effectif 27O'!CI46</f>
        <v>0</v>
      </c>
      <c r="CF34" s="228">
        <f>'Pilotage effectif 27O'!CJ46</f>
        <v>0</v>
      </c>
      <c r="CG34" s="228">
        <f>'Pilotage effectif 27O'!CK46</f>
        <v>0</v>
      </c>
      <c r="CH34" s="228">
        <f>'Pilotage effectif 27O'!CL46</f>
        <v>0</v>
      </c>
      <c r="CI34" s="303">
        <f>'Pilotage effectif 27O'!CM46</f>
        <v>0</v>
      </c>
      <c r="CJ34" s="265"/>
      <c r="CK34" s="227">
        <f>'Pilotage effectif 27O'!CO46</f>
        <v>0</v>
      </c>
      <c r="CL34" s="228">
        <f>'Pilotage effectif 27O'!CP46</f>
        <v>0</v>
      </c>
      <c r="CM34" s="228">
        <f>'Pilotage effectif 27O'!CQ46</f>
        <v>0</v>
      </c>
      <c r="CN34" s="228">
        <f>'Pilotage effectif 27O'!CR46</f>
        <v>0</v>
      </c>
      <c r="CO34" s="228">
        <f>'Pilotage effectif 27O'!CS46</f>
        <v>0</v>
      </c>
      <c r="CP34" s="303">
        <f>'Pilotage effectif 27O'!CT46</f>
        <v>0</v>
      </c>
      <c r="CQ34" s="265"/>
      <c r="CR34" s="227">
        <f>'Pilotage effectif 27O'!CV46</f>
        <v>0</v>
      </c>
      <c r="CS34" s="228">
        <f>'Pilotage effectif 27O'!CW46</f>
        <v>0</v>
      </c>
      <c r="CT34" s="228">
        <f>'Pilotage effectif 27O'!CX46</f>
        <v>0</v>
      </c>
      <c r="CU34" s="228">
        <f>'Pilotage effectif 27O'!CY46</f>
        <v>0</v>
      </c>
      <c r="CV34" s="228">
        <f>'Pilotage effectif 27O'!CZ46</f>
        <v>0</v>
      </c>
      <c r="CW34" s="303">
        <f>'Pilotage effectif 27O'!DA46</f>
        <v>0</v>
      </c>
      <c r="CX34" s="265"/>
      <c r="CY34" s="227">
        <f>'Pilotage effectif 27O'!DC46</f>
        <v>0</v>
      </c>
      <c r="CZ34" s="228">
        <f>'Pilotage effectif 27O'!DD46</f>
        <v>0</v>
      </c>
      <c r="DA34" s="228">
        <f>'Pilotage effectif 27O'!DE46</f>
        <v>0</v>
      </c>
      <c r="DB34" s="228">
        <f>'Pilotage effectif 27O'!DF46</f>
        <v>0</v>
      </c>
      <c r="DC34" s="228">
        <f>'Pilotage effectif 27O'!DG46</f>
        <v>0</v>
      </c>
      <c r="DD34" s="303">
        <f>'Pilotage effectif 27O'!DH46</f>
        <v>0</v>
      </c>
      <c r="DE34" s="265"/>
      <c r="DF34" s="227">
        <f>'Pilotage effectif 27O'!DJ46</f>
        <v>0</v>
      </c>
      <c r="DG34" s="228">
        <f>'Pilotage effectif 27O'!DK46</f>
        <v>0</v>
      </c>
      <c r="DH34" s="228">
        <f>'Pilotage effectif 27O'!DL46</f>
        <v>0</v>
      </c>
      <c r="DI34" s="228">
        <f>'Pilotage effectif 27O'!DM46</f>
        <v>0</v>
      </c>
      <c r="DJ34" s="228">
        <f>'Pilotage effectif 27O'!DN46</f>
        <v>0</v>
      </c>
      <c r="DK34" s="303">
        <f>'Pilotage effectif 27O'!DO46</f>
        <v>0</v>
      </c>
      <c r="DL34" s="265"/>
      <c r="DM34" s="227">
        <f>'Pilotage effectif 27O'!DQ46</f>
        <v>0</v>
      </c>
      <c r="DN34" s="228">
        <f>'Pilotage effectif 27O'!DR46</f>
        <v>0</v>
      </c>
      <c r="DO34" s="228">
        <f>'Pilotage effectif 27O'!DS46</f>
        <v>0</v>
      </c>
      <c r="DP34" s="228">
        <f>'Pilotage effectif 27O'!DT46</f>
        <v>0</v>
      </c>
      <c r="DQ34" s="228">
        <f>'Pilotage effectif 27O'!DU46</f>
        <v>0</v>
      </c>
      <c r="DR34" s="303">
        <f>'Pilotage effectif 27O'!DV46</f>
        <v>0</v>
      </c>
      <c r="DS34" s="265"/>
      <c r="DT34" s="227">
        <f>'Pilotage effectif 27O'!DX46</f>
        <v>0</v>
      </c>
      <c r="DU34" s="228">
        <f>'Pilotage effectif 27O'!DY46</f>
        <v>0</v>
      </c>
      <c r="DV34" s="228">
        <f>'Pilotage effectif 27O'!DZ46</f>
        <v>0</v>
      </c>
      <c r="DW34" s="228">
        <f>'Pilotage effectif 27O'!EA46</f>
        <v>0</v>
      </c>
      <c r="DX34" s="228">
        <f>'Pilotage effectif 27O'!EB46</f>
        <v>0</v>
      </c>
      <c r="DY34" s="303">
        <f>'Pilotage effectif 27O'!EC46</f>
        <v>0</v>
      </c>
      <c r="DZ34" s="265"/>
      <c r="EA34" s="227">
        <f>'Pilotage effectif 27O'!EE46</f>
        <v>0</v>
      </c>
      <c r="EB34" s="228">
        <f>'Pilotage effectif 27O'!EF46</f>
        <v>0</v>
      </c>
      <c r="EC34" s="228">
        <f>'Pilotage effectif 27O'!EG46</f>
        <v>0</v>
      </c>
      <c r="ED34" s="228">
        <f>'Pilotage effectif 27O'!EH46</f>
        <v>0</v>
      </c>
      <c r="EE34" s="228">
        <f>'Pilotage effectif 27O'!EI46</f>
        <v>0</v>
      </c>
      <c r="EF34" s="303">
        <f>'Pilotage effectif 27O'!EJ46</f>
        <v>0</v>
      </c>
      <c r="EG34" s="265"/>
      <c r="EH34" s="227">
        <f>'Pilotage effectif 27O'!EL46</f>
        <v>0</v>
      </c>
      <c r="EI34" s="228">
        <f>'Pilotage effectif 27O'!EM46</f>
        <v>0</v>
      </c>
      <c r="EJ34" s="228">
        <f>'Pilotage effectif 27O'!EN46</f>
        <v>0</v>
      </c>
      <c r="EK34" s="228">
        <f>'Pilotage effectif 27O'!EO46</f>
        <v>0</v>
      </c>
      <c r="EL34" s="228">
        <f>'Pilotage effectif 27O'!EP46</f>
        <v>0</v>
      </c>
      <c r="EM34" s="303">
        <f>'Pilotage effectif 27O'!EQ46</f>
        <v>0</v>
      </c>
      <c r="EN34" s="265"/>
      <c r="EO34" s="227">
        <f>'Pilotage effectif 27O'!ES46</f>
        <v>0</v>
      </c>
      <c r="EP34" s="228">
        <f>'Pilotage effectif 27O'!ET46</f>
        <v>0</v>
      </c>
      <c r="EQ34" s="228">
        <f>'Pilotage effectif 27O'!EU46</f>
        <v>0</v>
      </c>
      <c r="ER34" s="228">
        <f>'Pilotage effectif 27O'!EV46</f>
        <v>0</v>
      </c>
      <c r="ES34" s="228">
        <f>'Pilotage effectif 27O'!EW46</f>
        <v>0</v>
      </c>
      <c r="ET34" s="303">
        <f>'Pilotage effectif 27O'!EX46</f>
        <v>0</v>
      </c>
      <c r="EU34" s="265"/>
      <c r="EV34" s="227">
        <f>'Pilotage effectif 27O'!EZ46</f>
        <v>0</v>
      </c>
      <c r="EW34" s="228">
        <f>'Pilotage effectif 27O'!FA46</f>
        <v>0</v>
      </c>
      <c r="EX34" s="228">
        <f>'Pilotage effectif 27O'!FB46</f>
        <v>0</v>
      </c>
      <c r="EY34" s="228">
        <f>'Pilotage effectif 27O'!FC46</f>
        <v>0</v>
      </c>
      <c r="EZ34" s="228">
        <f>'Pilotage effectif 27O'!FD46</f>
        <v>0</v>
      </c>
      <c r="FA34" s="303">
        <f>'Pilotage effectif 27O'!FE46</f>
        <v>0</v>
      </c>
      <c r="FB34" s="265"/>
      <c r="FC34" s="227">
        <f>'Pilotage effectif 27O'!FG46</f>
        <v>0</v>
      </c>
      <c r="FD34" s="228">
        <f>'Pilotage effectif 27O'!FH46</f>
        <v>0</v>
      </c>
      <c r="FE34" s="228">
        <f>'Pilotage effectif 27O'!FI46</f>
        <v>0</v>
      </c>
      <c r="FF34" s="228">
        <f>'Pilotage effectif 27O'!FJ46</f>
        <v>0</v>
      </c>
      <c r="FG34" s="228">
        <f>'Pilotage effectif 27O'!FK46</f>
        <v>0</v>
      </c>
      <c r="FH34" s="303">
        <f>'Pilotage effectif 27O'!FL46</f>
        <v>0</v>
      </c>
      <c r="FI34" s="265"/>
      <c r="FJ34" s="227">
        <f>'Pilotage effectif 27O'!FN46</f>
        <v>0</v>
      </c>
      <c r="FK34" s="228">
        <f>'Pilotage effectif 27O'!FO46</f>
        <v>0</v>
      </c>
      <c r="FL34" s="228">
        <f>'Pilotage effectif 27O'!FP46</f>
        <v>0</v>
      </c>
      <c r="FM34" s="228">
        <f>'Pilotage effectif 27O'!FQ46</f>
        <v>0</v>
      </c>
      <c r="FN34" s="228">
        <f>'Pilotage effectif 27O'!FR46</f>
        <v>0</v>
      </c>
      <c r="FO34" s="303">
        <f>'Pilotage effectif 27O'!FS46</f>
        <v>0</v>
      </c>
      <c r="FP34" s="265"/>
      <c r="FQ34" s="227">
        <f>'Pilotage effectif 27O'!FU46</f>
        <v>0</v>
      </c>
      <c r="FR34" s="228">
        <f>'Pilotage effectif 27O'!FV46</f>
        <v>0</v>
      </c>
      <c r="FS34" s="228">
        <f>'Pilotage effectif 27O'!FW46</f>
        <v>0</v>
      </c>
      <c r="FT34" s="228">
        <f>'Pilotage effectif 27O'!FX46</f>
        <v>0</v>
      </c>
      <c r="FU34" s="228">
        <f>'Pilotage effectif 27O'!FY46</f>
        <v>0</v>
      </c>
      <c r="FV34" s="303">
        <f>'Pilotage effectif 27O'!FZ46</f>
        <v>0</v>
      </c>
      <c r="FW34" s="265"/>
      <c r="FX34" s="227">
        <f>'Pilotage effectif 27O'!GB46</f>
        <v>0</v>
      </c>
      <c r="FY34" s="228">
        <f>'Pilotage effectif 27O'!GC46</f>
        <v>0</v>
      </c>
      <c r="FZ34" s="228">
        <f>'Pilotage effectif 27O'!GD46</f>
        <v>0</v>
      </c>
      <c r="GA34" s="228">
        <f>'Pilotage effectif 27O'!GE46</f>
        <v>0</v>
      </c>
      <c r="GB34" s="228">
        <f>'Pilotage effectif 27O'!GF46</f>
        <v>0</v>
      </c>
      <c r="GC34" s="303">
        <f>'Pilotage effectif 27O'!GG46</f>
        <v>0</v>
      </c>
      <c r="GD34" s="265"/>
      <c r="GE34" s="227">
        <f>'Pilotage effectif 27O'!GI46</f>
        <v>0</v>
      </c>
      <c r="GF34" s="228">
        <f>'Pilotage effectif 27O'!GJ46</f>
        <v>0</v>
      </c>
      <c r="GG34" s="228">
        <f>'Pilotage effectif 27O'!GK46</f>
        <v>0</v>
      </c>
      <c r="GH34" s="228">
        <f>'Pilotage effectif 27O'!GL46</f>
        <v>0</v>
      </c>
      <c r="GI34" s="228">
        <f>'Pilotage effectif 27O'!GM46</f>
        <v>0</v>
      </c>
      <c r="GJ34" s="303">
        <f>'Pilotage effectif 27O'!GN46</f>
        <v>0</v>
      </c>
      <c r="GK34" s="265"/>
      <c r="GL34" s="227">
        <f>'Pilotage effectif 27O'!GP46</f>
        <v>0</v>
      </c>
      <c r="GM34" s="228">
        <f>'Pilotage effectif 27O'!GQ46</f>
        <v>0</v>
      </c>
      <c r="GN34" s="228">
        <f>'Pilotage effectif 27O'!GR46</f>
        <v>0</v>
      </c>
      <c r="GO34" s="228">
        <f>'Pilotage effectif 27O'!GS46</f>
        <v>0</v>
      </c>
      <c r="GP34" s="228">
        <f>'Pilotage effectif 27O'!GT46</f>
        <v>0</v>
      </c>
      <c r="GQ34" s="303">
        <f>'Pilotage effectif 27O'!GU46</f>
        <v>0</v>
      </c>
      <c r="GR34" s="265"/>
      <c r="GS34" s="227">
        <f>'Pilotage effectif 27O'!GW46</f>
        <v>0</v>
      </c>
      <c r="GT34" s="228">
        <f>'Pilotage effectif 27O'!GX46</f>
        <v>0</v>
      </c>
      <c r="GU34" s="228">
        <f>'Pilotage effectif 27O'!GY46</f>
        <v>0</v>
      </c>
      <c r="GV34" s="228">
        <f>'Pilotage effectif 27O'!GZ46</f>
        <v>0</v>
      </c>
      <c r="GW34" s="228">
        <f>'Pilotage effectif 27O'!HA46</f>
        <v>0</v>
      </c>
      <c r="GX34" s="303">
        <f>'Pilotage effectif 27O'!HB46</f>
        <v>0</v>
      </c>
      <c r="GY34" s="283"/>
    </row>
    <row r="35" spans="1:207" s="196" customFormat="1" ht="16.05" customHeight="1" thickBot="1" x14ac:dyDescent="0.35">
      <c r="A35" s="294"/>
      <c r="B35" s="282"/>
      <c r="C35" s="287" t="s">
        <v>690</v>
      </c>
      <c r="D35" s="271"/>
      <c r="E35" s="292" t="str">
        <f t="shared" ref="E35:J35" si="58">IF(E33&lt;&gt;"",IF(E34-E33&gt;0,"+"&amp;E34-E33,E34-E33),"-")</f>
        <v>-</v>
      </c>
      <c r="F35" s="293" t="str">
        <f t="shared" si="58"/>
        <v>-</v>
      </c>
      <c r="G35" s="293" t="str">
        <f t="shared" si="58"/>
        <v>-</v>
      </c>
      <c r="H35" s="293" t="str">
        <f t="shared" si="58"/>
        <v>-</v>
      </c>
      <c r="I35" s="293" t="str">
        <f t="shared" si="58"/>
        <v>-</v>
      </c>
      <c r="J35" s="304">
        <f t="shared" si="58"/>
        <v>0</v>
      </c>
      <c r="K35" s="265"/>
      <c r="L35" s="292" t="str">
        <f t="shared" ref="L35:Q35" si="59">IF(L33&lt;&gt;"",IF(L34-L33&gt;0,"+"&amp;L34-L33,L34-L33),"-")</f>
        <v>-</v>
      </c>
      <c r="M35" s="293" t="str">
        <f t="shared" si="59"/>
        <v>-</v>
      </c>
      <c r="N35" s="293" t="str">
        <f t="shared" si="59"/>
        <v>-</v>
      </c>
      <c r="O35" s="293" t="str">
        <f t="shared" si="59"/>
        <v>-</v>
      </c>
      <c r="P35" s="293" t="str">
        <f t="shared" si="59"/>
        <v>-</v>
      </c>
      <c r="Q35" s="304">
        <f t="shared" si="59"/>
        <v>0</v>
      </c>
      <c r="R35" s="265"/>
      <c r="S35" s="292">
        <f t="shared" ref="S35:X35" si="60">IF(S33&lt;&gt;"",IF(S34-S33&gt;0,"+"&amp;S34-S33,S34-S33),"-")</f>
        <v>-2</v>
      </c>
      <c r="T35" s="293">
        <f t="shared" si="60"/>
        <v>-2</v>
      </c>
      <c r="U35" s="293">
        <f t="shared" si="60"/>
        <v>-2</v>
      </c>
      <c r="V35" s="293">
        <f t="shared" si="60"/>
        <v>-2</v>
      </c>
      <c r="W35" s="293">
        <f t="shared" si="60"/>
        <v>-2</v>
      </c>
      <c r="X35" s="304">
        <f t="shared" si="60"/>
        <v>-10</v>
      </c>
      <c r="Y35" s="265"/>
      <c r="Z35" s="292">
        <f t="shared" ref="Z35:AE35" si="61">IF(Z33&lt;&gt;"",IF(Z34-Z33&gt;0,"+"&amp;Z34-Z33,Z34-Z33),"-")</f>
        <v>-2</v>
      </c>
      <c r="AA35" s="293">
        <f t="shared" si="61"/>
        <v>-2</v>
      </c>
      <c r="AB35" s="293">
        <f t="shared" si="61"/>
        <v>-2</v>
      </c>
      <c r="AC35" s="293">
        <f t="shared" si="61"/>
        <v>-2</v>
      </c>
      <c r="AD35" s="293">
        <f t="shared" si="61"/>
        <v>-2</v>
      </c>
      <c r="AE35" s="304">
        <f t="shared" si="61"/>
        <v>-10</v>
      </c>
      <c r="AF35" s="265"/>
      <c r="AG35" s="292">
        <f t="shared" ref="AG35:AL35" si="62">IF(AG33&lt;&gt;"",IF(AG34-AG33&gt;0,"+"&amp;AG34-AG33,AG34-AG33),"-")</f>
        <v>-2</v>
      </c>
      <c r="AH35" s="293">
        <f t="shared" si="62"/>
        <v>-2</v>
      </c>
      <c r="AI35" s="293">
        <f t="shared" si="62"/>
        <v>-2</v>
      </c>
      <c r="AJ35" s="293">
        <f t="shared" si="62"/>
        <v>-2</v>
      </c>
      <c r="AK35" s="293">
        <f t="shared" si="62"/>
        <v>-2</v>
      </c>
      <c r="AL35" s="304">
        <f t="shared" si="62"/>
        <v>-10</v>
      </c>
      <c r="AM35" s="265"/>
      <c r="AN35" s="292" t="str">
        <f t="shared" ref="AN35:AS35" si="63">IF(AN33&lt;&gt;"",IF(AN34-AN33&gt;0,"+"&amp;AN34-AN33,AN34-AN33),"-")</f>
        <v>-</v>
      </c>
      <c r="AO35" s="293" t="str">
        <f t="shared" si="63"/>
        <v>-</v>
      </c>
      <c r="AP35" s="293" t="str">
        <f t="shared" si="63"/>
        <v>-</v>
      </c>
      <c r="AQ35" s="293" t="str">
        <f t="shared" si="63"/>
        <v>-</v>
      </c>
      <c r="AR35" s="293" t="str">
        <f t="shared" si="63"/>
        <v>-</v>
      </c>
      <c r="AS35" s="304" t="str">
        <f t="shared" si="63"/>
        <v>+5</v>
      </c>
      <c r="AT35" s="265"/>
      <c r="AU35" s="292" t="str">
        <f t="shared" ref="AU35:AZ35" si="64">IF(AU33&lt;&gt;"",IF(AU34-AU33&gt;0,"+"&amp;AU34-AU33,AU34-AU33),"-")</f>
        <v>-</v>
      </c>
      <c r="AV35" s="293" t="str">
        <f t="shared" si="64"/>
        <v>-</v>
      </c>
      <c r="AW35" s="293" t="str">
        <f t="shared" si="64"/>
        <v>-</v>
      </c>
      <c r="AX35" s="293" t="str">
        <f t="shared" si="64"/>
        <v>-</v>
      </c>
      <c r="AY35" s="293" t="str">
        <f t="shared" si="64"/>
        <v>-</v>
      </c>
      <c r="AZ35" s="304">
        <f t="shared" si="64"/>
        <v>0</v>
      </c>
      <c r="BA35" s="265"/>
      <c r="BB35" s="292" t="str">
        <f t="shared" ref="BB35:BG35" si="65">IF(BB33&lt;&gt;"",IF(BB34-BB33&gt;0,"+"&amp;BB34-BB33,BB34-BB33),"-")</f>
        <v>-</v>
      </c>
      <c r="BC35" s="293" t="str">
        <f t="shared" si="65"/>
        <v>-</v>
      </c>
      <c r="BD35" s="293" t="str">
        <f t="shared" si="65"/>
        <v>-</v>
      </c>
      <c r="BE35" s="293" t="str">
        <f t="shared" si="65"/>
        <v>-</v>
      </c>
      <c r="BF35" s="293" t="str">
        <f t="shared" si="65"/>
        <v>-</v>
      </c>
      <c r="BG35" s="304">
        <f t="shared" si="65"/>
        <v>0</v>
      </c>
      <c r="BH35" s="265"/>
      <c r="BI35" s="292" t="str">
        <f t="shared" ref="BI35:BN35" si="66">IF(BI33&lt;&gt;"",IF(BI34-BI33&gt;0,"+"&amp;BI34-BI33,BI34-BI33),"-")</f>
        <v>-</v>
      </c>
      <c r="BJ35" s="293" t="str">
        <f t="shared" si="66"/>
        <v>-</v>
      </c>
      <c r="BK35" s="293" t="str">
        <f t="shared" si="66"/>
        <v>-</v>
      </c>
      <c r="BL35" s="293" t="str">
        <f t="shared" si="66"/>
        <v>-</v>
      </c>
      <c r="BM35" s="293" t="str">
        <f t="shared" si="66"/>
        <v>-</v>
      </c>
      <c r="BN35" s="304">
        <f t="shared" si="66"/>
        <v>0</v>
      </c>
      <c r="BO35" s="265"/>
      <c r="BP35" s="292" t="str">
        <f t="shared" ref="BP35:BU35" si="67">IF(BP33&lt;&gt;"",IF(BP34-BP33&gt;0,"+"&amp;BP34-BP33,BP34-BP33),"-")</f>
        <v>-</v>
      </c>
      <c r="BQ35" s="293" t="str">
        <f t="shared" si="67"/>
        <v>-</v>
      </c>
      <c r="BR35" s="293" t="str">
        <f t="shared" si="67"/>
        <v>-</v>
      </c>
      <c r="BS35" s="293" t="str">
        <f t="shared" si="67"/>
        <v>-</v>
      </c>
      <c r="BT35" s="293" t="str">
        <f t="shared" si="67"/>
        <v>-</v>
      </c>
      <c r="BU35" s="304">
        <f t="shared" si="67"/>
        <v>0</v>
      </c>
      <c r="BV35" s="265"/>
      <c r="BW35" s="292" t="str">
        <f t="shared" ref="BW35:CB35" si="68">IF(BW33&lt;&gt;"",IF(BW34-BW33&gt;0,"+"&amp;BW34-BW33,BW34-BW33),"-")</f>
        <v>-</v>
      </c>
      <c r="BX35" s="293" t="str">
        <f t="shared" si="68"/>
        <v>-</v>
      </c>
      <c r="BY35" s="293" t="str">
        <f t="shared" si="68"/>
        <v>-</v>
      </c>
      <c r="BZ35" s="293" t="str">
        <f t="shared" si="68"/>
        <v>-</v>
      </c>
      <c r="CA35" s="293" t="str">
        <f t="shared" si="68"/>
        <v>-</v>
      </c>
      <c r="CB35" s="304">
        <f t="shared" si="68"/>
        <v>0</v>
      </c>
      <c r="CC35" s="265"/>
      <c r="CD35" s="292" t="str">
        <f t="shared" ref="CD35:CI35" si="69">IF(CD33&lt;&gt;"",IF(CD34-CD33&gt;0,"+"&amp;CD34-CD33,CD34-CD33),"-")</f>
        <v>-</v>
      </c>
      <c r="CE35" s="293" t="str">
        <f t="shared" si="69"/>
        <v>-</v>
      </c>
      <c r="CF35" s="293" t="str">
        <f t="shared" si="69"/>
        <v>-</v>
      </c>
      <c r="CG35" s="293" t="str">
        <f t="shared" si="69"/>
        <v>-</v>
      </c>
      <c r="CH35" s="293" t="str">
        <f t="shared" si="69"/>
        <v>-</v>
      </c>
      <c r="CI35" s="304">
        <f t="shared" si="69"/>
        <v>0</v>
      </c>
      <c r="CJ35" s="265"/>
      <c r="CK35" s="292" t="str">
        <f t="shared" ref="CK35:CP35" si="70">IF(CK33&lt;&gt;"",IF(CK34-CK33&gt;0,"+"&amp;CK34-CK33,CK34-CK33),"-")</f>
        <v>-</v>
      </c>
      <c r="CL35" s="293" t="str">
        <f t="shared" si="70"/>
        <v>-</v>
      </c>
      <c r="CM35" s="293" t="str">
        <f t="shared" si="70"/>
        <v>-</v>
      </c>
      <c r="CN35" s="293" t="str">
        <f t="shared" si="70"/>
        <v>-</v>
      </c>
      <c r="CO35" s="293" t="str">
        <f t="shared" si="70"/>
        <v>-</v>
      </c>
      <c r="CP35" s="304">
        <f t="shared" si="70"/>
        <v>0</v>
      </c>
      <c r="CQ35" s="265"/>
      <c r="CR35" s="292" t="str">
        <f t="shared" ref="CR35:CW35" si="71">IF(CR33&lt;&gt;"",IF(CR34-CR33&gt;0,"+"&amp;CR34-CR33,CR34-CR33),"-")</f>
        <v>-</v>
      </c>
      <c r="CS35" s="293" t="str">
        <f t="shared" si="71"/>
        <v>-</v>
      </c>
      <c r="CT35" s="293" t="str">
        <f t="shared" si="71"/>
        <v>-</v>
      </c>
      <c r="CU35" s="293" t="str">
        <f t="shared" si="71"/>
        <v>-</v>
      </c>
      <c r="CV35" s="293" t="str">
        <f t="shared" si="71"/>
        <v>-</v>
      </c>
      <c r="CW35" s="304">
        <f t="shared" si="71"/>
        <v>0</v>
      </c>
      <c r="CX35" s="265"/>
      <c r="CY35" s="292" t="str">
        <f t="shared" ref="CY35:DD35" si="72">IF(CY33&lt;&gt;"",IF(CY34-CY33&gt;0,"+"&amp;CY34-CY33,CY34-CY33),"-")</f>
        <v>-</v>
      </c>
      <c r="CZ35" s="293" t="str">
        <f t="shared" si="72"/>
        <v>-</v>
      </c>
      <c r="DA35" s="293" t="str">
        <f t="shared" si="72"/>
        <v>-</v>
      </c>
      <c r="DB35" s="293" t="str">
        <f t="shared" si="72"/>
        <v>-</v>
      </c>
      <c r="DC35" s="293" t="str">
        <f t="shared" si="72"/>
        <v>-</v>
      </c>
      <c r="DD35" s="304">
        <f t="shared" si="72"/>
        <v>0</v>
      </c>
      <c r="DE35" s="265"/>
      <c r="DF35" s="292" t="str">
        <f t="shared" ref="DF35:DK35" si="73">IF(DF33&lt;&gt;"",IF(DF34-DF33&gt;0,"+"&amp;DF34-DF33,DF34-DF33),"-")</f>
        <v>-</v>
      </c>
      <c r="DG35" s="293" t="str">
        <f t="shared" si="73"/>
        <v>-</v>
      </c>
      <c r="DH35" s="293" t="str">
        <f t="shared" si="73"/>
        <v>-</v>
      </c>
      <c r="DI35" s="293" t="str">
        <f t="shared" si="73"/>
        <v>-</v>
      </c>
      <c r="DJ35" s="293" t="str">
        <f t="shared" si="73"/>
        <v>-</v>
      </c>
      <c r="DK35" s="304">
        <f t="shared" si="73"/>
        <v>0</v>
      </c>
      <c r="DL35" s="265"/>
      <c r="DM35" s="292" t="str">
        <f t="shared" ref="DM35:DR35" si="74">IF(DM33&lt;&gt;"",IF(DM34-DM33&gt;0,"+"&amp;DM34-DM33,DM34-DM33),"-")</f>
        <v>-</v>
      </c>
      <c r="DN35" s="293" t="str">
        <f t="shared" si="74"/>
        <v>-</v>
      </c>
      <c r="DO35" s="293" t="str">
        <f t="shared" si="74"/>
        <v>-</v>
      </c>
      <c r="DP35" s="293" t="str">
        <f t="shared" si="74"/>
        <v>-</v>
      </c>
      <c r="DQ35" s="293" t="str">
        <f t="shared" si="74"/>
        <v>-</v>
      </c>
      <c r="DR35" s="304">
        <f t="shared" si="74"/>
        <v>0</v>
      </c>
      <c r="DS35" s="265"/>
      <c r="DT35" s="292" t="str">
        <f t="shared" ref="DT35:DY35" si="75">IF(DT33&lt;&gt;"",IF(DT34-DT33&gt;0,"+"&amp;DT34-DT33,DT34-DT33),"-")</f>
        <v>-</v>
      </c>
      <c r="DU35" s="293" t="str">
        <f t="shared" si="75"/>
        <v>-</v>
      </c>
      <c r="DV35" s="293" t="str">
        <f t="shared" si="75"/>
        <v>-</v>
      </c>
      <c r="DW35" s="293" t="str">
        <f t="shared" si="75"/>
        <v>-</v>
      </c>
      <c r="DX35" s="293" t="str">
        <f t="shared" si="75"/>
        <v>-</v>
      </c>
      <c r="DY35" s="304">
        <f t="shared" si="75"/>
        <v>0</v>
      </c>
      <c r="DZ35" s="265"/>
      <c r="EA35" s="292" t="str">
        <f t="shared" ref="EA35:EF35" si="76">IF(EA33&lt;&gt;"",IF(EA34-EA33&gt;0,"+"&amp;EA34-EA33,EA34-EA33),"-")</f>
        <v>-</v>
      </c>
      <c r="EB35" s="293" t="str">
        <f t="shared" si="76"/>
        <v>-</v>
      </c>
      <c r="EC35" s="293" t="str">
        <f t="shared" si="76"/>
        <v>-</v>
      </c>
      <c r="ED35" s="293" t="str">
        <f t="shared" si="76"/>
        <v>-</v>
      </c>
      <c r="EE35" s="293" t="str">
        <f t="shared" si="76"/>
        <v>-</v>
      </c>
      <c r="EF35" s="304">
        <f t="shared" si="76"/>
        <v>0</v>
      </c>
      <c r="EG35" s="265"/>
      <c r="EH35" s="292" t="str">
        <f t="shared" ref="EH35:EM35" si="77">IF(EH33&lt;&gt;"",IF(EH34-EH33&gt;0,"+"&amp;EH34-EH33,EH34-EH33),"-")</f>
        <v>-</v>
      </c>
      <c r="EI35" s="293" t="str">
        <f t="shared" si="77"/>
        <v>-</v>
      </c>
      <c r="EJ35" s="293" t="str">
        <f t="shared" si="77"/>
        <v>-</v>
      </c>
      <c r="EK35" s="293" t="str">
        <f t="shared" si="77"/>
        <v>-</v>
      </c>
      <c r="EL35" s="293" t="str">
        <f t="shared" si="77"/>
        <v>-</v>
      </c>
      <c r="EM35" s="304">
        <f t="shared" si="77"/>
        <v>0</v>
      </c>
      <c r="EN35" s="265"/>
      <c r="EO35" s="292" t="str">
        <f t="shared" ref="EO35:ET35" si="78">IF(EO33&lt;&gt;"",IF(EO34-EO33&gt;0,"+"&amp;EO34-EO33,EO34-EO33),"-")</f>
        <v>-</v>
      </c>
      <c r="EP35" s="293" t="str">
        <f t="shared" si="78"/>
        <v>-</v>
      </c>
      <c r="EQ35" s="293" t="str">
        <f t="shared" si="78"/>
        <v>-</v>
      </c>
      <c r="ER35" s="293" t="str">
        <f t="shared" si="78"/>
        <v>-</v>
      </c>
      <c r="ES35" s="293" t="str">
        <f t="shared" si="78"/>
        <v>-</v>
      </c>
      <c r="ET35" s="304">
        <f t="shared" si="78"/>
        <v>0</v>
      </c>
      <c r="EU35" s="265"/>
      <c r="EV35" s="292" t="str">
        <f t="shared" ref="EV35:FA35" si="79">IF(EV33&lt;&gt;"",IF(EV34-EV33&gt;0,"+"&amp;EV34-EV33,EV34-EV33),"-")</f>
        <v>-</v>
      </c>
      <c r="EW35" s="293" t="str">
        <f t="shared" si="79"/>
        <v>-</v>
      </c>
      <c r="EX35" s="293" t="str">
        <f t="shared" si="79"/>
        <v>-</v>
      </c>
      <c r="EY35" s="293" t="str">
        <f t="shared" si="79"/>
        <v>-</v>
      </c>
      <c r="EZ35" s="293" t="str">
        <f t="shared" si="79"/>
        <v>-</v>
      </c>
      <c r="FA35" s="304">
        <f t="shared" si="79"/>
        <v>0</v>
      </c>
      <c r="FB35" s="265"/>
      <c r="FC35" s="292" t="str">
        <f t="shared" ref="FC35:FH35" si="80">IF(FC33&lt;&gt;"",IF(FC34-FC33&gt;0,"+"&amp;FC34-FC33,FC34-FC33),"-")</f>
        <v>-</v>
      </c>
      <c r="FD35" s="293" t="str">
        <f t="shared" si="80"/>
        <v>-</v>
      </c>
      <c r="FE35" s="293" t="str">
        <f t="shared" si="80"/>
        <v>-</v>
      </c>
      <c r="FF35" s="293" t="str">
        <f t="shared" si="80"/>
        <v>-</v>
      </c>
      <c r="FG35" s="293" t="str">
        <f t="shared" si="80"/>
        <v>-</v>
      </c>
      <c r="FH35" s="304">
        <f t="shared" si="80"/>
        <v>0</v>
      </c>
      <c r="FI35" s="265"/>
      <c r="FJ35" s="292" t="str">
        <f t="shared" ref="FJ35:FO35" si="81">IF(FJ33&lt;&gt;"",IF(FJ34-FJ33&gt;0,"+"&amp;FJ34-FJ33,FJ34-FJ33),"-")</f>
        <v>-</v>
      </c>
      <c r="FK35" s="293" t="str">
        <f t="shared" si="81"/>
        <v>-</v>
      </c>
      <c r="FL35" s="293" t="str">
        <f t="shared" si="81"/>
        <v>-</v>
      </c>
      <c r="FM35" s="293" t="str">
        <f t="shared" si="81"/>
        <v>-</v>
      </c>
      <c r="FN35" s="293" t="str">
        <f t="shared" si="81"/>
        <v>-</v>
      </c>
      <c r="FO35" s="304">
        <f t="shared" si="81"/>
        <v>0</v>
      </c>
      <c r="FP35" s="265"/>
      <c r="FQ35" s="292" t="str">
        <f t="shared" ref="FQ35:FV35" si="82">IF(FQ33&lt;&gt;"",IF(FQ34-FQ33&gt;0,"+"&amp;FQ34-FQ33,FQ34-FQ33),"-")</f>
        <v>-</v>
      </c>
      <c r="FR35" s="293" t="str">
        <f t="shared" si="82"/>
        <v>-</v>
      </c>
      <c r="FS35" s="293" t="str">
        <f t="shared" si="82"/>
        <v>-</v>
      </c>
      <c r="FT35" s="293" t="str">
        <f t="shared" si="82"/>
        <v>-</v>
      </c>
      <c r="FU35" s="293" t="str">
        <f t="shared" si="82"/>
        <v>-</v>
      </c>
      <c r="FV35" s="304">
        <f t="shared" si="82"/>
        <v>0</v>
      </c>
      <c r="FW35" s="265"/>
      <c r="FX35" s="292" t="str">
        <f t="shared" ref="FX35:GC35" si="83">IF(FX33&lt;&gt;"",IF(FX34-FX33&gt;0,"+"&amp;FX34-FX33,FX34-FX33),"-")</f>
        <v>-</v>
      </c>
      <c r="FY35" s="293" t="str">
        <f t="shared" si="83"/>
        <v>-</v>
      </c>
      <c r="FZ35" s="293" t="str">
        <f t="shared" si="83"/>
        <v>-</v>
      </c>
      <c r="GA35" s="293" t="str">
        <f t="shared" si="83"/>
        <v>-</v>
      </c>
      <c r="GB35" s="293" t="str">
        <f t="shared" si="83"/>
        <v>-</v>
      </c>
      <c r="GC35" s="304">
        <f t="shared" si="83"/>
        <v>0</v>
      </c>
      <c r="GD35" s="265"/>
      <c r="GE35" s="292" t="str">
        <f t="shared" ref="GE35:GJ35" si="84">IF(GE33&lt;&gt;"",IF(GE34-GE33&gt;0,"+"&amp;GE34-GE33,GE34-GE33),"-")</f>
        <v>-</v>
      </c>
      <c r="GF35" s="293" t="str">
        <f t="shared" si="84"/>
        <v>-</v>
      </c>
      <c r="GG35" s="293" t="str">
        <f t="shared" si="84"/>
        <v>-</v>
      </c>
      <c r="GH35" s="293" t="str">
        <f t="shared" si="84"/>
        <v>-</v>
      </c>
      <c r="GI35" s="293" t="str">
        <f t="shared" si="84"/>
        <v>-</v>
      </c>
      <c r="GJ35" s="304">
        <f t="shared" si="84"/>
        <v>0</v>
      </c>
      <c r="GK35" s="265"/>
      <c r="GL35" s="292" t="str">
        <f t="shared" ref="GL35:GQ35" si="85">IF(GL33&lt;&gt;"",IF(GL34-GL33&gt;0,"+"&amp;GL34-GL33,GL34-GL33),"-")</f>
        <v>-</v>
      </c>
      <c r="GM35" s="293" t="str">
        <f t="shared" si="85"/>
        <v>-</v>
      </c>
      <c r="GN35" s="293" t="str">
        <f t="shared" si="85"/>
        <v>-</v>
      </c>
      <c r="GO35" s="293" t="str">
        <f t="shared" si="85"/>
        <v>-</v>
      </c>
      <c r="GP35" s="293" t="str">
        <f t="shared" si="85"/>
        <v>-</v>
      </c>
      <c r="GQ35" s="304">
        <f t="shared" si="85"/>
        <v>0</v>
      </c>
      <c r="GR35" s="265"/>
      <c r="GS35" s="292" t="str">
        <f t="shared" ref="GS35:GX35" si="86">IF(GS33&lt;&gt;"",IF(GS34-GS33&gt;0,"+"&amp;GS34-GS33,GS34-GS33),"-")</f>
        <v>-</v>
      </c>
      <c r="GT35" s="293" t="str">
        <f t="shared" si="86"/>
        <v>-</v>
      </c>
      <c r="GU35" s="293" t="str">
        <f t="shared" si="86"/>
        <v>-</v>
      </c>
      <c r="GV35" s="293" t="str">
        <f t="shared" si="86"/>
        <v>-</v>
      </c>
      <c r="GW35" s="293" t="str">
        <f t="shared" si="86"/>
        <v>-</v>
      </c>
      <c r="GX35" s="304">
        <f t="shared" si="86"/>
        <v>0</v>
      </c>
      <c r="GY35" s="283"/>
    </row>
    <row r="36" spans="1:207" s="196" customFormat="1" ht="16.05" customHeight="1" x14ac:dyDescent="0.3">
      <c r="A36" s="294"/>
      <c r="B36" s="284" t="s">
        <v>427</v>
      </c>
      <c r="C36" s="285" t="s">
        <v>415</v>
      </c>
      <c r="D36" s="270"/>
      <c r="E36" s="279"/>
      <c r="F36" s="280"/>
      <c r="G36" s="280"/>
      <c r="H36" s="280"/>
      <c r="I36" s="280"/>
      <c r="J36" s="302">
        <f>SUM(E36:I36)</f>
        <v>0</v>
      </c>
      <c r="K36" s="265"/>
      <c r="L36" s="279">
        <v>3</v>
      </c>
      <c r="M36" s="280">
        <v>3</v>
      </c>
      <c r="N36" s="280">
        <v>3</v>
      </c>
      <c r="O36" s="280">
        <v>3</v>
      </c>
      <c r="P36" s="280">
        <v>3</v>
      </c>
      <c r="Q36" s="302">
        <f>SUM(L36:P36)</f>
        <v>15</v>
      </c>
      <c r="R36" s="265"/>
      <c r="S36" s="279">
        <v>3</v>
      </c>
      <c r="T36" s="280">
        <v>3</v>
      </c>
      <c r="U36" s="280">
        <v>3</v>
      </c>
      <c r="V36" s="280">
        <v>3</v>
      </c>
      <c r="W36" s="280">
        <v>3</v>
      </c>
      <c r="X36" s="302">
        <f>SUM(S36:W36)</f>
        <v>15</v>
      </c>
      <c r="Y36" s="265"/>
      <c r="Z36" s="279">
        <v>3</v>
      </c>
      <c r="AA36" s="280">
        <v>3</v>
      </c>
      <c r="AB36" s="280">
        <v>3</v>
      </c>
      <c r="AC36" s="280">
        <v>3</v>
      </c>
      <c r="AD36" s="280">
        <v>3</v>
      </c>
      <c r="AE36" s="302">
        <f>SUM(Z36:AD36)</f>
        <v>15</v>
      </c>
      <c r="AF36" s="265"/>
      <c r="AG36" s="279">
        <v>3</v>
      </c>
      <c r="AH36" s="280">
        <v>3</v>
      </c>
      <c r="AI36" s="280">
        <v>3</v>
      </c>
      <c r="AJ36" s="280">
        <v>3</v>
      </c>
      <c r="AK36" s="280">
        <v>3</v>
      </c>
      <c r="AL36" s="302">
        <f>SUM(AG36:AK36)</f>
        <v>15</v>
      </c>
      <c r="AM36" s="265"/>
      <c r="AN36" s="279">
        <v>3</v>
      </c>
      <c r="AO36" s="280">
        <v>3</v>
      </c>
      <c r="AP36" s="280">
        <v>3</v>
      </c>
      <c r="AQ36" s="280">
        <v>3</v>
      </c>
      <c r="AR36" s="280">
        <v>3</v>
      </c>
      <c r="AS36" s="302">
        <f>SUM(AN36:AR36)</f>
        <v>15</v>
      </c>
      <c r="AT36" s="265"/>
      <c r="AU36" s="279">
        <v>3</v>
      </c>
      <c r="AV36" s="280">
        <v>3</v>
      </c>
      <c r="AW36" s="280">
        <v>3</v>
      </c>
      <c r="AX36" s="280">
        <v>3</v>
      </c>
      <c r="AY36" s="280">
        <v>3</v>
      </c>
      <c r="AZ36" s="302">
        <f>SUM(AU36:AY36)</f>
        <v>15</v>
      </c>
      <c r="BA36" s="265"/>
      <c r="BB36" s="279">
        <v>3</v>
      </c>
      <c r="BC36" s="280">
        <v>3</v>
      </c>
      <c r="BD36" s="280">
        <v>3</v>
      </c>
      <c r="BE36" s="280">
        <v>3</v>
      </c>
      <c r="BF36" s="280">
        <v>3</v>
      </c>
      <c r="BG36" s="302">
        <f>SUM(BB36:BF36)</f>
        <v>15</v>
      </c>
      <c r="BH36" s="265"/>
      <c r="BI36" s="279">
        <v>3</v>
      </c>
      <c r="BJ36" s="280">
        <v>3</v>
      </c>
      <c r="BK36" s="280">
        <v>3</v>
      </c>
      <c r="BL36" s="280">
        <v>3</v>
      </c>
      <c r="BM36" s="280">
        <v>3</v>
      </c>
      <c r="BN36" s="302">
        <f>SUM(BI36:BM36)</f>
        <v>15</v>
      </c>
      <c r="BO36" s="265"/>
      <c r="BP36" s="279">
        <v>3</v>
      </c>
      <c r="BQ36" s="280">
        <v>3</v>
      </c>
      <c r="BR36" s="280">
        <v>3</v>
      </c>
      <c r="BS36" s="280"/>
      <c r="BT36" s="280">
        <v>3</v>
      </c>
      <c r="BU36" s="302">
        <f>SUM(BP36:BT36)</f>
        <v>12</v>
      </c>
      <c r="BV36" s="265"/>
      <c r="BW36" s="279">
        <v>3</v>
      </c>
      <c r="BX36" s="280">
        <v>3</v>
      </c>
      <c r="BY36" s="280">
        <v>3</v>
      </c>
      <c r="BZ36" s="280">
        <v>3</v>
      </c>
      <c r="CA36" s="280">
        <v>3</v>
      </c>
      <c r="CB36" s="302">
        <f>SUM(BW36:CA36)</f>
        <v>15</v>
      </c>
      <c r="CC36" s="265"/>
      <c r="CD36" s="279">
        <v>3</v>
      </c>
      <c r="CE36" s="280">
        <v>3</v>
      </c>
      <c r="CF36" s="280">
        <v>3</v>
      </c>
      <c r="CG36" s="280">
        <v>3</v>
      </c>
      <c r="CH36" s="280">
        <v>3</v>
      </c>
      <c r="CI36" s="302">
        <f>SUM(CD36:CH36)</f>
        <v>15</v>
      </c>
      <c r="CJ36" s="265"/>
      <c r="CK36" s="279">
        <v>3</v>
      </c>
      <c r="CL36" s="280">
        <v>3</v>
      </c>
      <c r="CM36" s="280">
        <v>3</v>
      </c>
      <c r="CN36" s="280">
        <v>3</v>
      </c>
      <c r="CO36" s="280">
        <v>3</v>
      </c>
      <c r="CP36" s="302">
        <f>SUM(CK36:CO36)</f>
        <v>15</v>
      </c>
      <c r="CQ36" s="265"/>
      <c r="CR36" s="279">
        <v>3</v>
      </c>
      <c r="CS36" s="280">
        <v>3</v>
      </c>
      <c r="CT36" s="280">
        <v>3</v>
      </c>
      <c r="CU36" s="280">
        <v>3</v>
      </c>
      <c r="CV36" s="280">
        <v>3</v>
      </c>
      <c r="CW36" s="302">
        <f>SUM(CR36:CV36)</f>
        <v>15</v>
      </c>
      <c r="CX36" s="265"/>
      <c r="CY36" s="279">
        <v>3</v>
      </c>
      <c r="CZ36" s="280">
        <v>3</v>
      </c>
      <c r="DA36" s="280">
        <v>3</v>
      </c>
      <c r="DB36" s="280">
        <v>3</v>
      </c>
      <c r="DC36" s="280">
        <v>3</v>
      </c>
      <c r="DD36" s="302">
        <f>SUM(CY36:DC36)</f>
        <v>15</v>
      </c>
      <c r="DE36" s="265"/>
      <c r="DF36" s="279"/>
      <c r="DG36" s="280"/>
      <c r="DH36" s="280"/>
      <c r="DI36" s="280"/>
      <c r="DJ36" s="280"/>
      <c r="DK36" s="302">
        <f>SUM(DF36:DJ36)</f>
        <v>0</v>
      </c>
      <c r="DL36" s="265"/>
      <c r="DM36" s="279"/>
      <c r="DN36" s="280"/>
      <c r="DO36" s="280"/>
      <c r="DP36" s="280"/>
      <c r="DQ36" s="280"/>
      <c r="DR36" s="302">
        <f>SUM(DM36:DQ36)</f>
        <v>0</v>
      </c>
      <c r="DS36" s="265"/>
      <c r="DT36" s="279"/>
      <c r="DU36" s="280"/>
      <c r="DV36" s="280"/>
      <c r="DW36" s="280"/>
      <c r="DX36" s="280"/>
      <c r="DY36" s="302">
        <f>SUM(DT36:DX36)</f>
        <v>0</v>
      </c>
      <c r="DZ36" s="265"/>
      <c r="EA36" s="279"/>
      <c r="EB36" s="280"/>
      <c r="EC36" s="280"/>
      <c r="ED36" s="280"/>
      <c r="EE36" s="280"/>
      <c r="EF36" s="302">
        <f>SUM(EA36:EE36)</f>
        <v>0</v>
      </c>
      <c r="EG36" s="265"/>
      <c r="EH36" s="279"/>
      <c r="EI36" s="280"/>
      <c r="EJ36" s="280"/>
      <c r="EK36" s="280"/>
      <c r="EL36" s="280"/>
      <c r="EM36" s="302">
        <f>SUM(EH36:EL36)</f>
        <v>0</v>
      </c>
      <c r="EN36" s="265"/>
      <c r="EO36" s="279"/>
      <c r="EP36" s="280"/>
      <c r="EQ36" s="280"/>
      <c r="ER36" s="280"/>
      <c r="ES36" s="280"/>
      <c r="ET36" s="302">
        <f>SUM(EO36:ES36)</f>
        <v>0</v>
      </c>
      <c r="EU36" s="265"/>
      <c r="EV36" s="279"/>
      <c r="EW36" s="280"/>
      <c r="EX36" s="280"/>
      <c r="EY36" s="280"/>
      <c r="EZ36" s="280"/>
      <c r="FA36" s="302">
        <f>SUM(EV36:EZ36)</f>
        <v>0</v>
      </c>
      <c r="FB36" s="265"/>
      <c r="FC36" s="279"/>
      <c r="FD36" s="280"/>
      <c r="FE36" s="280"/>
      <c r="FF36" s="280"/>
      <c r="FG36" s="280"/>
      <c r="FH36" s="302">
        <f>SUM(FC36:FG36)</f>
        <v>0</v>
      </c>
      <c r="FI36" s="265"/>
      <c r="FJ36" s="279"/>
      <c r="FK36" s="280"/>
      <c r="FL36" s="280"/>
      <c r="FM36" s="280"/>
      <c r="FN36" s="280"/>
      <c r="FO36" s="302">
        <f>SUM(FJ36:FN36)</f>
        <v>0</v>
      </c>
      <c r="FP36" s="265"/>
      <c r="FQ36" s="279"/>
      <c r="FR36" s="280"/>
      <c r="FS36" s="280"/>
      <c r="FT36" s="280"/>
      <c r="FU36" s="280"/>
      <c r="FV36" s="302">
        <f>SUM(FQ36:FU36)</f>
        <v>0</v>
      </c>
      <c r="FW36" s="265"/>
      <c r="FX36" s="279"/>
      <c r="FY36" s="280"/>
      <c r="FZ36" s="280"/>
      <c r="GA36" s="280"/>
      <c r="GB36" s="280"/>
      <c r="GC36" s="302">
        <f>SUM(FX36:GB36)</f>
        <v>0</v>
      </c>
      <c r="GD36" s="265"/>
      <c r="GE36" s="279"/>
      <c r="GF36" s="280"/>
      <c r="GG36" s="280"/>
      <c r="GH36" s="280"/>
      <c r="GI36" s="280"/>
      <c r="GJ36" s="302">
        <f>SUM(GE36:GI36)</f>
        <v>0</v>
      </c>
      <c r="GK36" s="265"/>
      <c r="GL36" s="279"/>
      <c r="GM36" s="280"/>
      <c r="GN36" s="280"/>
      <c r="GO36" s="280"/>
      <c r="GP36" s="280"/>
      <c r="GQ36" s="302">
        <f>SUM(GL36:GP36)</f>
        <v>0</v>
      </c>
      <c r="GR36" s="265"/>
      <c r="GS36" s="279"/>
      <c r="GT36" s="280"/>
      <c r="GU36" s="280"/>
      <c r="GV36" s="280"/>
      <c r="GW36" s="280"/>
      <c r="GX36" s="302">
        <f>SUM(GS36:GW36)</f>
        <v>0</v>
      </c>
      <c r="GY36" s="283"/>
    </row>
    <row r="37" spans="1:207" s="196" customFormat="1" ht="16.05" customHeight="1" x14ac:dyDescent="0.3">
      <c r="A37" s="294"/>
      <c r="B37" s="282" t="s">
        <v>429</v>
      </c>
      <c r="C37" s="286" t="s">
        <v>416</v>
      </c>
      <c r="D37" s="271"/>
      <c r="E37" s="227">
        <f>'Pilotage effectif 27O'!I48+'Pilotage effectif PA'!I48+'Pilotage effectif EUP'!I44</f>
        <v>3</v>
      </c>
      <c r="F37" s="228">
        <f>'Pilotage effectif 27O'!J48+'Pilotage effectif PA'!J48+'Pilotage effectif EUP'!J44</f>
        <v>3</v>
      </c>
      <c r="G37" s="228">
        <f>'Pilotage effectif 27O'!K48+'Pilotage effectif PA'!K48+'Pilotage effectif EUP'!K44</f>
        <v>0</v>
      </c>
      <c r="H37" s="228">
        <f>'Pilotage effectif 27O'!L48+'Pilotage effectif PA'!L48+'Pilotage effectif EUP'!L44</f>
        <v>3</v>
      </c>
      <c r="I37" s="228">
        <f>'Pilotage effectif 27O'!M48+'Pilotage effectif PA'!M48+'Pilotage effectif EUP'!M44</f>
        <v>3</v>
      </c>
      <c r="J37" s="303">
        <f>'Pilotage effectif 27O'!N48+'Pilotage effectif PA'!N48+'Pilotage effectif EUP'!N44</f>
        <v>12</v>
      </c>
      <c r="K37" s="265"/>
      <c r="L37" s="227">
        <f>'Pilotage effectif 27O'!P48+'Pilotage effectif PA'!P48+'Pilotage effectif EUP'!P44</f>
        <v>0</v>
      </c>
      <c r="M37" s="228">
        <f>'Pilotage effectif 27O'!Q48+'Pilotage effectif PA'!Q48+'Pilotage effectif EUP'!Q44</f>
        <v>0</v>
      </c>
      <c r="N37" s="228">
        <f>'Pilotage effectif 27O'!R48+'Pilotage effectif PA'!R48+'Pilotage effectif EUP'!R44</f>
        <v>0</v>
      </c>
      <c r="O37" s="228">
        <f>'Pilotage effectif 27O'!S48+'Pilotage effectif PA'!S48+'Pilotage effectif EUP'!S44</f>
        <v>0</v>
      </c>
      <c r="P37" s="228">
        <f>'Pilotage effectif 27O'!T48+'Pilotage effectif PA'!T48+'Pilotage effectif EUP'!T44</f>
        <v>0</v>
      </c>
      <c r="Q37" s="303">
        <f>'Pilotage effectif 27O'!U48+'Pilotage effectif PA'!U48+'Pilotage effectif EUP'!U44</f>
        <v>0</v>
      </c>
      <c r="R37" s="265"/>
      <c r="S37" s="227">
        <f>'Pilotage effectif 27O'!W48+'Pilotage effectif PA'!W48+'Pilotage effectif EUP'!W44</f>
        <v>1</v>
      </c>
      <c r="T37" s="228">
        <f>'Pilotage effectif 27O'!X48+'Pilotage effectif PA'!X48+'Pilotage effectif EUP'!X44</f>
        <v>1</v>
      </c>
      <c r="U37" s="228">
        <f>'Pilotage effectif 27O'!Y48+'Pilotage effectif PA'!Y48+'Pilotage effectif EUP'!Y44</f>
        <v>1</v>
      </c>
      <c r="V37" s="228">
        <f>'Pilotage effectif 27O'!Z48+'Pilotage effectif PA'!Z48+'Pilotage effectif EUP'!Z44</f>
        <v>1</v>
      </c>
      <c r="W37" s="228">
        <f>'Pilotage effectif 27O'!AA48+'Pilotage effectif PA'!AA48+'Pilotage effectif EUP'!AA44</f>
        <v>1</v>
      </c>
      <c r="X37" s="303">
        <f>'Pilotage effectif 27O'!AB48+'Pilotage effectif PA'!AB48+'Pilotage effectif EUP'!AB44</f>
        <v>5</v>
      </c>
      <c r="Y37" s="265"/>
      <c r="Z37" s="227">
        <f>'Pilotage effectif 27O'!AD48+'Pilotage effectif PA'!AD48+'Pilotage effectif EUP'!AD44</f>
        <v>1</v>
      </c>
      <c r="AA37" s="228">
        <f>'Pilotage effectif 27O'!AE48+'Pilotage effectif PA'!AE48+'Pilotage effectif EUP'!AE44</f>
        <v>2</v>
      </c>
      <c r="AB37" s="228">
        <f>'Pilotage effectif 27O'!AF48+'Pilotage effectif PA'!AF48+'Pilotage effectif EUP'!AF44</f>
        <v>2</v>
      </c>
      <c r="AC37" s="228">
        <f>'Pilotage effectif 27O'!AG48+'Pilotage effectif PA'!AG48+'Pilotage effectif EUP'!AG44</f>
        <v>2</v>
      </c>
      <c r="AD37" s="228">
        <f>'Pilotage effectif 27O'!AH48+'Pilotage effectif PA'!AH48+'Pilotage effectif EUP'!AH44</f>
        <v>2</v>
      </c>
      <c r="AE37" s="303">
        <f>'Pilotage effectif 27O'!AI48+'Pilotage effectif PA'!AI48+'Pilotage effectif EUP'!AI44</f>
        <v>9</v>
      </c>
      <c r="AF37" s="265"/>
      <c r="AG37" s="227">
        <f>'Pilotage effectif 27O'!AK48+'Pilotage effectif PA'!AK48+'Pilotage effectif EUP'!AK44</f>
        <v>2</v>
      </c>
      <c r="AH37" s="228">
        <f>'Pilotage effectif 27O'!AL48+'Pilotage effectif PA'!AL48+'Pilotage effectif EUP'!AL44</f>
        <v>2</v>
      </c>
      <c r="AI37" s="228">
        <f>'Pilotage effectif 27O'!AM48+'Pilotage effectif PA'!AM48+'Pilotage effectif EUP'!AM44</f>
        <v>2</v>
      </c>
      <c r="AJ37" s="228">
        <f>'Pilotage effectif 27O'!AN48+'Pilotage effectif PA'!AN48+'Pilotage effectif EUP'!AN44</f>
        <v>2</v>
      </c>
      <c r="AK37" s="228">
        <f>'Pilotage effectif 27O'!AO48+'Pilotage effectif PA'!AO48+'Pilotage effectif EUP'!AO44</f>
        <v>2</v>
      </c>
      <c r="AL37" s="303">
        <f>'Pilotage effectif 27O'!AP48+'Pilotage effectif PA'!AP48+'Pilotage effectif EUP'!AP44</f>
        <v>10</v>
      </c>
      <c r="AM37" s="265"/>
      <c r="AN37" s="227">
        <f>'Pilotage effectif 27O'!AR48+'Pilotage effectif PA'!AR48+'Pilotage effectif EUP'!AR44</f>
        <v>1</v>
      </c>
      <c r="AO37" s="228">
        <f>'Pilotage effectif 27O'!AS48+'Pilotage effectif PA'!AS48+'Pilotage effectif EUP'!AS44</f>
        <v>1</v>
      </c>
      <c r="AP37" s="228">
        <f>'Pilotage effectif 27O'!AT48+'Pilotage effectif PA'!AT48+'Pilotage effectif EUP'!AT44</f>
        <v>1</v>
      </c>
      <c r="AQ37" s="228">
        <f>'Pilotage effectif 27O'!AU48+'Pilotage effectif PA'!AU48+'Pilotage effectif EUP'!AU44</f>
        <v>1</v>
      </c>
      <c r="AR37" s="228">
        <f>'Pilotage effectif 27O'!AV48+'Pilotage effectif PA'!AV48+'Pilotage effectif EUP'!AV44</f>
        <v>1</v>
      </c>
      <c r="AS37" s="303">
        <f>'Pilotage effectif 27O'!AW48+'Pilotage effectif PA'!AW48+'Pilotage effectif EUP'!AW44</f>
        <v>5</v>
      </c>
      <c r="AT37" s="265"/>
      <c r="AU37" s="227">
        <f>'Pilotage effectif 27O'!AY48+'Pilotage effectif PA'!AY48+'Pilotage effectif EUP'!AY44</f>
        <v>0</v>
      </c>
      <c r="AV37" s="228">
        <f>'Pilotage effectif 27O'!AZ48+'Pilotage effectif PA'!AZ48+'Pilotage effectif EUP'!AZ44</f>
        <v>0</v>
      </c>
      <c r="AW37" s="228">
        <f>'Pilotage effectif 27O'!BA48+'Pilotage effectif PA'!BA48+'Pilotage effectif EUP'!BA44</f>
        <v>0</v>
      </c>
      <c r="AX37" s="228">
        <f>'Pilotage effectif 27O'!BB48+'Pilotage effectif PA'!BB48+'Pilotage effectif EUP'!BB44</f>
        <v>0</v>
      </c>
      <c r="AY37" s="228">
        <f>'Pilotage effectif 27O'!BC48+'Pilotage effectif PA'!BC48+'Pilotage effectif EUP'!BC44</f>
        <v>0</v>
      </c>
      <c r="AZ37" s="303">
        <f>'Pilotage effectif 27O'!BD48+'Pilotage effectif PA'!BD48+'Pilotage effectif EUP'!BD44</f>
        <v>0</v>
      </c>
      <c r="BA37" s="265"/>
      <c r="BB37" s="227">
        <f>'Pilotage effectif 27O'!BF48+'Pilotage effectif PA'!BF48+'Pilotage effectif EUP'!BF44</f>
        <v>0</v>
      </c>
      <c r="BC37" s="228">
        <f>'Pilotage effectif 27O'!BG48+'Pilotage effectif PA'!BG48+'Pilotage effectif EUP'!BG44</f>
        <v>0</v>
      </c>
      <c r="BD37" s="228">
        <f>'Pilotage effectif 27O'!BH48+'Pilotage effectif PA'!BH48+'Pilotage effectif EUP'!BH44</f>
        <v>0</v>
      </c>
      <c r="BE37" s="228">
        <f>'Pilotage effectif 27O'!BI48+'Pilotage effectif PA'!BI48+'Pilotage effectif EUP'!BI44</f>
        <v>0</v>
      </c>
      <c r="BF37" s="228">
        <f>'Pilotage effectif 27O'!BJ48+'Pilotage effectif PA'!BJ48+'Pilotage effectif EUP'!BJ44</f>
        <v>0</v>
      </c>
      <c r="BG37" s="303">
        <f>'Pilotage effectif 27O'!BK48+'Pilotage effectif PA'!BK48+'Pilotage effectif EUP'!BK44</f>
        <v>0</v>
      </c>
      <c r="BH37" s="265"/>
      <c r="BI37" s="227">
        <f>'Pilotage effectif 27O'!BM48+'Pilotage effectif PA'!BM48+'Pilotage effectif EUP'!BM44</f>
        <v>0</v>
      </c>
      <c r="BJ37" s="228">
        <f>'Pilotage effectif 27O'!BN48+'Pilotage effectif PA'!BN48+'Pilotage effectif EUP'!BN44</f>
        <v>0</v>
      </c>
      <c r="BK37" s="228">
        <f>'Pilotage effectif 27O'!BO48+'Pilotage effectif PA'!BO48+'Pilotage effectif EUP'!BO44</f>
        <v>0</v>
      </c>
      <c r="BL37" s="228">
        <f>'Pilotage effectif 27O'!BP48+'Pilotage effectif PA'!BP48+'Pilotage effectif EUP'!BP44</f>
        <v>0</v>
      </c>
      <c r="BM37" s="228">
        <f>'Pilotage effectif 27O'!BQ48+'Pilotage effectif PA'!BQ48+'Pilotage effectif EUP'!BQ44</f>
        <v>0</v>
      </c>
      <c r="BN37" s="303">
        <f>'Pilotage effectif 27O'!BR48+'Pilotage effectif PA'!BR48+'Pilotage effectif EUP'!BR44</f>
        <v>0</v>
      </c>
      <c r="BO37" s="265"/>
      <c r="BP37" s="227">
        <f>'Pilotage effectif 27O'!BT48+'Pilotage effectif PA'!BT48+'Pilotage effectif EUP'!BT44</f>
        <v>0</v>
      </c>
      <c r="BQ37" s="228">
        <f>'Pilotage effectif 27O'!BU48+'Pilotage effectif PA'!BU48+'Pilotage effectif EUP'!BU44</f>
        <v>0</v>
      </c>
      <c r="BR37" s="228">
        <f>'Pilotage effectif 27O'!BV48+'Pilotage effectif PA'!BV48+'Pilotage effectif EUP'!BV44</f>
        <v>0</v>
      </c>
      <c r="BS37" s="228">
        <f>'Pilotage effectif 27O'!BW48+'Pilotage effectif PA'!BW48+'Pilotage effectif EUP'!BW44</f>
        <v>0</v>
      </c>
      <c r="BT37" s="228">
        <f>'Pilotage effectif 27O'!BX48+'Pilotage effectif PA'!BX48+'Pilotage effectif EUP'!BX44</f>
        <v>0</v>
      </c>
      <c r="BU37" s="303">
        <f>'Pilotage effectif 27O'!BY48+'Pilotage effectif PA'!BY48+'Pilotage effectif EUP'!BY44</f>
        <v>0</v>
      </c>
      <c r="BV37" s="265"/>
      <c r="BW37" s="227">
        <f>'Pilotage effectif 27O'!CA48+'Pilotage effectif PA'!CA48+'Pilotage effectif EUP'!CA44</f>
        <v>0</v>
      </c>
      <c r="BX37" s="228">
        <f>'Pilotage effectif 27O'!CB48+'Pilotage effectif PA'!CB48+'Pilotage effectif EUP'!CB44</f>
        <v>0</v>
      </c>
      <c r="BY37" s="228">
        <f>'Pilotage effectif 27O'!CC48+'Pilotage effectif PA'!CC48+'Pilotage effectif EUP'!CC44</f>
        <v>0</v>
      </c>
      <c r="BZ37" s="228">
        <f>'Pilotage effectif 27O'!CD48+'Pilotage effectif PA'!CD48+'Pilotage effectif EUP'!CD44</f>
        <v>0</v>
      </c>
      <c r="CA37" s="228">
        <f>'Pilotage effectif 27O'!CE48+'Pilotage effectif PA'!CE48+'Pilotage effectif EUP'!CE44</f>
        <v>0</v>
      </c>
      <c r="CB37" s="303">
        <f>'Pilotage effectif 27O'!CF48+'Pilotage effectif PA'!CF48+'Pilotage effectif EUP'!CF44</f>
        <v>0</v>
      </c>
      <c r="CC37" s="265"/>
      <c r="CD37" s="227">
        <f>'Pilotage effectif 27O'!CH48+'Pilotage effectif PA'!CH48+'Pilotage effectif EUP'!CH44</f>
        <v>0</v>
      </c>
      <c r="CE37" s="228">
        <f>'Pilotage effectif 27O'!CI48+'Pilotage effectif PA'!CI48+'Pilotage effectif EUP'!CI44</f>
        <v>0</v>
      </c>
      <c r="CF37" s="228">
        <f>'Pilotage effectif 27O'!CJ48+'Pilotage effectif PA'!CJ48+'Pilotage effectif EUP'!CJ44</f>
        <v>0</v>
      </c>
      <c r="CG37" s="228">
        <f>'Pilotage effectif 27O'!CK48+'Pilotage effectif PA'!CK48+'Pilotage effectif EUP'!CK44</f>
        <v>0</v>
      </c>
      <c r="CH37" s="228">
        <f>'Pilotage effectif 27O'!CL48+'Pilotage effectif PA'!CL48+'Pilotage effectif EUP'!CL44</f>
        <v>0</v>
      </c>
      <c r="CI37" s="303">
        <f>'Pilotage effectif 27O'!CM48+'Pilotage effectif PA'!CM48+'Pilotage effectif EUP'!CM44</f>
        <v>0</v>
      </c>
      <c r="CJ37" s="265"/>
      <c r="CK37" s="227">
        <f>'Pilotage effectif 27O'!CO48+'Pilotage effectif PA'!CO48+'Pilotage effectif EUP'!CO44</f>
        <v>0</v>
      </c>
      <c r="CL37" s="228">
        <f>'Pilotage effectif 27O'!CP48+'Pilotage effectif PA'!CP48+'Pilotage effectif EUP'!CP44</f>
        <v>0</v>
      </c>
      <c r="CM37" s="228">
        <f>'Pilotage effectif 27O'!CQ48+'Pilotage effectif PA'!CQ48+'Pilotage effectif EUP'!CQ44</f>
        <v>0</v>
      </c>
      <c r="CN37" s="228">
        <f>'Pilotage effectif 27O'!CR48+'Pilotage effectif PA'!CR48+'Pilotage effectif EUP'!CR44</f>
        <v>0</v>
      </c>
      <c r="CO37" s="228">
        <f>'Pilotage effectif 27O'!CS48+'Pilotage effectif PA'!CS48+'Pilotage effectif EUP'!CS44</f>
        <v>0</v>
      </c>
      <c r="CP37" s="303">
        <f>'Pilotage effectif 27O'!CT48+'Pilotage effectif PA'!CT48+'Pilotage effectif EUP'!CT44</f>
        <v>0</v>
      </c>
      <c r="CQ37" s="265"/>
      <c r="CR37" s="227">
        <f>'Pilotage effectif 27O'!CV48+'Pilotage effectif PA'!CV48+'Pilotage effectif EUP'!CV44</f>
        <v>0</v>
      </c>
      <c r="CS37" s="228">
        <f>'Pilotage effectif 27O'!CW48+'Pilotage effectif PA'!CW48+'Pilotage effectif EUP'!CW44</f>
        <v>0</v>
      </c>
      <c r="CT37" s="228">
        <f>'Pilotage effectif 27O'!CX48+'Pilotage effectif PA'!CX48+'Pilotage effectif EUP'!CX44</f>
        <v>0</v>
      </c>
      <c r="CU37" s="228">
        <f>'Pilotage effectif 27O'!CY48+'Pilotage effectif PA'!CY48+'Pilotage effectif EUP'!CY44</f>
        <v>0</v>
      </c>
      <c r="CV37" s="228">
        <f>'Pilotage effectif 27O'!CZ48+'Pilotage effectif PA'!CZ48+'Pilotage effectif EUP'!CZ44</f>
        <v>0</v>
      </c>
      <c r="CW37" s="303">
        <f>'Pilotage effectif 27O'!DA48+'Pilotage effectif PA'!DA48+'Pilotage effectif EUP'!DA44</f>
        <v>0</v>
      </c>
      <c r="CX37" s="265"/>
      <c r="CY37" s="227">
        <f>'Pilotage effectif 27O'!DC48+'Pilotage effectif PA'!DC48+'Pilotage effectif EUP'!DC44</f>
        <v>0</v>
      </c>
      <c r="CZ37" s="228">
        <f>'Pilotage effectif 27O'!DD48+'Pilotage effectif PA'!DD48+'Pilotage effectif EUP'!DD44</f>
        <v>0</v>
      </c>
      <c r="DA37" s="228">
        <f>'Pilotage effectif 27O'!DE48+'Pilotage effectif PA'!DE48+'Pilotage effectif EUP'!DE44</f>
        <v>0</v>
      </c>
      <c r="DB37" s="228">
        <f>'Pilotage effectif 27O'!DF48+'Pilotage effectif PA'!DF48+'Pilotage effectif EUP'!DF44</f>
        <v>0</v>
      </c>
      <c r="DC37" s="228">
        <f>'Pilotage effectif 27O'!DG48+'Pilotage effectif PA'!DG48+'Pilotage effectif EUP'!DG44</f>
        <v>0</v>
      </c>
      <c r="DD37" s="303">
        <f>'Pilotage effectif 27O'!DH48+'Pilotage effectif PA'!DH48+'Pilotage effectif EUP'!DH44</f>
        <v>0</v>
      </c>
      <c r="DE37" s="265"/>
      <c r="DF37" s="227">
        <f>'Pilotage effectif 27O'!DJ48+'Pilotage effectif PA'!DJ48+'Pilotage effectif EUP'!DJ44</f>
        <v>0</v>
      </c>
      <c r="DG37" s="228">
        <f>'Pilotage effectif 27O'!DK48+'Pilotage effectif PA'!DK48+'Pilotage effectif EUP'!DK44</f>
        <v>0</v>
      </c>
      <c r="DH37" s="228">
        <f>'Pilotage effectif 27O'!DL48+'Pilotage effectif PA'!DL48+'Pilotage effectif EUP'!DL44</f>
        <v>0</v>
      </c>
      <c r="DI37" s="228">
        <f>'Pilotage effectif 27O'!DM48+'Pilotage effectif PA'!DM48+'Pilotage effectif EUP'!DM44</f>
        <v>0</v>
      </c>
      <c r="DJ37" s="228">
        <f>'Pilotage effectif 27O'!DN48+'Pilotage effectif PA'!DN48+'Pilotage effectif EUP'!DN44</f>
        <v>0</v>
      </c>
      <c r="DK37" s="303">
        <f>'Pilotage effectif 27O'!DO48+'Pilotage effectif PA'!DO48+'Pilotage effectif EUP'!DO44</f>
        <v>0</v>
      </c>
      <c r="DL37" s="265"/>
      <c r="DM37" s="227">
        <f>'Pilotage effectif 27O'!DQ48+'Pilotage effectif PA'!DQ48+'Pilotage effectif EUP'!DQ44</f>
        <v>0</v>
      </c>
      <c r="DN37" s="228">
        <f>'Pilotage effectif 27O'!DR48+'Pilotage effectif PA'!DR48+'Pilotage effectif EUP'!DR44</f>
        <v>0</v>
      </c>
      <c r="DO37" s="228">
        <f>'Pilotage effectif 27O'!DS48+'Pilotage effectif PA'!DS48+'Pilotage effectif EUP'!DS44</f>
        <v>0</v>
      </c>
      <c r="DP37" s="228">
        <f>'Pilotage effectif 27O'!DT48+'Pilotage effectif PA'!DT48+'Pilotage effectif EUP'!DT44</f>
        <v>0</v>
      </c>
      <c r="DQ37" s="228">
        <f>'Pilotage effectif 27O'!DU48+'Pilotage effectif PA'!DU48+'Pilotage effectif EUP'!DU44</f>
        <v>0</v>
      </c>
      <c r="DR37" s="303">
        <f>'Pilotage effectif 27O'!DV48+'Pilotage effectif PA'!DV48+'Pilotage effectif EUP'!DV44</f>
        <v>0</v>
      </c>
      <c r="DS37" s="265"/>
      <c r="DT37" s="227">
        <f>'Pilotage effectif 27O'!DX48+'Pilotage effectif PA'!DX48+'Pilotage effectif EUP'!DX44</f>
        <v>0</v>
      </c>
      <c r="DU37" s="228">
        <f>'Pilotage effectif 27O'!DY48+'Pilotage effectif PA'!DY48+'Pilotage effectif EUP'!DY44</f>
        <v>0</v>
      </c>
      <c r="DV37" s="228">
        <f>'Pilotage effectif 27O'!DZ48+'Pilotage effectif PA'!DZ48+'Pilotage effectif EUP'!DZ44</f>
        <v>0</v>
      </c>
      <c r="DW37" s="228">
        <f>'Pilotage effectif 27O'!EA48+'Pilotage effectif PA'!EA48+'Pilotage effectif EUP'!EA44</f>
        <v>0</v>
      </c>
      <c r="DX37" s="228">
        <f>'Pilotage effectif 27O'!EB48+'Pilotage effectif PA'!EB48+'Pilotage effectif EUP'!EB44</f>
        <v>0</v>
      </c>
      <c r="DY37" s="303">
        <f>'Pilotage effectif 27O'!EC48+'Pilotage effectif PA'!EC48+'Pilotage effectif EUP'!EC44</f>
        <v>0</v>
      </c>
      <c r="DZ37" s="265"/>
      <c r="EA37" s="227">
        <f>'Pilotage effectif 27O'!EE48+'Pilotage effectif PA'!EE48+'Pilotage effectif EUP'!EE44</f>
        <v>0</v>
      </c>
      <c r="EB37" s="228">
        <f>'Pilotage effectif 27O'!EF48+'Pilotage effectif PA'!EF48+'Pilotage effectif EUP'!EF44</f>
        <v>0</v>
      </c>
      <c r="EC37" s="228">
        <f>'Pilotage effectif 27O'!EG48+'Pilotage effectif PA'!EG48+'Pilotage effectif EUP'!EG44</f>
        <v>0</v>
      </c>
      <c r="ED37" s="228">
        <f>'Pilotage effectif 27O'!EH48+'Pilotage effectif PA'!EH48+'Pilotage effectif EUP'!EH44</f>
        <v>0</v>
      </c>
      <c r="EE37" s="228">
        <f>'Pilotage effectif 27O'!EI48+'Pilotage effectif PA'!EI48+'Pilotage effectif EUP'!EI44</f>
        <v>0</v>
      </c>
      <c r="EF37" s="303">
        <f>'Pilotage effectif 27O'!EJ48+'Pilotage effectif PA'!EJ48+'Pilotage effectif EUP'!EJ44</f>
        <v>0</v>
      </c>
      <c r="EG37" s="265"/>
      <c r="EH37" s="227">
        <f>'Pilotage effectif 27O'!EL48+'Pilotage effectif PA'!EL48+'Pilotage effectif EUP'!EL44</f>
        <v>0</v>
      </c>
      <c r="EI37" s="228">
        <f>'Pilotage effectif 27O'!EM48+'Pilotage effectif PA'!EM48+'Pilotage effectif EUP'!EM44</f>
        <v>0</v>
      </c>
      <c r="EJ37" s="228">
        <f>'Pilotage effectif 27O'!EN48+'Pilotage effectif PA'!EN48+'Pilotage effectif EUP'!EN44</f>
        <v>0</v>
      </c>
      <c r="EK37" s="228">
        <f>'Pilotage effectif 27O'!EO48+'Pilotage effectif PA'!EO48+'Pilotage effectif EUP'!EO44</f>
        <v>0</v>
      </c>
      <c r="EL37" s="228">
        <f>'Pilotage effectif 27O'!EP48+'Pilotage effectif PA'!EP48+'Pilotage effectif EUP'!EP44</f>
        <v>0</v>
      </c>
      <c r="EM37" s="303">
        <f>'Pilotage effectif 27O'!EQ48+'Pilotage effectif PA'!EQ48+'Pilotage effectif EUP'!EQ44</f>
        <v>0</v>
      </c>
      <c r="EN37" s="265"/>
      <c r="EO37" s="227">
        <f>'Pilotage effectif 27O'!ES48+'Pilotage effectif PA'!ES48+'Pilotage effectif EUP'!ES44</f>
        <v>0</v>
      </c>
      <c r="EP37" s="228">
        <f>'Pilotage effectif 27O'!ET48+'Pilotage effectif PA'!ET48+'Pilotage effectif EUP'!ET44</f>
        <v>0</v>
      </c>
      <c r="EQ37" s="228">
        <f>'Pilotage effectif 27O'!EU48+'Pilotage effectif PA'!EU48+'Pilotage effectif EUP'!EU44</f>
        <v>0</v>
      </c>
      <c r="ER37" s="228">
        <f>'Pilotage effectif 27O'!EV48+'Pilotage effectif PA'!EV48+'Pilotage effectif EUP'!EV44</f>
        <v>0</v>
      </c>
      <c r="ES37" s="228">
        <f>'Pilotage effectif 27O'!EW48+'Pilotage effectif PA'!EW48+'Pilotage effectif EUP'!EW44</f>
        <v>0</v>
      </c>
      <c r="ET37" s="303">
        <f>'Pilotage effectif 27O'!EX48+'Pilotage effectif PA'!EX48+'Pilotage effectif EUP'!EX44</f>
        <v>0</v>
      </c>
      <c r="EU37" s="265"/>
      <c r="EV37" s="227">
        <f>'Pilotage effectif 27O'!EZ48+'Pilotage effectif PA'!EZ48+'Pilotage effectif EUP'!EZ44</f>
        <v>0</v>
      </c>
      <c r="EW37" s="228">
        <f>'Pilotage effectif 27O'!FA48+'Pilotage effectif PA'!FA48+'Pilotage effectif EUP'!FA44</f>
        <v>0</v>
      </c>
      <c r="EX37" s="228">
        <f>'Pilotage effectif 27O'!FB48+'Pilotage effectif PA'!FB48+'Pilotage effectif EUP'!FB44</f>
        <v>0</v>
      </c>
      <c r="EY37" s="228">
        <f>'Pilotage effectif 27O'!FC48+'Pilotage effectif PA'!FC48+'Pilotage effectif EUP'!FC44</f>
        <v>0</v>
      </c>
      <c r="EZ37" s="228">
        <f>'Pilotage effectif 27O'!FD48+'Pilotage effectif PA'!FD48+'Pilotage effectif EUP'!FD44</f>
        <v>0</v>
      </c>
      <c r="FA37" s="303">
        <f>'Pilotage effectif 27O'!FE48+'Pilotage effectif PA'!FE48+'Pilotage effectif EUP'!FE44</f>
        <v>0</v>
      </c>
      <c r="FB37" s="265"/>
      <c r="FC37" s="227">
        <f>'Pilotage effectif 27O'!FG48+'Pilotage effectif PA'!FG48+'Pilotage effectif EUP'!FG44</f>
        <v>0</v>
      </c>
      <c r="FD37" s="228">
        <f>'Pilotage effectif 27O'!FH48+'Pilotage effectif PA'!FH48+'Pilotage effectif EUP'!FH44</f>
        <v>0</v>
      </c>
      <c r="FE37" s="228">
        <f>'Pilotage effectif 27O'!FI48+'Pilotage effectif PA'!FI48+'Pilotage effectif EUP'!FI44</f>
        <v>0</v>
      </c>
      <c r="FF37" s="228">
        <f>'Pilotage effectif 27O'!FJ48+'Pilotage effectif PA'!FJ48+'Pilotage effectif EUP'!FJ44</f>
        <v>0</v>
      </c>
      <c r="FG37" s="228">
        <f>'Pilotage effectif 27O'!FK48+'Pilotage effectif PA'!FK48+'Pilotage effectif EUP'!FK44</f>
        <v>0</v>
      </c>
      <c r="FH37" s="303">
        <f>'Pilotage effectif 27O'!FL48+'Pilotage effectif PA'!FL48+'Pilotage effectif EUP'!FL44</f>
        <v>0</v>
      </c>
      <c r="FI37" s="265"/>
      <c r="FJ37" s="227">
        <f>'Pilotage effectif 27O'!FN48+'Pilotage effectif PA'!FN48+'Pilotage effectif EUP'!FN44</f>
        <v>0</v>
      </c>
      <c r="FK37" s="228">
        <f>'Pilotage effectif 27O'!FO48+'Pilotage effectif PA'!FO48+'Pilotage effectif EUP'!FO44</f>
        <v>0</v>
      </c>
      <c r="FL37" s="228">
        <f>'Pilotage effectif 27O'!FP48+'Pilotage effectif PA'!FP48+'Pilotage effectif EUP'!FP44</f>
        <v>0</v>
      </c>
      <c r="FM37" s="228">
        <f>'Pilotage effectif 27O'!FQ48+'Pilotage effectif PA'!FQ48+'Pilotage effectif EUP'!FQ44</f>
        <v>0</v>
      </c>
      <c r="FN37" s="228">
        <f>'Pilotage effectif 27O'!FR48+'Pilotage effectif PA'!FR48+'Pilotage effectif EUP'!FR44</f>
        <v>0</v>
      </c>
      <c r="FO37" s="303">
        <f>'Pilotage effectif 27O'!FS48+'Pilotage effectif PA'!FS48+'Pilotage effectif EUP'!FS44</f>
        <v>0</v>
      </c>
      <c r="FP37" s="265"/>
      <c r="FQ37" s="227">
        <f>'Pilotage effectif 27O'!FU48+'Pilotage effectif PA'!FU48+'Pilotage effectif EUP'!FU44</f>
        <v>0</v>
      </c>
      <c r="FR37" s="228">
        <f>'Pilotage effectif 27O'!FV48+'Pilotage effectif PA'!FV48+'Pilotage effectif EUP'!FV44</f>
        <v>0</v>
      </c>
      <c r="FS37" s="228">
        <f>'Pilotage effectif 27O'!FW48+'Pilotage effectif PA'!FW48+'Pilotage effectif EUP'!FW44</f>
        <v>0</v>
      </c>
      <c r="FT37" s="228">
        <f>'Pilotage effectif 27O'!FX48+'Pilotage effectif PA'!FX48+'Pilotage effectif EUP'!FX44</f>
        <v>0</v>
      </c>
      <c r="FU37" s="228">
        <f>'Pilotage effectif 27O'!FY48+'Pilotage effectif PA'!FY48+'Pilotage effectif EUP'!FY44</f>
        <v>0</v>
      </c>
      <c r="FV37" s="303">
        <f>'Pilotage effectif 27O'!FZ48+'Pilotage effectif PA'!FZ48+'Pilotage effectif EUP'!FZ44</f>
        <v>0</v>
      </c>
      <c r="FW37" s="265"/>
      <c r="FX37" s="227">
        <f>'Pilotage effectif 27O'!GB48+'Pilotage effectif PA'!GB48+'Pilotage effectif EUP'!GB44</f>
        <v>0</v>
      </c>
      <c r="FY37" s="228">
        <f>'Pilotage effectif 27O'!GC48+'Pilotage effectif PA'!GC48+'Pilotage effectif EUP'!GC44</f>
        <v>0</v>
      </c>
      <c r="FZ37" s="228">
        <f>'Pilotage effectif 27O'!GD48+'Pilotage effectif PA'!GD48+'Pilotage effectif EUP'!GD44</f>
        <v>0</v>
      </c>
      <c r="GA37" s="228">
        <f>'Pilotage effectif 27O'!GE48+'Pilotage effectif PA'!GE48+'Pilotage effectif EUP'!GE44</f>
        <v>0</v>
      </c>
      <c r="GB37" s="228">
        <f>'Pilotage effectif 27O'!GF48+'Pilotage effectif PA'!GF48+'Pilotage effectif EUP'!GF44</f>
        <v>0</v>
      </c>
      <c r="GC37" s="303">
        <f>'Pilotage effectif 27O'!GG48+'Pilotage effectif PA'!GG48+'Pilotage effectif EUP'!GG44</f>
        <v>0</v>
      </c>
      <c r="GD37" s="265"/>
      <c r="GE37" s="227">
        <f>'Pilotage effectif 27O'!GI48+'Pilotage effectif PA'!GI48+'Pilotage effectif EUP'!GI44</f>
        <v>0</v>
      </c>
      <c r="GF37" s="228">
        <f>'Pilotage effectif 27O'!GJ48+'Pilotage effectif PA'!GJ48+'Pilotage effectif EUP'!GJ44</f>
        <v>0</v>
      </c>
      <c r="GG37" s="228">
        <f>'Pilotage effectif 27O'!GK48+'Pilotage effectif PA'!GK48+'Pilotage effectif EUP'!GK44</f>
        <v>0</v>
      </c>
      <c r="GH37" s="228">
        <f>'Pilotage effectif 27O'!GL48+'Pilotage effectif PA'!GL48+'Pilotage effectif EUP'!GL44</f>
        <v>0</v>
      </c>
      <c r="GI37" s="228">
        <f>'Pilotage effectif 27O'!GM48+'Pilotage effectif PA'!GM48+'Pilotage effectif EUP'!GM44</f>
        <v>0</v>
      </c>
      <c r="GJ37" s="303">
        <f>'Pilotage effectif 27O'!GN48+'Pilotage effectif PA'!GN48+'Pilotage effectif EUP'!GN44</f>
        <v>0</v>
      </c>
      <c r="GK37" s="265"/>
      <c r="GL37" s="227">
        <f>'Pilotage effectif 27O'!GP48+'Pilotage effectif PA'!GP48+'Pilotage effectif EUP'!GP44</f>
        <v>0</v>
      </c>
      <c r="GM37" s="228">
        <f>'Pilotage effectif 27O'!GQ48+'Pilotage effectif PA'!GQ48+'Pilotage effectif EUP'!GQ44</f>
        <v>0</v>
      </c>
      <c r="GN37" s="228">
        <f>'Pilotage effectif 27O'!GR48+'Pilotage effectif PA'!GR48+'Pilotage effectif EUP'!GR44</f>
        <v>0</v>
      </c>
      <c r="GO37" s="228">
        <f>'Pilotage effectif 27O'!GS48+'Pilotage effectif PA'!GS48+'Pilotage effectif EUP'!GS44</f>
        <v>0</v>
      </c>
      <c r="GP37" s="228">
        <f>'Pilotage effectif 27O'!GT48+'Pilotage effectif PA'!GT48+'Pilotage effectif EUP'!GT44</f>
        <v>0</v>
      </c>
      <c r="GQ37" s="303">
        <f>'Pilotage effectif 27O'!GU48+'Pilotage effectif PA'!GU48+'Pilotage effectif EUP'!GU44</f>
        <v>0</v>
      </c>
      <c r="GR37" s="265"/>
      <c r="GS37" s="227">
        <f>'Pilotage effectif 27O'!GW48+'Pilotage effectif PA'!GW48+'Pilotage effectif EUP'!GW44</f>
        <v>0</v>
      </c>
      <c r="GT37" s="228">
        <f>'Pilotage effectif 27O'!GX48+'Pilotage effectif PA'!GX48+'Pilotage effectif EUP'!GX44</f>
        <v>0</v>
      </c>
      <c r="GU37" s="228">
        <f>'Pilotage effectif 27O'!GY48+'Pilotage effectif PA'!GY48+'Pilotage effectif EUP'!GY44</f>
        <v>0</v>
      </c>
      <c r="GV37" s="228">
        <f>'Pilotage effectif 27O'!GZ48+'Pilotage effectif PA'!GZ48+'Pilotage effectif EUP'!GZ44</f>
        <v>0</v>
      </c>
      <c r="GW37" s="228">
        <f>'Pilotage effectif 27O'!HA48+'Pilotage effectif PA'!HA48+'Pilotage effectif EUP'!HA44</f>
        <v>0</v>
      </c>
      <c r="GX37" s="303">
        <f>'Pilotage effectif 27O'!HB48+'Pilotage effectif PA'!HB48+'Pilotage effectif EUP'!HB44</f>
        <v>0</v>
      </c>
      <c r="GY37" s="283"/>
    </row>
    <row r="38" spans="1:207" s="196" customFormat="1" ht="16.05" customHeight="1" thickBot="1" x14ac:dyDescent="0.35">
      <c r="A38" s="294"/>
      <c r="B38" s="282"/>
      <c r="C38" s="287" t="s">
        <v>690</v>
      </c>
      <c r="D38" s="271"/>
      <c r="E38" s="292" t="str">
        <f t="shared" ref="E38:J38" si="87">IF(E36&lt;&gt;"",IF(E37-E36&gt;0,"+"&amp;E37-E36,E37-E36),"-")</f>
        <v>-</v>
      </c>
      <c r="F38" s="293" t="str">
        <f t="shared" si="87"/>
        <v>-</v>
      </c>
      <c r="G38" s="293" t="str">
        <f t="shared" si="87"/>
        <v>-</v>
      </c>
      <c r="H38" s="293" t="str">
        <f t="shared" si="87"/>
        <v>-</v>
      </c>
      <c r="I38" s="293" t="str">
        <f t="shared" si="87"/>
        <v>-</v>
      </c>
      <c r="J38" s="304" t="str">
        <f t="shared" si="87"/>
        <v>+12</v>
      </c>
      <c r="K38" s="265"/>
      <c r="L38" s="292">
        <f t="shared" ref="L38:Q38" si="88">IF(L36&lt;&gt;"",IF(L37-L36&gt;0,"+"&amp;L37-L36,L37-L36),"-")</f>
        <v>-3</v>
      </c>
      <c r="M38" s="293">
        <f t="shared" si="88"/>
        <v>-3</v>
      </c>
      <c r="N38" s="293">
        <f t="shared" si="88"/>
        <v>-3</v>
      </c>
      <c r="O38" s="293">
        <f t="shared" si="88"/>
        <v>-3</v>
      </c>
      <c r="P38" s="293">
        <f t="shared" si="88"/>
        <v>-3</v>
      </c>
      <c r="Q38" s="304">
        <f t="shared" si="88"/>
        <v>-15</v>
      </c>
      <c r="R38" s="265"/>
      <c r="S38" s="292">
        <f t="shared" ref="S38:X38" si="89">IF(S36&lt;&gt;"",IF(S37-S36&gt;0,"+"&amp;S37-S36,S37-S36),"-")</f>
        <v>-2</v>
      </c>
      <c r="T38" s="293">
        <f t="shared" si="89"/>
        <v>-2</v>
      </c>
      <c r="U38" s="293">
        <f t="shared" si="89"/>
        <v>-2</v>
      </c>
      <c r="V38" s="293">
        <f t="shared" si="89"/>
        <v>-2</v>
      </c>
      <c r="W38" s="293">
        <f t="shared" si="89"/>
        <v>-2</v>
      </c>
      <c r="X38" s="304">
        <f t="shared" si="89"/>
        <v>-10</v>
      </c>
      <c r="Y38" s="265"/>
      <c r="Z38" s="292">
        <f t="shared" ref="Z38:AE38" si="90">IF(Z36&lt;&gt;"",IF(Z37-Z36&gt;0,"+"&amp;Z37-Z36,Z37-Z36),"-")</f>
        <v>-2</v>
      </c>
      <c r="AA38" s="293">
        <f t="shared" si="90"/>
        <v>-1</v>
      </c>
      <c r="AB38" s="293">
        <f t="shared" si="90"/>
        <v>-1</v>
      </c>
      <c r="AC38" s="293">
        <f t="shared" si="90"/>
        <v>-1</v>
      </c>
      <c r="AD38" s="293">
        <f t="shared" si="90"/>
        <v>-1</v>
      </c>
      <c r="AE38" s="304">
        <f t="shared" si="90"/>
        <v>-6</v>
      </c>
      <c r="AF38" s="265"/>
      <c r="AG38" s="292">
        <f t="shared" ref="AG38:AL38" si="91">IF(AG36&lt;&gt;"",IF(AG37-AG36&gt;0,"+"&amp;AG37-AG36,AG37-AG36),"-")</f>
        <v>-1</v>
      </c>
      <c r="AH38" s="293">
        <f t="shared" si="91"/>
        <v>-1</v>
      </c>
      <c r="AI38" s="293">
        <f t="shared" si="91"/>
        <v>-1</v>
      </c>
      <c r="AJ38" s="293">
        <f t="shared" si="91"/>
        <v>-1</v>
      </c>
      <c r="AK38" s="293">
        <f t="shared" si="91"/>
        <v>-1</v>
      </c>
      <c r="AL38" s="304">
        <f t="shared" si="91"/>
        <v>-5</v>
      </c>
      <c r="AM38" s="265"/>
      <c r="AN38" s="292">
        <f t="shared" ref="AN38:AS38" si="92">IF(AN36&lt;&gt;"",IF(AN37-AN36&gt;0,"+"&amp;AN37-AN36,AN37-AN36),"-")</f>
        <v>-2</v>
      </c>
      <c r="AO38" s="293">
        <f t="shared" si="92"/>
        <v>-2</v>
      </c>
      <c r="AP38" s="293">
        <f t="shared" si="92"/>
        <v>-2</v>
      </c>
      <c r="AQ38" s="293">
        <f t="shared" si="92"/>
        <v>-2</v>
      </c>
      <c r="AR38" s="293">
        <f t="shared" si="92"/>
        <v>-2</v>
      </c>
      <c r="AS38" s="304">
        <f t="shared" si="92"/>
        <v>-10</v>
      </c>
      <c r="AT38" s="265"/>
      <c r="AU38" s="292">
        <f t="shared" ref="AU38:AZ38" si="93">IF(AU36&lt;&gt;"",IF(AU37-AU36&gt;0,"+"&amp;AU37-AU36,AU37-AU36),"-")</f>
        <v>-3</v>
      </c>
      <c r="AV38" s="293">
        <f t="shared" si="93"/>
        <v>-3</v>
      </c>
      <c r="AW38" s="293">
        <f t="shared" si="93"/>
        <v>-3</v>
      </c>
      <c r="AX38" s="293">
        <f t="shared" si="93"/>
        <v>-3</v>
      </c>
      <c r="AY38" s="293">
        <f t="shared" si="93"/>
        <v>-3</v>
      </c>
      <c r="AZ38" s="304">
        <f t="shared" si="93"/>
        <v>-15</v>
      </c>
      <c r="BA38" s="265"/>
      <c r="BB38" s="292">
        <f t="shared" ref="BB38:BG38" si="94">IF(BB36&lt;&gt;"",IF(BB37-BB36&gt;0,"+"&amp;BB37-BB36,BB37-BB36),"-")</f>
        <v>-3</v>
      </c>
      <c r="BC38" s="293">
        <f t="shared" si="94"/>
        <v>-3</v>
      </c>
      <c r="BD38" s="293">
        <f t="shared" si="94"/>
        <v>-3</v>
      </c>
      <c r="BE38" s="293">
        <f t="shared" si="94"/>
        <v>-3</v>
      </c>
      <c r="BF38" s="293">
        <f t="shared" si="94"/>
        <v>-3</v>
      </c>
      <c r="BG38" s="304">
        <f t="shared" si="94"/>
        <v>-15</v>
      </c>
      <c r="BH38" s="265"/>
      <c r="BI38" s="292">
        <f t="shared" ref="BI38:BN38" si="95">IF(BI36&lt;&gt;"",IF(BI37-BI36&gt;0,"+"&amp;BI37-BI36,BI37-BI36),"-")</f>
        <v>-3</v>
      </c>
      <c r="BJ38" s="293">
        <f t="shared" si="95"/>
        <v>-3</v>
      </c>
      <c r="BK38" s="293">
        <f t="shared" si="95"/>
        <v>-3</v>
      </c>
      <c r="BL38" s="293">
        <f t="shared" si="95"/>
        <v>-3</v>
      </c>
      <c r="BM38" s="293">
        <f t="shared" si="95"/>
        <v>-3</v>
      </c>
      <c r="BN38" s="304">
        <f t="shared" si="95"/>
        <v>-15</v>
      </c>
      <c r="BO38" s="265"/>
      <c r="BP38" s="292">
        <f t="shared" ref="BP38:BU38" si="96">IF(BP36&lt;&gt;"",IF(BP37-BP36&gt;0,"+"&amp;BP37-BP36,BP37-BP36),"-")</f>
        <v>-3</v>
      </c>
      <c r="BQ38" s="293">
        <f t="shared" si="96"/>
        <v>-3</v>
      </c>
      <c r="BR38" s="293">
        <f t="shared" si="96"/>
        <v>-3</v>
      </c>
      <c r="BS38" s="293" t="str">
        <f t="shared" si="96"/>
        <v>-</v>
      </c>
      <c r="BT38" s="293">
        <f t="shared" si="96"/>
        <v>-3</v>
      </c>
      <c r="BU38" s="304">
        <f t="shared" si="96"/>
        <v>-12</v>
      </c>
      <c r="BV38" s="265"/>
      <c r="BW38" s="292">
        <f t="shared" ref="BW38:CB38" si="97">IF(BW36&lt;&gt;"",IF(BW37-BW36&gt;0,"+"&amp;BW37-BW36,BW37-BW36),"-")</f>
        <v>-3</v>
      </c>
      <c r="BX38" s="293">
        <f t="shared" si="97"/>
        <v>-3</v>
      </c>
      <c r="BY38" s="293">
        <f t="shared" si="97"/>
        <v>-3</v>
      </c>
      <c r="BZ38" s="293">
        <f t="shared" si="97"/>
        <v>-3</v>
      </c>
      <c r="CA38" s="293">
        <f t="shared" si="97"/>
        <v>-3</v>
      </c>
      <c r="CB38" s="304">
        <f t="shared" si="97"/>
        <v>-15</v>
      </c>
      <c r="CC38" s="265"/>
      <c r="CD38" s="292">
        <f t="shared" ref="CD38:CI38" si="98">IF(CD36&lt;&gt;"",IF(CD37-CD36&gt;0,"+"&amp;CD37-CD36,CD37-CD36),"-")</f>
        <v>-3</v>
      </c>
      <c r="CE38" s="293">
        <f t="shared" si="98"/>
        <v>-3</v>
      </c>
      <c r="CF38" s="293">
        <f t="shared" si="98"/>
        <v>-3</v>
      </c>
      <c r="CG38" s="293">
        <f t="shared" si="98"/>
        <v>-3</v>
      </c>
      <c r="CH38" s="293">
        <f t="shared" si="98"/>
        <v>-3</v>
      </c>
      <c r="CI38" s="304">
        <f t="shared" si="98"/>
        <v>-15</v>
      </c>
      <c r="CJ38" s="265"/>
      <c r="CK38" s="292">
        <f t="shared" ref="CK38:CP38" si="99">IF(CK36&lt;&gt;"",IF(CK37-CK36&gt;0,"+"&amp;CK37-CK36,CK37-CK36),"-")</f>
        <v>-3</v>
      </c>
      <c r="CL38" s="293">
        <f t="shared" si="99"/>
        <v>-3</v>
      </c>
      <c r="CM38" s="293">
        <f t="shared" si="99"/>
        <v>-3</v>
      </c>
      <c r="CN38" s="293">
        <f t="shared" si="99"/>
        <v>-3</v>
      </c>
      <c r="CO38" s="293">
        <f t="shared" si="99"/>
        <v>-3</v>
      </c>
      <c r="CP38" s="304">
        <f t="shared" si="99"/>
        <v>-15</v>
      </c>
      <c r="CQ38" s="265"/>
      <c r="CR38" s="292">
        <f t="shared" ref="CR38:CW38" si="100">IF(CR36&lt;&gt;"",IF(CR37-CR36&gt;0,"+"&amp;CR37-CR36,CR37-CR36),"-")</f>
        <v>-3</v>
      </c>
      <c r="CS38" s="293">
        <f t="shared" si="100"/>
        <v>-3</v>
      </c>
      <c r="CT38" s="293">
        <f t="shared" si="100"/>
        <v>-3</v>
      </c>
      <c r="CU38" s="293">
        <f t="shared" si="100"/>
        <v>-3</v>
      </c>
      <c r="CV38" s="293">
        <f t="shared" si="100"/>
        <v>-3</v>
      </c>
      <c r="CW38" s="304">
        <f t="shared" si="100"/>
        <v>-15</v>
      </c>
      <c r="CX38" s="265"/>
      <c r="CY38" s="292">
        <f t="shared" ref="CY38:DD38" si="101">IF(CY36&lt;&gt;"",IF(CY37-CY36&gt;0,"+"&amp;CY37-CY36,CY37-CY36),"-")</f>
        <v>-3</v>
      </c>
      <c r="CZ38" s="293">
        <f t="shared" si="101"/>
        <v>-3</v>
      </c>
      <c r="DA38" s="293">
        <f t="shared" si="101"/>
        <v>-3</v>
      </c>
      <c r="DB38" s="293">
        <f t="shared" si="101"/>
        <v>-3</v>
      </c>
      <c r="DC38" s="293">
        <f t="shared" si="101"/>
        <v>-3</v>
      </c>
      <c r="DD38" s="304">
        <f t="shared" si="101"/>
        <v>-15</v>
      </c>
      <c r="DE38" s="265"/>
      <c r="DF38" s="292" t="str">
        <f t="shared" ref="DF38:DK38" si="102">IF(DF36&lt;&gt;"",IF(DF37-DF36&gt;0,"+"&amp;DF37-DF36,DF37-DF36),"-")</f>
        <v>-</v>
      </c>
      <c r="DG38" s="293" t="str">
        <f t="shared" si="102"/>
        <v>-</v>
      </c>
      <c r="DH38" s="293" t="str">
        <f t="shared" si="102"/>
        <v>-</v>
      </c>
      <c r="DI38" s="293" t="str">
        <f t="shared" si="102"/>
        <v>-</v>
      </c>
      <c r="DJ38" s="293" t="str">
        <f t="shared" si="102"/>
        <v>-</v>
      </c>
      <c r="DK38" s="304">
        <f t="shared" si="102"/>
        <v>0</v>
      </c>
      <c r="DL38" s="265"/>
      <c r="DM38" s="292" t="str">
        <f t="shared" ref="DM38:DR38" si="103">IF(DM36&lt;&gt;"",IF(DM37-DM36&gt;0,"+"&amp;DM37-DM36,DM37-DM36),"-")</f>
        <v>-</v>
      </c>
      <c r="DN38" s="293" t="str">
        <f t="shared" si="103"/>
        <v>-</v>
      </c>
      <c r="DO38" s="293" t="str">
        <f t="shared" si="103"/>
        <v>-</v>
      </c>
      <c r="DP38" s="293" t="str">
        <f t="shared" si="103"/>
        <v>-</v>
      </c>
      <c r="DQ38" s="293" t="str">
        <f t="shared" si="103"/>
        <v>-</v>
      </c>
      <c r="DR38" s="304">
        <f t="shared" si="103"/>
        <v>0</v>
      </c>
      <c r="DS38" s="265"/>
      <c r="DT38" s="292" t="str">
        <f t="shared" ref="DT38:DY38" si="104">IF(DT36&lt;&gt;"",IF(DT37-DT36&gt;0,"+"&amp;DT37-DT36,DT37-DT36),"-")</f>
        <v>-</v>
      </c>
      <c r="DU38" s="293" t="str">
        <f t="shared" si="104"/>
        <v>-</v>
      </c>
      <c r="DV38" s="293" t="str">
        <f t="shared" si="104"/>
        <v>-</v>
      </c>
      <c r="DW38" s="293" t="str">
        <f t="shared" si="104"/>
        <v>-</v>
      </c>
      <c r="DX38" s="293" t="str">
        <f t="shared" si="104"/>
        <v>-</v>
      </c>
      <c r="DY38" s="304">
        <f t="shared" si="104"/>
        <v>0</v>
      </c>
      <c r="DZ38" s="265"/>
      <c r="EA38" s="292" t="str">
        <f t="shared" ref="EA38:EF38" si="105">IF(EA36&lt;&gt;"",IF(EA37-EA36&gt;0,"+"&amp;EA37-EA36,EA37-EA36),"-")</f>
        <v>-</v>
      </c>
      <c r="EB38" s="293" t="str">
        <f t="shared" si="105"/>
        <v>-</v>
      </c>
      <c r="EC38" s="293" t="str">
        <f t="shared" si="105"/>
        <v>-</v>
      </c>
      <c r="ED38" s="293" t="str">
        <f t="shared" si="105"/>
        <v>-</v>
      </c>
      <c r="EE38" s="293" t="str">
        <f t="shared" si="105"/>
        <v>-</v>
      </c>
      <c r="EF38" s="304">
        <f t="shared" si="105"/>
        <v>0</v>
      </c>
      <c r="EG38" s="265"/>
      <c r="EH38" s="292" t="str">
        <f t="shared" ref="EH38:EM38" si="106">IF(EH36&lt;&gt;"",IF(EH37-EH36&gt;0,"+"&amp;EH37-EH36,EH37-EH36),"-")</f>
        <v>-</v>
      </c>
      <c r="EI38" s="293" t="str">
        <f t="shared" si="106"/>
        <v>-</v>
      </c>
      <c r="EJ38" s="293" t="str">
        <f t="shared" si="106"/>
        <v>-</v>
      </c>
      <c r="EK38" s="293" t="str">
        <f t="shared" si="106"/>
        <v>-</v>
      </c>
      <c r="EL38" s="293" t="str">
        <f t="shared" si="106"/>
        <v>-</v>
      </c>
      <c r="EM38" s="304">
        <f t="shared" si="106"/>
        <v>0</v>
      </c>
      <c r="EN38" s="265"/>
      <c r="EO38" s="292" t="str">
        <f t="shared" ref="EO38:ET38" si="107">IF(EO36&lt;&gt;"",IF(EO37-EO36&gt;0,"+"&amp;EO37-EO36,EO37-EO36),"-")</f>
        <v>-</v>
      </c>
      <c r="EP38" s="293" t="str">
        <f t="shared" si="107"/>
        <v>-</v>
      </c>
      <c r="EQ38" s="293" t="str">
        <f t="shared" si="107"/>
        <v>-</v>
      </c>
      <c r="ER38" s="293" t="str">
        <f t="shared" si="107"/>
        <v>-</v>
      </c>
      <c r="ES38" s="293" t="str">
        <f t="shared" si="107"/>
        <v>-</v>
      </c>
      <c r="ET38" s="304">
        <f t="shared" si="107"/>
        <v>0</v>
      </c>
      <c r="EU38" s="265"/>
      <c r="EV38" s="292" t="str">
        <f t="shared" ref="EV38:FA38" si="108">IF(EV36&lt;&gt;"",IF(EV37-EV36&gt;0,"+"&amp;EV37-EV36,EV37-EV36),"-")</f>
        <v>-</v>
      </c>
      <c r="EW38" s="293" t="str">
        <f t="shared" si="108"/>
        <v>-</v>
      </c>
      <c r="EX38" s="293" t="str">
        <f t="shared" si="108"/>
        <v>-</v>
      </c>
      <c r="EY38" s="293" t="str">
        <f t="shared" si="108"/>
        <v>-</v>
      </c>
      <c r="EZ38" s="293" t="str">
        <f t="shared" si="108"/>
        <v>-</v>
      </c>
      <c r="FA38" s="304">
        <f t="shared" si="108"/>
        <v>0</v>
      </c>
      <c r="FB38" s="265"/>
      <c r="FC38" s="292" t="str">
        <f t="shared" ref="FC38:FH38" si="109">IF(FC36&lt;&gt;"",IF(FC37-FC36&gt;0,"+"&amp;FC37-FC36,FC37-FC36),"-")</f>
        <v>-</v>
      </c>
      <c r="FD38" s="293" t="str">
        <f t="shared" si="109"/>
        <v>-</v>
      </c>
      <c r="FE38" s="293" t="str">
        <f t="shared" si="109"/>
        <v>-</v>
      </c>
      <c r="FF38" s="293" t="str">
        <f t="shared" si="109"/>
        <v>-</v>
      </c>
      <c r="FG38" s="293" t="str">
        <f t="shared" si="109"/>
        <v>-</v>
      </c>
      <c r="FH38" s="304">
        <f t="shared" si="109"/>
        <v>0</v>
      </c>
      <c r="FI38" s="265"/>
      <c r="FJ38" s="292" t="str">
        <f t="shared" ref="FJ38:FO38" si="110">IF(FJ36&lt;&gt;"",IF(FJ37-FJ36&gt;0,"+"&amp;FJ37-FJ36,FJ37-FJ36),"-")</f>
        <v>-</v>
      </c>
      <c r="FK38" s="293" t="str">
        <f t="shared" si="110"/>
        <v>-</v>
      </c>
      <c r="FL38" s="293" t="str">
        <f t="shared" si="110"/>
        <v>-</v>
      </c>
      <c r="FM38" s="293" t="str">
        <f t="shared" si="110"/>
        <v>-</v>
      </c>
      <c r="FN38" s="293" t="str">
        <f t="shared" si="110"/>
        <v>-</v>
      </c>
      <c r="FO38" s="304">
        <f t="shared" si="110"/>
        <v>0</v>
      </c>
      <c r="FP38" s="265"/>
      <c r="FQ38" s="292" t="str">
        <f t="shared" ref="FQ38:FV38" si="111">IF(FQ36&lt;&gt;"",IF(FQ37-FQ36&gt;0,"+"&amp;FQ37-FQ36,FQ37-FQ36),"-")</f>
        <v>-</v>
      </c>
      <c r="FR38" s="293" t="str">
        <f t="shared" si="111"/>
        <v>-</v>
      </c>
      <c r="FS38" s="293" t="str">
        <f t="shared" si="111"/>
        <v>-</v>
      </c>
      <c r="FT38" s="293" t="str">
        <f t="shared" si="111"/>
        <v>-</v>
      </c>
      <c r="FU38" s="293" t="str">
        <f t="shared" si="111"/>
        <v>-</v>
      </c>
      <c r="FV38" s="304">
        <f t="shared" si="111"/>
        <v>0</v>
      </c>
      <c r="FW38" s="265"/>
      <c r="FX38" s="292" t="str">
        <f t="shared" ref="FX38:GC38" si="112">IF(FX36&lt;&gt;"",IF(FX37-FX36&gt;0,"+"&amp;FX37-FX36,FX37-FX36),"-")</f>
        <v>-</v>
      </c>
      <c r="FY38" s="293" t="str">
        <f t="shared" si="112"/>
        <v>-</v>
      </c>
      <c r="FZ38" s="293" t="str">
        <f t="shared" si="112"/>
        <v>-</v>
      </c>
      <c r="GA38" s="293" t="str">
        <f t="shared" si="112"/>
        <v>-</v>
      </c>
      <c r="GB38" s="293" t="str">
        <f t="shared" si="112"/>
        <v>-</v>
      </c>
      <c r="GC38" s="304">
        <f t="shared" si="112"/>
        <v>0</v>
      </c>
      <c r="GD38" s="265"/>
      <c r="GE38" s="292" t="str">
        <f t="shared" ref="GE38:GJ38" si="113">IF(GE36&lt;&gt;"",IF(GE37-GE36&gt;0,"+"&amp;GE37-GE36,GE37-GE36),"-")</f>
        <v>-</v>
      </c>
      <c r="GF38" s="293" t="str">
        <f t="shared" si="113"/>
        <v>-</v>
      </c>
      <c r="GG38" s="293" t="str">
        <f t="shared" si="113"/>
        <v>-</v>
      </c>
      <c r="GH38" s="293" t="str">
        <f t="shared" si="113"/>
        <v>-</v>
      </c>
      <c r="GI38" s="293" t="str">
        <f t="shared" si="113"/>
        <v>-</v>
      </c>
      <c r="GJ38" s="304">
        <f t="shared" si="113"/>
        <v>0</v>
      </c>
      <c r="GK38" s="265"/>
      <c r="GL38" s="292" t="str">
        <f t="shared" ref="GL38:GQ38" si="114">IF(GL36&lt;&gt;"",IF(GL37-GL36&gt;0,"+"&amp;GL37-GL36,GL37-GL36),"-")</f>
        <v>-</v>
      </c>
      <c r="GM38" s="293" t="str">
        <f t="shared" si="114"/>
        <v>-</v>
      </c>
      <c r="GN38" s="293" t="str">
        <f t="shared" si="114"/>
        <v>-</v>
      </c>
      <c r="GO38" s="293" t="str">
        <f t="shared" si="114"/>
        <v>-</v>
      </c>
      <c r="GP38" s="293" t="str">
        <f t="shared" si="114"/>
        <v>-</v>
      </c>
      <c r="GQ38" s="304">
        <f t="shared" si="114"/>
        <v>0</v>
      </c>
      <c r="GR38" s="265"/>
      <c r="GS38" s="292" t="str">
        <f t="shared" ref="GS38:GX38" si="115">IF(GS36&lt;&gt;"",IF(GS37-GS36&gt;0,"+"&amp;GS37-GS36,GS37-GS36),"-")</f>
        <v>-</v>
      </c>
      <c r="GT38" s="293" t="str">
        <f t="shared" si="115"/>
        <v>-</v>
      </c>
      <c r="GU38" s="293" t="str">
        <f t="shared" si="115"/>
        <v>-</v>
      </c>
      <c r="GV38" s="293" t="str">
        <f t="shared" si="115"/>
        <v>-</v>
      </c>
      <c r="GW38" s="293" t="str">
        <f t="shared" si="115"/>
        <v>-</v>
      </c>
      <c r="GX38" s="304">
        <f t="shared" si="115"/>
        <v>0</v>
      </c>
      <c r="GY38" s="283"/>
    </row>
    <row r="39" spans="1:207" s="196" customFormat="1" ht="16.05" customHeight="1" x14ac:dyDescent="0.3">
      <c r="A39" s="294"/>
      <c r="B39" s="284" t="s">
        <v>426</v>
      </c>
      <c r="C39" s="285" t="s">
        <v>415</v>
      </c>
      <c r="D39" s="270"/>
      <c r="E39" s="279"/>
      <c r="F39" s="280"/>
      <c r="G39" s="280"/>
      <c r="H39" s="280"/>
      <c r="I39" s="280"/>
      <c r="J39" s="302">
        <f>SUM(E39:I39)</f>
        <v>0</v>
      </c>
      <c r="K39" s="265"/>
      <c r="L39" s="279"/>
      <c r="M39" s="280"/>
      <c r="N39" s="280"/>
      <c r="O39" s="280"/>
      <c r="P39" s="280"/>
      <c r="Q39" s="302">
        <f>SUM(L39:P39)</f>
        <v>0</v>
      </c>
      <c r="R39" s="265"/>
      <c r="S39" s="279"/>
      <c r="T39" s="280"/>
      <c r="U39" s="280"/>
      <c r="V39" s="280"/>
      <c r="W39" s="280"/>
      <c r="X39" s="302">
        <f>SUM(S39:W39)</f>
        <v>0</v>
      </c>
      <c r="Y39" s="265"/>
      <c r="Z39" s="279"/>
      <c r="AA39" s="280"/>
      <c r="AB39" s="280"/>
      <c r="AC39" s="280"/>
      <c r="AD39" s="280"/>
      <c r="AE39" s="302">
        <f>SUM(Z39:AD39)</f>
        <v>0</v>
      </c>
      <c r="AF39" s="265"/>
      <c r="AG39" s="279"/>
      <c r="AH39" s="280"/>
      <c r="AI39" s="280"/>
      <c r="AJ39" s="280"/>
      <c r="AK39" s="280"/>
      <c r="AL39" s="302">
        <f>SUM(AG39:AK39)</f>
        <v>0</v>
      </c>
      <c r="AM39" s="265"/>
      <c r="AN39" s="279"/>
      <c r="AO39" s="280"/>
      <c r="AP39" s="280"/>
      <c r="AQ39" s="280"/>
      <c r="AR39" s="280"/>
      <c r="AS39" s="302">
        <f>SUM(AN39:AR39)</f>
        <v>0</v>
      </c>
      <c r="AT39" s="265"/>
      <c r="AU39" s="279"/>
      <c r="AV39" s="280"/>
      <c r="AW39" s="280"/>
      <c r="AX39" s="280"/>
      <c r="AY39" s="280"/>
      <c r="AZ39" s="302">
        <f>SUM(AU39:AY39)</f>
        <v>0</v>
      </c>
      <c r="BA39" s="265"/>
      <c r="BB39" s="279"/>
      <c r="BC39" s="280"/>
      <c r="BD39" s="280"/>
      <c r="BE39" s="280"/>
      <c r="BF39" s="280"/>
      <c r="BG39" s="302">
        <f>SUM(BB39:BF39)</f>
        <v>0</v>
      </c>
      <c r="BH39" s="265"/>
      <c r="BI39" s="279"/>
      <c r="BJ39" s="280"/>
      <c r="BK39" s="280"/>
      <c r="BL39" s="280"/>
      <c r="BM39" s="280"/>
      <c r="BN39" s="302">
        <f>SUM(BI39:BM39)</f>
        <v>0</v>
      </c>
      <c r="BO39" s="265"/>
      <c r="BP39" s="279"/>
      <c r="BQ39" s="280"/>
      <c r="BR39" s="280"/>
      <c r="BS39" s="280"/>
      <c r="BT39" s="280"/>
      <c r="BU39" s="302">
        <f>SUM(BP39:BT39)</f>
        <v>0</v>
      </c>
      <c r="BV39" s="265"/>
      <c r="BW39" s="279"/>
      <c r="BX39" s="280"/>
      <c r="BY39" s="280"/>
      <c r="BZ39" s="280"/>
      <c r="CA39" s="280"/>
      <c r="CB39" s="302">
        <f>SUM(BW39:CA39)</f>
        <v>0</v>
      </c>
      <c r="CC39" s="265"/>
      <c r="CD39" s="279"/>
      <c r="CE39" s="280"/>
      <c r="CF39" s="280"/>
      <c r="CG39" s="280"/>
      <c r="CH39" s="280"/>
      <c r="CI39" s="302">
        <f>SUM(CD39:CH39)</f>
        <v>0</v>
      </c>
      <c r="CJ39" s="265"/>
      <c r="CK39" s="279"/>
      <c r="CL39" s="280"/>
      <c r="CM39" s="280"/>
      <c r="CN39" s="280"/>
      <c r="CO39" s="280"/>
      <c r="CP39" s="302">
        <f>SUM(CK39:CO39)</f>
        <v>0</v>
      </c>
      <c r="CQ39" s="265"/>
      <c r="CR39" s="279"/>
      <c r="CS39" s="280"/>
      <c r="CT39" s="280"/>
      <c r="CU39" s="280"/>
      <c r="CV39" s="280"/>
      <c r="CW39" s="302">
        <f>SUM(CR39:CV39)</f>
        <v>0</v>
      </c>
      <c r="CX39" s="265"/>
      <c r="CY39" s="279"/>
      <c r="CZ39" s="280"/>
      <c r="DA39" s="280"/>
      <c r="DB39" s="280"/>
      <c r="DC39" s="280"/>
      <c r="DD39" s="302">
        <f>SUM(CY39:DC39)</f>
        <v>0</v>
      </c>
      <c r="DE39" s="265"/>
      <c r="DF39" s="279"/>
      <c r="DG39" s="280"/>
      <c r="DH39" s="280"/>
      <c r="DI39" s="280"/>
      <c r="DJ39" s="280"/>
      <c r="DK39" s="302">
        <f>SUM(DF39:DJ39)</f>
        <v>0</v>
      </c>
      <c r="DL39" s="265"/>
      <c r="DM39" s="279"/>
      <c r="DN39" s="280"/>
      <c r="DO39" s="280"/>
      <c r="DP39" s="280"/>
      <c r="DQ39" s="280"/>
      <c r="DR39" s="302">
        <f>SUM(DM39:DQ39)</f>
        <v>0</v>
      </c>
      <c r="DS39" s="265"/>
      <c r="DT39" s="279"/>
      <c r="DU39" s="280"/>
      <c r="DV39" s="280"/>
      <c r="DW39" s="280"/>
      <c r="DX39" s="280"/>
      <c r="DY39" s="302">
        <f>SUM(DT39:DX39)</f>
        <v>0</v>
      </c>
      <c r="DZ39" s="265"/>
      <c r="EA39" s="279"/>
      <c r="EB39" s="280"/>
      <c r="EC39" s="280"/>
      <c r="ED39" s="280"/>
      <c r="EE39" s="280"/>
      <c r="EF39" s="302">
        <f>SUM(EA39:EE39)</f>
        <v>0</v>
      </c>
      <c r="EG39" s="265"/>
      <c r="EH39" s="279"/>
      <c r="EI39" s="280"/>
      <c r="EJ39" s="280"/>
      <c r="EK39" s="280"/>
      <c r="EL39" s="280"/>
      <c r="EM39" s="302">
        <f>SUM(EH39:EL39)</f>
        <v>0</v>
      </c>
      <c r="EN39" s="265"/>
      <c r="EO39" s="279"/>
      <c r="EP39" s="280"/>
      <c r="EQ39" s="280"/>
      <c r="ER39" s="280"/>
      <c r="ES39" s="280"/>
      <c r="ET39" s="302">
        <f>SUM(EO39:ES39)</f>
        <v>0</v>
      </c>
      <c r="EU39" s="265"/>
      <c r="EV39" s="279"/>
      <c r="EW39" s="280"/>
      <c r="EX39" s="280"/>
      <c r="EY39" s="280"/>
      <c r="EZ39" s="280"/>
      <c r="FA39" s="302">
        <f>SUM(EV39:EZ39)</f>
        <v>0</v>
      </c>
      <c r="FB39" s="265"/>
      <c r="FC39" s="279"/>
      <c r="FD39" s="280"/>
      <c r="FE39" s="280"/>
      <c r="FF39" s="280"/>
      <c r="FG39" s="280"/>
      <c r="FH39" s="302">
        <f>SUM(FC39:FG39)</f>
        <v>0</v>
      </c>
      <c r="FI39" s="265"/>
      <c r="FJ39" s="279"/>
      <c r="FK39" s="280"/>
      <c r="FL39" s="280"/>
      <c r="FM39" s="280"/>
      <c r="FN39" s="280"/>
      <c r="FO39" s="302">
        <f>SUM(FJ39:FN39)</f>
        <v>0</v>
      </c>
      <c r="FP39" s="265"/>
      <c r="FQ39" s="279"/>
      <c r="FR39" s="280"/>
      <c r="FS39" s="280"/>
      <c r="FT39" s="280"/>
      <c r="FU39" s="280"/>
      <c r="FV39" s="302">
        <f>SUM(FQ39:FU39)</f>
        <v>0</v>
      </c>
      <c r="FW39" s="265"/>
      <c r="FX39" s="279"/>
      <c r="FY39" s="280"/>
      <c r="FZ39" s="280"/>
      <c r="GA39" s="280"/>
      <c r="GB39" s="280"/>
      <c r="GC39" s="302">
        <f>SUM(FX39:GB39)</f>
        <v>0</v>
      </c>
      <c r="GD39" s="265"/>
      <c r="GE39" s="279"/>
      <c r="GF39" s="280"/>
      <c r="GG39" s="280"/>
      <c r="GH39" s="280"/>
      <c r="GI39" s="280"/>
      <c r="GJ39" s="302">
        <f>SUM(GE39:GI39)</f>
        <v>0</v>
      </c>
      <c r="GK39" s="265"/>
      <c r="GL39" s="279"/>
      <c r="GM39" s="280"/>
      <c r="GN39" s="280"/>
      <c r="GO39" s="280"/>
      <c r="GP39" s="280"/>
      <c r="GQ39" s="302">
        <f>SUM(GL39:GP39)</f>
        <v>0</v>
      </c>
      <c r="GR39" s="265"/>
      <c r="GS39" s="279"/>
      <c r="GT39" s="280"/>
      <c r="GU39" s="280"/>
      <c r="GV39" s="280"/>
      <c r="GW39" s="280"/>
      <c r="GX39" s="302">
        <f>SUM(GS39:GW39)</f>
        <v>0</v>
      </c>
      <c r="GY39" s="283"/>
    </row>
    <row r="40" spans="1:207" s="196" customFormat="1" ht="16.05" customHeight="1" x14ac:dyDescent="0.3">
      <c r="A40" s="294"/>
      <c r="B40" s="282"/>
      <c r="C40" s="286" t="s">
        <v>416</v>
      </c>
      <c r="D40" s="271"/>
      <c r="E40" s="227">
        <f>'Pilotage effectif 27O'!I46</f>
        <v>0</v>
      </c>
      <c r="F40" s="228">
        <f>'Pilotage effectif 27O'!J46</f>
        <v>0</v>
      </c>
      <c r="G40" s="228">
        <f>'Pilotage effectif 27O'!K46</f>
        <v>0</v>
      </c>
      <c r="H40" s="228">
        <f>'Pilotage effectif 27O'!L46</f>
        <v>0</v>
      </c>
      <c r="I40" s="228">
        <f>'Pilotage effectif 27O'!M46</f>
        <v>0</v>
      </c>
      <c r="J40" s="303">
        <f>'Pilotage effectif 27O'!N46</f>
        <v>0</v>
      </c>
      <c r="K40" s="265"/>
      <c r="L40" s="227">
        <f>'Pilotage effectif 27O'!P46</f>
        <v>0</v>
      </c>
      <c r="M40" s="228">
        <f>'Pilotage effectif 27O'!Q46</f>
        <v>0</v>
      </c>
      <c r="N40" s="228">
        <f>'Pilotage effectif 27O'!R46</f>
        <v>0</v>
      </c>
      <c r="O40" s="228">
        <f>'Pilotage effectif 27O'!S46</f>
        <v>0</v>
      </c>
      <c r="P40" s="228">
        <f>'Pilotage effectif 27O'!T46</f>
        <v>0</v>
      </c>
      <c r="Q40" s="303">
        <f>'Pilotage effectif 27O'!U46</f>
        <v>0</v>
      </c>
      <c r="R40" s="265"/>
      <c r="S40" s="227">
        <f>'Pilotage effectif 27O'!W46</f>
        <v>0</v>
      </c>
      <c r="T40" s="228">
        <f>'Pilotage effectif 27O'!X46</f>
        <v>0</v>
      </c>
      <c r="U40" s="228">
        <f>'Pilotage effectif 27O'!Y46</f>
        <v>0</v>
      </c>
      <c r="V40" s="228">
        <f>'Pilotage effectif 27O'!Z46</f>
        <v>0</v>
      </c>
      <c r="W40" s="228">
        <f>'Pilotage effectif 27O'!AA46</f>
        <v>0</v>
      </c>
      <c r="X40" s="303">
        <f>'Pilotage effectif 27O'!AB46</f>
        <v>0</v>
      </c>
      <c r="Y40" s="265"/>
      <c r="Z40" s="227">
        <f>'Pilotage effectif 27O'!AD46</f>
        <v>0</v>
      </c>
      <c r="AA40" s="228">
        <f>'Pilotage effectif 27O'!AE46</f>
        <v>0</v>
      </c>
      <c r="AB40" s="228">
        <f>'Pilotage effectif 27O'!AF46</f>
        <v>0</v>
      </c>
      <c r="AC40" s="228">
        <f>'Pilotage effectif 27O'!AG46</f>
        <v>0</v>
      </c>
      <c r="AD40" s="228">
        <f>'Pilotage effectif 27O'!AH46</f>
        <v>0</v>
      </c>
      <c r="AE40" s="303">
        <f>'Pilotage effectif 27O'!AI46</f>
        <v>0</v>
      </c>
      <c r="AF40" s="265"/>
      <c r="AG40" s="227">
        <f>'Pilotage effectif 27O'!AK46</f>
        <v>0</v>
      </c>
      <c r="AH40" s="228">
        <f>'Pilotage effectif 27O'!AL46</f>
        <v>0</v>
      </c>
      <c r="AI40" s="228">
        <f>'Pilotage effectif 27O'!AM46</f>
        <v>0</v>
      </c>
      <c r="AJ40" s="228">
        <f>'Pilotage effectif 27O'!AN46</f>
        <v>0</v>
      </c>
      <c r="AK40" s="228">
        <f>'Pilotage effectif 27O'!AO46</f>
        <v>0</v>
      </c>
      <c r="AL40" s="303">
        <f>'Pilotage effectif 27O'!AP46</f>
        <v>0</v>
      </c>
      <c r="AM40" s="265"/>
      <c r="AN40" s="227">
        <f>'Pilotage effectif 27O'!AR46</f>
        <v>1</v>
      </c>
      <c r="AO40" s="228">
        <f>'Pilotage effectif 27O'!AS46</f>
        <v>1</v>
      </c>
      <c r="AP40" s="228">
        <f>'Pilotage effectif 27O'!AT46</f>
        <v>1</v>
      </c>
      <c r="AQ40" s="228">
        <f>'Pilotage effectif 27O'!AU46</f>
        <v>1</v>
      </c>
      <c r="AR40" s="228">
        <f>'Pilotage effectif 27O'!AV46</f>
        <v>1</v>
      </c>
      <c r="AS40" s="303">
        <f>'Pilotage effectif 27O'!AW46</f>
        <v>5</v>
      </c>
      <c r="AT40" s="265"/>
      <c r="AU40" s="227">
        <f>'Pilotage effectif 27O'!AY46</f>
        <v>0</v>
      </c>
      <c r="AV40" s="228">
        <f>'Pilotage effectif 27O'!AZ46</f>
        <v>0</v>
      </c>
      <c r="AW40" s="228">
        <f>'Pilotage effectif 27O'!BA46</f>
        <v>0</v>
      </c>
      <c r="AX40" s="228">
        <f>'Pilotage effectif 27O'!BB46</f>
        <v>0</v>
      </c>
      <c r="AY40" s="228">
        <f>'Pilotage effectif 27O'!BC46</f>
        <v>0</v>
      </c>
      <c r="AZ40" s="303">
        <f>'Pilotage effectif 27O'!BD46</f>
        <v>0</v>
      </c>
      <c r="BA40" s="265"/>
      <c r="BB40" s="227">
        <f>'Pilotage effectif 27O'!BF46</f>
        <v>0</v>
      </c>
      <c r="BC40" s="228">
        <f>'Pilotage effectif 27O'!BG46</f>
        <v>0</v>
      </c>
      <c r="BD40" s="228">
        <f>'Pilotage effectif 27O'!BH46</f>
        <v>0</v>
      </c>
      <c r="BE40" s="228">
        <f>'Pilotage effectif 27O'!BI46</f>
        <v>0</v>
      </c>
      <c r="BF40" s="228">
        <f>'Pilotage effectif 27O'!BJ46</f>
        <v>0</v>
      </c>
      <c r="BG40" s="303">
        <f>'Pilotage effectif 27O'!BK46</f>
        <v>0</v>
      </c>
      <c r="BH40" s="265"/>
      <c r="BI40" s="227">
        <f>'Pilotage effectif 27O'!BM46</f>
        <v>0</v>
      </c>
      <c r="BJ40" s="228">
        <f>'Pilotage effectif 27O'!BN46</f>
        <v>0</v>
      </c>
      <c r="BK40" s="228">
        <f>'Pilotage effectif 27O'!BO46</f>
        <v>0</v>
      </c>
      <c r="BL40" s="228">
        <f>'Pilotage effectif 27O'!BP46</f>
        <v>0</v>
      </c>
      <c r="BM40" s="228">
        <f>'Pilotage effectif 27O'!BQ46</f>
        <v>0</v>
      </c>
      <c r="BN40" s="303">
        <f>'Pilotage effectif 27O'!BR46</f>
        <v>0</v>
      </c>
      <c r="BO40" s="265"/>
      <c r="BP40" s="227">
        <f>'Pilotage effectif 27O'!BT46</f>
        <v>0</v>
      </c>
      <c r="BQ40" s="228">
        <f>'Pilotage effectif 27O'!BU46</f>
        <v>0</v>
      </c>
      <c r="BR40" s="228">
        <f>'Pilotage effectif 27O'!BV46</f>
        <v>0</v>
      </c>
      <c r="BS40" s="228">
        <f>'Pilotage effectif 27O'!BW46</f>
        <v>0</v>
      </c>
      <c r="BT40" s="228">
        <f>'Pilotage effectif 27O'!BX46</f>
        <v>0</v>
      </c>
      <c r="BU40" s="303">
        <f>'Pilotage effectif 27O'!BY46</f>
        <v>0</v>
      </c>
      <c r="BV40" s="265"/>
      <c r="BW40" s="227">
        <f>'Pilotage effectif 27O'!CA46</f>
        <v>0</v>
      </c>
      <c r="BX40" s="228">
        <f>'Pilotage effectif 27O'!CB46</f>
        <v>0</v>
      </c>
      <c r="BY40" s="228">
        <f>'Pilotage effectif 27O'!CC46</f>
        <v>0</v>
      </c>
      <c r="BZ40" s="228">
        <f>'Pilotage effectif 27O'!CD46</f>
        <v>0</v>
      </c>
      <c r="CA40" s="228">
        <f>'Pilotage effectif 27O'!CE46</f>
        <v>0</v>
      </c>
      <c r="CB40" s="303">
        <f>'Pilotage effectif 27O'!CF46</f>
        <v>0</v>
      </c>
      <c r="CC40" s="265"/>
      <c r="CD40" s="227">
        <f>'Pilotage effectif 27O'!CH46</f>
        <v>0</v>
      </c>
      <c r="CE40" s="228">
        <f>'Pilotage effectif 27O'!CI46</f>
        <v>0</v>
      </c>
      <c r="CF40" s="228">
        <f>'Pilotage effectif 27O'!CJ46</f>
        <v>0</v>
      </c>
      <c r="CG40" s="228">
        <f>'Pilotage effectif 27O'!CK46</f>
        <v>0</v>
      </c>
      <c r="CH40" s="228">
        <f>'Pilotage effectif 27O'!CL46</f>
        <v>0</v>
      </c>
      <c r="CI40" s="303">
        <f>'Pilotage effectif 27O'!CM46</f>
        <v>0</v>
      </c>
      <c r="CJ40" s="265"/>
      <c r="CK40" s="227">
        <f>'Pilotage effectif 27O'!CO46</f>
        <v>0</v>
      </c>
      <c r="CL40" s="228">
        <f>'Pilotage effectif 27O'!CP46</f>
        <v>0</v>
      </c>
      <c r="CM40" s="228">
        <f>'Pilotage effectif 27O'!CQ46</f>
        <v>0</v>
      </c>
      <c r="CN40" s="228">
        <f>'Pilotage effectif 27O'!CR46</f>
        <v>0</v>
      </c>
      <c r="CO40" s="228">
        <f>'Pilotage effectif 27O'!CS46</f>
        <v>0</v>
      </c>
      <c r="CP40" s="303">
        <f>'Pilotage effectif 27O'!CT46</f>
        <v>0</v>
      </c>
      <c r="CQ40" s="265"/>
      <c r="CR40" s="227">
        <f>'Pilotage effectif 27O'!CV46</f>
        <v>0</v>
      </c>
      <c r="CS40" s="228">
        <f>'Pilotage effectif 27O'!CW46</f>
        <v>0</v>
      </c>
      <c r="CT40" s="228">
        <f>'Pilotage effectif 27O'!CX46</f>
        <v>0</v>
      </c>
      <c r="CU40" s="228">
        <f>'Pilotage effectif 27O'!CY46</f>
        <v>0</v>
      </c>
      <c r="CV40" s="228">
        <f>'Pilotage effectif 27O'!CZ46</f>
        <v>0</v>
      </c>
      <c r="CW40" s="303">
        <f>'Pilotage effectif 27O'!DA46</f>
        <v>0</v>
      </c>
      <c r="CX40" s="265"/>
      <c r="CY40" s="227">
        <f>'Pilotage effectif 27O'!DC46</f>
        <v>0</v>
      </c>
      <c r="CZ40" s="228">
        <f>'Pilotage effectif 27O'!DD46</f>
        <v>0</v>
      </c>
      <c r="DA40" s="228">
        <f>'Pilotage effectif 27O'!DE46</f>
        <v>0</v>
      </c>
      <c r="DB40" s="228">
        <f>'Pilotage effectif 27O'!DF46</f>
        <v>0</v>
      </c>
      <c r="DC40" s="228">
        <f>'Pilotage effectif 27O'!DG46</f>
        <v>0</v>
      </c>
      <c r="DD40" s="303">
        <f>'Pilotage effectif 27O'!DH46</f>
        <v>0</v>
      </c>
      <c r="DE40" s="265"/>
      <c r="DF40" s="227">
        <f>'Pilotage effectif 27O'!DJ46</f>
        <v>0</v>
      </c>
      <c r="DG40" s="228">
        <f>'Pilotage effectif 27O'!DK46</f>
        <v>0</v>
      </c>
      <c r="DH40" s="228">
        <f>'Pilotage effectif 27O'!DL46</f>
        <v>0</v>
      </c>
      <c r="DI40" s="228">
        <f>'Pilotage effectif 27O'!DM46</f>
        <v>0</v>
      </c>
      <c r="DJ40" s="228">
        <f>'Pilotage effectif 27O'!DN46</f>
        <v>0</v>
      </c>
      <c r="DK40" s="303">
        <f>'Pilotage effectif 27O'!DO46</f>
        <v>0</v>
      </c>
      <c r="DL40" s="265"/>
      <c r="DM40" s="227">
        <f>'Pilotage effectif 27O'!DQ46</f>
        <v>0</v>
      </c>
      <c r="DN40" s="228">
        <f>'Pilotage effectif 27O'!DR46</f>
        <v>0</v>
      </c>
      <c r="DO40" s="228">
        <f>'Pilotage effectif 27O'!DS46</f>
        <v>0</v>
      </c>
      <c r="DP40" s="228">
        <f>'Pilotage effectif 27O'!DT46</f>
        <v>0</v>
      </c>
      <c r="DQ40" s="228">
        <f>'Pilotage effectif 27O'!DU46</f>
        <v>0</v>
      </c>
      <c r="DR40" s="303">
        <f>'Pilotage effectif 27O'!DV46</f>
        <v>0</v>
      </c>
      <c r="DS40" s="265"/>
      <c r="DT40" s="227">
        <f>'Pilotage effectif 27O'!DX46</f>
        <v>0</v>
      </c>
      <c r="DU40" s="228">
        <f>'Pilotage effectif 27O'!DY46</f>
        <v>0</v>
      </c>
      <c r="DV40" s="228">
        <f>'Pilotage effectif 27O'!DZ46</f>
        <v>0</v>
      </c>
      <c r="DW40" s="228">
        <f>'Pilotage effectif 27O'!EA46</f>
        <v>0</v>
      </c>
      <c r="DX40" s="228">
        <f>'Pilotage effectif 27O'!EB46</f>
        <v>0</v>
      </c>
      <c r="DY40" s="303">
        <f>'Pilotage effectif 27O'!EC46</f>
        <v>0</v>
      </c>
      <c r="DZ40" s="265"/>
      <c r="EA40" s="227">
        <f>'Pilotage effectif 27O'!EE46</f>
        <v>0</v>
      </c>
      <c r="EB40" s="228">
        <f>'Pilotage effectif 27O'!EF46</f>
        <v>0</v>
      </c>
      <c r="EC40" s="228">
        <f>'Pilotage effectif 27O'!EG46</f>
        <v>0</v>
      </c>
      <c r="ED40" s="228">
        <f>'Pilotage effectif 27O'!EH46</f>
        <v>0</v>
      </c>
      <c r="EE40" s="228">
        <f>'Pilotage effectif 27O'!EI46</f>
        <v>0</v>
      </c>
      <c r="EF40" s="303">
        <f>'Pilotage effectif 27O'!EJ46</f>
        <v>0</v>
      </c>
      <c r="EG40" s="265"/>
      <c r="EH40" s="227">
        <f>'Pilotage effectif 27O'!EL46</f>
        <v>0</v>
      </c>
      <c r="EI40" s="228">
        <f>'Pilotage effectif 27O'!EM46</f>
        <v>0</v>
      </c>
      <c r="EJ40" s="228">
        <f>'Pilotage effectif 27O'!EN46</f>
        <v>0</v>
      </c>
      <c r="EK40" s="228">
        <f>'Pilotage effectif 27O'!EO46</f>
        <v>0</v>
      </c>
      <c r="EL40" s="228">
        <f>'Pilotage effectif 27O'!EP46</f>
        <v>0</v>
      </c>
      <c r="EM40" s="303">
        <f>'Pilotage effectif 27O'!EQ46</f>
        <v>0</v>
      </c>
      <c r="EN40" s="265"/>
      <c r="EO40" s="227">
        <f>'Pilotage effectif 27O'!ES46</f>
        <v>0</v>
      </c>
      <c r="EP40" s="228">
        <f>'Pilotage effectif 27O'!ET46</f>
        <v>0</v>
      </c>
      <c r="EQ40" s="228">
        <f>'Pilotage effectif 27O'!EU46</f>
        <v>0</v>
      </c>
      <c r="ER40" s="228">
        <f>'Pilotage effectif 27O'!EV46</f>
        <v>0</v>
      </c>
      <c r="ES40" s="228">
        <f>'Pilotage effectif 27O'!EW46</f>
        <v>0</v>
      </c>
      <c r="ET40" s="303">
        <f>'Pilotage effectif 27O'!EX46</f>
        <v>0</v>
      </c>
      <c r="EU40" s="265"/>
      <c r="EV40" s="227">
        <f>'Pilotage effectif 27O'!EZ46</f>
        <v>0</v>
      </c>
      <c r="EW40" s="228">
        <f>'Pilotage effectif 27O'!FA46</f>
        <v>0</v>
      </c>
      <c r="EX40" s="228">
        <f>'Pilotage effectif 27O'!FB46</f>
        <v>0</v>
      </c>
      <c r="EY40" s="228">
        <f>'Pilotage effectif 27O'!FC46</f>
        <v>0</v>
      </c>
      <c r="EZ40" s="228">
        <f>'Pilotage effectif 27O'!FD46</f>
        <v>0</v>
      </c>
      <c r="FA40" s="303">
        <f>'Pilotage effectif 27O'!FE46</f>
        <v>0</v>
      </c>
      <c r="FB40" s="265"/>
      <c r="FC40" s="227">
        <f>'Pilotage effectif 27O'!FG46</f>
        <v>0</v>
      </c>
      <c r="FD40" s="228">
        <f>'Pilotage effectif 27O'!FH46</f>
        <v>0</v>
      </c>
      <c r="FE40" s="228">
        <f>'Pilotage effectif 27O'!FI46</f>
        <v>0</v>
      </c>
      <c r="FF40" s="228">
        <f>'Pilotage effectif 27O'!FJ46</f>
        <v>0</v>
      </c>
      <c r="FG40" s="228">
        <f>'Pilotage effectif 27O'!FK46</f>
        <v>0</v>
      </c>
      <c r="FH40" s="303">
        <f>'Pilotage effectif 27O'!FL46</f>
        <v>0</v>
      </c>
      <c r="FI40" s="265"/>
      <c r="FJ40" s="227">
        <f>'Pilotage effectif 27O'!FN46</f>
        <v>0</v>
      </c>
      <c r="FK40" s="228">
        <f>'Pilotage effectif 27O'!FO46</f>
        <v>0</v>
      </c>
      <c r="FL40" s="228">
        <f>'Pilotage effectif 27O'!FP46</f>
        <v>0</v>
      </c>
      <c r="FM40" s="228">
        <f>'Pilotage effectif 27O'!FQ46</f>
        <v>0</v>
      </c>
      <c r="FN40" s="228">
        <f>'Pilotage effectif 27O'!FR46</f>
        <v>0</v>
      </c>
      <c r="FO40" s="303">
        <f>'Pilotage effectif 27O'!FS46</f>
        <v>0</v>
      </c>
      <c r="FP40" s="265"/>
      <c r="FQ40" s="227">
        <f>'Pilotage effectif 27O'!FU46</f>
        <v>0</v>
      </c>
      <c r="FR40" s="228">
        <f>'Pilotage effectif 27O'!FV46</f>
        <v>0</v>
      </c>
      <c r="FS40" s="228">
        <f>'Pilotage effectif 27O'!FW46</f>
        <v>0</v>
      </c>
      <c r="FT40" s="228">
        <f>'Pilotage effectif 27O'!FX46</f>
        <v>0</v>
      </c>
      <c r="FU40" s="228">
        <f>'Pilotage effectif 27O'!FY46</f>
        <v>0</v>
      </c>
      <c r="FV40" s="303">
        <f>'Pilotage effectif 27O'!FZ46</f>
        <v>0</v>
      </c>
      <c r="FW40" s="265"/>
      <c r="FX40" s="227">
        <f>'Pilotage effectif 27O'!GB46</f>
        <v>0</v>
      </c>
      <c r="FY40" s="228">
        <f>'Pilotage effectif 27O'!GC46</f>
        <v>0</v>
      </c>
      <c r="FZ40" s="228">
        <f>'Pilotage effectif 27O'!GD46</f>
        <v>0</v>
      </c>
      <c r="GA40" s="228">
        <f>'Pilotage effectif 27O'!GE46</f>
        <v>0</v>
      </c>
      <c r="GB40" s="228">
        <f>'Pilotage effectif 27O'!GF46</f>
        <v>0</v>
      </c>
      <c r="GC40" s="303">
        <f>'Pilotage effectif 27O'!GG46</f>
        <v>0</v>
      </c>
      <c r="GD40" s="265"/>
      <c r="GE40" s="227">
        <f>'Pilotage effectif 27O'!GI46</f>
        <v>0</v>
      </c>
      <c r="GF40" s="228">
        <f>'Pilotage effectif 27O'!GJ46</f>
        <v>0</v>
      </c>
      <c r="GG40" s="228">
        <f>'Pilotage effectif 27O'!GK46</f>
        <v>0</v>
      </c>
      <c r="GH40" s="228">
        <f>'Pilotage effectif 27O'!GL46</f>
        <v>0</v>
      </c>
      <c r="GI40" s="228">
        <f>'Pilotage effectif 27O'!GM46</f>
        <v>0</v>
      </c>
      <c r="GJ40" s="303">
        <f>'Pilotage effectif 27O'!GN46</f>
        <v>0</v>
      </c>
      <c r="GK40" s="265"/>
      <c r="GL40" s="227">
        <f>'Pilotage effectif 27O'!GP46</f>
        <v>0</v>
      </c>
      <c r="GM40" s="228">
        <f>'Pilotage effectif 27O'!GQ46</f>
        <v>0</v>
      </c>
      <c r="GN40" s="228">
        <f>'Pilotage effectif 27O'!GR46</f>
        <v>0</v>
      </c>
      <c r="GO40" s="228">
        <f>'Pilotage effectif 27O'!GS46</f>
        <v>0</v>
      </c>
      <c r="GP40" s="228">
        <f>'Pilotage effectif 27O'!GT46</f>
        <v>0</v>
      </c>
      <c r="GQ40" s="303">
        <f>'Pilotage effectif 27O'!GU46</f>
        <v>0</v>
      </c>
      <c r="GR40" s="265"/>
      <c r="GS40" s="227">
        <f>'Pilotage effectif 27O'!GW46</f>
        <v>0</v>
      </c>
      <c r="GT40" s="228">
        <f>'Pilotage effectif 27O'!GX46</f>
        <v>0</v>
      </c>
      <c r="GU40" s="228">
        <f>'Pilotage effectif 27O'!GY46</f>
        <v>0</v>
      </c>
      <c r="GV40" s="228">
        <f>'Pilotage effectif 27O'!GZ46</f>
        <v>0</v>
      </c>
      <c r="GW40" s="228">
        <f>'Pilotage effectif 27O'!HA46</f>
        <v>0</v>
      </c>
      <c r="GX40" s="303">
        <f>'Pilotage effectif 27O'!HB46</f>
        <v>0</v>
      </c>
      <c r="GY40" s="283"/>
    </row>
    <row r="41" spans="1:207" s="196" customFormat="1" ht="16.05" customHeight="1" thickBot="1" x14ac:dyDescent="0.35">
      <c r="A41" s="294"/>
      <c r="B41" s="288"/>
      <c r="C41" s="289" t="s">
        <v>690</v>
      </c>
      <c r="D41" s="271"/>
      <c r="E41" s="292" t="str">
        <f t="shared" ref="E41:J41" si="116">IF(E39&lt;&gt;"",IF(E40-E39&gt;0,"+"&amp;E40-E39,E40-E39),"-")</f>
        <v>-</v>
      </c>
      <c r="F41" s="293" t="str">
        <f t="shared" si="116"/>
        <v>-</v>
      </c>
      <c r="G41" s="293" t="str">
        <f t="shared" si="116"/>
        <v>-</v>
      </c>
      <c r="H41" s="293" t="str">
        <f t="shared" si="116"/>
        <v>-</v>
      </c>
      <c r="I41" s="293" t="str">
        <f t="shared" si="116"/>
        <v>-</v>
      </c>
      <c r="J41" s="304">
        <f t="shared" si="116"/>
        <v>0</v>
      </c>
      <c r="K41" s="265"/>
      <c r="L41" s="292" t="str">
        <f t="shared" ref="L41:Q41" si="117">IF(L39&lt;&gt;"",IF(L40-L39&gt;0,"+"&amp;L40-L39,L40-L39),"-")</f>
        <v>-</v>
      </c>
      <c r="M41" s="293" t="str">
        <f t="shared" si="117"/>
        <v>-</v>
      </c>
      <c r="N41" s="293" t="str">
        <f t="shared" si="117"/>
        <v>-</v>
      </c>
      <c r="O41" s="293" t="str">
        <f t="shared" si="117"/>
        <v>-</v>
      </c>
      <c r="P41" s="293" t="str">
        <f t="shared" si="117"/>
        <v>-</v>
      </c>
      <c r="Q41" s="304">
        <f t="shared" si="117"/>
        <v>0</v>
      </c>
      <c r="R41" s="265"/>
      <c r="S41" s="292" t="str">
        <f t="shared" ref="S41:X41" si="118">IF(S39&lt;&gt;"",IF(S40-S39&gt;0,"+"&amp;S40-S39,S40-S39),"-")</f>
        <v>-</v>
      </c>
      <c r="T41" s="293" t="str">
        <f t="shared" si="118"/>
        <v>-</v>
      </c>
      <c r="U41" s="293" t="str">
        <f t="shared" si="118"/>
        <v>-</v>
      </c>
      <c r="V41" s="293" t="str">
        <f t="shared" si="118"/>
        <v>-</v>
      </c>
      <c r="W41" s="293" t="str">
        <f t="shared" si="118"/>
        <v>-</v>
      </c>
      <c r="X41" s="304">
        <f t="shared" si="118"/>
        <v>0</v>
      </c>
      <c r="Y41" s="265"/>
      <c r="Z41" s="292" t="str">
        <f t="shared" ref="Z41:AE41" si="119">IF(Z39&lt;&gt;"",IF(Z40-Z39&gt;0,"+"&amp;Z40-Z39,Z40-Z39),"-")</f>
        <v>-</v>
      </c>
      <c r="AA41" s="293" t="str">
        <f t="shared" si="119"/>
        <v>-</v>
      </c>
      <c r="AB41" s="293" t="str">
        <f t="shared" si="119"/>
        <v>-</v>
      </c>
      <c r="AC41" s="293" t="str">
        <f t="shared" si="119"/>
        <v>-</v>
      </c>
      <c r="AD41" s="293" t="str">
        <f t="shared" si="119"/>
        <v>-</v>
      </c>
      <c r="AE41" s="304">
        <f t="shared" si="119"/>
        <v>0</v>
      </c>
      <c r="AF41" s="265"/>
      <c r="AG41" s="292" t="str">
        <f t="shared" ref="AG41:AL41" si="120">IF(AG39&lt;&gt;"",IF(AG40-AG39&gt;0,"+"&amp;AG40-AG39,AG40-AG39),"-")</f>
        <v>-</v>
      </c>
      <c r="AH41" s="293" t="str">
        <f t="shared" si="120"/>
        <v>-</v>
      </c>
      <c r="AI41" s="293" t="str">
        <f t="shared" si="120"/>
        <v>-</v>
      </c>
      <c r="AJ41" s="293" t="str">
        <f t="shared" si="120"/>
        <v>-</v>
      </c>
      <c r="AK41" s="293" t="str">
        <f t="shared" si="120"/>
        <v>-</v>
      </c>
      <c r="AL41" s="304">
        <f t="shared" si="120"/>
        <v>0</v>
      </c>
      <c r="AM41" s="265"/>
      <c r="AN41" s="292" t="str">
        <f t="shared" ref="AN41:AS41" si="121">IF(AN39&lt;&gt;"",IF(AN40-AN39&gt;0,"+"&amp;AN40-AN39,AN40-AN39),"-")</f>
        <v>-</v>
      </c>
      <c r="AO41" s="293" t="str">
        <f t="shared" si="121"/>
        <v>-</v>
      </c>
      <c r="AP41" s="293" t="str">
        <f t="shared" si="121"/>
        <v>-</v>
      </c>
      <c r="AQ41" s="293" t="str">
        <f t="shared" si="121"/>
        <v>-</v>
      </c>
      <c r="AR41" s="293" t="str">
        <f t="shared" si="121"/>
        <v>-</v>
      </c>
      <c r="AS41" s="304" t="str">
        <f t="shared" si="121"/>
        <v>+5</v>
      </c>
      <c r="AT41" s="265"/>
      <c r="AU41" s="292" t="str">
        <f t="shared" ref="AU41:AZ41" si="122">IF(AU39&lt;&gt;"",IF(AU40-AU39&gt;0,"+"&amp;AU40-AU39,AU40-AU39),"-")</f>
        <v>-</v>
      </c>
      <c r="AV41" s="293" t="str">
        <f t="shared" si="122"/>
        <v>-</v>
      </c>
      <c r="AW41" s="293" t="str">
        <f t="shared" si="122"/>
        <v>-</v>
      </c>
      <c r="AX41" s="293" t="str">
        <f t="shared" si="122"/>
        <v>-</v>
      </c>
      <c r="AY41" s="293" t="str">
        <f t="shared" si="122"/>
        <v>-</v>
      </c>
      <c r="AZ41" s="304">
        <f t="shared" si="122"/>
        <v>0</v>
      </c>
      <c r="BA41" s="265"/>
      <c r="BB41" s="292" t="str">
        <f t="shared" ref="BB41:BG41" si="123">IF(BB39&lt;&gt;"",IF(BB40-BB39&gt;0,"+"&amp;BB40-BB39,BB40-BB39),"-")</f>
        <v>-</v>
      </c>
      <c r="BC41" s="293" t="str">
        <f t="shared" si="123"/>
        <v>-</v>
      </c>
      <c r="BD41" s="293" t="str">
        <f t="shared" si="123"/>
        <v>-</v>
      </c>
      <c r="BE41" s="293" t="str">
        <f t="shared" si="123"/>
        <v>-</v>
      </c>
      <c r="BF41" s="293" t="str">
        <f t="shared" si="123"/>
        <v>-</v>
      </c>
      <c r="BG41" s="304">
        <f t="shared" si="123"/>
        <v>0</v>
      </c>
      <c r="BH41" s="265"/>
      <c r="BI41" s="292" t="str">
        <f t="shared" ref="BI41:BN41" si="124">IF(BI39&lt;&gt;"",IF(BI40-BI39&gt;0,"+"&amp;BI40-BI39,BI40-BI39),"-")</f>
        <v>-</v>
      </c>
      <c r="BJ41" s="293" t="str">
        <f t="shared" si="124"/>
        <v>-</v>
      </c>
      <c r="BK41" s="293" t="str">
        <f t="shared" si="124"/>
        <v>-</v>
      </c>
      <c r="BL41" s="293" t="str">
        <f t="shared" si="124"/>
        <v>-</v>
      </c>
      <c r="BM41" s="293" t="str">
        <f t="shared" si="124"/>
        <v>-</v>
      </c>
      <c r="BN41" s="304">
        <f t="shared" si="124"/>
        <v>0</v>
      </c>
      <c r="BO41" s="265"/>
      <c r="BP41" s="292" t="str">
        <f t="shared" ref="BP41:BU41" si="125">IF(BP39&lt;&gt;"",IF(BP40-BP39&gt;0,"+"&amp;BP40-BP39,BP40-BP39),"-")</f>
        <v>-</v>
      </c>
      <c r="BQ41" s="293" t="str">
        <f t="shared" si="125"/>
        <v>-</v>
      </c>
      <c r="BR41" s="293" t="str">
        <f t="shared" si="125"/>
        <v>-</v>
      </c>
      <c r="BS41" s="293" t="str">
        <f t="shared" si="125"/>
        <v>-</v>
      </c>
      <c r="BT41" s="293" t="str">
        <f t="shared" si="125"/>
        <v>-</v>
      </c>
      <c r="BU41" s="304">
        <f t="shared" si="125"/>
        <v>0</v>
      </c>
      <c r="BV41" s="265"/>
      <c r="BW41" s="292" t="str">
        <f t="shared" ref="BW41:CB41" si="126">IF(BW39&lt;&gt;"",IF(BW40-BW39&gt;0,"+"&amp;BW40-BW39,BW40-BW39),"-")</f>
        <v>-</v>
      </c>
      <c r="BX41" s="293" t="str">
        <f t="shared" si="126"/>
        <v>-</v>
      </c>
      <c r="BY41" s="293" t="str">
        <f t="shared" si="126"/>
        <v>-</v>
      </c>
      <c r="BZ41" s="293" t="str">
        <f t="shared" si="126"/>
        <v>-</v>
      </c>
      <c r="CA41" s="293" t="str">
        <f t="shared" si="126"/>
        <v>-</v>
      </c>
      <c r="CB41" s="304">
        <f t="shared" si="126"/>
        <v>0</v>
      </c>
      <c r="CC41" s="265"/>
      <c r="CD41" s="292" t="str">
        <f t="shared" ref="CD41:CI41" si="127">IF(CD39&lt;&gt;"",IF(CD40-CD39&gt;0,"+"&amp;CD40-CD39,CD40-CD39),"-")</f>
        <v>-</v>
      </c>
      <c r="CE41" s="293" t="str">
        <f t="shared" si="127"/>
        <v>-</v>
      </c>
      <c r="CF41" s="293" t="str">
        <f t="shared" si="127"/>
        <v>-</v>
      </c>
      <c r="CG41" s="293" t="str">
        <f t="shared" si="127"/>
        <v>-</v>
      </c>
      <c r="CH41" s="293" t="str">
        <f t="shared" si="127"/>
        <v>-</v>
      </c>
      <c r="CI41" s="304">
        <f t="shared" si="127"/>
        <v>0</v>
      </c>
      <c r="CJ41" s="265"/>
      <c r="CK41" s="292" t="str">
        <f t="shared" ref="CK41:CP41" si="128">IF(CK39&lt;&gt;"",IF(CK40-CK39&gt;0,"+"&amp;CK40-CK39,CK40-CK39),"-")</f>
        <v>-</v>
      </c>
      <c r="CL41" s="293" t="str">
        <f t="shared" si="128"/>
        <v>-</v>
      </c>
      <c r="CM41" s="293" t="str">
        <f t="shared" si="128"/>
        <v>-</v>
      </c>
      <c r="CN41" s="293" t="str">
        <f t="shared" si="128"/>
        <v>-</v>
      </c>
      <c r="CO41" s="293" t="str">
        <f t="shared" si="128"/>
        <v>-</v>
      </c>
      <c r="CP41" s="304">
        <f t="shared" si="128"/>
        <v>0</v>
      </c>
      <c r="CQ41" s="265"/>
      <c r="CR41" s="292" t="str">
        <f t="shared" ref="CR41:CW41" si="129">IF(CR39&lt;&gt;"",IF(CR40-CR39&gt;0,"+"&amp;CR40-CR39,CR40-CR39),"-")</f>
        <v>-</v>
      </c>
      <c r="CS41" s="293" t="str">
        <f t="shared" si="129"/>
        <v>-</v>
      </c>
      <c r="CT41" s="293" t="str">
        <f t="shared" si="129"/>
        <v>-</v>
      </c>
      <c r="CU41" s="293" t="str">
        <f t="shared" si="129"/>
        <v>-</v>
      </c>
      <c r="CV41" s="293" t="str">
        <f t="shared" si="129"/>
        <v>-</v>
      </c>
      <c r="CW41" s="304">
        <f t="shared" si="129"/>
        <v>0</v>
      </c>
      <c r="CX41" s="265"/>
      <c r="CY41" s="292" t="str">
        <f t="shared" ref="CY41:DD41" si="130">IF(CY39&lt;&gt;"",IF(CY40-CY39&gt;0,"+"&amp;CY40-CY39,CY40-CY39),"-")</f>
        <v>-</v>
      </c>
      <c r="CZ41" s="293" t="str">
        <f t="shared" si="130"/>
        <v>-</v>
      </c>
      <c r="DA41" s="293" t="str">
        <f t="shared" si="130"/>
        <v>-</v>
      </c>
      <c r="DB41" s="293" t="str">
        <f t="shared" si="130"/>
        <v>-</v>
      </c>
      <c r="DC41" s="293" t="str">
        <f t="shared" si="130"/>
        <v>-</v>
      </c>
      <c r="DD41" s="304">
        <f t="shared" si="130"/>
        <v>0</v>
      </c>
      <c r="DE41" s="265"/>
      <c r="DF41" s="292" t="str">
        <f t="shared" ref="DF41:DK41" si="131">IF(DF39&lt;&gt;"",IF(DF40-DF39&gt;0,"+"&amp;DF40-DF39,DF40-DF39),"-")</f>
        <v>-</v>
      </c>
      <c r="DG41" s="293" t="str">
        <f t="shared" si="131"/>
        <v>-</v>
      </c>
      <c r="DH41" s="293" t="str">
        <f t="shared" si="131"/>
        <v>-</v>
      </c>
      <c r="DI41" s="293" t="str">
        <f t="shared" si="131"/>
        <v>-</v>
      </c>
      <c r="DJ41" s="293" t="str">
        <f t="shared" si="131"/>
        <v>-</v>
      </c>
      <c r="DK41" s="304">
        <f t="shared" si="131"/>
        <v>0</v>
      </c>
      <c r="DL41" s="265"/>
      <c r="DM41" s="292" t="str">
        <f t="shared" ref="DM41:DR41" si="132">IF(DM39&lt;&gt;"",IF(DM40-DM39&gt;0,"+"&amp;DM40-DM39,DM40-DM39),"-")</f>
        <v>-</v>
      </c>
      <c r="DN41" s="293" t="str">
        <f t="shared" si="132"/>
        <v>-</v>
      </c>
      <c r="DO41" s="293" t="str">
        <f t="shared" si="132"/>
        <v>-</v>
      </c>
      <c r="DP41" s="293" t="str">
        <f t="shared" si="132"/>
        <v>-</v>
      </c>
      <c r="DQ41" s="293" t="str">
        <f t="shared" si="132"/>
        <v>-</v>
      </c>
      <c r="DR41" s="304">
        <f t="shared" si="132"/>
        <v>0</v>
      </c>
      <c r="DS41" s="265"/>
      <c r="DT41" s="292" t="str">
        <f t="shared" ref="DT41:DY41" si="133">IF(DT39&lt;&gt;"",IF(DT40-DT39&gt;0,"+"&amp;DT40-DT39,DT40-DT39),"-")</f>
        <v>-</v>
      </c>
      <c r="DU41" s="293" t="str">
        <f t="shared" si="133"/>
        <v>-</v>
      </c>
      <c r="DV41" s="293" t="str">
        <f t="shared" si="133"/>
        <v>-</v>
      </c>
      <c r="DW41" s="293" t="str">
        <f t="shared" si="133"/>
        <v>-</v>
      </c>
      <c r="DX41" s="293" t="str">
        <f t="shared" si="133"/>
        <v>-</v>
      </c>
      <c r="DY41" s="304">
        <f t="shared" si="133"/>
        <v>0</v>
      </c>
      <c r="DZ41" s="265"/>
      <c r="EA41" s="292" t="str">
        <f t="shared" ref="EA41:EF41" si="134">IF(EA39&lt;&gt;"",IF(EA40-EA39&gt;0,"+"&amp;EA40-EA39,EA40-EA39),"-")</f>
        <v>-</v>
      </c>
      <c r="EB41" s="293" t="str">
        <f t="shared" si="134"/>
        <v>-</v>
      </c>
      <c r="EC41" s="293" t="str">
        <f t="shared" si="134"/>
        <v>-</v>
      </c>
      <c r="ED41" s="293" t="str">
        <f t="shared" si="134"/>
        <v>-</v>
      </c>
      <c r="EE41" s="293" t="str">
        <f t="shared" si="134"/>
        <v>-</v>
      </c>
      <c r="EF41" s="304">
        <f t="shared" si="134"/>
        <v>0</v>
      </c>
      <c r="EG41" s="265"/>
      <c r="EH41" s="292" t="str">
        <f t="shared" ref="EH41:EM41" si="135">IF(EH39&lt;&gt;"",IF(EH40-EH39&gt;0,"+"&amp;EH40-EH39,EH40-EH39),"-")</f>
        <v>-</v>
      </c>
      <c r="EI41" s="293" t="str">
        <f t="shared" si="135"/>
        <v>-</v>
      </c>
      <c r="EJ41" s="293" t="str">
        <f t="shared" si="135"/>
        <v>-</v>
      </c>
      <c r="EK41" s="293" t="str">
        <f t="shared" si="135"/>
        <v>-</v>
      </c>
      <c r="EL41" s="293" t="str">
        <f t="shared" si="135"/>
        <v>-</v>
      </c>
      <c r="EM41" s="304">
        <f t="shared" si="135"/>
        <v>0</v>
      </c>
      <c r="EN41" s="265"/>
      <c r="EO41" s="292" t="str">
        <f t="shared" ref="EO41:ET41" si="136">IF(EO39&lt;&gt;"",IF(EO40-EO39&gt;0,"+"&amp;EO40-EO39,EO40-EO39),"-")</f>
        <v>-</v>
      </c>
      <c r="EP41" s="293" t="str">
        <f t="shared" si="136"/>
        <v>-</v>
      </c>
      <c r="EQ41" s="293" t="str">
        <f t="shared" si="136"/>
        <v>-</v>
      </c>
      <c r="ER41" s="293" t="str">
        <f t="shared" si="136"/>
        <v>-</v>
      </c>
      <c r="ES41" s="293" t="str">
        <f t="shared" si="136"/>
        <v>-</v>
      </c>
      <c r="ET41" s="304">
        <f t="shared" si="136"/>
        <v>0</v>
      </c>
      <c r="EU41" s="265"/>
      <c r="EV41" s="292" t="str">
        <f t="shared" ref="EV41:FA41" si="137">IF(EV39&lt;&gt;"",IF(EV40-EV39&gt;0,"+"&amp;EV40-EV39,EV40-EV39),"-")</f>
        <v>-</v>
      </c>
      <c r="EW41" s="293" t="str">
        <f t="shared" si="137"/>
        <v>-</v>
      </c>
      <c r="EX41" s="293" t="str">
        <f t="shared" si="137"/>
        <v>-</v>
      </c>
      <c r="EY41" s="293" t="str">
        <f t="shared" si="137"/>
        <v>-</v>
      </c>
      <c r="EZ41" s="293" t="str">
        <f t="shared" si="137"/>
        <v>-</v>
      </c>
      <c r="FA41" s="304">
        <f t="shared" si="137"/>
        <v>0</v>
      </c>
      <c r="FB41" s="265"/>
      <c r="FC41" s="292" t="str">
        <f t="shared" ref="FC41:FH41" si="138">IF(FC39&lt;&gt;"",IF(FC40-FC39&gt;0,"+"&amp;FC40-FC39,FC40-FC39),"-")</f>
        <v>-</v>
      </c>
      <c r="FD41" s="293" t="str">
        <f t="shared" si="138"/>
        <v>-</v>
      </c>
      <c r="FE41" s="293" t="str">
        <f t="shared" si="138"/>
        <v>-</v>
      </c>
      <c r="FF41" s="293" t="str">
        <f t="shared" si="138"/>
        <v>-</v>
      </c>
      <c r="FG41" s="293" t="str">
        <f t="shared" si="138"/>
        <v>-</v>
      </c>
      <c r="FH41" s="304">
        <f t="shared" si="138"/>
        <v>0</v>
      </c>
      <c r="FI41" s="265"/>
      <c r="FJ41" s="292" t="str">
        <f t="shared" ref="FJ41:FO41" si="139">IF(FJ39&lt;&gt;"",IF(FJ40-FJ39&gt;0,"+"&amp;FJ40-FJ39,FJ40-FJ39),"-")</f>
        <v>-</v>
      </c>
      <c r="FK41" s="293" t="str">
        <f t="shared" si="139"/>
        <v>-</v>
      </c>
      <c r="FL41" s="293" t="str">
        <f t="shared" si="139"/>
        <v>-</v>
      </c>
      <c r="FM41" s="293" t="str">
        <f t="shared" si="139"/>
        <v>-</v>
      </c>
      <c r="FN41" s="293" t="str">
        <f t="shared" si="139"/>
        <v>-</v>
      </c>
      <c r="FO41" s="304">
        <f t="shared" si="139"/>
        <v>0</v>
      </c>
      <c r="FP41" s="265"/>
      <c r="FQ41" s="292" t="str">
        <f t="shared" ref="FQ41:FV41" si="140">IF(FQ39&lt;&gt;"",IF(FQ40-FQ39&gt;0,"+"&amp;FQ40-FQ39,FQ40-FQ39),"-")</f>
        <v>-</v>
      </c>
      <c r="FR41" s="293" t="str">
        <f t="shared" si="140"/>
        <v>-</v>
      </c>
      <c r="FS41" s="293" t="str">
        <f t="shared" si="140"/>
        <v>-</v>
      </c>
      <c r="FT41" s="293" t="str">
        <f t="shared" si="140"/>
        <v>-</v>
      </c>
      <c r="FU41" s="293" t="str">
        <f t="shared" si="140"/>
        <v>-</v>
      </c>
      <c r="FV41" s="304">
        <f t="shared" si="140"/>
        <v>0</v>
      </c>
      <c r="FW41" s="265"/>
      <c r="FX41" s="292" t="str">
        <f t="shared" ref="FX41:GC41" si="141">IF(FX39&lt;&gt;"",IF(FX40-FX39&gt;0,"+"&amp;FX40-FX39,FX40-FX39),"-")</f>
        <v>-</v>
      </c>
      <c r="FY41" s="293" t="str">
        <f t="shared" si="141"/>
        <v>-</v>
      </c>
      <c r="FZ41" s="293" t="str">
        <f t="shared" si="141"/>
        <v>-</v>
      </c>
      <c r="GA41" s="293" t="str">
        <f t="shared" si="141"/>
        <v>-</v>
      </c>
      <c r="GB41" s="293" t="str">
        <f t="shared" si="141"/>
        <v>-</v>
      </c>
      <c r="GC41" s="304">
        <f t="shared" si="141"/>
        <v>0</v>
      </c>
      <c r="GD41" s="265"/>
      <c r="GE41" s="292" t="str">
        <f t="shared" ref="GE41:GJ41" si="142">IF(GE39&lt;&gt;"",IF(GE40-GE39&gt;0,"+"&amp;GE40-GE39,GE40-GE39),"-")</f>
        <v>-</v>
      </c>
      <c r="GF41" s="293" t="str">
        <f t="shared" si="142"/>
        <v>-</v>
      </c>
      <c r="GG41" s="293" t="str">
        <f t="shared" si="142"/>
        <v>-</v>
      </c>
      <c r="GH41" s="293" t="str">
        <f t="shared" si="142"/>
        <v>-</v>
      </c>
      <c r="GI41" s="293" t="str">
        <f t="shared" si="142"/>
        <v>-</v>
      </c>
      <c r="GJ41" s="304">
        <f t="shared" si="142"/>
        <v>0</v>
      </c>
      <c r="GK41" s="265"/>
      <c r="GL41" s="292" t="str">
        <f t="shared" ref="GL41:GQ41" si="143">IF(GL39&lt;&gt;"",IF(GL40-GL39&gt;0,"+"&amp;GL40-GL39,GL40-GL39),"-")</f>
        <v>-</v>
      </c>
      <c r="GM41" s="293" t="str">
        <f t="shared" si="143"/>
        <v>-</v>
      </c>
      <c r="GN41" s="293" t="str">
        <f t="shared" si="143"/>
        <v>-</v>
      </c>
      <c r="GO41" s="293" t="str">
        <f t="shared" si="143"/>
        <v>-</v>
      </c>
      <c r="GP41" s="293" t="str">
        <f t="shared" si="143"/>
        <v>-</v>
      </c>
      <c r="GQ41" s="304">
        <f t="shared" si="143"/>
        <v>0</v>
      </c>
      <c r="GR41" s="265"/>
      <c r="GS41" s="292" t="str">
        <f t="shared" ref="GS41:GX41" si="144">IF(GS39&lt;&gt;"",IF(GS40-GS39&gt;0,"+"&amp;GS40-GS39,GS40-GS39),"-")</f>
        <v>-</v>
      </c>
      <c r="GT41" s="293" t="str">
        <f t="shared" si="144"/>
        <v>-</v>
      </c>
      <c r="GU41" s="293" t="str">
        <f t="shared" si="144"/>
        <v>-</v>
      </c>
      <c r="GV41" s="293" t="str">
        <f t="shared" si="144"/>
        <v>-</v>
      </c>
      <c r="GW41" s="293" t="str">
        <f t="shared" si="144"/>
        <v>-</v>
      </c>
      <c r="GX41" s="304">
        <f t="shared" si="144"/>
        <v>0</v>
      </c>
      <c r="GY41" s="283"/>
    </row>
    <row r="42" spans="1:207" s="196" customFormat="1" ht="16.05" customHeight="1" x14ac:dyDescent="0.3">
      <c r="A42" s="294"/>
      <c r="B42" s="284" t="s">
        <v>430</v>
      </c>
      <c r="C42" s="285" t="s">
        <v>415</v>
      </c>
      <c r="D42" s="270"/>
      <c r="E42" s="279"/>
      <c r="F42" s="280"/>
      <c r="G42" s="280"/>
      <c r="H42" s="280"/>
      <c r="I42" s="280"/>
      <c r="J42" s="302">
        <f>SUM(E42:I42)</f>
        <v>0</v>
      </c>
      <c r="K42" s="265"/>
      <c r="L42" s="279"/>
      <c r="M42" s="280"/>
      <c r="N42" s="280"/>
      <c r="O42" s="280"/>
      <c r="P42" s="280"/>
      <c r="Q42" s="302">
        <f>SUM(L42:P42)</f>
        <v>0</v>
      </c>
      <c r="R42" s="265"/>
      <c r="S42" s="279">
        <v>1</v>
      </c>
      <c r="T42" s="280">
        <v>1</v>
      </c>
      <c r="U42" s="280">
        <v>1</v>
      </c>
      <c r="V42" s="280">
        <v>1</v>
      </c>
      <c r="W42" s="280">
        <v>1</v>
      </c>
      <c r="X42" s="302">
        <f>SUM(S42:W42)</f>
        <v>5</v>
      </c>
      <c r="Y42" s="265"/>
      <c r="Z42" s="279">
        <v>1</v>
      </c>
      <c r="AA42" s="280">
        <v>1</v>
      </c>
      <c r="AB42" s="280">
        <v>1</v>
      </c>
      <c r="AC42" s="280">
        <v>1</v>
      </c>
      <c r="AD42" s="280">
        <v>1</v>
      </c>
      <c r="AE42" s="302">
        <f>SUM(Z42:AD42)</f>
        <v>5</v>
      </c>
      <c r="AF42" s="265"/>
      <c r="AG42" s="279">
        <v>1</v>
      </c>
      <c r="AH42" s="280">
        <v>1</v>
      </c>
      <c r="AI42" s="280">
        <v>1</v>
      </c>
      <c r="AJ42" s="280">
        <v>1</v>
      </c>
      <c r="AK42" s="280">
        <v>1</v>
      </c>
      <c r="AL42" s="302">
        <f>SUM(AG42:AK42)</f>
        <v>5</v>
      </c>
      <c r="AM42" s="265"/>
      <c r="AN42" s="279">
        <v>1</v>
      </c>
      <c r="AO42" s="280">
        <v>1</v>
      </c>
      <c r="AP42" s="280">
        <v>1</v>
      </c>
      <c r="AQ42" s="280">
        <v>1</v>
      </c>
      <c r="AR42" s="280">
        <v>1</v>
      </c>
      <c r="AS42" s="302">
        <f>SUM(AN42:AR42)</f>
        <v>5</v>
      </c>
      <c r="AT42" s="265"/>
      <c r="AU42" s="279">
        <v>1</v>
      </c>
      <c r="AV42" s="280">
        <v>1</v>
      </c>
      <c r="AW42" s="280">
        <v>1</v>
      </c>
      <c r="AX42" s="280">
        <v>1</v>
      </c>
      <c r="AY42" s="280">
        <v>1</v>
      </c>
      <c r="AZ42" s="302">
        <f>SUM(AU42:AY42)</f>
        <v>5</v>
      </c>
      <c r="BA42" s="265"/>
      <c r="BB42" s="279">
        <v>1</v>
      </c>
      <c r="BC42" s="280">
        <v>1</v>
      </c>
      <c r="BD42" s="280">
        <v>1</v>
      </c>
      <c r="BE42" s="280">
        <v>1</v>
      </c>
      <c r="BF42" s="280">
        <v>1</v>
      </c>
      <c r="BG42" s="302">
        <f>SUM(BB42:BF42)</f>
        <v>5</v>
      </c>
      <c r="BH42" s="265"/>
      <c r="BI42" s="279">
        <v>1</v>
      </c>
      <c r="BJ42" s="280">
        <v>1</v>
      </c>
      <c r="BK42" s="280">
        <v>1</v>
      </c>
      <c r="BL42" s="280">
        <v>1</v>
      </c>
      <c r="BM42" s="280">
        <v>1</v>
      </c>
      <c r="BN42" s="302">
        <f>SUM(BI42:BM42)</f>
        <v>5</v>
      </c>
      <c r="BO42" s="265"/>
      <c r="BP42" s="279">
        <v>1</v>
      </c>
      <c r="BQ42" s="280">
        <v>1</v>
      </c>
      <c r="BR42" s="280">
        <v>1</v>
      </c>
      <c r="BS42" s="280">
        <v>1</v>
      </c>
      <c r="BT42" s="280">
        <v>1</v>
      </c>
      <c r="BU42" s="302">
        <f>SUM(BP42:BT42)</f>
        <v>5</v>
      </c>
      <c r="BV42" s="265"/>
      <c r="BW42" s="279">
        <v>1</v>
      </c>
      <c r="BX42" s="280">
        <v>1</v>
      </c>
      <c r="BY42" s="280">
        <v>1</v>
      </c>
      <c r="BZ42" s="280">
        <v>1</v>
      </c>
      <c r="CA42" s="280">
        <v>1</v>
      </c>
      <c r="CB42" s="302">
        <f>SUM(BW42:CA42)</f>
        <v>5</v>
      </c>
      <c r="CC42" s="265"/>
      <c r="CD42" s="279">
        <v>1</v>
      </c>
      <c r="CE42" s="280">
        <v>1</v>
      </c>
      <c r="CF42" s="280">
        <v>1</v>
      </c>
      <c r="CG42" s="280">
        <v>1</v>
      </c>
      <c r="CH42" s="280">
        <v>1</v>
      </c>
      <c r="CI42" s="302">
        <f>SUM(CD42:CH42)</f>
        <v>5</v>
      </c>
      <c r="CJ42" s="265"/>
      <c r="CK42" s="279">
        <v>1</v>
      </c>
      <c r="CL42" s="280">
        <v>1</v>
      </c>
      <c r="CM42" s="280">
        <v>1</v>
      </c>
      <c r="CN42" s="280">
        <v>1</v>
      </c>
      <c r="CO42" s="280">
        <v>1</v>
      </c>
      <c r="CP42" s="302">
        <f>SUM(CK42:CO42)</f>
        <v>5</v>
      </c>
      <c r="CQ42" s="265"/>
      <c r="CR42" s="279"/>
      <c r="CS42" s="280"/>
      <c r="CT42" s="280"/>
      <c r="CU42" s="280"/>
      <c r="CV42" s="280"/>
      <c r="CW42" s="302">
        <f>SUM(CR42:CV42)</f>
        <v>0</v>
      </c>
      <c r="CX42" s="265"/>
      <c r="CY42" s="279"/>
      <c r="CZ42" s="280"/>
      <c r="DA42" s="280"/>
      <c r="DB42" s="280"/>
      <c r="DC42" s="280"/>
      <c r="DD42" s="302">
        <f>SUM(CY42:DC42)</f>
        <v>0</v>
      </c>
      <c r="DE42" s="265"/>
      <c r="DF42" s="279"/>
      <c r="DG42" s="280"/>
      <c r="DH42" s="280"/>
      <c r="DI42" s="280"/>
      <c r="DJ42" s="280"/>
      <c r="DK42" s="302">
        <f>SUM(DF42:DJ42)</f>
        <v>0</v>
      </c>
      <c r="DL42" s="265"/>
      <c r="DM42" s="279"/>
      <c r="DN42" s="280"/>
      <c r="DO42" s="280"/>
      <c r="DP42" s="280"/>
      <c r="DQ42" s="280"/>
      <c r="DR42" s="302">
        <f>SUM(DM42:DQ42)</f>
        <v>0</v>
      </c>
      <c r="DS42" s="265"/>
      <c r="DT42" s="279"/>
      <c r="DU42" s="280"/>
      <c r="DV42" s="280"/>
      <c r="DW42" s="280"/>
      <c r="DX42" s="280"/>
      <c r="DY42" s="302">
        <f>SUM(DT42:DX42)</f>
        <v>0</v>
      </c>
      <c r="DZ42" s="265"/>
      <c r="EA42" s="279"/>
      <c r="EB42" s="280"/>
      <c r="EC42" s="280"/>
      <c r="ED42" s="280"/>
      <c r="EE42" s="280"/>
      <c r="EF42" s="302">
        <f>SUM(EA42:EE42)</f>
        <v>0</v>
      </c>
      <c r="EG42" s="265"/>
      <c r="EH42" s="279"/>
      <c r="EI42" s="280"/>
      <c r="EJ42" s="280"/>
      <c r="EK42" s="280"/>
      <c r="EL42" s="280"/>
      <c r="EM42" s="302">
        <f>SUM(EH42:EL42)</f>
        <v>0</v>
      </c>
      <c r="EN42" s="265"/>
      <c r="EO42" s="279"/>
      <c r="EP42" s="280"/>
      <c r="EQ42" s="280"/>
      <c r="ER42" s="280"/>
      <c r="ES42" s="280"/>
      <c r="ET42" s="302">
        <f>SUM(EO42:ES42)</f>
        <v>0</v>
      </c>
      <c r="EU42" s="265"/>
      <c r="EV42" s="279"/>
      <c r="EW42" s="280"/>
      <c r="EX42" s="280"/>
      <c r="EY42" s="280"/>
      <c r="EZ42" s="280"/>
      <c r="FA42" s="302">
        <f>SUM(EV42:EZ42)</f>
        <v>0</v>
      </c>
      <c r="FB42" s="265"/>
      <c r="FC42" s="279"/>
      <c r="FD42" s="280"/>
      <c r="FE42" s="280"/>
      <c r="FF42" s="280"/>
      <c r="FG42" s="280"/>
      <c r="FH42" s="302">
        <f>SUM(FC42:FG42)</f>
        <v>0</v>
      </c>
      <c r="FI42" s="265"/>
      <c r="FJ42" s="279"/>
      <c r="FK42" s="280"/>
      <c r="FL42" s="280"/>
      <c r="FM42" s="280"/>
      <c r="FN42" s="280"/>
      <c r="FO42" s="302">
        <f>SUM(FJ42:FN42)</f>
        <v>0</v>
      </c>
      <c r="FP42" s="265"/>
      <c r="FQ42" s="279"/>
      <c r="FR42" s="280"/>
      <c r="FS42" s="280"/>
      <c r="FT42" s="280"/>
      <c r="FU42" s="280"/>
      <c r="FV42" s="302">
        <f>SUM(FQ42:FU42)</f>
        <v>0</v>
      </c>
      <c r="FW42" s="265"/>
      <c r="FX42" s="279"/>
      <c r="FY42" s="280"/>
      <c r="FZ42" s="280"/>
      <c r="GA42" s="280"/>
      <c r="GB42" s="280"/>
      <c r="GC42" s="302">
        <f>SUM(FX42:GB42)</f>
        <v>0</v>
      </c>
      <c r="GD42" s="265"/>
      <c r="GE42" s="279"/>
      <c r="GF42" s="280"/>
      <c r="GG42" s="280"/>
      <c r="GH42" s="280"/>
      <c r="GI42" s="280"/>
      <c r="GJ42" s="302">
        <f>SUM(GE42:GI42)</f>
        <v>0</v>
      </c>
      <c r="GK42" s="265"/>
      <c r="GL42" s="279"/>
      <c r="GM42" s="280"/>
      <c r="GN42" s="280"/>
      <c r="GO42" s="280"/>
      <c r="GP42" s="280"/>
      <c r="GQ42" s="302">
        <f>SUM(GL42:GP42)</f>
        <v>0</v>
      </c>
      <c r="GR42" s="265"/>
      <c r="GS42" s="279"/>
      <c r="GT42" s="280"/>
      <c r="GU42" s="280"/>
      <c r="GV42" s="280"/>
      <c r="GW42" s="280"/>
      <c r="GX42" s="302">
        <f>SUM(GS42:GW42)</f>
        <v>0</v>
      </c>
      <c r="GY42" s="283"/>
    </row>
    <row r="43" spans="1:207" s="196" customFormat="1" ht="16.05" customHeight="1" x14ac:dyDescent="0.3">
      <c r="A43" s="294"/>
      <c r="B43" s="282"/>
      <c r="C43" s="286" t="s">
        <v>416</v>
      </c>
      <c r="D43" s="271"/>
      <c r="E43" s="227">
        <f>'Pilotage effectif 27O'!I47</f>
        <v>1</v>
      </c>
      <c r="F43" s="228">
        <f>'Pilotage effectif 27O'!J47</f>
        <v>1</v>
      </c>
      <c r="G43" s="228">
        <f>'Pilotage effectif 27O'!K47</f>
        <v>0</v>
      </c>
      <c r="H43" s="228">
        <f>'Pilotage effectif 27O'!L47</f>
        <v>1</v>
      </c>
      <c r="I43" s="228">
        <f>'Pilotage effectif 27O'!M47</f>
        <v>1</v>
      </c>
      <c r="J43" s="303">
        <f>'Pilotage effectif 27O'!N47</f>
        <v>4</v>
      </c>
      <c r="K43" s="265"/>
      <c r="L43" s="227">
        <f>'Pilotage effectif 27O'!P47</f>
        <v>0</v>
      </c>
      <c r="M43" s="228">
        <f>'Pilotage effectif 27O'!Q47</f>
        <v>0</v>
      </c>
      <c r="N43" s="228">
        <f>'Pilotage effectif 27O'!R47</f>
        <v>0</v>
      </c>
      <c r="O43" s="228">
        <f>'Pilotage effectif 27O'!S47</f>
        <v>0</v>
      </c>
      <c r="P43" s="228">
        <f>'Pilotage effectif 27O'!T47</f>
        <v>0</v>
      </c>
      <c r="Q43" s="303">
        <f>'Pilotage effectif 27O'!U47</f>
        <v>0</v>
      </c>
      <c r="R43" s="265"/>
      <c r="S43" s="227">
        <f>'Pilotage effectif 27O'!W47</f>
        <v>0</v>
      </c>
      <c r="T43" s="228">
        <f>'Pilotage effectif 27O'!X47</f>
        <v>0</v>
      </c>
      <c r="U43" s="228">
        <f>'Pilotage effectif 27O'!Y47</f>
        <v>0</v>
      </c>
      <c r="V43" s="228">
        <f>'Pilotage effectif 27O'!Z47</f>
        <v>0</v>
      </c>
      <c r="W43" s="228">
        <f>'Pilotage effectif 27O'!AA47</f>
        <v>0</v>
      </c>
      <c r="X43" s="303">
        <f>'Pilotage effectif 27O'!AB47</f>
        <v>0</v>
      </c>
      <c r="Y43" s="265"/>
      <c r="Z43" s="227">
        <f>'Pilotage effectif 27O'!AD47</f>
        <v>0</v>
      </c>
      <c r="AA43" s="228">
        <f>'Pilotage effectif 27O'!AE47</f>
        <v>0</v>
      </c>
      <c r="AB43" s="228">
        <f>'Pilotage effectif 27O'!AF47</f>
        <v>0</v>
      </c>
      <c r="AC43" s="228">
        <f>'Pilotage effectif 27O'!AG47</f>
        <v>0</v>
      </c>
      <c r="AD43" s="228">
        <f>'Pilotage effectif 27O'!AH47</f>
        <v>0</v>
      </c>
      <c r="AE43" s="303">
        <f>'Pilotage effectif 27O'!AI47</f>
        <v>0</v>
      </c>
      <c r="AF43" s="265"/>
      <c r="AG43" s="227">
        <f>'Pilotage effectif 27O'!AK47</f>
        <v>0</v>
      </c>
      <c r="AH43" s="228">
        <f>'Pilotage effectif 27O'!AL47</f>
        <v>0</v>
      </c>
      <c r="AI43" s="228">
        <f>'Pilotage effectif 27O'!AM47</f>
        <v>0</v>
      </c>
      <c r="AJ43" s="228">
        <f>'Pilotage effectif 27O'!AN47</f>
        <v>0</v>
      </c>
      <c r="AK43" s="228">
        <f>'Pilotage effectif 27O'!AO47</f>
        <v>0</v>
      </c>
      <c r="AL43" s="303">
        <f>'Pilotage effectif 27O'!AP47</f>
        <v>0</v>
      </c>
      <c r="AM43" s="265"/>
      <c r="AN43" s="227">
        <f>'Pilotage effectif 27O'!AR47</f>
        <v>0</v>
      </c>
      <c r="AO43" s="228">
        <f>'Pilotage effectif 27O'!AS47</f>
        <v>0</v>
      </c>
      <c r="AP43" s="228">
        <f>'Pilotage effectif 27O'!AT47</f>
        <v>0</v>
      </c>
      <c r="AQ43" s="228">
        <f>'Pilotage effectif 27O'!AU47</f>
        <v>0</v>
      </c>
      <c r="AR43" s="228">
        <f>'Pilotage effectif 27O'!AV47</f>
        <v>0</v>
      </c>
      <c r="AS43" s="303">
        <f>'Pilotage effectif 27O'!AW47</f>
        <v>0</v>
      </c>
      <c r="AT43" s="265"/>
      <c r="AU43" s="227">
        <f>'Pilotage effectif 27O'!AY47</f>
        <v>0</v>
      </c>
      <c r="AV43" s="228">
        <f>'Pilotage effectif 27O'!AZ47</f>
        <v>0</v>
      </c>
      <c r="AW43" s="228">
        <f>'Pilotage effectif 27O'!BA47</f>
        <v>0</v>
      </c>
      <c r="AX43" s="228">
        <f>'Pilotage effectif 27O'!BB47</f>
        <v>0</v>
      </c>
      <c r="AY43" s="228">
        <f>'Pilotage effectif 27O'!BC47</f>
        <v>0</v>
      </c>
      <c r="AZ43" s="303">
        <f>'Pilotage effectif 27O'!BD47</f>
        <v>0</v>
      </c>
      <c r="BA43" s="265"/>
      <c r="BB43" s="227">
        <f>'Pilotage effectif 27O'!BF47</f>
        <v>0</v>
      </c>
      <c r="BC43" s="228">
        <f>'Pilotage effectif 27O'!BG47</f>
        <v>0</v>
      </c>
      <c r="BD43" s="228">
        <f>'Pilotage effectif 27O'!BH47</f>
        <v>0</v>
      </c>
      <c r="BE43" s="228">
        <f>'Pilotage effectif 27O'!BI47</f>
        <v>0</v>
      </c>
      <c r="BF43" s="228">
        <f>'Pilotage effectif 27O'!BJ47</f>
        <v>0</v>
      </c>
      <c r="BG43" s="303">
        <f>'Pilotage effectif 27O'!BK47</f>
        <v>0</v>
      </c>
      <c r="BH43" s="265"/>
      <c r="BI43" s="227">
        <f>'Pilotage effectif 27O'!BM47</f>
        <v>0</v>
      </c>
      <c r="BJ43" s="228">
        <f>'Pilotage effectif 27O'!BN47</f>
        <v>0</v>
      </c>
      <c r="BK43" s="228">
        <f>'Pilotage effectif 27O'!BO47</f>
        <v>0</v>
      </c>
      <c r="BL43" s="228">
        <f>'Pilotage effectif 27O'!BP47</f>
        <v>0</v>
      </c>
      <c r="BM43" s="228">
        <f>'Pilotage effectif 27O'!BQ47</f>
        <v>0</v>
      </c>
      <c r="BN43" s="303">
        <f>'Pilotage effectif 27O'!BR47</f>
        <v>0</v>
      </c>
      <c r="BO43" s="265"/>
      <c r="BP43" s="227">
        <f>'Pilotage effectif 27O'!BT47</f>
        <v>0</v>
      </c>
      <c r="BQ43" s="228">
        <f>'Pilotage effectif 27O'!BU47</f>
        <v>0</v>
      </c>
      <c r="BR43" s="228">
        <f>'Pilotage effectif 27O'!BV47</f>
        <v>0</v>
      </c>
      <c r="BS43" s="228">
        <f>'Pilotage effectif 27O'!BW47</f>
        <v>0</v>
      </c>
      <c r="BT43" s="228">
        <f>'Pilotage effectif 27O'!BX47</f>
        <v>0</v>
      </c>
      <c r="BU43" s="303">
        <f>'Pilotage effectif 27O'!BY47</f>
        <v>0</v>
      </c>
      <c r="BV43" s="265"/>
      <c r="BW43" s="227">
        <f>'Pilotage effectif 27O'!CA47</f>
        <v>0</v>
      </c>
      <c r="BX43" s="228">
        <f>'Pilotage effectif 27O'!CB47</f>
        <v>0</v>
      </c>
      <c r="BY43" s="228">
        <f>'Pilotage effectif 27O'!CC47</f>
        <v>0</v>
      </c>
      <c r="BZ43" s="228">
        <f>'Pilotage effectif 27O'!CD47</f>
        <v>0</v>
      </c>
      <c r="CA43" s="228">
        <f>'Pilotage effectif 27O'!CE47</f>
        <v>0</v>
      </c>
      <c r="CB43" s="303">
        <f>'Pilotage effectif 27O'!CF47</f>
        <v>0</v>
      </c>
      <c r="CC43" s="265"/>
      <c r="CD43" s="227">
        <f>'Pilotage effectif 27O'!CH47</f>
        <v>0</v>
      </c>
      <c r="CE43" s="228">
        <f>'Pilotage effectif 27O'!CI47</f>
        <v>0</v>
      </c>
      <c r="CF43" s="228">
        <f>'Pilotage effectif 27O'!CJ47</f>
        <v>0</v>
      </c>
      <c r="CG43" s="228">
        <f>'Pilotage effectif 27O'!CK47</f>
        <v>0</v>
      </c>
      <c r="CH43" s="228">
        <f>'Pilotage effectif 27O'!CL47</f>
        <v>0</v>
      </c>
      <c r="CI43" s="303">
        <f>'Pilotage effectif 27O'!CM47</f>
        <v>0</v>
      </c>
      <c r="CJ43" s="265"/>
      <c r="CK43" s="227">
        <f>'Pilotage effectif 27O'!CO47</f>
        <v>0</v>
      </c>
      <c r="CL43" s="228">
        <f>'Pilotage effectif 27O'!CP47</f>
        <v>0</v>
      </c>
      <c r="CM43" s="228">
        <f>'Pilotage effectif 27O'!CQ47</f>
        <v>0</v>
      </c>
      <c r="CN43" s="228">
        <f>'Pilotage effectif 27O'!CR47</f>
        <v>0</v>
      </c>
      <c r="CO43" s="228">
        <f>'Pilotage effectif 27O'!CS47</f>
        <v>0</v>
      </c>
      <c r="CP43" s="303">
        <f>'Pilotage effectif 27O'!CT47</f>
        <v>0</v>
      </c>
      <c r="CQ43" s="265"/>
      <c r="CR43" s="227">
        <f>'Pilotage effectif 27O'!CV47</f>
        <v>0</v>
      </c>
      <c r="CS43" s="228">
        <f>'Pilotage effectif 27O'!CW47</f>
        <v>0</v>
      </c>
      <c r="CT43" s="228">
        <f>'Pilotage effectif 27O'!CX47</f>
        <v>0</v>
      </c>
      <c r="CU43" s="228">
        <f>'Pilotage effectif 27O'!CY47</f>
        <v>0</v>
      </c>
      <c r="CV43" s="228">
        <f>'Pilotage effectif 27O'!CZ47</f>
        <v>0</v>
      </c>
      <c r="CW43" s="303">
        <f>'Pilotage effectif 27O'!DA47</f>
        <v>0</v>
      </c>
      <c r="CX43" s="265"/>
      <c r="CY43" s="227">
        <f>'Pilotage effectif 27O'!DC47</f>
        <v>0</v>
      </c>
      <c r="CZ43" s="228">
        <f>'Pilotage effectif 27O'!DD47</f>
        <v>0</v>
      </c>
      <c r="DA43" s="228">
        <f>'Pilotage effectif 27O'!DE47</f>
        <v>0</v>
      </c>
      <c r="DB43" s="228">
        <f>'Pilotage effectif 27O'!DF47</f>
        <v>0</v>
      </c>
      <c r="DC43" s="228">
        <f>'Pilotage effectif 27O'!DG47</f>
        <v>0</v>
      </c>
      <c r="DD43" s="303">
        <f>'Pilotage effectif 27O'!DH47</f>
        <v>0</v>
      </c>
      <c r="DE43" s="265"/>
      <c r="DF43" s="227">
        <f>'Pilotage effectif 27O'!DJ47</f>
        <v>0</v>
      </c>
      <c r="DG43" s="228">
        <f>'Pilotage effectif 27O'!DK47</f>
        <v>0</v>
      </c>
      <c r="DH43" s="228">
        <f>'Pilotage effectif 27O'!DL47</f>
        <v>0</v>
      </c>
      <c r="DI43" s="228">
        <f>'Pilotage effectif 27O'!DM47</f>
        <v>0</v>
      </c>
      <c r="DJ43" s="228">
        <f>'Pilotage effectif 27O'!DN47</f>
        <v>0</v>
      </c>
      <c r="DK43" s="303">
        <f>'Pilotage effectif 27O'!DO47</f>
        <v>0</v>
      </c>
      <c r="DL43" s="265"/>
      <c r="DM43" s="227">
        <f>'Pilotage effectif 27O'!DQ47</f>
        <v>0</v>
      </c>
      <c r="DN43" s="228">
        <f>'Pilotage effectif 27O'!DR47</f>
        <v>0</v>
      </c>
      <c r="DO43" s="228">
        <f>'Pilotage effectif 27O'!DS47</f>
        <v>0</v>
      </c>
      <c r="DP43" s="228">
        <f>'Pilotage effectif 27O'!DT47</f>
        <v>0</v>
      </c>
      <c r="DQ43" s="228">
        <f>'Pilotage effectif 27O'!DU47</f>
        <v>0</v>
      </c>
      <c r="DR43" s="303">
        <f>'Pilotage effectif 27O'!DV47</f>
        <v>0</v>
      </c>
      <c r="DS43" s="265"/>
      <c r="DT43" s="227">
        <f>'Pilotage effectif 27O'!DX47</f>
        <v>0</v>
      </c>
      <c r="DU43" s="228">
        <f>'Pilotage effectif 27O'!DY47</f>
        <v>0</v>
      </c>
      <c r="DV43" s="228">
        <f>'Pilotage effectif 27O'!DZ47</f>
        <v>0</v>
      </c>
      <c r="DW43" s="228">
        <f>'Pilotage effectif 27O'!EA47</f>
        <v>0</v>
      </c>
      <c r="DX43" s="228">
        <f>'Pilotage effectif 27O'!EB47</f>
        <v>0</v>
      </c>
      <c r="DY43" s="303">
        <f>'Pilotage effectif 27O'!EC47</f>
        <v>0</v>
      </c>
      <c r="DZ43" s="265"/>
      <c r="EA43" s="227">
        <f>'Pilotage effectif 27O'!EE47</f>
        <v>0</v>
      </c>
      <c r="EB43" s="228">
        <f>'Pilotage effectif 27O'!EF47</f>
        <v>0</v>
      </c>
      <c r="EC43" s="228">
        <f>'Pilotage effectif 27O'!EG47</f>
        <v>0</v>
      </c>
      <c r="ED43" s="228">
        <f>'Pilotage effectif 27O'!EH47</f>
        <v>0</v>
      </c>
      <c r="EE43" s="228">
        <f>'Pilotage effectif 27O'!EI47</f>
        <v>0</v>
      </c>
      <c r="EF43" s="303">
        <f>'Pilotage effectif 27O'!EJ47</f>
        <v>0</v>
      </c>
      <c r="EG43" s="265"/>
      <c r="EH43" s="227">
        <f>'Pilotage effectif 27O'!EL47</f>
        <v>0</v>
      </c>
      <c r="EI43" s="228">
        <f>'Pilotage effectif 27O'!EM47</f>
        <v>0</v>
      </c>
      <c r="EJ43" s="228">
        <f>'Pilotage effectif 27O'!EN47</f>
        <v>0</v>
      </c>
      <c r="EK43" s="228">
        <f>'Pilotage effectif 27O'!EO47</f>
        <v>0</v>
      </c>
      <c r="EL43" s="228">
        <f>'Pilotage effectif 27O'!EP47</f>
        <v>0</v>
      </c>
      <c r="EM43" s="303">
        <f>'Pilotage effectif 27O'!EQ47</f>
        <v>0</v>
      </c>
      <c r="EN43" s="265"/>
      <c r="EO43" s="227">
        <f>'Pilotage effectif 27O'!ES47</f>
        <v>0</v>
      </c>
      <c r="EP43" s="228">
        <f>'Pilotage effectif 27O'!ET47</f>
        <v>0</v>
      </c>
      <c r="EQ43" s="228">
        <f>'Pilotage effectif 27O'!EU47</f>
        <v>0</v>
      </c>
      <c r="ER43" s="228">
        <f>'Pilotage effectif 27O'!EV47</f>
        <v>0</v>
      </c>
      <c r="ES43" s="228">
        <f>'Pilotage effectif 27O'!EW47</f>
        <v>0</v>
      </c>
      <c r="ET43" s="303">
        <f>'Pilotage effectif 27O'!EX47</f>
        <v>0</v>
      </c>
      <c r="EU43" s="265"/>
      <c r="EV43" s="227">
        <f>'Pilotage effectif 27O'!EZ47</f>
        <v>0</v>
      </c>
      <c r="EW43" s="228">
        <f>'Pilotage effectif 27O'!FA47</f>
        <v>0</v>
      </c>
      <c r="EX43" s="228">
        <f>'Pilotage effectif 27O'!FB47</f>
        <v>0</v>
      </c>
      <c r="EY43" s="228">
        <f>'Pilotage effectif 27O'!FC47</f>
        <v>0</v>
      </c>
      <c r="EZ43" s="228">
        <f>'Pilotage effectif 27O'!FD47</f>
        <v>0</v>
      </c>
      <c r="FA43" s="303">
        <f>'Pilotage effectif 27O'!FE47</f>
        <v>0</v>
      </c>
      <c r="FB43" s="265"/>
      <c r="FC43" s="227">
        <f>'Pilotage effectif 27O'!FG47</f>
        <v>0</v>
      </c>
      <c r="FD43" s="228">
        <f>'Pilotage effectif 27O'!FH47</f>
        <v>0</v>
      </c>
      <c r="FE43" s="228">
        <f>'Pilotage effectif 27O'!FI47</f>
        <v>0</v>
      </c>
      <c r="FF43" s="228">
        <f>'Pilotage effectif 27O'!FJ47</f>
        <v>0</v>
      </c>
      <c r="FG43" s="228">
        <f>'Pilotage effectif 27O'!FK47</f>
        <v>0</v>
      </c>
      <c r="FH43" s="303">
        <f>'Pilotage effectif 27O'!FL47</f>
        <v>0</v>
      </c>
      <c r="FI43" s="265"/>
      <c r="FJ43" s="227">
        <f>'Pilotage effectif 27O'!FN47</f>
        <v>0</v>
      </c>
      <c r="FK43" s="228">
        <f>'Pilotage effectif 27O'!FO47</f>
        <v>0</v>
      </c>
      <c r="FL43" s="228">
        <f>'Pilotage effectif 27O'!FP47</f>
        <v>0</v>
      </c>
      <c r="FM43" s="228">
        <f>'Pilotage effectif 27O'!FQ47</f>
        <v>0</v>
      </c>
      <c r="FN43" s="228">
        <f>'Pilotage effectif 27O'!FR47</f>
        <v>0</v>
      </c>
      <c r="FO43" s="303">
        <f>'Pilotage effectif 27O'!FS47</f>
        <v>0</v>
      </c>
      <c r="FP43" s="265"/>
      <c r="FQ43" s="227">
        <f>'Pilotage effectif 27O'!FU47</f>
        <v>0</v>
      </c>
      <c r="FR43" s="228">
        <f>'Pilotage effectif 27O'!FV47</f>
        <v>0</v>
      </c>
      <c r="FS43" s="228">
        <f>'Pilotage effectif 27O'!FW47</f>
        <v>0</v>
      </c>
      <c r="FT43" s="228">
        <f>'Pilotage effectif 27O'!FX47</f>
        <v>0</v>
      </c>
      <c r="FU43" s="228">
        <f>'Pilotage effectif 27O'!FY47</f>
        <v>0</v>
      </c>
      <c r="FV43" s="303">
        <f>'Pilotage effectif 27O'!FZ47</f>
        <v>0</v>
      </c>
      <c r="FW43" s="265"/>
      <c r="FX43" s="227">
        <f>'Pilotage effectif 27O'!GB47</f>
        <v>0</v>
      </c>
      <c r="FY43" s="228">
        <f>'Pilotage effectif 27O'!GC47</f>
        <v>0</v>
      </c>
      <c r="FZ43" s="228">
        <f>'Pilotage effectif 27O'!GD47</f>
        <v>0</v>
      </c>
      <c r="GA43" s="228">
        <f>'Pilotage effectif 27O'!GE47</f>
        <v>0</v>
      </c>
      <c r="GB43" s="228">
        <f>'Pilotage effectif 27O'!GF47</f>
        <v>0</v>
      </c>
      <c r="GC43" s="303">
        <f>'Pilotage effectif 27O'!GG47</f>
        <v>0</v>
      </c>
      <c r="GD43" s="265"/>
      <c r="GE43" s="227">
        <f>'Pilotage effectif 27O'!GI47</f>
        <v>0</v>
      </c>
      <c r="GF43" s="228">
        <f>'Pilotage effectif 27O'!GJ47</f>
        <v>0</v>
      </c>
      <c r="GG43" s="228">
        <f>'Pilotage effectif 27O'!GK47</f>
        <v>0</v>
      </c>
      <c r="GH43" s="228">
        <f>'Pilotage effectif 27O'!GL47</f>
        <v>0</v>
      </c>
      <c r="GI43" s="228">
        <f>'Pilotage effectif 27O'!GM47</f>
        <v>0</v>
      </c>
      <c r="GJ43" s="303">
        <f>'Pilotage effectif 27O'!GN47</f>
        <v>0</v>
      </c>
      <c r="GK43" s="265"/>
      <c r="GL43" s="227">
        <f>'Pilotage effectif 27O'!GP47</f>
        <v>0</v>
      </c>
      <c r="GM43" s="228">
        <f>'Pilotage effectif 27O'!GQ47</f>
        <v>0</v>
      </c>
      <c r="GN43" s="228">
        <f>'Pilotage effectif 27O'!GR47</f>
        <v>0</v>
      </c>
      <c r="GO43" s="228">
        <f>'Pilotage effectif 27O'!GS47</f>
        <v>0</v>
      </c>
      <c r="GP43" s="228">
        <f>'Pilotage effectif 27O'!GT47</f>
        <v>0</v>
      </c>
      <c r="GQ43" s="303">
        <f>'Pilotage effectif 27O'!GU47</f>
        <v>0</v>
      </c>
      <c r="GR43" s="265"/>
      <c r="GS43" s="227">
        <f>'Pilotage effectif 27O'!GW47</f>
        <v>0</v>
      </c>
      <c r="GT43" s="228">
        <f>'Pilotage effectif 27O'!GX47</f>
        <v>0</v>
      </c>
      <c r="GU43" s="228">
        <f>'Pilotage effectif 27O'!GY47</f>
        <v>0</v>
      </c>
      <c r="GV43" s="228">
        <f>'Pilotage effectif 27O'!GZ47</f>
        <v>0</v>
      </c>
      <c r="GW43" s="228">
        <f>'Pilotage effectif 27O'!HA47</f>
        <v>0</v>
      </c>
      <c r="GX43" s="303">
        <f>'Pilotage effectif 27O'!HB47</f>
        <v>0</v>
      </c>
      <c r="GY43" s="283"/>
    </row>
    <row r="44" spans="1:207" s="196" customFormat="1" ht="16.05" customHeight="1" thickBot="1" x14ac:dyDescent="0.35">
      <c r="A44" s="294"/>
      <c r="B44" s="288"/>
      <c r="C44" s="289" t="s">
        <v>690</v>
      </c>
      <c r="D44" s="271"/>
      <c r="E44" s="292" t="str">
        <f t="shared" ref="E44:J44" si="145">IF(E42&lt;&gt;"",IF(E43-E42&gt;0,"+"&amp;E43-E42,E43-E42),"-")</f>
        <v>-</v>
      </c>
      <c r="F44" s="293" t="str">
        <f t="shared" si="145"/>
        <v>-</v>
      </c>
      <c r="G44" s="293" t="str">
        <f t="shared" si="145"/>
        <v>-</v>
      </c>
      <c r="H44" s="293" t="str">
        <f t="shared" si="145"/>
        <v>-</v>
      </c>
      <c r="I44" s="293" t="str">
        <f t="shared" si="145"/>
        <v>-</v>
      </c>
      <c r="J44" s="304" t="str">
        <f t="shared" si="145"/>
        <v>+4</v>
      </c>
      <c r="K44" s="263"/>
      <c r="L44" s="292" t="str">
        <f t="shared" ref="L44:Q44" si="146">IF(L42&lt;&gt;"",IF(L43-L42&gt;0,"+"&amp;L43-L42,L43-L42),"-")</f>
        <v>-</v>
      </c>
      <c r="M44" s="293" t="str">
        <f t="shared" si="146"/>
        <v>-</v>
      </c>
      <c r="N44" s="293" t="str">
        <f t="shared" si="146"/>
        <v>-</v>
      </c>
      <c r="O44" s="293" t="str">
        <f t="shared" si="146"/>
        <v>-</v>
      </c>
      <c r="P44" s="293" t="str">
        <f t="shared" si="146"/>
        <v>-</v>
      </c>
      <c r="Q44" s="304">
        <f t="shared" si="146"/>
        <v>0</v>
      </c>
      <c r="R44" s="263"/>
      <c r="S44" s="292">
        <f t="shared" ref="S44:X44" si="147">IF(S42&lt;&gt;"",IF(S43-S42&gt;0,"+"&amp;S43-S42,S43-S42),"-")</f>
        <v>-1</v>
      </c>
      <c r="T44" s="293">
        <f t="shared" si="147"/>
        <v>-1</v>
      </c>
      <c r="U44" s="293">
        <f t="shared" si="147"/>
        <v>-1</v>
      </c>
      <c r="V44" s="293">
        <f t="shared" si="147"/>
        <v>-1</v>
      </c>
      <c r="W44" s="293">
        <f t="shared" si="147"/>
        <v>-1</v>
      </c>
      <c r="X44" s="304">
        <f t="shared" si="147"/>
        <v>-5</v>
      </c>
      <c r="Y44" s="265"/>
      <c r="Z44" s="292">
        <f t="shared" ref="Z44:AE44" si="148">IF(Z42&lt;&gt;"",IF(Z43-Z42&gt;0,"+"&amp;Z43-Z42,Z43-Z42),"-")</f>
        <v>-1</v>
      </c>
      <c r="AA44" s="293">
        <f t="shared" si="148"/>
        <v>-1</v>
      </c>
      <c r="AB44" s="293">
        <f t="shared" si="148"/>
        <v>-1</v>
      </c>
      <c r="AC44" s="293">
        <f t="shared" si="148"/>
        <v>-1</v>
      </c>
      <c r="AD44" s="293">
        <f t="shared" si="148"/>
        <v>-1</v>
      </c>
      <c r="AE44" s="304">
        <f t="shared" si="148"/>
        <v>-5</v>
      </c>
      <c r="AF44" s="265"/>
      <c r="AG44" s="292">
        <f t="shared" ref="AG44:AL44" si="149">IF(AG42&lt;&gt;"",IF(AG43-AG42&gt;0,"+"&amp;AG43-AG42,AG43-AG42),"-")</f>
        <v>-1</v>
      </c>
      <c r="AH44" s="293">
        <f t="shared" si="149"/>
        <v>-1</v>
      </c>
      <c r="AI44" s="293">
        <f t="shared" si="149"/>
        <v>-1</v>
      </c>
      <c r="AJ44" s="293">
        <f t="shared" si="149"/>
        <v>-1</v>
      </c>
      <c r="AK44" s="293">
        <f t="shared" si="149"/>
        <v>-1</v>
      </c>
      <c r="AL44" s="304">
        <f t="shared" si="149"/>
        <v>-5</v>
      </c>
      <c r="AM44" s="263"/>
      <c r="AN44" s="292">
        <f t="shared" ref="AN44:AS44" si="150">IF(AN42&lt;&gt;"",IF(AN43-AN42&gt;0,"+"&amp;AN43-AN42,AN43-AN42),"-")</f>
        <v>-1</v>
      </c>
      <c r="AO44" s="293">
        <f t="shared" si="150"/>
        <v>-1</v>
      </c>
      <c r="AP44" s="293">
        <f t="shared" si="150"/>
        <v>-1</v>
      </c>
      <c r="AQ44" s="293">
        <f t="shared" si="150"/>
        <v>-1</v>
      </c>
      <c r="AR44" s="293">
        <f t="shared" si="150"/>
        <v>-1</v>
      </c>
      <c r="AS44" s="304">
        <f t="shared" si="150"/>
        <v>-5</v>
      </c>
      <c r="AT44" s="263"/>
      <c r="AU44" s="292">
        <f t="shared" ref="AU44:AZ44" si="151">IF(AU42&lt;&gt;"",IF(AU43-AU42&gt;0,"+"&amp;AU43-AU42,AU43-AU42),"-")</f>
        <v>-1</v>
      </c>
      <c r="AV44" s="293">
        <f t="shared" si="151"/>
        <v>-1</v>
      </c>
      <c r="AW44" s="293">
        <f t="shared" si="151"/>
        <v>-1</v>
      </c>
      <c r="AX44" s="293">
        <f t="shared" si="151"/>
        <v>-1</v>
      </c>
      <c r="AY44" s="293">
        <f t="shared" si="151"/>
        <v>-1</v>
      </c>
      <c r="AZ44" s="304">
        <f t="shared" si="151"/>
        <v>-5</v>
      </c>
      <c r="BA44" s="263"/>
      <c r="BB44" s="292">
        <f t="shared" ref="BB44:BG44" si="152">IF(BB42&lt;&gt;"",IF(BB43-BB42&gt;0,"+"&amp;BB43-BB42,BB43-BB42),"-")</f>
        <v>-1</v>
      </c>
      <c r="BC44" s="293">
        <f t="shared" si="152"/>
        <v>-1</v>
      </c>
      <c r="BD44" s="293">
        <f t="shared" si="152"/>
        <v>-1</v>
      </c>
      <c r="BE44" s="293">
        <f t="shared" si="152"/>
        <v>-1</v>
      </c>
      <c r="BF44" s="293">
        <f t="shared" si="152"/>
        <v>-1</v>
      </c>
      <c r="BG44" s="304">
        <f t="shared" si="152"/>
        <v>-5</v>
      </c>
      <c r="BH44" s="263"/>
      <c r="BI44" s="292">
        <f t="shared" ref="BI44:BN44" si="153">IF(BI42&lt;&gt;"",IF(BI43-BI42&gt;0,"+"&amp;BI43-BI42,BI43-BI42),"-")</f>
        <v>-1</v>
      </c>
      <c r="BJ44" s="293">
        <f t="shared" si="153"/>
        <v>-1</v>
      </c>
      <c r="BK44" s="293">
        <f t="shared" si="153"/>
        <v>-1</v>
      </c>
      <c r="BL44" s="293">
        <f t="shared" si="153"/>
        <v>-1</v>
      </c>
      <c r="BM44" s="293">
        <f t="shared" si="153"/>
        <v>-1</v>
      </c>
      <c r="BN44" s="304">
        <f t="shared" si="153"/>
        <v>-5</v>
      </c>
      <c r="BO44" s="265"/>
      <c r="BP44" s="292">
        <f t="shared" ref="BP44:BU44" si="154">IF(BP42&lt;&gt;"",IF(BP43-BP42&gt;0,"+"&amp;BP43-BP42,BP43-BP42),"-")</f>
        <v>-1</v>
      </c>
      <c r="BQ44" s="293">
        <f t="shared" si="154"/>
        <v>-1</v>
      </c>
      <c r="BR44" s="293">
        <f t="shared" si="154"/>
        <v>-1</v>
      </c>
      <c r="BS44" s="293">
        <f t="shared" si="154"/>
        <v>-1</v>
      </c>
      <c r="BT44" s="293">
        <f t="shared" si="154"/>
        <v>-1</v>
      </c>
      <c r="BU44" s="304">
        <f t="shared" si="154"/>
        <v>-5</v>
      </c>
      <c r="BV44" s="265"/>
      <c r="BW44" s="292">
        <f t="shared" ref="BW44:CB44" si="155">IF(BW42&lt;&gt;"",IF(BW43-BW42&gt;0,"+"&amp;BW43-BW42,BW43-BW42),"-")</f>
        <v>-1</v>
      </c>
      <c r="BX44" s="293">
        <f t="shared" si="155"/>
        <v>-1</v>
      </c>
      <c r="BY44" s="293">
        <f t="shared" si="155"/>
        <v>-1</v>
      </c>
      <c r="BZ44" s="293">
        <f t="shared" si="155"/>
        <v>-1</v>
      </c>
      <c r="CA44" s="293">
        <f t="shared" si="155"/>
        <v>-1</v>
      </c>
      <c r="CB44" s="304">
        <f t="shared" si="155"/>
        <v>-5</v>
      </c>
      <c r="CC44" s="263"/>
      <c r="CD44" s="292">
        <f t="shared" ref="CD44:CI44" si="156">IF(CD42&lt;&gt;"",IF(CD43-CD42&gt;0,"+"&amp;CD43-CD42,CD43-CD42),"-")</f>
        <v>-1</v>
      </c>
      <c r="CE44" s="293">
        <f t="shared" si="156"/>
        <v>-1</v>
      </c>
      <c r="CF44" s="293">
        <f t="shared" si="156"/>
        <v>-1</v>
      </c>
      <c r="CG44" s="293">
        <f t="shared" si="156"/>
        <v>-1</v>
      </c>
      <c r="CH44" s="293">
        <f t="shared" si="156"/>
        <v>-1</v>
      </c>
      <c r="CI44" s="304">
        <f t="shared" si="156"/>
        <v>-5</v>
      </c>
      <c r="CJ44" s="265"/>
      <c r="CK44" s="292">
        <f t="shared" ref="CK44:CP44" si="157">IF(CK42&lt;&gt;"",IF(CK43-CK42&gt;0,"+"&amp;CK43-CK42,CK43-CK42),"-")</f>
        <v>-1</v>
      </c>
      <c r="CL44" s="293">
        <f t="shared" si="157"/>
        <v>-1</v>
      </c>
      <c r="CM44" s="293">
        <f t="shared" si="157"/>
        <v>-1</v>
      </c>
      <c r="CN44" s="293">
        <f t="shared" si="157"/>
        <v>-1</v>
      </c>
      <c r="CO44" s="293">
        <f t="shared" si="157"/>
        <v>-1</v>
      </c>
      <c r="CP44" s="304">
        <f t="shared" si="157"/>
        <v>-5</v>
      </c>
      <c r="CQ44" s="263"/>
      <c r="CR44" s="292" t="str">
        <f t="shared" ref="CR44:CW44" si="158">IF(CR42&lt;&gt;"",IF(CR43-CR42&gt;0,"+"&amp;CR43-CR42,CR43-CR42),"-")</f>
        <v>-</v>
      </c>
      <c r="CS44" s="293" t="str">
        <f t="shared" si="158"/>
        <v>-</v>
      </c>
      <c r="CT44" s="293" t="str">
        <f t="shared" si="158"/>
        <v>-</v>
      </c>
      <c r="CU44" s="293" t="str">
        <f t="shared" si="158"/>
        <v>-</v>
      </c>
      <c r="CV44" s="293" t="str">
        <f t="shared" si="158"/>
        <v>-</v>
      </c>
      <c r="CW44" s="304">
        <f t="shared" si="158"/>
        <v>0</v>
      </c>
      <c r="CX44" s="263"/>
      <c r="CY44" s="292" t="str">
        <f t="shared" ref="CY44:DD44" si="159">IF(CY42&lt;&gt;"",IF(CY43-CY42&gt;0,"+"&amp;CY43-CY42,CY43-CY42),"-")</f>
        <v>-</v>
      </c>
      <c r="CZ44" s="293" t="str">
        <f t="shared" si="159"/>
        <v>-</v>
      </c>
      <c r="DA44" s="293" t="str">
        <f t="shared" si="159"/>
        <v>-</v>
      </c>
      <c r="DB44" s="293" t="str">
        <f t="shared" si="159"/>
        <v>-</v>
      </c>
      <c r="DC44" s="293" t="str">
        <f t="shared" si="159"/>
        <v>-</v>
      </c>
      <c r="DD44" s="304">
        <f t="shared" si="159"/>
        <v>0</v>
      </c>
      <c r="DE44" s="265"/>
      <c r="DF44" s="292" t="str">
        <f t="shared" ref="DF44:DK44" si="160">IF(DF42&lt;&gt;"",IF(DF43-DF42&gt;0,"+"&amp;DF43-DF42,DF43-DF42),"-")</f>
        <v>-</v>
      </c>
      <c r="DG44" s="293" t="str">
        <f t="shared" si="160"/>
        <v>-</v>
      </c>
      <c r="DH44" s="293" t="str">
        <f t="shared" si="160"/>
        <v>-</v>
      </c>
      <c r="DI44" s="293" t="str">
        <f t="shared" si="160"/>
        <v>-</v>
      </c>
      <c r="DJ44" s="293" t="str">
        <f t="shared" si="160"/>
        <v>-</v>
      </c>
      <c r="DK44" s="304">
        <f t="shared" si="160"/>
        <v>0</v>
      </c>
      <c r="DL44" s="265"/>
      <c r="DM44" s="292" t="str">
        <f t="shared" ref="DM44:DR44" si="161">IF(DM42&lt;&gt;"",IF(DM43-DM42&gt;0,"+"&amp;DM43-DM42,DM43-DM42),"-")</f>
        <v>-</v>
      </c>
      <c r="DN44" s="293" t="str">
        <f t="shared" si="161"/>
        <v>-</v>
      </c>
      <c r="DO44" s="293" t="str">
        <f t="shared" si="161"/>
        <v>-</v>
      </c>
      <c r="DP44" s="293" t="str">
        <f t="shared" si="161"/>
        <v>-</v>
      </c>
      <c r="DQ44" s="293" t="str">
        <f t="shared" si="161"/>
        <v>-</v>
      </c>
      <c r="DR44" s="304">
        <f t="shared" si="161"/>
        <v>0</v>
      </c>
      <c r="DS44" s="263"/>
      <c r="DT44" s="292" t="str">
        <f t="shared" ref="DT44:DY44" si="162">IF(DT42&lt;&gt;"",IF(DT43-DT42&gt;0,"+"&amp;DT43-DT42,DT43-DT42),"-")</f>
        <v>-</v>
      </c>
      <c r="DU44" s="293" t="str">
        <f t="shared" si="162"/>
        <v>-</v>
      </c>
      <c r="DV44" s="293" t="str">
        <f t="shared" si="162"/>
        <v>-</v>
      </c>
      <c r="DW44" s="293" t="str">
        <f t="shared" si="162"/>
        <v>-</v>
      </c>
      <c r="DX44" s="293" t="str">
        <f t="shared" si="162"/>
        <v>-</v>
      </c>
      <c r="DY44" s="304">
        <f t="shared" si="162"/>
        <v>0</v>
      </c>
      <c r="DZ44" s="263"/>
      <c r="EA44" s="292" t="str">
        <f t="shared" ref="EA44:EF44" si="163">IF(EA42&lt;&gt;"",IF(EA43-EA42&gt;0,"+"&amp;EA43-EA42,EA43-EA42),"-")</f>
        <v>-</v>
      </c>
      <c r="EB44" s="293" t="str">
        <f t="shared" si="163"/>
        <v>-</v>
      </c>
      <c r="EC44" s="293" t="str">
        <f t="shared" si="163"/>
        <v>-</v>
      </c>
      <c r="ED44" s="293" t="str">
        <f t="shared" si="163"/>
        <v>-</v>
      </c>
      <c r="EE44" s="293" t="str">
        <f t="shared" si="163"/>
        <v>-</v>
      </c>
      <c r="EF44" s="304">
        <f t="shared" si="163"/>
        <v>0</v>
      </c>
      <c r="EG44" s="263"/>
      <c r="EH44" s="292" t="str">
        <f t="shared" ref="EH44:EM44" si="164">IF(EH42&lt;&gt;"",IF(EH43-EH42&gt;0,"+"&amp;EH43-EH42,EH43-EH42),"-")</f>
        <v>-</v>
      </c>
      <c r="EI44" s="293" t="str">
        <f t="shared" si="164"/>
        <v>-</v>
      </c>
      <c r="EJ44" s="293" t="str">
        <f t="shared" si="164"/>
        <v>-</v>
      </c>
      <c r="EK44" s="293" t="str">
        <f t="shared" si="164"/>
        <v>-</v>
      </c>
      <c r="EL44" s="293" t="str">
        <f t="shared" si="164"/>
        <v>-</v>
      </c>
      <c r="EM44" s="304">
        <f t="shared" si="164"/>
        <v>0</v>
      </c>
      <c r="EN44" s="263"/>
      <c r="EO44" s="292" t="str">
        <f t="shared" ref="EO44:ET44" si="165">IF(EO42&lt;&gt;"",IF(EO43-EO42&gt;0,"+"&amp;EO43-EO42,EO43-EO42),"-")</f>
        <v>-</v>
      </c>
      <c r="EP44" s="293" t="str">
        <f t="shared" si="165"/>
        <v>-</v>
      </c>
      <c r="EQ44" s="293" t="str">
        <f t="shared" si="165"/>
        <v>-</v>
      </c>
      <c r="ER44" s="293" t="str">
        <f t="shared" si="165"/>
        <v>-</v>
      </c>
      <c r="ES44" s="293" t="str">
        <f t="shared" si="165"/>
        <v>-</v>
      </c>
      <c r="ET44" s="304">
        <f t="shared" si="165"/>
        <v>0</v>
      </c>
      <c r="EU44" s="265"/>
      <c r="EV44" s="292" t="str">
        <f t="shared" ref="EV44:FA44" si="166">IF(EV42&lt;&gt;"",IF(EV43-EV42&gt;0,"+"&amp;EV43-EV42,EV43-EV42),"-")</f>
        <v>-</v>
      </c>
      <c r="EW44" s="293" t="str">
        <f t="shared" si="166"/>
        <v>-</v>
      </c>
      <c r="EX44" s="293" t="str">
        <f t="shared" si="166"/>
        <v>-</v>
      </c>
      <c r="EY44" s="293" t="str">
        <f t="shared" si="166"/>
        <v>-</v>
      </c>
      <c r="EZ44" s="293" t="str">
        <f t="shared" si="166"/>
        <v>-</v>
      </c>
      <c r="FA44" s="304">
        <f t="shared" si="166"/>
        <v>0</v>
      </c>
      <c r="FB44" s="265"/>
      <c r="FC44" s="292" t="str">
        <f t="shared" ref="FC44:FH44" si="167">IF(FC42&lt;&gt;"",IF(FC43-FC42&gt;0,"+"&amp;FC43-FC42,FC43-FC42),"-")</f>
        <v>-</v>
      </c>
      <c r="FD44" s="293" t="str">
        <f t="shared" si="167"/>
        <v>-</v>
      </c>
      <c r="FE44" s="293" t="str">
        <f t="shared" si="167"/>
        <v>-</v>
      </c>
      <c r="FF44" s="293" t="str">
        <f t="shared" si="167"/>
        <v>-</v>
      </c>
      <c r="FG44" s="293" t="str">
        <f t="shared" si="167"/>
        <v>-</v>
      </c>
      <c r="FH44" s="304">
        <f t="shared" si="167"/>
        <v>0</v>
      </c>
      <c r="FI44" s="263"/>
      <c r="FJ44" s="292" t="str">
        <f t="shared" ref="FJ44:FO44" si="168">IF(FJ42&lt;&gt;"",IF(FJ43-FJ42&gt;0,"+"&amp;FJ43-FJ42,FJ43-FJ42),"-")</f>
        <v>-</v>
      </c>
      <c r="FK44" s="293" t="str">
        <f t="shared" si="168"/>
        <v>-</v>
      </c>
      <c r="FL44" s="293" t="str">
        <f t="shared" si="168"/>
        <v>-</v>
      </c>
      <c r="FM44" s="293" t="str">
        <f t="shared" si="168"/>
        <v>-</v>
      </c>
      <c r="FN44" s="293" t="str">
        <f t="shared" si="168"/>
        <v>-</v>
      </c>
      <c r="FO44" s="304">
        <f t="shared" si="168"/>
        <v>0</v>
      </c>
      <c r="FP44" s="265"/>
      <c r="FQ44" s="292" t="str">
        <f t="shared" ref="FQ44:FV44" si="169">IF(FQ42&lt;&gt;"",IF(FQ43-FQ42&gt;0,"+"&amp;FQ43-FQ42,FQ43-FQ42),"-")</f>
        <v>-</v>
      </c>
      <c r="FR44" s="293" t="str">
        <f t="shared" si="169"/>
        <v>-</v>
      </c>
      <c r="FS44" s="293" t="str">
        <f t="shared" si="169"/>
        <v>-</v>
      </c>
      <c r="FT44" s="293" t="str">
        <f t="shared" si="169"/>
        <v>-</v>
      </c>
      <c r="FU44" s="293" t="str">
        <f t="shared" si="169"/>
        <v>-</v>
      </c>
      <c r="FV44" s="304">
        <f t="shared" si="169"/>
        <v>0</v>
      </c>
      <c r="FW44" s="263"/>
      <c r="FX44" s="292" t="str">
        <f t="shared" ref="FX44:GC44" si="170">IF(FX42&lt;&gt;"",IF(FX43-FX42&gt;0,"+"&amp;FX43-FX42,FX43-FX42),"-")</f>
        <v>-</v>
      </c>
      <c r="FY44" s="293" t="str">
        <f t="shared" si="170"/>
        <v>-</v>
      </c>
      <c r="FZ44" s="293" t="str">
        <f t="shared" si="170"/>
        <v>-</v>
      </c>
      <c r="GA44" s="293" t="str">
        <f t="shared" si="170"/>
        <v>-</v>
      </c>
      <c r="GB44" s="293" t="str">
        <f t="shared" si="170"/>
        <v>-</v>
      </c>
      <c r="GC44" s="304">
        <f t="shared" si="170"/>
        <v>0</v>
      </c>
      <c r="GD44" s="263"/>
      <c r="GE44" s="292" t="str">
        <f t="shared" ref="GE44:GJ44" si="171">IF(GE42&lt;&gt;"",IF(GE43-GE42&gt;0,"+"&amp;GE43-GE42,GE43-GE42),"-")</f>
        <v>-</v>
      </c>
      <c r="GF44" s="293" t="str">
        <f t="shared" si="171"/>
        <v>-</v>
      </c>
      <c r="GG44" s="293" t="str">
        <f t="shared" si="171"/>
        <v>-</v>
      </c>
      <c r="GH44" s="293" t="str">
        <f t="shared" si="171"/>
        <v>-</v>
      </c>
      <c r="GI44" s="293" t="str">
        <f t="shared" si="171"/>
        <v>-</v>
      </c>
      <c r="GJ44" s="304">
        <f t="shared" si="171"/>
        <v>0</v>
      </c>
      <c r="GK44" s="265"/>
      <c r="GL44" s="292" t="str">
        <f t="shared" ref="GL44:GQ44" si="172">IF(GL42&lt;&gt;"",IF(GL43-GL42&gt;0,"+"&amp;GL43-GL42,GL43-GL42),"-")</f>
        <v>-</v>
      </c>
      <c r="GM44" s="293" t="str">
        <f t="shared" si="172"/>
        <v>-</v>
      </c>
      <c r="GN44" s="293" t="str">
        <f t="shared" si="172"/>
        <v>-</v>
      </c>
      <c r="GO44" s="293" t="str">
        <f t="shared" si="172"/>
        <v>-</v>
      </c>
      <c r="GP44" s="293" t="str">
        <f t="shared" si="172"/>
        <v>-</v>
      </c>
      <c r="GQ44" s="304">
        <f t="shared" si="172"/>
        <v>0</v>
      </c>
      <c r="GR44" s="265"/>
      <c r="GS44" s="292" t="str">
        <f t="shared" ref="GS44:GX44" si="173">IF(GS42&lt;&gt;"",IF(GS43-GS42&gt;0,"+"&amp;GS43-GS42,GS43-GS42),"-")</f>
        <v>-</v>
      </c>
      <c r="GT44" s="293" t="str">
        <f t="shared" si="173"/>
        <v>-</v>
      </c>
      <c r="GU44" s="293" t="str">
        <f t="shared" si="173"/>
        <v>-</v>
      </c>
      <c r="GV44" s="293" t="str">
        <f t="shared" si="173"/>
        <v>-</v>
      </c>
      <c r="GW44" s="293" t="str">
        <f t="shared" si="173"/>
        <v>-</v>
      </c>
      <c r="GX44" s="304">
        <f t="shared" si="173"/>
        <v>0</v>
      </c>
      <c r="GY44" s="263"/>
    </row>
    <row r="45" spans="1:207" s="196" customFormat="1" x14ac:dyDescent="0.3">
      <c r="A45" s="294"/>
      <c r="B45" s="305"/>
      <c r="C45" s="305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</row>
    <row r="46" spans="1:207" s="196" customFormat="1" x14ac:dyDescent="0.3">
      <c r="A46" s="294"/>
      <c r="B46" s="305"/>
      <c r="C46" s="305"/>
      <c r="D46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</row>
    <row r="47" spans="1:207" s="196" customFormat="1" x14ac:dyDescent="0.3">
      <c r="A47" s="294"/>
      <c r="B47" s="305"/>
      <c r="C47" s="305"/>
      <c r="D47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</row>
  </sheetData>
  <mergeCells count="990">
    <mergeCell ref="GT22:GU22"/>
    <mergeCell ref="GV22:GW22"/>
    <mergeCell ref="GT16:GU16"/>
    <mergeCell ref="GV16:GW16"/>
    <mergeCell ref="GT17:GU17"/>
    <mergeCell ref="GV17:GW17"/>
    <mergeCell ref="GT19:GU19"/>
    <mergeCell ref="GV19:GW19"/>
    <mergeCell ref="GT20:GU20"/>
    <mergeCell ref="GV20:GW20"/>
    <mergeCell ref="GT21:GU21"/>
    <mergeCell ref="GV21:GW21"/>
    <mergeCell ref="GT10:GU10"/>
    <mergeCell ref="GV10:GW10"/>
    <mergeCell ref="GT11:GU11"/>
    <mergeCell ref="GV11:GW11"/>
    <mergeCell ref="GT12:GU12"/>
    <mergeCell ref="GV12:GW12"/>
    <mergeCell ref="GT14:GU14"/>
    <mergeCell ref="GV14:GW14"/>
    <mergeCell ref="GT15:GU15"/>
    <mergeCell ref="GV15:GW15"/>
    <mergeCell ref="GT4:GU4"/>
    <mergeCell ref="GV4:GW4"/>
    <mergeCell ref="GT5:GU5"/>
    <mergeCell ref="GV5:GW5"/>
    <mergeCell ref="GT6:GU6"/>
    <mergeCell ref="GV6:GW6"/>
    <mergeCell ref="GT7:GU7"/>
    <mergeCell ref="GV7:GW7"/>
    <mergeCell ref="GT9:GU9"/>
    <mergeCell ref="GV9:GW9"/>
    <mergeCell ref="FY21:FZ21"/>
    <mergeCell ref="GA21:GB21"/>
    <mergeCell ref="GF21:GG21"/>
    <mergeCell ref="GH21:GI21"/>
    <mergeCell ref="GM21:GN21"/>
    <mergeCell ref="GO21:GP21"/>
    <mergeCell ref="FY22:FZ22"/>
    <mergeCell ref="GA22:GB22"/>
    <mergeCell ref="GF22:GG22"/>
    <mergeCell ref="GH22:GI22"/>
    <mergeCell ref="GM22:GN22"/>
    <mergeCell ref="GO22:GP22"/>
    <mergeCell ref="FY19:FZ19"/>
    <mergeCell ref="GA19:GB19"/>
    <mergeCell ref="GF19:GG19"/>
    <mergeCell ref="GH19:GI19"/>
    <mergeCell ref="GM19:GN19"/>
    <mergeCell ref="GO19:GP19"/>
    <mergeCell ref="FY20:FZ20"/>
    <mergeCell ref="GA20:GB20"/>
    <mergeCell ref="GF20:GG20"/>
    <mergeCell ref="GH20:GI20"/>
    <mergeCell ref="GM20:GN20"/>
    <mergeCell ref="GO20:GP20"/>
    <mergeCell ref="FY16:FZ16"/>
    <mergeCell ref="GA16:GB16"/>
    <mergeCell ref="GF16:GG16"/>
    <mergeCell ref="GH16:GI16"/>
    <mergeCell ref="GM16:GN16"/>
    <mergeCell ref="GO16:GP16"/>
    <mergeCell ref="FY17:FZ17"/>
    <mergeCell ref="GA17:GB17"/>
    <mergeCell ref="GF17:GG17"/>
    <mergeCell ref="GH17:GI17"/>
    <mergeCell ref="GM17:GN17"/>
    <mergeCell ref="GO17:GP17"/>
    <mergeCell ref="FY14:FZ14"/>
    <mergeCell ref="GA14:GB14"/>
    <mergeCell ref="GF14:GG14"/>
    <mergeCell ref="GH14:GI14"/>
    <mergeCell ref="GM14:GN14"/>
    <mergeCell ref="GO14:GP14"/>
    <mergeCell ref="FY15:FZ15"/>
    <mergeCell ref="GA15:GB15"/>
    <mergeCell ref="GF15:GG15"/>
    <mergeCell ref="GH15:GI15"/>
    <mergeCell ref="GM15:GN15"/>
    <mergeCell ref="GO15:GP15"/>
    <mergeCell ref="FY11:FZ11"/>
    <mergeCell ref="GA11:GB11"/>
    <mergeCell ref="GF11:GG11"/>
    <mergeCell ref="GH11:GI11"/>
    <mergeCell ref="GM11:GN11"/>
    <mergeCell ref="GO11:GP11"/>
    <mergeCell ref="FY12:FZ12"/>
    <mergeCell ref="GA12:GB12"/>
    <mergeCell ref="GF12:GG12"/>
    <mergeCell ref="GH12:GI12"/>
    <mergeCell ref="GM12:GN12"/>
    <mergeCell ref="GO12:GP12"/>
    <mergeCell ref="FY9:FZ9"/>
    <mergeCell ref="GA9:GB9"/>
    <mergeCell ref="GF9:GG9"/>
    <mergeCell ref="GH9:GI9"/>
    <mergeCell ref="GM9:GN9"/>
    <mergeCell ref="GO9:GP9"/>
    <mergeCell ref="FY10:FZ10"/>
    <mergeCell ref="GA10:GB10"/>
    <mergeCell ref="GF10:GG10"/>
    <mergeCell ref="GH10:GI10"/>
    <mergeCell ref="GM10:GN10"/>
    <mergeCell ref="GO10:GP10"/>
    <mergeCell ref="FY6:FZ6"/>
    <mergeCell ref="GA6:GB6"/>
    <mergeCell ref="GF6:GG6"/>
    <mergeCell ref="GH6:GI6"/>
    <mergeCell ref="GM6:GN6"/>
    <mergeCell ref="GO6:GP6"/>
    <mergeCell ref="FY7:FZ7"/>
    <mergeCell ref="GA7:GB7"/>
    <mergeCell ref="GF7:GG7"/>
    <mergeCell ref="GH7:GI7"/>
    <mergeCell ref="GM7:GN7"/>
    <mergeCell ref="GO7:GP7"/>
    <mergeCell ref="FY4:FZ4"/>
    <mergeCell ref="GA4:GB4"/>
    <mergeCell ref="GF4:GG4"/>
    <mergeCell ref="GH4:GI4"/>
    <mergeCell ref="GM4:GN4"/>
    <mergeCell ref="GO4:GP4"/>
    <mergeCell ref="FY5:FZ5"/>
    <mergeCell ref="GA5:GB5"/>
    <mergeCell ref="GF5:GG5"/>
    <mergeCell ref="GH5:GI5"/>
    <mergeCell ref="GM5:GN5"/>
    <mergeCell ref="GO5:GP5"/>
    <mergeCell ref="FD21:FE21"/>
    <mergeCell ref="FF21:FG21"/>
    <mergeCell ref="FK21:FL21"/>
    <mergeCell ref="FM21:FN21"/>
    <mergeCell ref="FR21:FS21"/>
    <mergeCell ref="FT21:FU21"/>
    <mergeCell ref="FD22:FE22"/>
    <mergeCell ref="FF22:FG22"/>
    <mergeCell ref="FK22:FL22"/>
    <mergeCell ref="FM22:FN22"/>
    <mergeCell ref="FR22:FS22"/>
    <mergeCell ref="FT22:FU22"/>
    <mergeCell ref="FD19:FE19"/>
    <mergeCell ref="FF19:FG19"/>
    <mergeCell ref="FK19:FL19"/>
    <mergeCell ref="FM19:FN19"/>
    <mergeCell ref="FR19:FS19"/>
    <mergeCell ref="FT19:FU19"/>
    <mergeCell ref="FD20:FE20"/>
    <mergeCell ref="FF20:FG20"/>
    <mergeCell ref="FK20:FL20"/>
    <mergeCell ref="FM20:FN20"/>
    <mergeCell ref="FR20:FS20"/>
    <mergeCell ref="FT20:FU20"/>
    <mergeCell ref="FD16:FE16"/>
    <mergeCell ref="FF16:FG16"/>
    <mergeCell ref="FK16:FL16"/>
    <mergeCell ref="FM16:FN16"/>
    <mergeCell ref="FR16:FS16"/>
    <mergeCell ref="FT16:FU16"/>
    <mergeCell ref="FD17:FE17"/>
    <mergeCell ref="FF17:FG17"/>
    <mergeCell ref="FK17:FL17"/>
    <mergeCell ref="FM17:FN17"/>
    <mergeCell ref="FR17:FS17"/>
    <mergeCell ref="FT17:FU17"/>
    <mergeCell ref="FD14:FE14"/>
    <mergeCell ref="FF14:FG14"/>
    <mergeCell ref="FK14:FL14"/>
    <mergeCell ref="FM14:FN14"/>
    <mergeCell ref="FR14:FS14"/>
    <mergeCell ref="FT14:FU14"/>
    <mergeCell ref="FD15:FE15"/>
    <mergeCell ref="FF15:FG15"/>
    <mergeCell ref="FK15:FL15"/>
    <mergeCell ref="FM15:FN15"/>
    <mergeCell ref="FR15:FS15"/>
    <mergeCell ref="FT15:FU15"/>
    <mergeCell ref="FD11:FE11"/>
    <mergeCell ref="FF11:FG11"/>
    <mergeCell ref="FK11:FL11"/>
    <mergeCell ref="FM11:FN11"/>
    <mergeCell ref="FR11:FS11"/>
    <mergeCell ref="FT11:FU11"/>
    <mergeCell ref="FD12:FE12"/>
    <mergeCell ref="FF12:FG12"/>
    <mergeCell ref="FK12:FL12"/>
    <mergeCell ref="FM12:FN12"/>
    <mergeCell ref="FR12:FS12"/>
    <mergeCell ref="FT12:FU12"/>
    <mergeCell ref="FD9:FE9"/>
    <mergeCell ref="FF9:FG9"/>
    <mergeCell ref="FK9:FL9"/>
    <mergeCell ref="FM9:FN9"/>
    <mergeCell ref="FR9:FS9"/>
    <mergeCell ref="FT9:FU9"/>
    <mergeCell ref="FD10:FE10"/>
    <mergeCell ref="FF10:FG10"/>
    <mergeCell ref="FK10:FL10"/>
    <mergeCell ref="FM10:FN10"/>
    <mergeCell ref="FR10:FS10"/>
    <mergeCell ref="FT10:FU10"/>
    <mergeCell ref="FD6:FE6"/>
    <mergeCell ref="FF6:FG6"/>
    <mergeCell ref="FK6:FL6"/>
    <mergeCell ref="FM6:FN6"/>
    <mergeCell ref="FR6:FS6"/>
    <mergeCell ref="FT6:FU6"/>
    <mergeCell ref="FD7:FE7"/>
    <mergeCell ref="FF7:FG7"/>
    <mergeCell ref="FK7:FL7"/>
    <mergeCell ref="FM7:FN7"/>
    <mergeCell ref="FR7:FS7"/>
    <mergeCell ref="FT7:FU7"/>
    <mergeCell ref="FD4:FE4"/>
    <mergeCell ref="FF4:FG4"/>
    <mergeCell ref="FK4:FL4"/>
    <mergeCell ref="FM4:FN4"/>
    <mergeCell ref="FR4:FS4"/>
    <mergeCell ref="FT4:FU4"/>
    <mergeCell ref="FD5:FE5"/>
    <mergeCell ref="FF5:FG5"/>
    <mergeCell ref="FK5:FL5"/>
    <mergeCell ref="FM5:FN5"/>
    <mergeCell ref="FR5:FS5"/>
    <mergeCell ref="FT5:FU5"/>
    <mergeCell ref="EI21:EJ21"/>
    <mergeCell ref="EK21:EL21"/>
    <mergeCell ref="EP21:EQ21"/>
    <mergeCell ref="ER21:ES21"/>
    <mergeCell ref="EW21:EX21"/>
    <mergeCell ref="EY21:EZ21"/>
    <mergeCell ref="EI22:EJ22"/>
    <mergeCell ref="EK22:EL22"/>
    <mergeCell ref="EP22:EQ22"/>
    <mergeCell ref="ER22:ES22"/>
    <mergeCell ref="EW22:EX22"/>
    <mergeCell ref="EY22:EZ22"/>
    <mergeCell ref="EI19:EJ19"/>
    <mergeCell ref="EK19:EL19"/>
    <mergeCell ref="EP19:EQ19"/>
    <mergeCell ref="ER19:ES19"/>
    <mergeCell ref="EW19:EX19"/>
    <mergeCell ref="EY19:EZ19"/>
    <mergeCell ref="EI20:EJ20"/>
    <mergeCell ref="EK20:EL20"/>
    <mergeCell ref="EP20:EQ20"/>
    <mergeCell ref="ER20:ES20"/>
    <mergeCell ref="EW20:EX20"/>
    <mergeCell ref="EY20:EZ20"/>
    <mergeCell ref="ER16:ES16"/>
    <mergeCell ref="EW16:EX16"/>
    <mergeCell ref="EY16:EZ16"/>
    <mergeCell ref="EI17:EJ17"/>
    <mergeCell ref="EK17:EL17"/>
    <mergeCell ref="EP17:EQ17"/>
    <mergeCell ref="ER17:ES17"/>
    <mergeCell ref="EW17:EX17"/>
    <mergeCell ref="EY17:EZ17"/>
    <mergeCell ref="ER14:ES14"/>
    <mergeCell ref="EW14:EX14"/>
    <mergeCell ref="EY14:EZ14"/>
    <mergeCell ref="EI15:EJ15"/>
    <mergeCell ref="EK15:EL15"/>
    <mergeCell ref="EP15:EQ15"/>
    <mergeCell ref="ER15:ES15"/>
    <mergeCell ref="EW15:EX15"/>
    <mergeCell ref="EY15:EZ15"/>
    <mergeCell ref="ER11:ES11"/>
    <mergeCell ref="EW11:EX11"/>
    <mergeCell ref="EY11:EZ11"/>
    <mergeCell ref="EI12:EJ12"/>
    <mergeCell ref="EK12:EL12"/>
    <mergeCell ref="EP12:EQ12"/>
    <mergeCell ref="ER12:ES12"/>
    <mergeCell ref="EW12:EX12"/>
    <mergeCell ref="EY12:EZ12"/>
    <mergeCell ref="ER9:ES9"/>
    <mergeCell ref="EW9:EX9"/>
    <mergeCell ref="EY9:EZ9"/>
    <mergeCell ref="EI10:EJ10"/>
    <mergeCell ref="EK10:EL10"/>
    <mergeCell ref="EP10:EQ10"/>
    <mergeCell ref="ER10:ES10"/>
    <mergeCell ref="EW10:EX10"/>
    <mergeCell ref="EY10:EZ10"/>
    <mergeCell ref="EW5:EX5"/>
    <mergeCell ref="EY5:EZ5"/>
    <mergeCell ref="EI6:EJ6"/>
    <mergeCell ref="EK6:EL6"/>
    <mergeCell ref="EP6:EQ6"/>
    <mergeCell ref="ER6:ES6"/>
    <mergeCell ref="EW6:EX6"/>
    <mergeCell ref="EY6:EZ6"/>
    <mergeCell ref="EI7:EJ7"/>
    <mergeCell ref="EK7:EL7"/>
    <mergeCell ref="EP7:EQ7"/>
    <mergeCell ref="ER7:ES7"/>
    <mergeCell ref="EW7:EX7"/>
    <mergeCell ref="EY7:EZ7"/>
    <mergeCell ref="DN22:DO22"/>
    <mergeCell ref="DP22:DQ22"/>
    <mergeCell ref="DU22:DV22"/>
    <mergeCell ref="DW22:DX22"/>
    <mergeCell ref="EB22:EC22"/>
    <mergeCell ref="ED22:EE22"/>
    <mergeCell ref="EI4:EJ4"/>
    <mergeCell ref="EK4:EL4"/>
    <mergeCell ref="EP4:EQ4"/>
    <mergeCell ref="EI5:EJ5"/>
    <mergeCell ref="EK5:EL5"/>
    <mergeCell ref="EP5:EQ5"/>
    <mergeCell ref="EI9:EJ9"/>
    <mergeCell ref="EK9:EL9"/>
    <mergeCell ref="EP9:EQ9"/>
    <mergeCell ref="EI11:EJ11"/>
    <mergeCell ref="EK11:EL11"/>
    <mergeCell ref="EP11:EQ11"/>
    <mergeCell ref="EI14:EJ14"/>
    <mergeCell ref="EK14:EL14"/>
    <mergeCell ref="EP14:EQ14"/>
    <mergeCell ref="EI16:EJ16"/>
    <mergeCell ref="EK16:EL16"/>
    <mergeCell ref="EP16:EQ16"/>
    <mergeCell ref="DN20:DO20"/>
    <mergeCell ref="DP20:DQ20"/>
    <mergeCell ref="DU20:DV20"/>
    <mergeCell ref="DW20:DX20"/>
    <mergeCell ref="EB20:EC20"/>
    <mergeCell ref="ED20:EE20"/>
    <mergeCell ref="DN21:DO21"/>
    <mergeCell ref="DP21:DQ21"/>
    <mergeCell ref="DU21:DV21"/>
    <mergeCell ref="DW21:DX21"/>
    <mergeCell ref="EB21:EC21"/>
    <mergeCell ref="ED21:EE21"/>
    <mergeCell ref="DN17:DO17"/>
    <mergeCell ref="DP17:DQ17"/>
    <mergeCell ref="DU17:DV17"/>
    <mergeCell ref="DW17:DX17"/>
    <mergeCell ref="EB17:EC17"/>
    <mergeCell ref="ED17:EE17"/>
    <mergeCell ref="DP19:DQ19"/>
    <mergeCell ref="DU19:DV19"/>
    <mergeCell ref="DW19:DX19"/>
    <mergeCell ref="EB19:EC19"/>
    <mergeCell ref="ED19:EE19"/>
    <mergeCell ref="DN15:DO15"/>
    <mergeCell ref="DP15:DQ15"/>
    <mergeCell ref="DU15:DV15"/>
    <mergeCell ref="DW15:DX15"/>
    <mergeCell ref="EB15:EC15"/>
    <mergeCell ref="ED15:EE15"/>
    <mergeCell ref="DW16:DX16"/>
    <mergeCell ref="EB16:EC16"/>
    <mergeCell ref="ED16:EE16"/>
    <mergeCell ref="DN12:DO12"/>
    <mergeCell ref="DP12:DQ12"/>
    <mergeCell ref="DU12:DV12"/>
    <mergeCell ref="DW12:DX12"/>
    <mergeCell ref="EB12:EC12"/>
    <mergeCell ref="ED12:EE12"/>
    <mergeCell ref="DW14:DX14"/>
    <mergeCell ref="EB14:EC14"/>
    <mergeCell ref="ED14:EE14"/>
    <mergeCell ref="DN10:DO10"/>
    <mergeCell ref="DP10:DQ10"/>
    <mergeCell ref="DU10:DV10"/>
    <mergeCell ref="DW10:DX10"/>
    <mergeCell ref="EB10:EC10"/>
    <mergeCell ref="ED10:EE10"/>
    <mergeCell ref="DW11:DX11"/>
    <mergeCell ref="EB11:EC11"/>
    <mergeCell ref="ED11:EE11"/>
    <mergeCell ref="DN7:DO7"/>
    <mergeCell ref="DP7:DQ7"/>
    <mergeCell ref="DU7:DV7"/>
    <mergeCell ref="DW7:DX7"/>
    <mergeCell ref="EB7:EC7"/>
    <mergeCell ref="ED7:EE7"/>
    <mergeCell ref="DW9:DX9"/>
    <mergeCell ref="EB9:EC9"/>
    <mergeCell ref="ED9:EE9"/>
    <mergeCell ref="DN5:DO5"/>
    <mergeCell ref="DP5:DQ5"/>
    <mergeCell ref="DU5:DV5"/>
    <mergeCell ref="DW5:DX5"/>
    <mergeCell ref="EB5:EC5"/>
    <mergeCell ref="ED5:EE5"/>
    <mergeCell ref="DW6:DX6"/>
    <mergeCell ref="EB6:EC6"/>
    <mergeCell ref="ED6:EE6"/>
    <mergeCell ref="CS22:CT22"/>
    <mergeCell ref="CU22:CV22"/>
    <mergeCell ref="CZ22:DA22"/>
    <mergeCell ref="DB22:DC22"/>
    <mergeCell ref="DG22:DH22"/>
    <mergeCell ref="DI22:DJ22"/>
    <mergeCell ref="DN4:DO4"/>
    <mergeCell ref="DP4:DQ4"/>
    <mergeCell ref="DU4:DV4"/>
    <mergeCell ref="DN6:DO6"/>
    <mergeCell ref="DP6:DQ6"/>
    <mergeCell ref="DU6:DV6"/>
    <mergeCell ref="DN9:DO9"/>
    <mergeCell ref="DP9:DQ9"/>
    <mergeCell ref="DU9:DV9"/>
    <mergeCell ref="DN11:DO11"/>
    <mergeCell ref="DP11:DQ11"/>
    <mergeCell ref="DU11:DV11"/>
    <mergeCell ref="DN14:DO14"/>
    <mergeCell ref="DP14:DQ14"/>
    <mergeCell ref="DU14:DV14"/>
    <mergeCell ref="DN16:DO16"/>
    <mergeCell ref="DP16:DQ16"/>
    <mergeCell ref="DU16:DV16"/>
    <mergeCell ref="CS20:CT20"/>
    <mergeCell ref="CU20:CV20"/>
    <mergeCell ref="CZ20:DA20"/>
    <mergeCell ref="DB20:DC20"/>
    <mergeCell ref="DG20:DH20"/>
    <mergeCell ref="DI20:DJ20"/>
    <mergeCell ref="CS21:CT21"/>
    <mergeCell ref="CU21:CV21"/>
    <mergeCell ref="CZ21:DA21"/>
    <mergeCell ref="DB21:DC21"/>
    <mergeCell ref="DG21:DH21"/>
    <mergeCell ref="DI21:DJ21"/>
    <mergeCell ref="DB16:DC16"/>
    <mergeCell ref="DG16:DH16"/>
    <mergeCell ref="DI16:DJ16"/>
    <mergeCell ref="CS17:CT17"/>
    <mergeCell ref="CU17:CV17"/>
    <mergeCell ref="CZ17:DA17"/>
    <mergeCell ref="DB17:DC17"/>
    <mergeCell ref="DG17:DH17"/>
    <mergeCell ref="DI17:DJ17"/>
    <mergeCell ref="DB14:DC14"/>
    <mergeCell ref="DG14:DH14"/>
    <mergeCell ref="DI14:DJ14"/>
    <mergeCell ref="CS15:CT15"/>
    <mergeCell ref="CU15:CV15"/>
    <mergeCell ref="CZ15:DA15"/>
    <mergeCell ref="DB15:DC15"/>
    <mergeCell ref="DG15:DH15"/>
    <mergeCell ref="DI15:DJ15"/>
    <mergeCell ref="DB11:DC11"/>
    <mergeCell ref="DG11:DH11"/>
    <mergeCell ref="DI11:DJ11"/>
    <mergeCell ref="CS12:CT12"/>
    <mergeCell ref="CU12:CV12"/>
    <mergeCell ref="CZ12:DA12"/>
    <mergeCell ref="DB12:DC12"/>
    <mergeCell ref="DG12:DH12"/>
    <mergeCell ref="DI12:DJ12"/>
    <mergeCell ref="DB9:DC9"/>
    <mergeCell ref="DG9:DH9"/>
    <mergeCell ref="DI9:DJ9"/>
    <mergeCell ref="CS10:CT10"/>
    <mergeCell ref="CU10:CV10"/>
    <mergeCell ref="CZ10:DA10"/>
    <mergeCell ref="DB10:DC10"/>
    <mergeCell ref="DG10:DH10"/>
    <mergeCell ref="DI10:DJ10"/>
    <mergeCell ref="DB6:DC6"/>
    <mergeCell ref="DG6:DH6"/>
    <mergeCell ref="DI6:DJ6"/>
    <mergeCell ref="CS7:CT7"/>
    <mergeCell ref="CU7:CV7"/>
    <mergeCell ref="CZ7:DA7"/>
    <mergeCell ref="DB7:DC7"/>
    <mergeCell ref="DG7:DH7"/>
    <mergeCell ref="DI7:DJ7"/>
    <mergeCell ref="DB4:DC4"/>
    <mergeCell ref="DG4:DH4"/>
    <mergeCell ref="DI4:DJ4"/>
    <mergeCell ref="CS5:CT5"/>
    <mergeCell ref="CU5:CV5"/>
    <mergeCell ref="CZ5:DA5"/>
    <mergeCell ref="DB5:DC5"/>
    <mergeCell ref="DG5:DH5"/>
    <mergeCell ref="DI5:DJ5"/>
    <mergeCell ref="BX22:BY22"/>
    <mergeCell ref="BZ22:CA22"/>
    <mergeCell ref="CE22:CF22"/>
    <mergeCell ref="CG22:CH22"/>
    <mergeCell ref="CL22:CM22"/>
    <mergeCell ref="CN22:CO22"/>
    <mergeCell ref="CS4:CT4"/>
    <mergeCell ref="CU4:CV4"/>
    <mergeCell ref="CZ4:DA4"/>
    <mergeCell ref="CS6:CT6"/>
    <mergeCell ref="CU6:CV6"/>
    <mergeCell ref="CZ6:DA6"/>
    <mergeCell ref="CS9:CT9"/>
    <mergeCell ref="CU9:CV9"/>
    <mergeCell ref="CZ9:DA9"/>
    <mergeCell ref="CS11:CT11"/>
    <mergeCell ref="CU11:CV11"/>
    <mergeCell ref="CZ11:DA11"/>
    <mergeCell ref="CS14:CT14"/>
    <mergeCell ref="CU14:CV14"/>
    <mergeCell ref="CZ14:DA14"/>
    <mergeCell ref="CS16:CT16"/>
    <mergeCell ref="CU16:CV16"/>
    <mergeCell ref="CZ16:DA16"/>
    <mergeCell ref="BX20:BY20"/>
    <mergeCell ref="BZ20:CA20"/>
    <mergeCell ref="CE20:CF20"/>
    <mergeCell ref="CG20:CH20"/>
    <mergeCell ref="CL20:CM20"/>
    <mergeCell ref="CN20:CO20"/>
    <mergeCell ref="BX21:BY21"/>
    <mergeCell ref="BZ21:CA21"/>
    <mergeCell ref="CE21:CF21"/>
    <mergeCell ref="CG21:CH21"/>
    <mergeCell ref="CL21:CM21"/>
    <mergeCell ref="CN21:CO21"/>
    <mergeCell ref="BX17:BY17"/>
    <mergeCell ref="BZ17:CA17"/>
    <mergeCell ref="CE17:CF17"/>
    <mergeCell ref="CG17:CH17"/>
    <mergeCell ref="CL17:CM17"/>
    <mergeCell ref="CN17:CO17"/>
    <mergeCell ref="BX19:BY19"/>
    <mergeCell ref="BZ19:CA19"/>
    <mergeCell ref="CE19:CF19"/>
    <mergeCell ref="CG19:CH19"/>
    <mergeCell ref="CL19:CM19"/>
    <mergeCell ref="CN19:CO19"/>
    <mergeCell ref="BX15:BY15"/>
    <mergeCell ref="BZ15:CA15"/>
    <mergeCell ref="CE15:CF15"/>
    <mergeCell ref="CG15:CH15"/>
    <mergeCell ref="CL15:CM15"/>
    <mergeCell ref="CN15:CO15"/>
    <mergeCell ref="BX16:BY16"/>
    <mergeCell ref="BZ16:CA16"/>
    <mergeCell ref="CE16:CF16"/>
    <mergeCell ref="CG16:CH16"/>
    <mergeCell ref="CL16:CM16"/>
    <mergeCell ref="CN16:CO16"/>
    <mergeCell ref="CL11:CM11"/>
    <mergeCell ref="CN11:CO11"/>
    <mergeCell ref="BX12:BY12"/>
    <mergeCell ref="BZ12:CA12"/>
    <mergeCell ref="CE12:CF12"/>
    <mergeCell ref="CG12:CH12"/>
    <mergeCell ref="CL12:CM12"/>
    <mergeCell ref="CN12:CO12"/>
    <mergeCell ref="BX14:BY14"/>
    <mergeCell ref="BZ14:CA14"/>
    <mergeCell ref="CE14:CF14"/>
    <mergeCell ref="CG14:CH14"/>
    <mergeCell ref="CL14:CM14"/>
    <mergeCell ref="CN14:CO14"/>
    <mergeCell ref="BX6:BY6"/>
    <mergeCell ref="BZ6:CA6"/>
    <mergeCell ref="CE6:CF6"/>
    <mergeCell ref="CG6:CH6"/>
    <mergeCell ref="CL6:CM6"/>
    <mergeCell ref="CN6:CO6"/>
    <mergeCell ref="BX7:BY7"/>
    <mergeCell ref="BZ7:CA7"/>
    <mergeCell ref="CE7:CF7"/>
    <mergeCell ref="CG7:CH7"/>
    <mergeCell ref="CL7:CM7"/>
    <mergeCell ref="CN7:CO7"/>
    <mergeCell ref="BX4:BY4"/>
    <mergeCell ref="BZ4:CA4"/>
    <mergeCell ref="CE4:CF4"/>
    <mergeCell ref="CG4:CH4"/>
    <mergeCell ref="CL4:CM4"/>
    <mergeCell ref="CN4:CO4"/>
    <mergeCell ref="BX5:BY5"/>
    <mergeCell ref="BZ5:CA5"/>
    <mergeCell ref="CE5:CF5"/>
    <mergeCell ref="CG5:CH5"/>
    <mergeCell ref="CL5:CM5"/>
    <mergeCell ref="CN5:CO5"/>
    <mergeCell ref="BC21:BD21"/>
    <mergeCell ref="BE21:BF21"/>
    <mergeCell ref="BJ21:BK21"/>
    <mergeCell ref="BL21:BM21"/>
    <mergeCell ref="BQ21:BR21"/>
    <mergeCell ref="BS21:BT21"/>
    <mergeCell ref="BC22:BD22"/>
    <mergeCell ref="BE22:BF22"/>
    <mergeCell ref="BJ22:BK22"/>
    <mergeCell ref="BL22:BM22"/>
    <mergeCell ref="BQ22:BR22"/>
    <mergeCell ref="BS22:BT22"/>
    <mergeCell ref="BL19:BM19"/>
    <mergeCell ref="BQ19:BR19"/>
    <mergeCell ref="BS19:BT19"/>
    <mergeCell ref="BC20:BD20"/>
    <mergeCell ref="BE20:BF20"/>
    <mergeCell ref="BJ20:BK20"/>
    <mergeCell ref="BL20:BM20"/>
    <mergeCell ref="BQ20:BR20"/>
    <mergeCell ref="BS20:BT20"/>
    <mergeCell ref="BQ15:BR15"/>
    <mergeCell ref="BS15:BT15"/>
    <mergeCell ref="BC16:BD16"/>
    <mergeCell ref="BE16:BF16"/>
    <mergeCell ref="BJ16:BK16"/>
    <mergeCell ref="BL16:BM16"/>
    <mergeCell ref="BQ16:BR16"/>
    <mergeCell ref="BS16:BT16"/>
    <mergeCell ref="BC17:BD17"/>
    <mergeCell ref="BE17:BF17"/>
    <mergeCell ref="BJ17:BK17"/>
    <mergeCell ref="BL17:BM17"/>
    <mergeCell ref="BQ17:BR17"/>
    <mergeCell ref="BS17:BT17"/>
    <mergeCell ref="BQ11:BR11"/>
    <mergeCell ref="BS11:BT11"/>
    <mergeCell ref="BC12:BD12"/>
    <mergeCell ref="BE12:BF12"/>
    <mergeCell ref="BJ12:BK12"/>
    <mergeCell ref="BL12:BM12"/>
    <mergeCell ref="BQ12:BR12"/>
    <mergeCell ref="BS12:BT12"/>
    <mergeCell ref="BC14:BD14"/>
    <mergeCell ref="BE14:BF14"/>
    <mergeCell ref="BJ14:BK14"/>
    <mergeCell ref="BL14:BM14"/>
    <mergeCell ref="BQ14:BR14"/>
    <mergeCell ref="BS14:BT14"/>
    <mergeCell ref="BQ7:BR7"/>
    <mergeCell ref="BS7:BT7"/>
    <mergeCell ref="BC9:BD9"/>
    <mergeCell ref="BE9:BF9"/>
    <mergeCell ref="BJ9:BK9"/>
    <mergeCell ref="BL9:BM9"/>
    <mergeCell ref="BQ9:BR9"/>
    <mergeCell ref="BS9:BT9"/>
    <mergeCell ref="BC10:BD10"/>
    <mergeCell ref="BE10:BF10"/>
    <mergeCell ref="BJ10:BK10"/>
    <mergeCell ref="BL10:BM10"/>
    <mergeCell ref="BQ10:BR10"/>
    <mergeCell ref="BS10:BT10"/>
    <mergeCell ref="BQ4:BR4"/>
    <mergeCell ref="BS4:BT4"/>
    <mergeCell ref="BC5:BD5"/>
    <mergeCell ref="BE5:BF5"/>
    <mergeCell ref="BJ5:BK5"/>
    <mergeCell ref="BL5:BM5"/>
    <mergeCell ref="BQ5:BR5"/>
    <mergeCell ref="BS5:BT5"/>
    <mergeCell ref="BC6:BD6"/>
    <mergeCell ref="BE6:BF6"/>
    <mergeCell ref="BJ6:BK6"/>
    <mergeCell ref="BL6:BM6"/>
    <mergeCell ref="BQ6:BR6"/>
    <mergeCell ref="BS6:BT6"/>
    <mergeCell ref="AJ22:AK22"/>
    <mergeCell ref="AO22:AP22"/>
    <mergeCell ref="AQ22:AR22"/>
    <mergeCell ref="AV22:AW22"/>
    <mergeCell ref="AX22:AY22"/>
    <mergeCell ref="BC4:BD4"/>
    <mergeCell ref="BE4:BF4"/>
    <mergeCell ref="BJ4:BK4"/>
    <mergeCell ref="BL4:BM4"/>
    <mergeCell ref="BC7:BD7"/>
    <mergeCell ref="BE7:BF7"/>
    <mergeCell ref="BJ7:BK7"/>
    <mergeCell ref="BL7:BM7"/>
    <mergeCell ref="BC11:BD11"/>
    <mergeCell ref="BE11:BF11"/>
    <mergeCell ref="BJ11:BK11"/>
    <mergeCell ref="BL11:BM11"/>
    <mergeCell ref="BC15:BD15"/>
    <mergeCell ref="BE15:BF15"/>
    <mergeCell ref="BJ15:BK15"/>
    <mergeCell ref="BL15:BM15"/>
    <mergeCell ref="BC19:BD19"/>
    <mergeCell ref="BE19:BF19"/>
    <mergeCell ref="BJ19:BK19"/>
    <mergeCell ref="AJ20:AK20"/>
    <mergeCell ref="AO20:AP20"/>
    <mergeCell ref="AQ20:AR20"/>
    <mergeCell ref="AV20:AW20"/>
    <mergeCell ref="AX20:AY20"/>
    <mergeCell ref="AH21:AI21"/>
    <mergeCell ref="AJ21:AK21"/>
    <mergeCell ref="AO21:AP21"/>
    <mergeCell ref="AQ21:AR21"/>
    <mergeCell ref="AV21:AW21"/>
    <mergeCell ref="AX21:AY21"/>
    <mergeCell ref="AJ17:AK17"/>
    <mergeCell ref="AO17:AP17"/>
    <mergeCell ref="AQ17:AR17"/>
    <mergeCell ref="AV17:AW17"/>
    <mergeCell ref="AX17:AY17"/>
    <mergeCell ref="AH19:AI19"/>
    <mergeCell ref="AJ19:AK19"/>
    <mergeCell ref="AO19:AP19"/>
    <mergeCell ref="AQ19:AR19"/>
    <mergeCell ref="AV19:AW19"/>
    <mergeCell ref="AX19:AY19"/>
    <mergeCell ref="AJ15:AK15"/>
    <mergeCell ref="AO15:AP15"/>
    <mergeCell ref="AQ15:AR15"/>
    <mergeCell ref="AV15:AW15"/>
    <mergeCell ref="AX15:AY15"/>
    <mergeCell ref="AH16:AI16"/>
    <mergeCell ref="AJ16:AK16"/>
    <mergeCell ref="AO16:AP16"/>
    <mergeCell ref="AQ16:AR16"/>
    <mergeCell ref="AV16:AW16"/>
    <mergeCell ref="AX16:AY16"/>
    <mergeCell ref="AJ12:AK12"/>
    <mergeCell ref="AO12:AP12"/>
    <mergeCell ref="AQ12:AR12"/>
    <mergeCell ref="AV12:AW12"/>
    <mergeCell ref="AX12:AY12"/>
    <mergeCell ref="AH14:AI14"/>
    <mergeCell ref="AJ14:AK14"/>
    <mergeCell ref="AO14:AP14"/>
    <mergeCell ref="AQ14:AR14"/>
    <mergeCell ref="AV14:AW14"/>
    <mergeCell ref="AX14:AY14"/>
    <mergeCell ref="AJ10:AK10"/>
    <mergeCell ref="AO10:AP10"/>
    <mergeCell ref="AQ10:AR10"/>
    <mergeCell ref="AV10:AW10"/>
    <mergeCell ref="AX10:AY10"/>
    <mergeCell ref="AH11:AI11"/>
    <mergeCell ref="AJ11:AK11"/>
    <mergeCell ref="AO11:AP11"/>
    <mergeCell ref="AQ11:AR11"/>
    <mergeCell ref="AV11:AW11"/>
    <mergeCell ref="AX11:AY11"/>
    <mergeCell ref="AX6:AY6"/>
    <mergeCell ref="AH7:AI7"/>
    <mergeCell ref="AJ7:AK7"/>
    <mergeCell ref="AO7:AP7"/>
    <mergeCell ref="AQ7:AR7"/>
    <mergeCell ref="AV7:AW7"/>
    <mergeCell ref="AX7:AY7"/>
    <mergeCell ref="AH9:AI9"/>
    <mergeCell ref="AJ9:AK9"/>
    <mergeCell ref="AO9:AP9"/>
    <mergeCell ref="AQ9:AR9"/>
    <mergeCell ref="AV9:AW9"/>
    <mergeCell ref="AX9:AY9"/>
    <mergeCell ref="T21:U21"/>
    <mergeCell ref="V21:W21"/>
    <mergeCell ref="AA21:AB21"/>
    <mergeCell ref="AC21:AD21"/>
    <mergeCell ref="T22:U22"/>
    <mergeCell ref="V22:W22"/>
    <mergeCell ref="AA22:AB22"/>
    <mergeCell ref="AC22:AD22"/>
    <mergeCell ref="AH4:AI4"/>
    <mergeCell ref="AH5:AI5"/>
    <mergeCell ref="AH6:AI6"/>
    <mergeCell ref="AH10:AI10"/>
    <mergeCell ref="AH12:AI12"/>
    <mergeCell ref="AH15:AI15"/>
    <mergeCell ref="AH17:AI17"/>
    <mergeCell ref="AH20:AI20"/>
    <mergeCell ref="AH22:AI22"/>
    <mergeCell ref="T17:U17"/>
    <mergeCell ref="V17:W17"/>
    <mergeCell ref="AA17:AB17"/>
    <mergeCell ref="AC17:AD17"/>
    <mergeCell ref="T19:U19"/>
    <mergeCell ref="V19:W19"/>
    <mergeCell ref="AA19:AB19"/>
    <mergeCell ref="T20:U20"/>
    <mergeCell ref="V20:W20"/>
    <mergeCell ref="AA20:AB20"/>
    <mergeCell ref="AC20:AD20"/>
    <mergeCell ref="T14:U14"/>
    <mergeCell ref="V14:W14"/>
    <mergeCell ref="AA14:AB14"/>
    <mergeCell ref="AC14:AD14"/>
    <mergeCell ref="T15:U15"/>
    <mergeCell ref="V15:W15"/>
    <mergeCell ref="AA15:AB15"/>
    <mergeCell ref="AC15:AD15"/>
    <mergeCell ref="T16:U16"/>
    <mergeCell ref="V16:W16"/>
    <mergeCell ref="AA16:AB16"/>
    <mergeCell ref="AC16:AD16"/>
    <mergeCell ref="T11:U11"/>
    <mergeCell ref="V11:W11"/>
    <mergeCell ref="AA11:AB11"/>
    <mergeCell ref="AC11:AD11"/>
    <mergeCell ref="T12:U12"/>
    <mergeCell ref="V12:W12"/>
    <mergeCell ref="AA12:AB12"/>
    <mergeCell ref="AC12:AD12"/>
    <mergeCell ref="AC19:AD19"/>
    <mergeCell ref="T7:U7"/>
    <mergeCell ref="V7:W7"/>
    <mergeCell ref="AA7:AB7"/>
    <mergeCell ref="AC7:AD7"/>
    <mergeCell ref="T9:U9"/>
    <mergeCell ref="V9:W9"/>
    <mergeCell ref="AA9:AB9"/>
    <mergeCell ref="AC9:AD9"/>
    <mergeCell ref="T10:U10"/>
    <mergeCell ref="V10:W10"/>
    <mergeCell ref="AA10:AB10"/>
    <mergeCell ref="AC10:AD10"/>
    <mergeCell ref="AA4:AB4"/>
    <mergeCell ref="AC4:AD4"/>
    <mergeCell ref="T5:U5"/>
    <mergeCell ref="V5:W5"/>
    <mergeCell ref="AA5:AB5"/>
    <mergeCell ref="AC5:AD5"/>
    <mergeCell ref="T6:U6"/>
    <mergeCell ref="V6:W6"/>
    <mergeCell ref="AA6:AB6"/>
    <mergeCell ref="AC6:AD6"/>
    <mergeCell ref="GE2:GJ2"/>
    <mergeCell ref="GL2:GQ2"/>
    <mergeCell ref="GS2:GX2"/>
    <mergeCell ref="L24:Q24"/>
    <mergeCell ref="S24:X24"/>
    <mergeCell ref="Z24:AE24"/>
    <mergeCell ref="AG24:AL24"/>
    <mergeCell ref="AN24:AS24"/>
    <mergeCell ref="AU24:AZ24"/>
    <mergeCell ref="BB24:BG24"/>
    <mergeCell ref="BI24:BN24"/>
    <mergeCell ref="BP24:BU24"/>
    <mergeCell ref="BW24:CB24"/>
    <mergeCell ref="CD24:CI24"/>
    <mergeCell ref="CK24:CP24"/>
    <mergeCell ref="CR24:CW24"/>
    <mergeCell ref="CY24:DD24"/>
    <mergeCell ref="DF24:DK24"/>
    <mergeCell ref="DM24:DR24"/>
    <mergeCell ref="DT24:DY24"/>
    <mergeCell ref="GL24:GQ24"/>
    <mergeCell ref="GS24:GX24"/>
    <mergeCell ref="T4:U4"/>
    <mergeCell ref="V4:W4"/>
    <mergeCell ref="E24:J24"/>
    <mergeCell ref="E2:J2"/>
    <mergeCell ref="L2:Q2"/>
    <mergeCell ref="S2:X2"/>
    <mergeCell ref="Z2:AE2"/>
    <mergeCell ref="AG2:AL2"/>
    <mergeCell ref="AN2:AS2"/>
    <mergeCell ref="AU2:AZ2"/>
    <mergeCell ref="BB2:BG2"/>
    <mergeCell ref="AJ4:AK4"/>
    <mergeCell ref="AO4:AP4"/>
    <mergeCell ref="AQ4:AR4"/>
    <mergeCell ref="AV4:AW4"/>
    <mergeCell ref="AX4:AY4"/>
    <mergeCell ref="AJ5:AK5"/>
    <mergeCell ref="AO5:AP5"/>
    <mergeCell ref="AQ5:AR5"/>
    <mergeCell ref="AV5:AW5"/>
    <mergeCell ref="AX5:AY5"/>
    <mergeCell ref="AJ6:AK6"/>
    <mergeCell ref="AO6:AP6"/>
    <mergeCell ref="AQ6:AR6"/>
    <mergeCell ref="AV6:AW6"/>
    <mergeCell ref="F19:G19"/>
    <mergeCell ref="BI2:BN2"/>
    <mergeCell ref="BP2:BU2"/>
    <mergeCell ref="BW2:CB2"/>
    <mergeCell ref="CD2:CI2"/>
    <mergeCell ref="CK2:CP2"/>
    <mergeCell ref="CR2:CW2"/>
    <mergeCell ref="CY2:DD2"/>
    <mergeCell ref="DF2:DK2"/>
    <mergeCell ref="DM2:DR2"/>
    <mergeCell ref="DT2:DY2"/>
    <mergeCell ref="EA24:EF24"/>
    <mergeCell ref="EH24:EM24"/>
    <mergeCell ref="EO24:ET24"/>
    <mergeCell ref="EV24:FA24"/>
    <mergeCell ref="FC24:FH24"/>
    <mergeCell ref="FJ24:FO24"/>
    <mergeCell ref="FQ24:FV24"/>
    <mergeCell ref="FX24:GC24"/>
    <mergeCell ref="EA2:EF2"/>
    <mergeCell ref="EH2:EM2"/>
    <mergeCell ref="EO2:ET2"/>
    <mergeCell ref="EV2:FA2"/>
    <mergeCell ref="FC2:FH2"/>
    <mergeCell ref="FJ2:FO2"/>
    <mergeCell ref="FQ2:FV2"/>
    <mergeCell ref="FX2:GC2"/>
    <mergeCell ref="DW4:DX4"/>
    <mergeCell ref="EB4:EC4"/>
    <mergeCell ref="ED4:EE4"/>
    <mergeCell ref="ER4:ES4"/>
    <mergeCell ref="EW4:EX4"/>
    <mergeCell ref="EY4:EZ4"/>
    <mergeCell ref="ER5:ES5"/>
    <mergeCell ref="GE24:GJ24"/>
    <mergeCell ref="CS19:CT19"/>
    <mergeCell ref="CU19:CV19"/>
    <mergeCell ref="CZ19:DA19"/>
    <mergeCell ref="DB19:DC19"/>
    <mergeCell ref="DG19:DH19"/>
    <mergeCell ref="DI19:DJ19"/>
    <mergeCell ref="DN19:DO19"/>
    <mergeCell ref="BX9:BY9"/>
    <mergeCell ref="BZ9:CA9"/>
    <mergeCell ref="CE9:CF9"/>
    <mergeCell ref="CG9:CH9"/>
    <mergeCell ref="CL9:CM9"/>
    <mergeCell ref="CN9:CO9"/>
    <mergeCell ref="BX10:BY10"/>
    <mergeCell ref="BZ10:CA10"/>
    <mergeCell ref="CE10:CF10"/>
    <mergeCell ref="CG10:CH10"/>
    <mergeCell ref="CL10:CM10"/>
    <mergeCell ref="CN10:CO10"/>
    <mergeCell ref="BX11:BY11"/>
    <mergeCell ref="BZ11:CA11"/>
    <mergeCell ref="CE11:CF11"/>
    <mergeCell ref="CG11:CH11"/>
    <mergeCell ref="C9:C12"/>
    <mergeCell ref="F14:G14"/>
    <mergeCell ref="H14:I14"/>
    <mergeCell ref="F15:G15"/>
    <mergeCell ref="H15:I15"/>
    <mergeCell ref="F16:G16"/>
    <mergeCell ref="H16:I16"/>
    <mergeCell ref="F17:G17"/>
    <mergeCell ref="H17:I17"/>
    <mergeCell ref="H9:I9"/>
    <mergeCell ref="H10:I10"/>
    <mergeCell ref="H11:I11"/>
    <mergeCell ref="H12:I12"/>
    <mergeCell ref="F9:G9"/>
    <mergeCell ref="F10:G10"/>
    <mergeCell ref="F11:G11"/>
    <mergeCell ref="F12:G12"/>
    <mergeCell ref="H19:I19"/>
    <mergeCell ref="F20:G20"/>
    <mergeCell ref="H20:I20"/>
    <mergeCell ref="F21:G21"/>
    <mergeCell ref="H21:I21"/>
    <mergeCell ref="F22:G22"/>
    <mergeCell ref="H22:I22"/>
    <mergeCell ref="C14:C17"/>
    <mergeCell ref="C19:C22"/>
    <mergeCell ref="C4:C7"/>
    <mergeCell ref="H4:I4"/>
    <mergeCell ref="H5:I5"/>
    <mergeCell ref="H6:I6"/>
    <mergeCell ref="H7:I7"/>
    <mergeCell ref="F4:G4"/>
    <mergeCell ref="F5:G5"/>
    <mergeCell ref="F6:G6"/>
    <mergeCell ref="F7:G7"/>
    <mergeCell ref="M4:N4"/>
    <mergeCell ref="O4:P4"/>
    <mergeCell ref="M5:N5"/>
    <mergeCell ref="O5:P5"/>
    <mergeCell ref="M6:N6"/>
    <mergeCell ref="O6:P6"/>
    <mergeCell ref="M7:N7"/>
    <mergeCell ref="O7:P7"/>
    <mergeCell ref="M9:N9"/>
    <mergeCell ref="O9:P9"/>
    <mergeCell ref="M10:N10"/>
    <mergeCell ref="O10:P10"/>
    <mergeCell ref="M11:N11"/>
    <mergeCell ref="O11:P11"/>
    <mergeCell ref="M12:N12"/>
    <mergeCell ref="O12:P12"/>
    <mergeCell ref="M14:N14"/>
    <mergeCell ref="O14:P14"/>
    <mergeCell ref="M15:N15"/>
    <mergeCell ref="O15:P15"/>
    <mergeCell ref="M22:N22"/>
    <mergeCell ref="O22:P22"/>
    <mergeCell ref="M16:N16"/>
    <mergeCell ref="O16:P16"/>
    <mergeCell ref="M17:N17"/>
    <mergeCell ref="O17:P17"/>
    <mergeCell ref="M19:N19"/>
    <mergeCell ref="O19:P19"/>
    <mergeCell ref="M20:N20"/>
    <mergeCell ref="O20:P20"/>
    <mergeCell ref="M21:N21"/>
    <mergeCell ref="O21:P21"/>
  </mergeCells>
  <conditionalFormatting sqref="J4 J6 J9 J11 J14 J16 J19 J21">
    <cfRule type="expression" dxfId="2828" priority="2008">
      <formula>J5&gt;0</formula>
    </cfRule>
    <cfRule type="expression" dxfId="2827" priority="2009">
      <formula>J5&lt;0</formula>
    </cfRule>
  </conditionalFormatting>
  <conditionalFormatting sqref="J5 J7 J10 J12 J15 J17 J20 J22">
    <cfRule type="cellIs" dxfId="2826" priority="2010" operator="lessThan">
      <formula>0</formula>
    </cfRule>
    <cfRule type="cellIs" dxfId="2825" priority="2011" operator="greaterThan">
      <formula>0</formula>
    </cfRule>
  </conditionalFormatting>
  <conditionalFormatting sqref="Q4 Q6 Q9 Q11 Q14 Q16 Q19 Q21">
    <cfRule type="expression" dxfId="2824" priority="1980">
      <formula>Q5&gt;0</formula>
    </cfRule>
    <cfRule type="expression" dxfId="2823" priority="1981">
      <formula>Q5&lt;0</formula>
    </cfRule>
  </conditionalFormatting>
  <conditionalFormatting sqref="Q5 Q7 Q10 Q12 Q15 Q17 Q20 Q22">
    <cfRule type="cellIs" dxfId="2822" priority="1982" operator="lessThan">
      <formula>0</formula>
    </cfRule>
    <cfRule type="cellIs" dxfId="2821" priority="1983" operator="greaterThan">
      <formula>0</formula>
    </cfRule>
  </conditionalFormatting>
  <conditionalFormatting sqref="E26:J26">
    <cfRule type="expression" dxfId="2820" priority="1979">
      <formula>OR(#REF!="sam.",#REF!="dim.")</formula>
    </cfRule>
  </conditionalFormatting>
  <conditionalFormatting sqref="E2:GX2 E24:GX24">
    <cfRule type="expression" dxfId="2819" priority="1939">
      <formula>E2="S"&amp;WEEKNUM(TODAY())</formula>
    </cfRule>
  </conditionalFormatting>
  <conditionalFormatting sqref="E29:J29">
    <cfRule type="cellIs" dxfId="2818" priority="1800" operator="equal">
      <formula>"-"</formula>
    </cfRule>
    <cfRule type="cellIs" dxfId="2817" priority="1809" operator="greaterThan">
      <formula>0</formula>
    </cfRule>
    <cfRule type="cellIs" dxfId="2816" priority="1810" operator="lessThan">
      <formula>0</formula>
    </cfRule>
  </conditionalFormatting>
  <conditionalFormatting sqref="L26:Q26">
    <cfRule type="expression" dxfId="2815" priority="1339">
      <formula>OR(#REF!="sam.",#REF!="dim.")</formula>
    </cfRule>
  </conditionalFormatting>
  <conditionalFormatting sqref="E32:J32">
    <cfRule type="cellIs" dxfId="2814" priority="1305" operator="equal">
      <formula>"-"</formula>
    </cfRule>
    <cfRule type="cellIs" dxfId="2813" priority="1306" operator="greaterThan">
      <formula>0</formula>
    </cfRule>
    <cfRule type="cellIs" dxfId="2812" priority="1307" operator="lessThan">
      <formula>0</formula>
    </cfRule>
  </conditionalFormatting>
  <conditionalFormatting sqref="E35:J35">
    <cfRule type="cellIs" dxfId="2811" priority="1302" operator="equal">
      <formula>"-"</formula>
    </cfRule>
    <cfRule type="cellIs" dxfId="2810" priority="1303" operator="greaterThan">
      <formula>0</formula>
    </cfRule>
    <cfRule type="cellIs" dxfId="2809" priority="1304" operator="lessThan">
      <formula>0</formula>
    </cfRule>
  </conditionalFormatting>
  <conditionalFormatting sqref="E38:J38">
    <cfRule type="cellIs" dxfId="2808" priority="1299" operator="equal">
      <formula>"-"</formula>
    </cfRule>
    <cfRule type="cellIs" dxfId="2807" priority="1300" operator="greaterThan">
      <formula>0</formula>
    </cfRule>
    <cfRule type="cellIs" dxfId="2806" priority="1301" operator="lessThan">
      <formula>0</formula>
    </cfRule>
  </conditionalFormatting>
  <conditionalFormatting sqref="E41:J41">
    <cfRule type="cellIs" dxfId="2805" priority="1296" operator="equal">
      <formula>"-"</formula>
    </cfRule>
    <cfRule type="cellIs" dxfId="2804" priority="1297" operator="greaterThan">
      <formula>0</formula>
    </cfRule>
    <cfRule type="cellIs" dxfId="2803" priority="1298" operator="lessThan">
      <formula>0</formula>
    </cfRule>
  </conditionalFormatting>
  <conditionalFormatting sqref="L29:Q29">
    <cfRule type="cellIs" dxfId="2802" priority="1293" operator="equal">
      <formula>"-"</formula>
    </cfRule>
    <cfRule type="cellIs" dxfId="2801" priority="1294" operator="greaterThan">
      <formula>0</formula>
    </cfRule>
    <cfRule type="cellIs" dxfId="2800" priority="1295" operator="lessThan">
      <formula>0</formula>
    </cfRule>
  </conditionalFormatting>
  <conditionalFormatting sqref="L32:Q32">
    <cfRule type="cellIs" dxfId="2799" priority="1290" operator="equal">
      <formula>"-"</formula>
    </cfRule>
    <cfRule type="cellIs" dxfId="2798" priority="1291" operator="greaterThan">
      <formula>0</formula>
    </cfRule>
    <cfRule type="cellIs" dxfId="2797" priority="1292" operator="lessThan">
      <formula>0</formula>
    </cfRule>
  </conditionalFormatting>
  <conditionalFormatting sqref="L35:Q35">
    <cfRule type="cellIs" dxfId="2796" priority="1287" operator="equal">
      <formula>"-"</formula>
    </cfRule>
    <cfRule type="cellIs" dxfId="2795" priority="1288" operator="greaterThan">
      <formula>0</formula>
    </cfRule>
    <cfRule type="cellIs" dxfId="2794" priority="1289" operator="lessThan">
      <formula>0</formula>
    </cfRule>
  </conditionalFormatting>
  <conditionalFormatting sqref="L38:Q38">
    <cfRule type="cellIs" dxfId="2793" priority="1284" operator="equal">
      <formula>"-"</formula>
    </cfRule>
    <cfRule type="cellIs" dxfId="2792" priority="1285" operator="greaterThan">
      <formula>0</formula>
    </cfRule>
    <cfRule type="cellIs" dxfId="2791" priority="1286" operator="lessThan">
      <formula>0</formula>
    </cfRule>
  </conditionalFormatting>
  <conditionalFormatting sqref="L41:Q41">
    <cfRule type="cellIs" dxfId="2790" priority="1281" operator="equal">
      <formula>"-"</formula>
    </cfRule>
    <cfRule type="cellIs" dxfId="2789" priority="1282" operator="greaterThan">
      <formula>0</formula>
    </cfRule>
    <cfRule type="cellIs" dxfId="2788" priority="1283" operator="lessThan">
      <formula>0</formula>
    </cfRule>
  </conditionalFormatting>
  <conditionalFormatting sqref="S26:X26">
    <cfRule type="expression" dxfId="2787" priority="1280">
      <formula>OR(#REF!="sam.",#REF!="dim.")</formula>
    </cfRule>
  </conditionalFormatting>
  <conditionalFormatting sqref="S29:W29">
    <cfRule type="cellIs" dxfId="2786" priority="1277" operator="equal">
      <formula>"-"</formula>
    </cfRule>
    <cfRule type="cellIs" dxfId="2785" priority="1278" operator="greaterThan">
      <formula>0</formula>
    </cfRule>
    <cfRule type="cellIs" dxfId="2784" priority="1279" operator="lessThan">
      <formula>0</formula>
    </cfRule>
  </conditionalFormatting>
  <conditionalFormatting sqref="S32:W32">
    <cfRule type="cellIs" dxfId="2783" priority="1274" operator="equal">
      <formula>"-"</formula>
    </cfRule>
    <cfRule type="cellIs" dxfId="2782" priority="1275" operator="greaterThan">
      <formula>0</formula>
    </cfRule>
    <cfRule type="cellIs" dxfId="2781" priority="1276" operator="lessThan">
      <formula>0</formula>
    </cfRule>
  </conditionalFormatting>
  <conditionalFormatting sqref="S35:W35">
    <cfRule type="cellIs" dxfId="2780" priority="1271" operator="equal">
      <formula>"-"</formula>
    </cfRule>
    <cfRule type="cellIs" dxfId="2779" priority="1272" operator="greaterThan">
      <formula>0</formula>
    </cfRule>
    <cfRule type="cellIs" dxfId="2778" priority="1273" operator="lessThan">
      <formula>0</formula>
    </cfRule>
  </conditionalFormatting>
  <conditionalFormatting sqref="S38:W38">
    <cfRule type="cellIs" dxfId="2777" priority="1268" operator="equal">
      <formula>"-"</formula>
    </cfRule>
    <cfRule type="cellIs" dxfId="2776" priority="1269" operator="greaterThan">
      <formula>0</formula>
    </cfRule>
    <cfRule type="cellIs" dxfId="2775" priority="1270" operator="lessThan">
      <formula>0</formula>
    </cfRule>
  </conditionalFormatting>
  <conditionalFormatting sqref="S41:W41">
    <cfRule type="cellIs" dxfId="2774" priority="1265" operator="equal">
      <formula>"-"</formula>
    </cfRule>
    <cfRule type="cellIs" dxfId="2773" priority="1266" operator="greaterThan">
      <formula>0</formula>
    </cfRule>
    <cfRule type="cellIs" dxfId="2772" priority="1267" operator="lessThan">
      <formula>0</formula>
    </cfRule>
  </conditionalFormatting>
  <conditionalFormatting sqref="Z26:AE26">
    <cfRule type="expression" dxfId="2771" priority="1264">
      <formula>OR(#REF!="sam.",#REF!="dim.")</formula>
    </cfRule>
  </conditionalFormatting>
  <conditionalFormatting sqref="Z29:AD29">
    <cfRule type="cellIs" dxfId="2770" priority="1261" operator="equal">
      <formula>"-"</formula>
    </cfRule>
    <cfRule type="cellIs" dxfId="2769" priority="1262" operator="greaterThan">
      <formula>0</formula>
    </cfRule>
    <cfRule type="cellIs" dxfId="2768" priority="1263" operator="lessThan">
      <formula>0</formula>
    </cfRule>
  </conditionalFormatting>
  <conditionalFormatting sqref="Z32:AD32">
    <cfRule type="cellIs" dxfId="2767" priority="1258" operator="equal">
      <formula>"-"</formula>
    </cfRule>
    <cfRule type="cellIs" dxfId="2766" priority="1259" operator="greaterThan">
      <formula>0</formula>
    </cfRule>
    <cfRule type="cellIs" dxfId="2765" priority="1260" operator="lessThan">
      <formula>0</formula>
    </cfRule>
  </conditionalFormatting>
  <conditionalFormatting sqref="Z35:AD35">
    <cfRule type="cellIs" dxfId="2764" priority="1255" operator="equal">
      <formula>"-"</formula>
    </cfRule>
    <cfRule type="cellIs" dxfId="2763" priority="1256" operator="greaterThan">
      <formula>0</formula>
    </cfRule>
    <cfRule type="cellIs" dxfId="2762" priority="1257" operator="lessThan">
      <formula>0</formula>
    </cfRule>
  </conditionalFormatting>
  <conditionalFormatting sqref="Z38:AD38">
    <cfRule type="cellIs" dxfId="2761" priority="1252" operator="equal">
      <formula>"-"</formula>
    </cfRule>
    <cfRule type="cellIs" dxfId="2760" priority="1253" operator="greaterThan">
      <formula>0</formula>
    </cfRule>
    <cfRule type="cellIs" dxfId="2759" priority="1254" operator="lessThan">
      <formula>0</formula>
    </cfRule>
  </conditionalFormatting>
  <conditionalFormatting sqref="Z41:AD41">
    <cfRule type="cellIs" dxfId="2758" priority="1249" operator="equal">
      <formula>"-"</formula>
    </cfRule>
    <cfRule type="cellIs" dxfId="2757" priority="1250" operator="greaterThan">
      <formula>0</formula>
    </cfRule>
    <cfRule type="cellIs" dxfId="2756" priority="1251" operator="lessThan">
      <formula>0</formula>
    </cfRule>
  </conditionalFormatting>
  <conditionalFormatting sqref="AG26:AL26">
    <cfRule type="expression" dxfId="2755" priority="1248">
      <formula>OR(#REF!="sam.",#REF!="dim.")</formula>
    </cfRule>
  </conditionalFormatting>
  <conditionalFormatting sqref="AG29:AK29">
    <cfRule type="cellIs" dxfId="2754" priority="1245" operator="equal">
      <formula>"-"</formula>
    </cfRule>
    <cfRule type="cellIs" dxfId="2753" priority="1246" operator="greaterThan">
      <formula>0</formula>
    </cfRule>
    <cfRule type="cellIs" dxfId="2752" priority="1247" operator="lessThan">
      <formula>0</formula>
    </cfRule>
  </conditionalFormatting>
  <conditionalFormatting sqref="AG32:AK32">
    <cfRule type="cellIs" dxfId="2751" priority="1242" operator="equal">
      <formula>"-"</formula>
    </cfRule>
    <cfRule type="cellIs" dxfId="2750" priority="1243" operator="greaterThan">
      <formula>0</formula>
    </cfRule>
    <cfRule type="cellIs" dxfId="2749" priority="1244" operator="lessThan">
      <formula>0</formula>
    </cfRule>
  </conditionalFormatting>
  <conditionalFormatting sqref="AG35:AK35">
    <cfRule type="cellIs" dxfId="2748" priority="1239" operator="equal">
      <formula>"-"</formula>
    </cfRule>
    <cfRule type="cellIs" dxfId="2747" priority="1240" operator="greaterThan">
      <formula>0</formula>
    </cfRule>
    <cfRule type="cellIs" dxfId="2746" priority="1241" operator="lessThan">
      <formula>0</formula>
    </cfRule>
  </conditionalFormatting>
  <conditionalFormatting sqref="AG38:AK38">
    <cfRule type="cellIs" dxfId="2745" priority="1236" operator="equal">
      <formula>"-"</formula>
    </cfRule>
    <cfRule type="cellIs" dxfId="2744" priority="1237" operator="greaterThan">
      <formula>0</formula>
    </cfRule>
    <cfRule type="cellIs" dxfId="2743" priority="1238" operator="lessThan">
      <formula>0</formula>
    </cfRule>
  </conditionalFormatting>
  <conditionalFormatting sqref="AG41:AK41">
    <cfRule type="cellIs" dxfId="2742" priority="1233" operator="equal">
      <formula>"-"</formula>
    </cfRule>
    <cfRule type="cellIs" dxfId="2741" priority="1234" operator="greaterThan">
      <formula>0</formula>
    </cfRule>
    <cfRule type="cellIs" dxfId="2740" priority="1235" operator="lessThan">
      <formula>0</formula>
    </cfRule>
  </conditionalFormatting>
  <conditionalFormatting sqref="AN26:AS26">
    <cfRule type="expression" dxfId="2739" priority="1232">
      <formula>OR(#REF!="sam.",#REF!="dim.")</formula>
    </cfRule>
  </conditionalFormatting>
  <conditionalFormatting sqref="AN29:AR29">
    <cfRule type="cellIs" dxfId="2738" priority="1229" operator="equal">
      <formula>"-"</formula>
    </cfRule>
    <cfRule type="cellIs" dxfId="2737" priority="1230" operator="greaterThan">
      <formula>0</formula>
    </cfRule>
    <cfRule type="cellIs" dxfId="2736" priority="1231" operator="lessThan">
      <formula>0</formula>
    </cfRule>
  </conditionalFormatting>
  <conditionalFormatting sqref="AN32:AR32">
    <cfRule type="cellIs" dxfId="2735" priority="1226" operator="equal">
      <formula>"-"</formula>
    </cfRule>
    <cfRule type="cellIs" dxfId="2734" priority="1227" operator="greaterThan">
      <formula>0</formula>
    </cfRule>
    <cfRule type="cellIs" dxfId="2733" priority="1228" operator="lessThan">
      <formula>0</formula>
    </cfRule>
  </conditionalFormatting>
  <conditionalFormatting sqref="AN35:AR35">
    <cfRule type="cellIs" dxfId="2732" priority="1223" operator="equal">
      <formula>"-"</formula>
    </cfRule>
    <cfRule type="cellIs" dxfId="2731" priority="1224" operator="greaterThan">
      <formula>0</formula>
    </cfRule>
    <cfRule type="cellIs" dxfId="2730" priority="1225" operator="lessThan">
      <formula>0</formula>
    </cfRule>
  </conditionalFormatting>
  <conditionalFormatting sqref="AN38:AR38">
    <cfRule type="cellIs" dxfId="2729" priority="1220" operator="equal">
      <formula>"-"</formula>
    </cfRule>
    <cfRule type="cellIs" dxfId="2728" priority="1221" operator="greaterThan">
      <formula>0</formula>
    </cfRule>
    <cfRule type="cellIs" dxfId="2727" priority="1222" operator="lessThan">
      <formula>0</formula>
    </cfRule>
  </conditionalFormatting>
  <conditionalFormatting sqref="AN41:AR41">
    <cfRule type="cellIs" dxfId="2726" priority="1217" operator="equal">
      <formula>"-"</formula>
    </cfRule>
    <cfRule type="cellIs" dxfId="2725" priority="1218" operator="greaterThan">
      <formula>0</formula>
    </cfRule>
    <cfRule type="cellIs" dxfId="2724" priority="1219" operator="lessThan">
      <formula>0</formula>
    </cfRule>
  </conditionalFormatting>
  <conditionalFormatting sqref="AU26:AZ26">
    <cfRule type="expression" dxfId="2723" priority="1216">
      <formula>OR(#REF!="sam.",#REF!="dim.")</formula>
    </cfRule>
  </conditionalFormatting>
  <conditionalFormatting sqref="AU29:AY29">
    <cfRule type="cellIs" dxfId="2722" priority="1213" operator="equal">
      <formula>"-"</formula>
    </cfRule>
    <cfRule type="cellIs" dxfId="2721" priority="1214" operator="greaterThan">
      <formula>0</formula>
    </cfRule>
    <cfRule type="cellIs" dxfId="2720" priority="1215" operator="lessThan">
      <formula>0</formula>
    </cfRule>
  </conditionalFormatting>
  <conditionalFormatting sqref="AU32:AY32">
    <cfRule type="cellIs" dxfId="2719" priority="1210" operator="equal">
      <formula>"-"</formula>
    </cfRule>
    <cfRule type="cellIs" dxfId="2718" priority="1211" operator="greaterThan">
      <formula>0</formula>
    </cfRule>
    <cfRule type="cellIs" dxfId="2717" priority="1212" operator="lessThan">
      <formula>0</formula>
    </cfRule>
  </conditionalFormatting>
  <conditionalFormatting sqref="AU35:AY35">
    <cfRule type="cellIs" dxfId="2716" priority="1207" operator="equal">
      <formula>"-"</formula>
    </cfRule>
    <cfRule type="cellIs" dxfId="2715" priority="1208" operator="greaterThan">
      <formula>0</formula>
    </cfRule>
    <cfRule type="cellIs" dxfId="2714" priority="1209" operator="lessThan">
      <formula>0</formula>
    </cfRule>
  </conditionalFormatting>
  <conditionalFormatting sqref="AU38:AY38">
    <cfRule type="cellIs" dxfId="2713" priority="1204" operator="equal">
      <formula>"-"</formula>
    </cfRule>
    <cfRule type="cellIs" dxfId="2712" priority="1205" operator="greaterThan">
      <formula>0</formula>
    </cfRule>
    <cfRule type="cellIs" dxfId="2711" priority="1206" operator="lessThan">
      <formula>0</formula>
    </cfRule>
  </conditionalFormatting>
  <conditionalFormatting sqref="AU41:AY41">
    <cfRule type="cellIs" dxfId="2710" priority="1201" operator="equal">
      <formula>"-"</formula>
    </cfRule>
    <cfRule type="cellIs" dxfId="2709" priority="1202" operator="greaterThan">
      <formula>0</formula>
    </cfRule>
    <cfRule type="cellIs" dxfId="2708" priority="1203" operator="lessThan">
      <formula>0</formula>
    </cfRule>
  </conditionalFormatting>
  <conditionalFormatting sqref="BB26:BG26">
    <cfRule type="expression" dxfId="2707" priority="1200">
      <formula>OR(#REF!="sam.",#REF!="dim.")</formula>
    </cfRule>
  </conditionalFormatting>
  <conditionalFormatting sqref="BB29:BF29">
    <cfRule type="cellIs" dxfId="2706" priority="1197" operator="equal">
      <formula>"-"</formula>
    </cfRule>
    <cfRule type="cellIs" dxfId="2705" priority="1198" operator="greaterThan">
      <formula>0</formula>
    </cfRule>
    <cfRule type="cellIs" dxfId="2704" priority="1199" operator="lessThan">
      <formula>0</formula>
    </cfRule>
  </conditionalFormatting>
  <conditionalFormatting sqref="BB32:BF32">
    <cfRule type="cellIs" dxfId="2703" priority="1194" operator="equal">
      <formula>"-"</formula>
    </cfRule>
    <cfRule type="cellIs" dxfId="2702" priority="1195" operator="greaterThan">
      <formula>0</formula>
    </cfRule>
    <cfRule type="cellIs" dxfId="2701" priority="1196" operator="lessThan">
      <formula>0</formula>
    </cfRule>
  </conditionalFormatting>
  <conditionalFormatting sqref="BB35:BF35">
    <cfRule type="cellIs" dxfId="2700" priority="1191" operator="equal">
      <formula>"-"</formula>
    </cfRule>
    <cfRule type="cellIs" dxfId="2699" priority="1192" operator="greaterThan">
      <formula>0</formula>
    </cfRule>
    <cfRule type="cellIs" dxfId="2698" priority="1193" operator="lessThan">
      <formula>0</formula>
    </cfRule>
  </conditionalFormatting>
  <conditionalFormatting sqref="BB38:BF38">
    <cfRule type="cellIs" dxfId="2697" priority="1188" operator="equal">
      <formula>"-"</formula>
    </cfRule>
    <cfRule type="cellIs" dxfId="2696" priority="1189" operator="greaterThan">
      <formula>0</formula>
    </cfRule>
    <cfRule type="cellIs" dxfId="2695" priority="1190" operator="lessThan">
      <formula>0</formula>
    </cfRule>
  </conditionalFormatting>
  <conditionalFormatting sqref="BB41:BF41">
    <cfRule type="cellIs" dxfId="2694" priority="1185" operator="equal">
      <formula>"-"</formula>
    </cfRule>
    <cfRule type="cellIs" dxfId="2693" priority="1186" operator="greaterThan">
      <formula>0</formula>
    </cfRule>
    <cfRule type="cellIs" dxfId="2692" priority="1187" operator="lessThan">
      <formula>0</formula>
    </cfRule>
  </conditionalFormatting>
  <conditionalFormatting sqref="BI26:BN26">
    <cfRule type="expression" dxfId="2691" priority="1184">
      <formula>OR(#REF!="sam.",#REF!="dim.")</formula>
    </cfRule>
  </conditionalFormatting>
  <conditionalFormatting sqref="BI29:BM29">
    <cfRule type="cellIs" dxfId="2690" priority="1181" operator="equal">
      <formula>"-"</formula>
    </cfRule>
    <cfRule type="cellIs" dxfId="2689" priority="1182" operator="greaterThan">
      <formula>0</formula>
    </cfRule>
    <cfRule type="cellIs" dxfId="2688" priority="1183" operator="lessThan">
      <formula>0</formula>
    </cfRule>
  </conditionalFormatting>
  <conditionalFormatting sqref="BI32:BM32">
    <cfRule type="cellIs" dxfId="2687" priority="1178" operator="equal">
      <formula>"-"</formula>
    </cfRule>
    <cfRule type="cellIs" dxfId="2686" priority="1179" operator="greaterThan">
      <formula>0</formula>
    </cfRule>
    <cfRule type="cellIs" dxfId="2685" priority="1180" operator="lessThan">
      <formula>0</formula>
    </cfRule>
  </conditionalFormatting>
  <conditionalFormatting sqref="BI35:BM35">
    <cfRule type="cellIs" dxfId="2684" priority="1175" operator="equal">
      <formula>"-"</formula>
    </cfRule>
    <cfRule type="cellIs" dxfId="2683" priority="1176" operator="greaterThan">
      <formula>0</formula>
    </cfRule>
    <cfRule type="cellIs" dxfId="2682" priority="1177" operator="lessThan">
      <formula>0</formula>
    </cfRule>
  </conditionalFormatting>
  <conditionalFormatting sqref="BI38:BM38">
    <cfRule type="cellIs" dxfId="2681" priority="1172" operator="equal">
      <formula>"-"</formula>
    </cfRule>
    <cfRule type="cellIs" dxfId="2680" priority="1173" operator="greaterThan">
      <formula>0</formula>
    </cfRule>
    <cfRule type="cellIs" dxfId="2679" priority="1174" operator="lessThan">
      <formula>0</formula>
    </cfRule>
  </conditionalFormatting>
  <conditionalFormatting sqref="BI41:BM41">
    <cfRule type="cellIs" dxfId="2678" priority="1169" operator="equal">
      <formula>"-"</formula>
    </cfRule>
    <cfRule type="cellIs" dxfId="2677" priority="1170" operator="greaterThan">
      <formula>0</formula>
    </cfRule>
    <cfRule type="cellIs" dxfId="2676" priority="1171" operator="lessThan">
      <formula>0</formula>
    </cfRule>
  </conditionalFormatting>
  <conditionalFormatting sqref="BP26:BU26">
    <cfRule type="expression" dxfId="2675" priority="1168">
      <formula>OR(#REF!="sam.",#REF!="dim.")</formula>
    </cfRule>
  </conditionalFormatting>
  <conditionalFormatting sqref="BP29:BT29">
    <cfRule type="cellIs" dxfId="2674" priority="1165" operator="equal">
      <formula>"-"</formula>
    </cfRule>
    <cfRule type="cellIs" dxfId="2673" priority="1166" operator="greaterThan">
      <formula>0</formula>
    </cfRule>
    <cfRule type="cellIs" dxfId="2672" priority="1167" operator="lessThan">
      <formula>0</formula>
    </cfRule>
  </conditionalFormatting>
  <conditionalFormatting sqref="BP32:BT32">
    <cfRule type="cellIs" dxfId="2671" priority="1162" operator="equal">
      <formula>"-"</formula>
    </cfRule>
    <cfRule type="cellIs" dxfId="2670" priority="1163" operator="greaterThan">
      <formula>0</formula>
    </cfRule>
    <cfRule type="cellIs" dxfId="2669" priority="1164" operator="lessThan">
      <formula>0</formula>
    </cfRule>
  </conditionalFormatting>
  <conditionalFormatting sqref="BP35:BT35">
    <cfRule type="cellIs" dxfId="2668" priority="1159" operator="equal">
      <formula>"-"</formula>
    </cfRule>
    <cfRule type="cellIs" dxfId="2667" priority="1160" operator="greaterThan">
      <formula>0</formula>
    </cfRule>
    <cfRule type="cellIs" dxfId="2666" priority="1161" operator="lessThan">
      <formula>0</formula>
    </cfRule>
  </conditionalFormatting>
  <conditionalFormatting sqref="BP38:BT38">
    <cfRule type="cellIs" dxfId="2665" priority="1156" operator="equal">
      <formula>"-"</formula>
    </cfRule>
    <cfRule type="cellIs" dxfId="2664" priority="1157" operator="greaterThan">
      <formula>0</formula>
    </cfRule>
    <cfRule type="cellIs" dxfId="2663" priority="1158" operator="lessThan">
      <formula>0</formula>
    </cfRule>
  </conditionalFormatting>
  <conditionalFormatting sqref="BP41:BT41">
    <cfRule type="cellIs" dxfId="2662" priority="1153" operator="equal">
      <formula>"-"</formula>
    </cfRule>
    <cfRule type="cellIs" dxfId="2661" priority="1154" operator="greaterThan">
      <formula>0</formula>
    </cfRule>
    <cfRule type="cellIs" dxfId="2660" priority="1155" operator="lessThan">
      <formula>0</formula>
    </cfRule>
  </conditionalFormatting>
  <conditionalFormatting sqref="BW26:CB26">
    <cfRule type="expression" dxfId="2659" priority="1152">
      <formula>OR(#REF!="sam.",#REF!="dim.")</formula>
    </cfRule>
  </conditionalFormatting>
  <conditionalFormatting sqref="BW29:CA29">
    <cfRule type="cellIs" dxfId="2658" priority="1149" operator="equal">
      <formula>"-"</formula>
    </cfRule>
    <cfRule type="cellIs" dxfId="2657" priority="1150" operator="greaterThan">
      <formula>0</formula>
    </cfRule>
    <cfRule type="cellIs" dxfId="2656" priority="1151" operator="lessThan">
      <formula>0</formula>
    </cfRule>
  </conditionalFormatting>
  <conditionalFormatting sqref="BW32:CA32">
    <cfRule type="cellIs" dxfId="2655" priority="1146" operator="equal">
      <formula>"-"</formula>
    </cfRule>
    <cfRule type="cellIs" dxfId="2654" priority="1147" operator="greaterThan">
      <formula>0</formula>
    </cfRule>
    <cfRule type="cellIs" dxfId="2653" priority="1148" operator="lessThan">
      <formula>0</formula>
    </cfRule>
  </conditionalFormatting>
  <conditionalFormatting sqref="BW35:CA35">
    <cfRule type="cellIs" dxfId="2652" priority="1143" operator="equal">
      <formula>"-"</formula>
    </cfRule>
    <cfRule type="cellIs" dxfId="2651" priority="1144" operator="greaterThan">
      <formula>0</formula>
    </cfRule>
    <cfRule type="cellIs" dxfId="2650" priority="1145" operator="lessThan">
      <formula>0</formula>
    </cfRule>
  </conditionalFormatting>
  <conditionalFormatting sqref="BW38:CA38">
    <cfRule type="cellIs" dxfId="2649" priority="1140" operator="equal">
      <formula>"-"</formula>
    </cfRule>
    <cfRule type="cellIs" dxfId="2648" priority="1141" operator="greaterThan">
      <formula>0</formula>
    </cfRule>
    <cfRule type="cellIs" dxfId="2647" priority="1142" operator="lessThan">
      <formula>0</formula>
    </cfRule>
  </conditionalFormatting>
  <conditionalFormatting sqref="BW41:CA41">
    <cfRule type="cellIs" dxfId="2646" priority="1137" operator="equal">
      <formula>"-"</formula>
    </cfRule>
    <cfRule type="cellIs" dxfId="2645" priority="1138" operator="greaterThan">
      <formula>0</formula>
    </cfRule>
    <cfRule type="cellIs" dxfId="2644" priority="1139" operator="lessThan">
      <formula>0</formula>
    </cfRule>
  </conditionalFormatting>
  <conditionalFormatting sqref="CD26:CI26">
    <cfRule type="expression" dxfId="2643" priority="1136">
      <formula>OR(#REF!="sam.",#REF!="dim.")</formula>
    </cfRule>
  </conditionalFormatting>
  <conditionalFormatting sqref="CD29:CH29">
    <cfRule type="cellIs" dxfId="2642" priority="1133" operator="equal">
      <formula>"-"</formula>
    </cfRule>
    <cfRule type="cellIs" dxfId="2641" priority="1134" operator="greaterThan">
      <formula>0</formula>
    </cfRule>
    <cfRule type="cellIs" dxfId="2640" priority="1135" operator="lessThan">
      <formula>0</formula>
    </cfRule>
  </conditionalFormatting>
  <conditionalFormatting sqref="CD32:CH32">
    <cfRule type="cellIs" dxfId="2639" priority="1130" operator="equal">
      <formula>"-"</formula>
    </cfRule>
    <cfRule type="cellIs" dxfId="2638" priority="1131" operator="greaterThan">
      <formula>0</formula>
    </cfRule>
    <cfRule type="cellIs" dxfId="2637" priority="1132" operator="lessThan">
      <formula>0</formula>
    </cfRule>
  </conditionalFormatting>
  <conditionalFormatting sqref="CD35:CH35">
    <cfRule type="cellIs" dxfId="2636" priority="1127" operator="equal">
      <formula>"-"</formula>
    </cfRule>
    <cfRule type="cellIs" dxfId="2635" priority="1128" operator="greaterThan">
      <formula>0</formula>
    </cfRule>
    <cfRule type="cellIs" dxfId="2634" priority="1129" operator="lessThan">
      <formula>0</formula>
    </cfRule>
  </conditionalFormatting>
  <conditionalFormatting sqref="CD38:CH38">
    <cfRule type="cellIs" dxfId="2633" priority="1124" operator="equal">
      <formula>"-"</formula>
    </cfRule>
    <cfRule type="cellIs" dxfId="2632" priority="1125" operator="greaterThan">
      <formula>0</formula>
    </cfRule>
    <cfRule type="cellIs" dxfId="2631" priority="1126" operator="lessThan">
      <formula>0</formula>
    </cfRule>
  </conditionalFormatting>
  <conditionalFormatting sqref="CD41:CH41">
    <cfRule type="cellIs" dxfId="2630" priority="1121" operator="equal">
      <formula>"-"</formula>
    </cfRule>
    <cfRule type="cellIs" dxfId="2629" priority="1122" operator="greaterThan">
      <formula>0</formula>
    </cfRule>
    <cfRule type="cellIs" dxfId="2628" priority="1123" operator="lessThan">
      <formula>0</formula>
    </cfRule>
  </conditionalFormatting>
  <conditionalFormatting sqref="CK26:CP26">
    <cfRule type="expression" dxfId="2627" priority="1120">
      <formula>OR(#REF!="sam.",#REF!="dim.")</formula>
    </cfRule>
  </conditionalFormatting>
  <conditionalFormatting sqref="CK29:CO29">
    <cfRule type="cellIs" dxfId="2626" priority="1117" operator="equal">
      <formula>"-"</formula>
    </cfRule>
    <cfRule type="cellIs" dxfId="2625" priority="1118" operator="greaterThan">
      <formula>0</formula>
    </cfRule>
    <cfRule type="cellIs" dxfId="2624" priority="1119" operator="lessThan">
      <formula>0</formula>
    </cfRule>
  </conditionalFormatting>
  <conditionalFormatting sqref="CK32:CO32">
    <cfRule type="cellIs" dxfId="2623" priority="1114" operator="equal">
      <formula>"-"</formula>
    </cfRule>
    <cfRule type="cellIs" dxfId="2622" priority="1115" operator="greaterThan">
      <formula>0</formula>
    </cfRule>
    <cfRule type="cellIs" dxfId="2621" priority="1116" operator="lessThan">
      <formula>0</formula>
    </cfRule>
  </conditionalFormatting>
  <conditionalFormatting sqref="CK35:CO35">
    <cfRule type="cellIs" dxfId="2620" priority="1111" operator="equal">
      <formula>"-"</formula>
    </cfRule>
    <cfRule type="cellIs" dxfId="2619" priority="1112" operator="greaterThan">
      <formula>0</formula>
    </cfRule>
    <cfRule type="cellIs" dxfId="2618" priority="1113" operator="lessThan">
      <formula>0</formula>
    </cfRule>
  </conditionalFormatting>
  <conditionalFormatting sqref="CK38:CO38">
    <cfRule type="cellIs" dxfId="2617" priority="1108" operator="equal">
      <formula>"-"</formula>
    </cfRule>
    <cfRule type="cellIs" dxfId="2616" priority="1109" operator="greaterThan">
      <formula>0</formula>
    </cfRule>
    <cfRule type="cellIs" dxfId="2615" priority="1110" operator="lessThan">
      <formula>0</formula>
    </cfRule>
  </conditionalFormatting>
  <conditionalFormatting sqref="CK41:CO41">
    <cfRule type="cellIs" dxfId="2614" priority="1105" operator="equal">
      <formula>"-"</formula>
    </cfRule>
    <cfRule type="cellIs" dxfId="2613" priority="1106" operator="greaterThan">
      <formula>0</formula>
    </cfRule>
    <cfRule type="cellIs" dxfId="2612" priority="1107" operator="lessThan">
      <formula>0</formula>
    </cfRule>
  </conditionalFormatting>
  <conditionalFormatting sqref="CR26:CW26">
    <cfRule type="expression" dxfId="2611" priority="1104">
      <formula>OR(#REF!="sam.",#REF!="dim.")</formula>
    </cfRule>
  </conditionalFormatting>
  <conditionalFormatting sqref="CR29:CV29">
    <cfRule type="cellIs" dxfId="2610" priority="1101" operator="equal">
      <formula>"-"</formula>
    </cfRule>
    <cfRule type="cellIs" dxfId="2609" priority="1102" operator="greaterThan">
      <formula>0</formula>
    </cfRule>
    <cfRule type="cellIs" dxfId="2608" priority="1103" operator="lessThan">
      <formula>0</formula>
    </cfRule>
  </conditionalFormatting>
  <conditionalFormatting sqref="CR32:CV32">
    <cfRule type="cellIs" dxfId="2607" priority="1098" operator="equal">
      <formula>"-"</formula>
    </cfRule>
    <cfRule type="cellIs" dxfId="2606" priority="1099" operator="greaterThan">
      <formula>0</formula>
    </cfRule>
    <cfRule type="cellIs" dxfId="2605" priority="1100" operator="lessThan">
      <formula>0</formula>
    </cfRule>
  </conditionalFormatting>
  <conditionalFormatting sqref="CR35:CV35">
    <cfRule type="cellIs" dxfId="2604" priority="1095" operator="equal">
      <formula>"-"</formula>
    </cfRule>
    <cfRule type="cellIs" dxfId="2603" priority="1096" operator="greaterThan">
      <formula>0</formula>
    </cfRule>
    <cfRule type="cellIs" dxfId="2602" priority="1097" operator="lessThan">
      <formula>0</formula>
    </cfRule>
  </conditionalFormatting>
  <conditionalFormatting sqref="CR38:CV38">
    <cfRule type="cellIs" dxfId="2601" priority="1092" operator="equal">
      <formula>"-"</formula>
    </cfRule>
    <cfRule type="cellIs" dxfId="2600" priority="1093" operator="greaterThan">
      <formula>0</formula>
    </cfRule>
    <cfRule type="cellIs" dxfId="2599" priority="1094" operator="lessThan">
      <formula>0</formula>
    </cfRule>
  </conditionalFormatting>
  <conditionalFormatting sqref="CR41:CV41">
    <cfRule type="cellIs" dxfId="2598" priority="1089" operator="equal">
      <formula>"-"</formula>
    </cfRule>
    <cfRule type="cellIs" dxfId="2597" priority="1090" operator="greaterThan">
      <formula>0</formula>
    </cfRule>
    <cfRule type="cellIs" dxfId="2596" priority="1091" operator="lessThan">
      <formula>0</formula>
    </cfRule>
  </conditionalFormatting>
  <conditionalFormatting sqref="CY26:DD26">
    <cfRule type="expression" dxfId="2595" priority="1088">
      <formula>OR(#REF!="sam.",#REF!="dim.")</formula>
    </cfRule>
  </conditionalFormatting>
  <conditionalFormatting sqref="CY29:DC29">
    <cfRule type="cellIs" dxfId="2594" priority="1085" operator="equal">
      <formula>"-"</formula>
    </cfRule>
    <cfRule type="cellIs" dxfId="2593" priority="1086" operator="greaterThan">
      <formula>0</formula>
    </cfRule>
    <cfRule type="cellIs" dxfId="2592" priority="1087" operator="lessThan">
      <formula>0</formula>
    </cfRule>
  </conditionalFormatting>
  <conditionalFormatting sqref="CY32:DC32">
    <cfRule type="cellIs" dxfId="2591" priority="1082" operator="equal">
      <formula>"-"</formula>
    </cfRule>
    <cfRule type="cellIs" dxfId="2590" priority="1083" operator="greaterThan">
      <formula>0</formula>
    </cfRule>
    <cfRule type="cellIs" dxfId="2589" priority="1084" operator="lessThan">
      <formula>0</formula>
    </cfRule>
  </conditionalFormatting>
  <conditionalFormatting sqref="CY35:DC35">
    <cfRule type="cellIs" dxfId="2588" priority="1079" operator="equal">
      <formula>"-"</formula>
    </cfRule>
    <cfRule type="cellIs" dxfId="2587" priority="1080" operator="greaterThan">
      <formula>0</formula>
    </cfRule>
    <cfRule type="cellIs" dxfId="2586" priority="1081" operator="lessThan">
      <formula>0</formula>
    </cfRule>
  </conditionalFormatting>
  <conditionalFormatting sqref="CY38:DC38">
    <cfRule type="cellIs" dxfId="2585" priority="1076" operator="equal">
      <formula>"-"</formula>
    </cfRule>
    <cfRule type="cellIs" dxfId="2584" priority="1077" operator="greaterThan">
      <formula>0</formula>
    </cfRule>
    <cfRule type="cellIs" dxfId="2583" priority="1078" operator="lessThan">
      <formula>0</formula>
    </cfRule>
  </conditionalFormatting>
  <conditionalFormatting sqref="CY41:DC41">
    <cfRule type="cellIs" dxfId="2582" priority="1073" operator="equal">
      <formula>"-"</formula>
    </cfRule>
    <cfRule type="cellIs" dxfId="2581" priority="1074" operator="greaterThan">
      <formula>0</formula>
    </cfRule>
    <cfRule type="cellIs" dxfId="2580" priority="1075" operator="lessThan">
      <formula>0</formula>
    </cfRule>
  </conditionalFormatting>
  <conditionalFormatting sqref="DF26:DK26">
    <cfRule type="expression" dxfId="2579" priority="1072">
      <formula>OR(#REF!="sam.",#REF!="dim.")</formula>
    </cfRule>
  </conditionalFormatting>
  <conditionalFormatting sqref="DF29:DJ29">
    <cfRule type="cellIs" dxfId="2578" priority="1069" operator="equal">
      <formula>"-"</formula>
    </cfRule>
    <cfRule type="cellIs" dxfId="2577" priority="1070" operator="greaterThan">
      <formula>0</formula>
    </cfRule>
    <cfRule type="cellIs" dxfId="2576" priority="1071" operator="lessThan">
      <formula>0</formula>
    </cfRule>
  </conditionalFormatting>
  <conditionalFormatting sqref="DF32:DJ32">
    <cfRule type="cellIs" dxfId="2575" priority="1066" operator="equal">
      <formula>"-"</formula>
    </cfRule>
    <cfRule type="cellIs" dxfId="2574" priority="1067" operator="greaterThan">
      <formula>0</formula>
    </cfRule>
    <cfRule type="cellIs" dxfId="2573" priority="1068" operator="lessThan">
      <formula>0</formula>
    </cfRule>
  </conditionalFormatting>
  <conditionalFormatting sqref="DF35:DJ35">
    <cfRule type="cellIs" dxfId="2572" priority="1063" operator="equal">
      <formula>"-"</formula>
    </cfRule>
    <cfRule type="cellIs" dxfId="2571" priority="1064" operator="greaterThan">
      <formula>0</formula>
    </cfRule>
    <cfRule type="cellIs" dxfId="2570" priority="1065" operator="lessThan">
      <formula>0</formula>
    </cfRule>
  </conditionalFormatting>
  <conditionalFormatting sqref="DF38:DJ38">
    <cfRule type="cellIs" dxfId="2569" priority="1060" operator="equal">
      <formula>"-"</formula>
    </cfRule>
    <cfRule type="cellIs" dxfId="2568" priority="1061" operator="greaterThan">
      <formula>0</formula>
    </cfRule>
    <cfRule type="cellIs" dxfId="2567" priority="1062" operator="lessThan">
      <formula>0</formula>
    </cfRule>
  </conditionalFormatting>
  <conditionalFormatting sqref="DF41:DJ41">
    <cfRule type="cellIs" dxfId="2566" priority="1057" operator="equal">
      <formula>"-"</formula>
    </cfRule>
    <cfRule type="cellIs" dxfId="2565" priority="1058" operator="greaterThan">
      <formula>0</formula>
    </cfRule>
    <cfRule type="cellIs" dxfId="2564" priority="1059" operator="lessThan">
      <formula>0</formula>
    </cfRule>
  </conditionalFormatting>
  <conditionalFormatting sqref="DM26:DR26">
    <cfRule type="expression" dxfId="2563" priority="1056">
      <formula>OR(#REF!="sam.",#REF!="dim.")</formula>
    </cfRule>
  </conditionalFormatting>
  <conditionalFormatting sqref="DM29:DQ29">
    <cfRule type="cellIs" dxfId="2562" priority="1053" operator="equal">
      <formula>"-"</formula>
    </cfRule>
    <cfRule type="cellIs" dxfId="2561" priority="1054" operator="greaterThan">
      <formula>0</formula>
    </cfRule>
    <cfRule type="cellIs" dxfId="2560" priority="1055" operator="lessThan">
      <formula>0</formula>
    </cfRule>
  </conditionalFormatting>
  <conditionalFormatting sqref="DM32:DQ32">
    <cfRule type="cellIs" dxfId="2559" priority="1050" operator="equal">
      <formula>"-"</formula>
    </cfRule>
    <cfRule type="cellIs" dxfId="2558" priority="1051" operator="greaterThan">
      <formula>0</formula>
    </cfRule>
    <cfRule type="cellIs" dxfId="2557" priority="1052" operator="lessThan">
      <formula>0</formula>
    </cfRule>
  </conditionalFormatting>
  <conditionalFormatting sqref="DM35:DQ35">
    <cfRule type="cellIs" dxfId="2556" priority="1047" operator="equal">
      <formula>"-"</formula>
    </cfRule>
    <cfRule type="cellIs" dxfId="2555" priority="1048" operator="greaterThan">
      <formula>0</formula>
    </cfRule>
    <cfRule type="cellIs" dxfId="2554" priority="1049" operator="lessThan">
      <formula>0</formula>
    </cfRule>
  </conditionalFormatting>
  <conditionalFormatting sqref="DM38:DQ38">
    <cfRule type="cellIs" dxfId="2553" priority="1044" operator="equal">
      <formula>"-"</formula>
    </cfRule>
    <cfRule type="cellIs" dxfId="2552" priority="1045" operator="greaterThan">
      <formula>0</formula>
    </cfRule>
    <cfRule type="cellIs" dxfId="2551" priority="1046" operator="lessThan">
      <formula>0</formula>
    </cfRule>
  </conditionalFormatting>
  <conditionalFormatting sqref="DM41:DQ41">
    <cfRule type="cellIs" dxfId="2550" priority="1041" operator="equal">
      <formula>"-"</formula>
    </cfRule>
    <cfRule type="cellIs" dxfId="2549" priority="1042" operator="greaterThan">
      <formula>0</formula>
    </cfRule>
    <cfRule type="cellIs" dxfId="2548" priority="1043" operator="lessThan">
      <formula>0</formula>
    </cfRule>
  </conditionalFormatting>
  <conditionalFormatting sqref="DT26:DY26">
    <cfRule type="expression" dxfId="2547" priority="1040">
      <formula>OR(#REF!="sam.",#REF!="dim.")</formula>
    </cfRule>
  </conditionalFormatting>
  <conditionalFormatting sqref="DT29:DX29">
    <cfRule type="cellIs" dxfId="2546" priority="1037" operator="equal">
      <formula>"-"</formula>
    </cfRule>
    <cfRule type="cellIs" dxfId="2545" priority="1038" operator="greaterThan">
      <formula>0</formula>
    </cfRule>
    <cfRule type="cellIs" dxfId="2544" priority="1039" operator="lessThan">
      <formula>0</formula>
    </cfRule>
  </conditionalFormatting>
  <conditionalFormatting sqref="DT32:DX32">
    <cfRule type="cellIs" dxfId="2543" priority="1034" operator="equal">
      <formula>"-"</formula>
    </cfRule>
    <cfRule type="cellIs" dxfId="2542" priority="1035" operator="greaterThan">
      <formula>0</formula>
    </cfRule>
    <cfRule type="cellIs" dxfId="2541" priority="1036" operator="lessThan">
      <formula>0</formula>
    </cfRule>
  </conditionalFormatting>
  <conditionalFormatting sqref="DT35:DX35">
    <cfRule type="cellIs" dxfId="2540" priority="1031" operator="equal">
      <formula>"-"</formula>
    </cfRule>
    <cfRule type="cellIs" dxfId="2539" priority="1032" operator="greaterThan">
      <formula>0</formula>
    </cfRule>
    <cfRule type="cellIs" dxfId="2538" priority="1033" operator="lessThan">
      <formula>0</formula>
    </cfRule>
  </conditionalFormatting>
  <conditionalFormatting sqref="DT38:DX38">
    <cfRule type="cellIs" dxfId="2537" priority="1028" operator="equal">
      <formula>"-"</formula>
    </cfRule>
    <cfRule type="cellIs" dxfId="2536" priority="1029" operator="greaterThan">
      <formula>0</formula>
    </cfRule>
    <cfRule type="cellIs" dxfId="2535" priority="1030" operator="lessThan">
      <formula>0</formula>
    </cfRule>
  </conditionalFormatting>
  <conditionalFormatting sqref="DT41:DX41">
    <cfRule type="cellIs" dxfId="2534" priority="1025" operator="equal">
      <formula>"-"</formula>
    </cfRule>
    <cfRule type="cellIs" dxfId="2533" priority="1026" operator="greaterThan">
      <formula>0</formula>
    </cfRule>
    <cfRule type="cellIs" dxfId="2532" priority="1027" operator="lessThan">
      <formula>0</formula>
    </cfRule>
  </conditionalFormatting>
  <conditionalFormatting sqref="EA26:EF26">
    <cfRule type="expression" dxfId="2531" priority="1024">
      <formula>OR(#REF!="sam.",#REF!="dim.")</formula>
    </cfRule>
  </conditionalFormatting>
  <conditionalFormatting sqref="EA29:EE29">
    <cfRule type="cellIs" dxfId="2530" priority="1021" operator="equal">
      <formula>"-"</formula>
    </cfRule>
    <cfRule type="cellIs" dxfId="2529" priority="1022" operator="greaterThan">
      <formula>0</formula>
    </cfRule>
    <cfRule type="cellIs" dxfId="2528" priority="1023" operator="lessThan">
      <formula>0</formula>
    </cfRule>
  </conditionalFormatting>
  <conditionalFormatting sqref="EA32:EE32">
    <cfRule type="cellIs" dxfId="2527" priority="1018" operator="equal">
      <formula>"-"</formula>
    </cfRule>
    <cfRule type="cellIs" dxfId="2526" priority="1019" operator="greaterThan">
      <formula>0</formula>
    </cfRule>
    <cfRule type="cellIs" dxfId="2525" priority="1020" operator="lessThan">
      <formula>0</formula>
    </cfRule>
  </conditionalFormatting>
  <conditionalFormatting sqref="EA35:EE35">
    <cfRule type="cellIs" dxfId="2524" priority="1015" operator="equal">
      <formula>"-"</formula>
    </cfRule>
    <cfRule type="cellIs" dxfId="2523" priority="1016" operator="greaterThan">
      <formula>0</formula>
    </cfRule>
    <cfRule type="cellIs" dxfId="2522" priority="1017" operator="lessThan">
      <formula>0</formula>
    </cfRule>
  </conditionalFormatting>
  <conditionalFormatting sqref="EA38:EE38">
    <cfRule type="cellIs" dxfId="2521" priority="1012" operator="equal">
      <formula>"-"</formula>
    </cfRule>
    <cfRule type="cellIs" dxfId="2520" priority="1013" operator="greaterThan">
      <formula>0</formula>
    </cfRule>
    <cfRule type="cellIs" dxfId="2519" priority="1014" operator="lessThan">
      <formula>0</formula>
    </cfRule>
  </conditionalFormatting>
  <conditionalFormatting sqref="EA41:EE41">
    <cfRule type="cellIs" dxfId="2518" priority="1009" operator="equal">
      <formula>"-"</formula>
    </cfRule>
    <cfRule type="cellIs" dxfId="2517" priority="1010" operator="greaterThan">
      <formula>0</formula>
    </cfRule>
    <cfRule type="cellIs" dxfId="2516" priority="1011" operator="lessThan">
      <formula>0</formula>
    </cfRule>
  </conditionalFormatting>
  <conditionalFormatting sqref="EH26:EM26">
    <cfRule type="expression" dxfId="2515" priority="1008">
      <formula>OR(#REF!="sam.",#REF!="dim.")</formula>
    </cfRule>
  </conditionalFormatting>
  <conditionalFormatting sqref="EH29:EL29">
    <cfRule type="cellIs" dxfId="2514" priority="1005" operator="equal">
      <formula>"-"</formula>
    </cfRule>
    <cfRule type="cellIs" dxfId="2513" priority="1006" operator="greaterThan">
      <formula>0</formula>
    </cfRule>
    <cfRule type="cellIs" dxfId="2512" priority="1007" operator="lessThan">
      <formula>0</formula>
    </cfRule>
  </conditionalFormatting>
  <conditionalFormatting sqref="EH32:EL32">
    <cfRule type="cellIs" dxfId="2511" priority="1002" operator="equal">
      <formula>"-"</formula>
    </cfRule>
    <cfRule type="cellIs" dxfId="2510" priority="1003" operator="greaterThan">
      <formula>0</formula>
    </cfRule>
    <cfRule type="cellIs" dxfId="2509" priority="1004" operator="lessThan">
      <formula>0</formula>
    </cfRule>
  </conditionalFormatting>
  <conditionalFormatting sqref="EH35:EL35">
    <cfRule type="cellIs" dxfId="2508" priority="999" operator="equal">
      <formula>"-"</formula>
    </cfRule>
    <cfRule type="cellIs" dxfId="2507" priority="1000" operator="greaterThan">
      <formula>0</formula>
    </cfRule>
    <cfRule type="cellIs" dxfId="2506" priority="1001" operator="lessThan">
      <formula>0</formula>
    </cfRule>
  </conditionalFormatting>
  <conditionalFormatting sqref="EH38:EL38">
    <cfRule type="cellIs" dxfId="2505" priority="996" operator="equal">
      <formula>"-"</formula>
    </cfRule>
    <cfRule type="cellIs" dxfId="2504" priority="997" operator="greaterThan">
      <formula>0</formula>
    </cfRule>
    <cfRule type="cellIs" dxfId="2503" priority="998" operator="lessThan">
      <formula>0</formula>
    </cfRule>
  </conditionalFormatting>
  <conditionalFormatting sqref="EH41:EL41">
    <cfRule type="cellIs" dxfId="2502" priority="993" operator="equal">
      <formula>"-"</formula>
    </cfRule>
    <cfRule type="cellIs" dxfId="2501" priority="994" operator="greaterThan">
      <formula>0</formula>
    </cfRule>
    <cfRule type="cellIs" dxfId="2500" priority="995" operator="lessThan">
      <formula>0</formula>
    </cfRule>
  </conditionalFormatting>
  <conditionalFormatting sqref="EO26:ET26">
    <cfRule type="expression" dxfId="2499" priority="992">
      <formula>OR(#REF!="sam.",#REF!="dim.")</formula>
    </cfRule>
  </conditionalFormatting>
  <conditionalFormatting sqref="EO29:ES29">
    <cfRule type="cellIs" dxfId="2498" priority="989" operator="equal">
      <formula>"-"</formula>
    </cfRule>
    <cfRule type="cellIs" dxfId="2497" priority="990" operator="greaterThan">
      <formula>0</formula>
    </cfRule>
    <cfRule type="cellIs" dxfId="2496" priority="991" operator="lessThan">
      <formula>0</formula>
    </cfRule>
  </conditionalFormatting>
  <conditionalFormatting sqref="EO32:ES32">
    <cfRule type="cellIs" dxfId="2495" priority="986" operator="equal">
      <formula>"-"</formula>
    </cfRule>
    <cfRule type="cellIs" dxfId="2494" priority="987" operator="greaterThan">
      <formula>0</formula>
    </cfRule>
    <cfRule type="cellIs" dxfId="2493" priority="988" operator="lessThan">
      <formula>0</formula>
    </cfRule>
  </conditionalFormatting>
  <conditionalFormatting sqref="EO35:ES35">
    <cfRule type="cellIs" dxfId="2492" priority="983" operator="equal">
      <formula>"-"</formula>
    </cfRule>
    <cfRule type="cellIs" dxfId="2491" priority="984" operator="greaterThan">
      <formula>0</formula>
    </cfRule>
    <cfRule type="cellIs" dxfId="2490" priority="985" operator="lessThan">
      <formula>0</formula>
    </cfRule>
  </conditionalFormatting>
  <conditionalFormatting sqref="EO38:ES38">
    <cfRule type="cellIs" dxfId="2489" priority="980" operator="equal">
      <formula>"-"</formula>
    </cfRule>
    <cfRule type="cellIs" dxfId="2488" priority="981" operator="greaterThan">
      <formula>0</formula>
    </cfRule>
    <cfRule type="cellIs" dxfId="2487" priority="982" operator="lessThan">
      <formula>0</formula>
    </cfRule>
  </conditionalFormatting>
  <conditionalFormatting sqref="EO41:ES41">
    <cfRule type="cellIs" dxfId="2486" priority="977" operator="equal">
      <formula>"-"</formula>
    </cfRule>
    <cfRule type="cellIs" dxfId="2485" priority="978" operator="greaterThan">
      <formula>0</formula>
    </cfRule>
    <cfRule type="cellIs" dxfId="2484" priority="979" operator="lessThan">
      <formula>0</formula>
    </cfRule>
  </conditionalFormatting>
  <conditionalFormatting sqref="EV26:FA26">
    <cfRule type="expression" dxfId="2483" priority="976">
      <formula>OR(#REF!="sam.",#REF!="dim.")</formula>
    </cfRule>
  </conditionalFormatting>
  <conditionalFormatting sqref="EV29:EZ29">
    <cfRule type="cellIs" dxfId="2482" priority="973" operator="equal">
      <formula>"-"</formula>
    </cfRule>
    <cfRule type="cellIs" dxfId="2481" priority="974" operator="greaterThan">
      <formula>0</formula>
    </cfRule>
    <cfRule type="cellIs" dxfId="2480" priority="975" operator="lessThan">
      <formula>0</formula>
    </cfRule>
  </conditionalFormatting>
  <conditionalFormatting sqref="EV32:EZ32">
    <cfRule type="cellIs" dxfId="2479" priority="970" operator="equal">
      <formula>"-"</formula>
    </cfRule>
    <cfRule type="cellIs" dxfId="2478" priority="971" operator="greaterThan">
      <formula>0</formula>
    </cfRule>
    <cfRule type="cellIs" dxfId="2477" priority="972" operator="lessThan">
      <formula>0</formula>
    </cfRule>
  </conditionalFormatting>
  <conditionalFormatting sqref="EV35:EZ35">
    <cfRule type="cellIs" dxfId="2476" priority="967" operator="equal">
      <formula>"-"</formula>
    </cfRule>
    <cfRule type="cellIs" dxfId="2475" priority="968" operator="greaterThan">
      <formula>0</formula>
    </cfRule>
    <cfRule type="cellIs" dxfId="2474" priority="969" operator="lessThan">
      <formula>0</formula>
    </cfRule>
  </conditionalFormatting>
  <conditionalFormatting sqref="EV38:EZ38">
    <cfRule type="cellIs" dxfId="2473" priority="964" operator="equal">
      <formula>"-"</formula>
    </cfRule>
    <cfRule type="cellIs" dxfId="2472" priority="965" operator="greaterThan">
      <formula>0</formula>
    </cfRule>
    <cfRule type="cellIs" dxfId="2471" priority="966" operator="lessThan">
      <formula>0</formula>
    </cfRule>
  </conditionalFormatting>
  <conditionalFormatting sqref="EV41:EZ41">
    <cfRule type="cellIs" dxfId="2470" priority="961" operator="equal">
      <formula>"-"</formula>
    </cfRule>
    <cfRule type="cellIs" dxfId="2469" priority="962" operator="greaterThan">
      <formula>0</formula>
    </cfRule>
    <cfRule type="cellIs" dxfId="2468" priority="963" operator="lessThan">
      <formula>0</formula>
    </cfRule>
  </conditionalFormatting>
  <conditionalFormatting sqref="FC26:FH26">
    <cfRule type="expression" dxfId="2467" priority="960">
      <formula>OR(#REF!="sam.",#REF!="dim.")</formula>
    </cfRule>
  </conditionalFormatting>
  <conditionalFormatting sqref="FC29:FG29">
    <cfRule type="cellIs" dxfId="2466" priority="957" operator="equal">
      <formula>"-"</formula>
    </cfRule>
    <cfRule type="cellIs" dxfId="2465" priority="958" operator="greaterThan">
      <formula>0</formula>
    </cfRule>
    <cfRule type="cellIs" dxfId="2464" priority="959" operator="lessThan">
      <formula>0</formula>
    </cfRule>
  </conditionalFormatting>
  <conditionalFormatting sqref="FC32:FG32">
    <cfRule type="cellIs" dxfId="2463" priority="954" operator="equal">
      <formula>"-"</formula>
    </cfRule>
    <cfRule type="cellIs" dxfId="2462" priority="955" operator="greaterThan">
      <formula>0</formula>
    </cfRule>
    <cfRule type="cellIs" dxfId="2461" priority="956" operator="lessThan">
      <formula>0</formula>
    </cfRule>
  </conditionalFormatting>
  <conditionalFormatting sqref="FC35:FG35">
    <cfRule type="cellIs" dxfId="2460" priority="951" operator="equal">
      <formula>"-"</formula>
    </cfRule>
    <cfRule type="cellIs" dxfId="2459" priority="952" operator="greaterThan">
      <formula>0</formula>
    </cfRule>
    <cfRule type="cellIs" dxfId="2458" priority="953" operator="lessThan">
      <formula>0</formula>
    </cfRule>
  </conditionalFormatting>
  <conditionalFormatting sqref="FC38:FG38">
    <cfRule type="cellIs" dxfId="2457" priority="948" operator="equal">
      <formula>"-"</formula>
    </cfRule>
    <cfRule type="cellIs" dxfId="2456" priority="949" operator="greaterThan">
      <formula>0</formula>
    </cfRule>
    <cfRule type="cellIs" dxfId="2455" priority="950" operator="lessThan">
      <formula>0</formula>
    </cfRule>
  </conditionalFormatting>
  <conditionalFormatting sqref="FC41:FG41">
    <cfRule type="cellIs" dxfId="2454" priority="945" operator="equal">
      <formula>"-"</formula>
    </cfRule>
    <cfRule type="cellIs" dxfId="2453" priority="946" operator="greaterThan">
      <formula>0</formula>
    </cfRule>
    <cfRule type="cellIs" dxfId="2452" priority="947" operator="lessThan">
      <formula>0</formula>
    </cfRule>
  </conditionalFormatting>
  <conditionalFormatting sqref="FJ26:FO26">
    <cfRule type="expression" dxfId="2451" priority="944">
      <formula>OR(#REF!="sam.",#REF!="dim.")</formula>
    </cfRule>
  </conditionalFormatting>
  <conditionalFormatting sqref="FJ29:FN29">
    <cfRule type="cellIs" dxfId="2450" priority="941" operator="equal">
      <formula>"-"</formula>
    </cfRule>
    <cfRule type="cellIs" dxfId="2449" priority="942" operator="greaterThan">
      <formula>0</formula>
    </cfRule>
    <cfRule type="cellIs" dxfId="2448" priority="943" operator="lessThan">
      <formula>0</formula>
    </cfRule>
  </conditionalFormatting>
  <conditionalFormatting sqref="FJ32:FN32">
    <cfRule type="cellIs" dxfId="2447" priority="938" operator="equal">
      <formula>"-"</formula>
    </cfRule>
    <cfRule type="cellIs" dxfId="2446" priority="939" operator="greaterThan">
      <formula>0</formula>
    </cfRule>
    <cfRule type="cellIs" dxfId="2445" priority="940" operator="lessThan">
      <formula>0</formula>
    </cfRule>
  </conditionalFormatting>
  <conditionalFormatting sqref="FJ35:FN35">
    <cfRule type="cellIs" dxfId="2444" priority="935" operator="equal">
      <formula>"-"</formula>
    </cfRule>
    <cfRule type="cellIs" dxfId="2443" priority="936" operator="greaterThan">
      <formula>0</formula>
    </cfRule>
    <cfRule type="cellIs" dxfId="2442" priority="937" operator="lessThan">
      <formula>0</formula>
    </cfRule>
  </conditionalFormatting>
  <conditionalFormatting sqref="FJ38:FN38">
    <cfRule type="cellIs" dxfId="2441" priority="932" operator="equal">
      <formula>"-"</formula>
    </cfRule>
    <cfRule type="cellIs" dxfId="2440" priority="933" operator="greaterThan">
      <formula>0</formula>
    </cfRule>
    <cfRule type="cellIs" dxfId="2439" priority="934" operator="lessThan">
      <formula>0</formula>
    </cfRule>
  </conditionalFormatting>
  <conditionalFormatting sqref="FJ41:FN41">
    <cfRule type="cellIs" dxfId="2438" priority="929" operator="equal">
      <formula>"-"</formula>
    </cfRule>
    <cfRule type="cellIs" dxfId="2437" priority="930" operator="greaterThan">
      <formula>0</formula>
    </cfRule>
    <cfRule type="cellIs" dxfId="2436" priority="931" operator="lessThan">
      <formula>0</formula>
    </cfRule>
  </conditionalFormatting>
  <conditionalFormatting sqref="FQ26:FV26">
    <cfRule type="expression" dxfId="2435" priority="896">
      <formula>OR(#REF!="sam.",#REF!="dim.")</formula>
    </cfRule>
  </conditionalFormatting>
  <conditionalFormatting sqref="FQ29:FU29">
    <cfRule type="cellIs" dxfId="2434" priority="893" operator="equal">
      <formula>"-"</formula>
    </cfRule>
    <cfRule type="cellIs" dxfId="2433" priority="894" operator="greaterThan">
      <formula>0</formula>
    </cfRule>
    <cfRule type="cellIs" dxfId="2432" priority="895" operator="lessThan">
      <formula>0</formula>
    </cfRule>
  </conditionalFormatting>
  <conditionalFormatting sqref="FQ32:FU32">
    <cfRule type="cellIs" dxfId="2431" priority="890" operator="equal">
      <formula>"-"</formula>
    </cfRule>
    <cfRule type="cellIs" dxfId="2430" priority="891" operator="greaterThan">
      <formula>0</formula>
    </cfRule>
    <cfRule type="cellIs" dxfId="2429" priority="892" operator="lessThan">
      <formula>0</formula>
    </cfRule>
  </conditionalFormatting>
  <conditionalFormatting sqref="FQ35:FU35">
    <cfRule type="cellIs" dxfId="2428" priority="887" operator="equal">
      <formula>"-"</formula>
    </cfRule>
    <cfRule type="cellIs" dxfId="2427" priority="888" operator="greaterThan">
      <formula>0</formula>
    </cfRule>
    <cfRule type="cellIs" dxfId="2426" priority="889" operator="lessThan">
      <formula>0</formula>
    </cfRule>
  </conditionalFormatting>
  <conditionalFormatting sqref="FQ38:FU38">
    <cfRule type="cellIs" dxfId="2425" priority="884" operator="equal">
      <formula>"-"</formula>
    </cfRule>
    <cfRule type="cellIs" dxfId="2424" priority="885" operator="greaterThan">
      <formula>0</formula>
    </cfRule>
    <cfRule type="cellIs" dxfId="2423" priority="886" operator="lessThan">
      <formula>0</formula>
    </cfRule>
  </conditionalFormatting>
  <conditionalFormatting sqref="FQ41:FU41">
    <cfRule type="cellIs" dxfId="2422" priority="881" operator="equal">
      <formula>"-"</formula>
    </cfRule>
    <cfRule type="cellIs" dxfId="2421" priority="882" operator="greaterThan">
      <formula>0</formula>
    </cfRule>
    <cfRule type="cellIs" dxfId="2420" priority="883" operator="lessThan">
      <formula>0</formula>
    </cfRule>
  </conditionalFormatting>
  <conditionalFormatting sqref="FX26:GC26">
    <cfRule type="expression" dxfId="2419" priority="880">
      <formula>OR(#REF!="sam.",#REF!="dim.")</formula>
    </cfRule>
  </conditionalFormatting>
  <conditionalFormatting sqref="FX29:GB29">
    <cfRule type="cellIs" dxfId="2418" priority="877" operator="equal">
      <formula>"-"</formula>
    </cfRule>
    <cfRule type="cellIs" dxfId="2417" priority="878" operator="greaterThan">
      <formula>0</formula>
    </cfRule>
    <cfRule type="cellIs" dxfId="2416" priority="879" operator="lessThan">
      <formula>0</formula>
    </cfRule>
  </conditionalFormatting>
  <conditionalFormatting sqref="FX32:GB32">
    <cfRule type="cellIs" dxfId="2415" priority="874" operator="equal">
      <formula>"-"</formula>
    </cfRule>
    <cfRule type="cellIs" dxfId="2414" priority="875" operator="greaterThan">
      <formula>0</formula>
    </cfRule>
    <cfRule type="cellIs" dxfId="2413" priority="876" operator="lessThan">
      <formula>0</formula>
    </cfRule>
  </conditionalFormatting>
  <conditionalFormatting sqref="FX35:GB35">
    <cfRule type="cellIs" dxfId="2412" priority="871" operator="equal">
      <formula>"-"</formula>
    </cfRule>
    <cfRule type="cellIs" dxfId="2411" priority="872" operator="greaterThan">
      <formula>0</formula>
    </cfRule>
    <cfRule type="cellIs" dxfId="2410" priority="873" operator="lessThan">
      <formula>0</formula>
    </cfRule>
  </conditionalFormatting>
  <conditionalFormatting sqref="FX38:GB38">
    <cfRule type="cellIs" dxfId="2409" priority="868" operator="equal">
      <formula>"-"</formula>
    </cfRule>
    <cfRule type="cellIs" dxfId="2408" priority="869" operator="greaterThan">
      <formula>0</formula>
    </cfRule>
    <cfRule type="cellIs" dxfId="2407" priority="870" operator="lessThan">
      <formula>0</formula>
    </cfRule>
  </conditionalFormatting>
  <conditionalFormatting sqref="FX41:GB41">
    <cfRule type="cellIs" dxfId="2406" priority="865" operator="equal">
      <formula>"-"</formula>
    </cfRule>
    <cfRule type="cellIs" dxfId="2405" priority="866" operator="greaterThan">
      <formula>0</formula>
    </cfRule>
    <cfRule type="cellIs" dxfId="2404" priority="867" operator="lessThan">
      <formula>0</formula>
    </cfRule>
  </conditionalFormatting>
  <conditionalFormatting sqref="GE26:GJ26">
    <cfRule type="expression" dxfId="2403" priority="864">
      <formula>OR(#REF!="sam.",#REF!="dim.")</formula>
    </cfRule>
  </conditionalFormatting>
  <conditionalFormatting sqref="GE29:GI29">
    <cfRule type="cellIs" dxfId="2402" priority="861" operator="equal">
      <formula>"-"</formula>
    </cfRule>
    <cfRule type="cellIs" dxfId="2401" priority="862" operator="greaterThan">
      <formula>0</formula>
    </cfRule>
    <cfRule type="cellIs" dxfId="2400" priority="863" operator="lessThan">
      <formula>0</formula>
    </cfRule>
  </conditionalFormatting>
  <conditionalFormatting sqref="GE32:GI32">
    <cfRule type="cellIs" dxfId="2399" priority="858" operator="equal">
      <formula>"-"</formula>
    </cfRule>
    <cfRule type="cellIs" dxfId="2398" priority="859" operator="greaterThan">
      <formula>0</formula>
    </cfRule>
    <cfRule type="cellIs" dxfId="2397" priority="860" operator="lessThan">
      <formula>0</formula>
    </cfRule>
  </conditionalFormatting>
  <conditionalFormatting sqref="GE35:GI35">
    <cfRule type="cellIs" dxfId="2396" priority="855" operator="equal">
      <formula>"-"</formula>
    </cfRule>
    <cfRule type="cellIs" dxfId="2395" priority="856" operator="greaterThan">
      <formula>0</formula>
    </cfRule>
    <cfRule type="cellIs" dxfId="2394" priority="857" operator="lessThan">
      <formula>0</formula>
    </cfRule>
  </conditionalFormatting>
  <conditionalFormatting sqref="GE38:GI38">
    <cfRule type="cellIs" dxfId="2393" priority="852" operator="equal">
      <formula>"-"</formula>
    </cfRule>
    <cfRule type="cellIs" dxfId="2392" priority="853" operator="greaterThan">
      <formula>0</formula>
    </cfRule>
    <cfRule type="cellIs" dxfId="2391" priority="854" operator="lessThan">
      <formula>0</formula>
    </cfRule>
  </conditionalFormatting>
  <conditionalFormatting sqref="GE41:GI41">
    <cfRule type="cellIs" dxfId="2390" priority="849" operator="equal">
      <formula>"-"</formula>
    </cfRule>
    <cfRule type="cellIs" dxfId="2389" priority="850" operator="greaterThan">
      <formula>0</formula>
    </cfRule>
    <cfRule type="cellIs" dxfId="2388" priority="851" operator="lessThan">
      <formula>0</formula>
    </cfRule>
  </conditionalFormatting>
  <conditionalFormatting sqref="GL26:GQ26">
    <cfRule type="expression" dxfId="2387" priority="848">
      <formula>OR(#REF!="sam.",#REF!="dim.")</formula>
    </cfRule>
  </conditionalFormatting>
  <conditionalFormatting sqref="GL29:GP29">
    <cfRule type="cellIs" dxfId="2386" priority="845" operator="equal">
      <formula>"-"</formula>
    </cfRule>
    <cfRule type="cellIs" dxfId="2385" priority="846" operator="greaterThan">
      <formula>0</formula>
    </cfRule>
    <cfRule type="cellIs" dxfId="2384" priority="847" operator="lessThan">
      <formula>0</formula>
    </cfRule>
  </conditionalFormatting>
  <conditionalFormatting sqref="GL32:GP32">
    <cfRule type="cellIs" dxfId="2383" priority="842" operator="equal">
      <formula>"-"</formula>
    </cfRule>
    <cfRule type="cellIs" dxfId="2382" priority="843" operator="greaterThan">
      <formula>0</formula>
    </cfRule>
    <cfRule type="cellIs" dxfId="2381" priority="844" operator="lessThan">
      <formula>0</formula>
    </cfRule>
  </conditionalFormatting>
  <conditionalFormatting sqref="GL35:GP35">
    <cfRule type="cellIs" dxfId="2380" priority="839" operator="equal">
      <formula>"-"</formula>
    </cfRule>
    <cfRule type="cellIs" dxfId="2379" priority="840" operator="greaterThan">
      <formula>0</formula>
    </cfRule>
    <cfRule type="cellIs" dxfId="2378" priority="841" operator="lessThan">
      <formula>0</formula>
    </cfRule>
  </conditionalFormatting>
  <conditionalFormatting sqref="GL38:GP38">
    <cfRule type="cellIs" dxfId="2377" priority="836" operator="equal">
      <formula>"-"</formula>
    </cfRule>
    <cfRule type="cellIs" dxfId="2376" priority="837" operator="greaterThan">
      <formula>0</formula>
    </cfRule>
    <cfRule type="cellIs" dxfId="2375" priority="838" operator="lessThan">
      <formula>0</formula>
    </cfRule>
  </conditionalFormatting>
  <conditionalFormatting sqref="GL41:GP41">
    <cfRule type="cellIs" dxfId="2374" priority="833" operator="equal">
      <formula>"-"</formula>
    </cfRule>
    <cfRule type="cellIs" dxfId="2373" priority="834" operator="greaterThan">
      <formula>0</formula>
    </cfRule>
    <cfRule type="cellIs" dxfId="2372" priority="835" operator="lessThan">
      <formula>0</formula>
    </cfRule>
  </conditionalFormatting>
  <conditionalFormatting sqref="GS26:GX26">
    <cfRule type="expression" dxfId="2371" priority="832">
      <formula>OR(#REF!="sam.",#REF!="dim.")</formula>
    </cfRule>
  </conditionalFormatting>
  <conditionalFormatting sqref="GS29:GW29">
    <cfRule type="cellIs" dxfId="2370" priority="829" operator="equal">
      <formula>"-"</formula>
    </cfRule>
    <cfRule type="cellIs" dxfId="2369" priority="830" operator="greaterThan">
      <formula>0</formula>
    </cfRule>
    <cfRule type="cellIs" dxfId="2368" priority="831" operator="lessThan">
      <formula>0</formula>
    </cfRule>
  </conditionalFormatting>
  <conditionalFormatting sqref="GS32:GW32">
    <cfRule type="cellIs" dxfId="2367" priority="826" operator="equal">
      <formula>"-"</formula>
    </cfRule>
    <cfRule type="cellIs" dxfId="2366" priority="827" operator="greaterThan">
      <formula>0</formula>
    </cfRule>
    <cfRule type="cellIs" dxfId="2365" priority="828" operator="lessThan">
      <formula>0</formula>
    </cfRule>
  </conditionalFormatting>
  <conditionalFormatting sqref="GS35:GW35">
    <cfRule type="cellIs" dxfId="2364" priority="823" operator="equal">
      <formula>"-"</formula>
    </cfRule>
    <cfRule type="cellIs" dxfId="2363" priority="824" operator="greaterThan">
      <formula>0</formula>
    </cfRule>
    <cfRule type="cellIs" dxfId="2362" priority="825" operator="lessThan">
      <formula>0</formula>
    </cfRule>
  </conditionalFormatting>
  <conditionalFormatting sqref="GS38:GW38">
    <cfRule type="cellIs" dxfId="2361" priority="820" operator="equal">
      <formula>"-"</formula>
    </cfRule>
    <cfRule type="cellIs" dxfId="2360" priority="821" operator="greaterThan">
      <formula>0</formula>
    </cfRule>
    <cfRule type="cellIs" dxfId="2359" priority="822" operator="lessThan">
      <formula>0</formula>
    </cfRule>
  </conditionalFormatting>
  <conditionalFormatting sqref="GS41:GW41">
    <cfRule type="cellIs" dxfId="2358" priority="817" operator="equal">
      <formula>"-"</formula>
    </cfRule>
    <cfRule type="cellIs" dxfId="2357" priority="818" operator="greaterThan">
      <formula>0</formula>
    </cfRule>
    <cfRule type="cellIs" dxfId="2356" priority="819" operator="lessThan">
      <formula>0</formula>
    </cfRule>
  </conditionalFormatting>
  <conditionalFormatting sqref="E44:J44">
    <cfRule type="cellIs" dxfId="2355" priority="813" operator="equal">
      <formula>"-"</formula>
    </cfRule>
    <cfRule type="cellIs" dxfId="2354" priority="814" operator="greaterThan">
      <formula>0</formula>
    </cfRule>
    <cfRule type="cellIs" dxfId="2353" priority="815" operator="lessThan">
      <formula>0</formula>
    </cfRule>
  </conditionalFormatting>
  <conditionalFormatting sqref="AN44:AR44">
    <cfRule type="cellIs" dxfId="2352" priority="717" operator="equal">
      <formula>"-"</formula>
    </cfRule>
    <cfRule type="cellIs" dxfId="2351" priority="718" operator="greaterThan">
      <formula>0</formula>
    </cfRule>
    <cfRule type="cellIs" dxfId="2350" priority="719" operator="lessThan">
      <formula>0</formula>
    </cfRule>
  </conditionalFormatting>
  <conditionalFormatting sqref="AU44:AY44">
    <cfRule type="cellIs" dxfId="2349" priority="708" operator="equal">
      <formula>"-"</formula>
    </cfRule>
    <cfRule type="cellIs" dxfId="2348" priority="709" operator="greaterThan">
      <formula>0</formula>
    </cfRule>
    <cfRule type="cellIs" dxfId="2347" priority="710" operator="lessThan">
      <formula>0</formula>
    </cfRule>
  </conditionalFormatting>
  <conditionalFormatting sqref="Z44:AD44">
    <cfRule type="cellIs" dxfId="2346" priority="723" operator="equal">
      <formula>"-"</formula>
    </cfRule>
    <cfRule type="cellIs" dxfId="2345" priority="724" operator="greaterThan">
      <formula>0</formula>
    </cfRule>
    <cfRule type="cellIs" dxfId="2344" priority="725" operator="lessThan">
      <formula>0</formula>
    </cfRule>
  </conditionalFormatting>
  <conditionalFormatting sqref="AG44:AK44">
    <cfRule type="cellIs" dxfId="2343" priority="720" operator="equal">
      <formula>"-"</formula>
    </cfRule>
    <cfRule type="cellIs" dxfId="2342" priority="721" operator="greaterThan">
      <formula>0</formula>
    </cfRule>
    <cfRule type="cellIs" dxfId="2341" priority="722" operator="lessThan">
      <formula>0</formula>
    </cfRule>
  </conditionalFormatting>
  <conditionalFormatting sqref="L44:Q44">
    <cfRule type="cellIs" dxfId="2340" priority="729" operator="equal">
      <formula>"-"</formula>
    </cfRule>
    <cfRule type="cellIs" dxfId="2339" priority="730" operator="greaterThan">
      <formula>0</formula>
    </cfRule>
    <cfRule type="cellIs" dxfId="2338" priority="731" operator="lessThan">
      <formula>0</formula>
    </cfRule>
  </conditionalFormatting>
  <conditionalFormatting sqref="S44:W44">
    <cfRule type="cellIs" dxfId="2337" priority="726" operator="equal">
      <formula>"-"</formula>
    </cfRule>
    <cfRule type="cellIs" dxfId="2336" priority="727" operator="greaterThan">
      <formula>0</formula>
    </cfRule>
    <cfRule type="cellIs" dxfId="2335" priority="728" operator="lessThan">
      <formula>0</formula>
    </cfRule>
  </conditionalFormatting>
  <conditionalFormatting sqref="GS44:GW44">
    <cfRule type="cellIs" dxfId="2334" priority="642" operator="equal">
      <formula>"-"</formula>
    </cfRule>
    <cfRule type="cellIs" dxfId="2333" priority="643" operator="greaterThan">
      <formula>0</formula>
    </cfRule>
    <cfRule type="cellIs" dxfId="2332" priority="644" operator="lessThan">
      <formula>0</formula>
    </cfRule>
  </conditionalFormatting>
  <conditionalFormatting sqref="BB44:BF44">
    <cfRule type="cellIs" dxfId="2331" priority="705" operator="equal">
      <formula>"-"</formula>
    </cfRule>
    <cfRule type="cellIs" dxfId="2330" priority="706" operator="greaterThan">
      <formula>0</formula>
    </cfRule>
    <cfRule type="cellIs" dxfId="2329" priority="707" operator="lessThan">
      <formula>0</formula>
    </cfRule>
  </conditionalFormatting>
  <conditionalFormatting sqref="BI44:BM44">
    <cfRule type="cellIs" dxfId="2328" priority="702" operator="equal">
      <formula>"-"</formula>
    </cfRule>
    <cfRule type="cellIs" dxfId="2327" priority="703" operator="greaterThan">
      <formula>0</formula>
    </cfRule>
    <cfRule type="cellIs" dxfId="2326" priority="704" operator="lessThan">
      <formula>0</formula>
    </cfRule>
  </conditionalFormatting>
  <conditionalFormatting sqref="BP44:BT44">
    <cfRule type="cellIs" dxfId="2325" priority="699" operator="equal">
      <formula>"-"</formula>
    </cfRule>
    <cfRule type="cellIs" dxfId="2324" priority="700" operator="greaterThan">
      <formula>0</formula>
    </cfRule>
    <cfRule type="cellIs" dxfId="2323" priority="701" operator="lessThan">
      <formula>0</formula>
    </cfRule>
  </conditionalFormatting>
  <conditionalFormatting sqref="BW44:CA44">
    <cfRule type="cellIs" dxfId="2322" priority="696" operator="equal">
      <formula>"-"</formula>
    </cfRule>
    <cfRule type="cellIs" dxfId="2321" priority="697" operator="greaterThan">
      <formula>0</formula>
    </cfRule>
    <cfRule type="cellIs" dxfId="2320" priority="698" operator="lessThan">
      <formula>0</formula>
    </cfRule>
  </conditionalFormatting>
  <conditionalFormatting sqref="CD44:CH44">
    <cfRule type="cellIs" dxfId="2319" priority="693" operator="equal">
      <formula>"-"</formula>
    </cfRule>
    <cfRule type="cellIs" dxfId="2318" priority="694" operator="greaterThan">
      <formula>0</formula>
    </cfRule>
    <cfRule type="cellIs" dxfId="2317" priority="695" operator="lessThan">
      <formula>0</formula>
    </cfRule>
  </conditionalFormatting>
  <conditionalFormatting sqref="CK44:CO44">
    <cfRule type="cellIs" dxfId="2316" priority="690" operator="equal">
      <formula>"-"</formula>
    </cfRule>
    <cfRule type="cellIs" dxfId="2315" priority="691" operator="greaterThan">
      <formula>0</formula>
    </cfRule>
    <cfRule type="cellIs" dxfId="2314" priority="692" operator="lessThan">
      <formula>0</formula>
    </cfRule>
  </conditionalFormatting>
  <conditionalFormatting sqref="CR44:CV44">
    <cfRule type="cellIs" dxfId="2313" priority="687" operator="equal">
      <formula>"-"</formula>
    </cfRule>
    <cfRule type="cellIs" dxfId="2312" priority="688" operator="greaterThan">
      <formula>0</formula>
    </cfRule>
    <cfRule type="cellIs" dxfId="2311" priority="689" operator="lessThan">
      <formula>0</formula>
    </cfRule>
  </conditionalFormatting>
  <conditionalFormatting sqref="CY44:DC44">
    <cfRule type="cellIs" dxfId="2310" priority="684" operator="equal">
      <formula>"-"</formula>
    </cfRule>
    <cfRule type="cellIs" dxfId="2309" priority="685" operator="greaterThan">
      <formula>0</formula>
    </cfRule>
    <cfRule type="cellIs" dxfId="2308" priority="686" operator="lessThan">
      <formula>0</formula>
    </cfRule>
  </conditionalFormatting>
  <conditionalFormatting sqref="DF44:DJ44">
    <cfRule type="cellIs" dxfId="2307" priority="681" operator="equal">
      <formula>"-"</formula>
    </cfRule>
    <cfRule type="cellIs" dxfId="2306" priority="682" operator="greaterThan">
      <formula>0</formula>
    </cfRule>
    <cfRule type="cellIs" dxfId="2305" priority="683" operator="lessThan">
      <formula>0</formula>
    </cfRule>
  </conditionalFormatting>
  <conditionalFormatting sqref="DM44:DQ44">
    <cfRule type="cellIs" dxfId="2304" priority="678" operator="equal">
      <formula>"-"</formula>
    </cfRule>
    <cfRule type="cellIs" dxfId="2303" priority="679" operator="greaterThan">
      <formula>0</formula>
    </cfRule>
    <cfRule type="cellIs" dxfId="2302" priority="680" operator="lessThan">
      <formula>0</formula>
    </cfRule>
  </conditionalFormatting>
  <conditionalFormatting sqref="DT44:DX44">
    <cfRule type="cellIs" dxfId="2301" priority="675" operator="equal">
      <formula>"-"</formula>
    </cfRule>
    <cfRule type="cellIs" dxfId="2300" priority="676" operator="greaterThan">
      <formula>0</formula>
    </cfRule>
    <cfRule type="cellIs" dxfId="2299" priority="677" operator="lessThan">
      <formula>0</formula>
    </cfRule>
  </conditionalFormatting>
  <conditionalFormatting sqref="EA44:EE44">
    <cfRule type="cellIs" dxfId="2298" priority="672" operator="equal">
      <formula>"-"</formula>
    </cfRule>
    <cfRule type="cellIs" dxfId="2297" priority="673" operator="greaterThan">
      <formula>0</formula>
    </cfRule>
    <cfRule type="cellIs" dxfId="2296" priority="674" operator="lessThan">
      <formula>0</formula>
    </cfRule>
  </conditionalFormatting>
  <conditionalFormatting sqref="EH44:EL44">
    <cfRule type="cellIs" dxfId="2295" priority="669" operator="equal">
      <formula>"-"</formula>
    </cfRule>
    <cfRule type="cellIs" dxfId="2294" priority="670" operator="greaterThan">
      <formula>0</formula>
    </cfRule>
    <cfRule type="cellIs" dxfId="2293" priority="671" operator="lessThan">
      <formula>0</formula>
    </cfRule>
  </conditionalFormatting>
  <conditionalFormatting sqref="EO44:ES44">
    <cfRule type="cellIs" dxfId="2292" priority="666" operator="equal">
      <formula>"-"</formula>
    </cfRule>
    <cfRule type="cellIs" dxfId="2291" priority="667" operator="greaterThan">
      <formula>0</formula>
    </cfRule>
    <cfRule type="cellIs" dxfId="2290" priority="668" operator="lessThan">
      <formula>0</formula>
    </cfRule>
  </conditionalFormatting>
  <conditionalFormatting sqref="EV44:EZ44">
    <cfRule type="cellIs" dxfId="2289" priority="663" operator="equal">
      <formula>"-"</formula>
    </cfRule>
    <cfRule type="cellIs" dxfId="2288" priority="664" operator="greaterThan">
      <formula>0</formula>
    </cfRule>
    <cfRule type="cellIs" dxfId="2287" priority="665" operator="lessThan">
      <formula>0</formula>
    </cfRule>
  </conditionalFormatting>
  <conditionalFormatting sqref="FC44:FG44">
    <cfRule type="cellIs" dxfId="2286" priority="660" operator="equal">
      <formula>"-"</formula>
    </cfRule>
    <cfRule type="cellIs" dxfId="2285" priority="661" operator="greaterThan">
      <formula>0</formula>
    </cfRule>
    <cfRule type="cellIs" dxfId="2284" priority="662" operator="lessThan">
      <formula>0</formula>
    </cfRule>
  </conditionalFormatting>
  <conditionalFormatting sqref="FJ44:FN44">
    <cfRule type="cellIs" dxfId="2283" priority="657" operator="equal">
      <formula>"-"</formula>
    </cfRule>
    <cfRule type="cellIs" dxfId="2282" priority="658" operator="greaterThan">
      <formula>0</formula>
    </cfRule>
    <cfRule type="cellIs" dxfId="2281" priority="659" operator="lessThan">
      <formula>0</formula>
    </cfRule>
  </conditionalFormatting>
  <conditionalFormatting sqref="FQ44:FU44">
    <cfRule type="cellIs" dxfId="2280" priority="654" operator="equal">
      <formula>"-"</formula>
    </cfRule>
    <cfRule type="cellIs" dxfId="2279" priority="655" operator="greaterThan">
      <formula>0</formula>
    </cfRule>
    <cfRule type="cellIs" dxfId="2278" priority="656" operator="lessThan">
      <formula>0</formula>
    </cfRule>
  </conditionalFormatting>
  <conditionalFormatting sqref="FX44:GB44">
    <cfRule type="cellIs" dxfId="2277" priority="651" operator="equal">
      <formula>"-"</formula>
    </cfRule>
    <cfRule type="cellIs" dxfId="2276" priority="652" operator="greaterThan">
      <formula>0</formula>
    </cfRule>
    <cfRule type="cellIs" dxfId="2275" priority="653" operator="lessThan">
      <formula>0</formula>
    </cfRule>
  </conditionalFormatting>
  <conditionalFormatting sqref="GE44:GI44">
    <cfRule type="cellIs" dxfId="2274" priority="648" operator="equal">
      <formula>"-"</formula>
    </cfRule>
    <cfRule type="cellIs" dxfId="2273" priority="649" operator="greaterThan">
      <formula>0</formula>
    </cfRule>
    <cfRule type="cellIs" dxfId="2272" priority="650" operator="lessThan">
      <formula>0</formula>
    </cfRule>
  </conditionalFormatting>
  <conditionalFormatting sqref="GL44:GP44">
    <cfRule type="cellIs" dxfId="2271" priority="645" operator="equal">
      <formula>"-"</formula>
    </cfRule>
    <cfRule type="cellIs" dxfId="2270" priority="646" operator="greaterThan">
      <formula>0</formula>
    </cfRule>
    <cfRule type="cellIs" dxfId="2269" priority="647" operator="lessThan">
      <formula>0</formula>
    </cfRule>
  </conditionalFormatting>
  <conditionalFormatting sqref="X4 X6 X9 X11 X14 X16 X19 X21">
    <cfRule type="expression" dxfId="2268" priority="635">
      <formula>X5&gt;0</formula>
    </cfRule>
    <cfRule type="expression" dxfId="2267" priority="636">
      <formula>X5&lt;0</formula>
    </cfRule>
  </conditionalFormatting>
  <conditionalFormatting sqref="X5 X7 X10 X12 X15 X17 X20 X22">
    <cfRule type="cellIs" dxfId="2266" priority="637" operator="lessThan">
      <formula>0</formula>
    </cfRule>
    <cfRule type="cellIs" dxfId="2265" priority="638" operator="greaterThan">
      <formula>0</formula>
    </cfRule>
  </conditionalFormatting>
  <conditionalFormatting sqref="AE4 AE6 AE9 AE11 AE14 AE16 AE19 AE21">
    <cfRule type="expression" dxfId="2264" priority="631">
      <formula>AE5&gt;0</formula>
    </cfRule>
    <cfRule type="expression" dxfId="2263" priority="632">
      <formula>AE5&lt;0</formula>
    </cfRule>
  </conditionalFormatting>
  <conditionalFormatting sqref="AE5 AE7 AE10 AE12 AE15 AE17 AE20 AE22">
    <cfRule type="cellIs" dxfId="2262" priority="633" operator="lessThan">
      <formula>0</formula>
    </cfRule>
    <cfRule type="cellIs" dxfId="2261" priority="634" operator="greaterThan">
      <formula>0</formula>
    </cfRule>
  </conditionalFormatting>
  <conditionalFormatting sqref="AL4 AL6 AL9 AL11 AL14 AL16 AL19 AL21">
    <cfRule type="expression" dxfId="2260" priority="627">
      <formula>AL5&gt;0</formula>
    </cfRule>
    <cfRule type="expression" dxfId="2259" priority="628">
      <formula>AL5&lt;0</formula>
    </cfRule>
  </conditionalFormatting>
  <conditionalFormatting sqref="AL5 AL7 AL10 AL12 AL15 AL17 AL20 AL22">
    <cfRule type="cellIs" dxfId="2258" priority="629" operator="lessThan">
      <formula>0</formula>
    </cfRule>
    <cfRule type="cellIs" dxfId="2257" priority="630" operator="greaterThan">
      <formula>0</formula>
    </cfRule>
  </conditionalFormatting>
  <conditionalFormatting sqref="AS4 AS6 AS9 AS11 AS14 AS16 AS19 AS21">
    <cfRule type="expression" dxfId="2256" priority="591">
      <formula>AS5&gt;0</formula>
    </cfRule>
    <cfRule type="expression" dxfId="2255" priority="592">
      <formula>AS5&lt;0</formula>
    </cfRule>
  </conditionalFormatting>
  <conditionalFormatting sqref="AS5 AS7 AS10 AS12 AS15 AS17 AS20 AS22">
    <cfRule type="cellIs" dxfId="2254" priority="593" operator="lessThan">
      <formula>0</formula>
    </cfRule>
    <cfRule type="cellIs" dxfId="2253" priority="594" operator="greaterThan">
      <formula>0</formula>
    </cfRule>
  </conditionalFormatting>
  <conditionalFormatting sqref="AZ4 AZ6 AZ9 AZ11 AZ14 AZ16 AZ19 AZ21">
    <cfRule type="expression" dxfId="2252" priority="587">
      <formula>AZ5&gt;0</formula>
    </cfRule>
    <cfRule type="expression" dxfId="2251" priority="588">
      <formula>AZ5&lt;0</formula>
    </cfRule>
  </conditionalFormatting>
  <conditionalFormatting sqref="AZ5 AZ7 AZ10 AZ12 AZ15 AZ17 AZ20 AZ22">
    <cfRule type="cellIs" dxfId="2250" priority="589" operator="lessThan">
      <formula>0</formula>
    </cfRule>
    <cfRule type="cellIs" dxfId="2249" priority="590" operator="greaterThan">
      <formula>0</formula>
    </cfRule>
  </conditionalFormatting>
  <conditionalFormatting sqref="BG4 BG6 BG9 BG11 BG14 BG16 BG19 BG21">
    <cfRule type="expression" dxfId="2248" priority="583">
      <formula>BG5&gt;0</formula>
    </cfRule>
    <cfRule type="expression" dxfId="2247" priority="584">
      <formula>BG5&lt;0</formula>
    </cfRule>
  </conditionalFormatting>
  <conditionalFormatting sqref="BG5 BG7 BG10 BG12 BG15 BG17 BG20 BG22">
    <cfRule type="cellIs" dxfId="2246" priority="585" operator="lessThan">
      <formula>0</formula>
    </cfRule>
    <cfRule type="cellIs" dxfId="2245" priority="586" operator="greaterThan">
      <formula>0</formula>
    </cfRule>
  </conditionalFormatting>
  <conditionalFormatting sqref="BN4 BN6 BN9 BN11 BN14 BN16 BN19 BN21">
    <cfRule type="expression" dxfId="2244" priority="579">
      <formula>BN5&gt;0</formula>
    </cfRule>
    <cfRule type="expression" dxfId="2243" priority="580">
      <formula>BN5&lt;0</formula>
    </cfRule>
  </conditionalFormatting>
  <conditionalFormatting sqref="BN5 BN7 BN10 BN12 BN15 BN17 BN20 BN22">
    <cfRule type="cellIs" dxfId="2242" priority="581" operator="lessThan">
      <formula>0</formula>
    </cfRule>
    <cfRule type="cellIs" dxfId="2241" priority="582" operator="greaterThan">
      <formula>0</formula>
    </cfRule>
  </conditionalFormatting>
  <conditionalFormatting sqref="BU4 BU6 BU9 BU11 BU14 BU16 BU19 BU21">
    <cfRule type="expression" dxfId="2240" priority="571">
      <formula>BU5&gt;0</formula>
    </cfRule>
    <cfRule type="expression" dxfId="2239" priority="572">
      <formula>BU5&lt;0</formula>
    </cfRule>
  </conditionalFormatting>
  <conditionalFormatting sqref="BU5 BU7 BU10 BU12 BU15 BU17 BU20 BU22">
    <cfRule type="cellIs" dxfId="2238" priority="573" operator="lessThan">
      <formula>0</formula>
    </cfRule>
    <cfRule type="cellIs" dxfId="2237" priority="574" operator="greaterThan">
      <formula>0</formula>
    </cfRule>
  </conditionalFormatting>
  <conditionalFormatting sqref="CB4 CB6 CB9 CB11 CB14 CB16 CB19 CB21">
    <cfRule type="expression" dxfId="2236" priority="567">
      <formula>CB5&gt;0</formula>
    </cfRule>
    <cfRule type="expression" dxfId="2235" priority="568">
      <formula>CB5&lt;0</formula>
    </cfRule>
  </conditionalFormatting>
  <conditionalFormatting sqref="CB5 CB7 CB10 CB12 CB15 CB17 CB20 CB22">
    <cfRule type="cellIs" dxfId="2234" priority="569" operator="lessThan">
      <formula>0</formula>
    </cfRule>
    <cfRule type="cellIs" dxfId="2233" priority="570" operator="greaterThan">
      <formula>0</formula>
    </cfRule>
  </conditionalFormatting>
  <conditionalFormatting sqref="CI4 CI6 CI9 CI11 CI14 CI16 CI19 CI21">
    <cfRule type="expression" dxfId="2232" priority="563">
      <formula>CI5&gt;0</formula>
    </cfRule>
    <cfRule type="expression" dxfId="2231" priority="564">
      <formula>CI5&lt;0</formula>
    </cfRule>
  </conditionalFormatting>
  <conditionalFormatting sqref="CI5 CI7 CI10 CI12 CI15 CI17 CI20 CI22">
    <cfRule type="cellIs" dxfId="2230" priority="565" operator="lessThan">
      <formula>0</formula>
    </cfRule>
    <cfRule type="cellIs" dxfId="2229" priority="566" operator="greaterThan">
      <formula>0</formula>
    </cfRule>
  </conditionalFormatting>
  <conditionalFormatting sqref="CP4 CP6 CP9 CP11 CP14 CP16 CP19 CP21">
    <cfRule type="expression" dxfId="2228" priority="559">
      <formula>CP5&gt;0</formula>
    </cfRule>
    <cfRule type="expression" dxfId="2227" priority="560">
      <formula>CP5&lt;0</formula>
    </cfRule>
  </conditionalFormatting>
  <conditionalFormatting sqref="CP5 CP7 CP10 CP12 CP15 CP17 CP20 CP22">
    <cfRule type="cellIs" dxfId="2226" priority="561" operator="lessThan">
      <formula>0</formula>
    </cfRule>
    <cfRule type="cellIs" dxfId="2225" priority="562" operator="greaterThan">
      <formula>0</formula>
    </cfRule>
  </conditionalFormatting>
  <conditionalFormatting sqref="CW4 CW6 CW9 CW11 CW14 CW16 CW19 CW21">
    <cfRule type="expression" dxfId="2224" priority="555">
      <formula>CW5&gt;0</formula>
    </cfRule>
    <cfRule type="expression" dxfId="2223" priority="556">
      <formula>CW5&lt;0</formula>
    </cfRule>
  </conditionalFormatting>
  <conditionalFormatting sqref="CW5 CW7 CW10 CW12 CW15 CW17 CW20 CW22">
    <cfRule type="cellIs" dxfId="2222" priority="557" operator="lessThan">
      <formula>0</formula>
    </cfRule>
    <cfRule type="cellIs" dxfId="2221" priority="558" operator="greaterThan">
      <formula>0</formula>
    </cfRule>
  </conditionalFormatting>
  <conditionalFormatting sqref="DD4 DD6 DD9 DD11 DD14 DD16 DD19 DD21">
    <cfRule type="expression" dxfId="2220" priority="551">
      <formula>DD5&gt;0</formula>
    </cfRule>
    <cfRule type="expression" dxfId="2219" priority="552">
      <formula>DD5&lt;0</formula>
    </cfRule>
  </conditionalFormatting>
  <conditionalFormatting sqref="DD5 DD7 DD10 DD12 DD15 DD17 DD20 DD22">
    <cfRule type="cellIs" dxfId="2218" priority="553" operator="lessThan">
      <formula>0</formula>
    </cfRule>
    <cfRule type="cellIs" dxfId="2217" priority="554" operator="greaterThan">
      <formula>0</formula>
    </cfRule>
  </conditionalFormatting>
  <conditionalFormatting sqref="DK4 DK6 DK9 DK11 DK14 DK16 DK19 DK21">
    <cfRule type="expression" dxfId="2216" priority="547">
      <formula>DK5&gt;0</formula>
    </cfRule>
    <cfRule type="expression" dxfId="2215" priority="548">
      <formula>DK5&lt;0</formula>
    </cfRule>
  </conditionalFormatting>
  <conditionalFormatting sqref="DK5 DK7 DK10 DK12 DK15 DK17 DK20 DK22">
    <cfRule type="cellIs" dxfId="2214" priority="549" operator="lessThan">
      <formula>0</formula>
    </cfRule>
    <cfRule type="cellIs" dxfId="2213" priority="550" operator="greaterThan">
      <formula>0</formula>
    </cfRule>
  </conditionalFormatting>
  <conditionalFormatting sqref="DR4 DR6 DR9 DR11 DR14 DR16 DR19 DR21">
    <cfRule type="expression" dxfId="2212" priority="543">
      <formula>DR5&gt;0</formula>
    </cfRule>
    <cfRule type="expression" dxfId="2211" priority="544">
      <formula>DR5&lt;0</formula>
    </cfRule>
  </conditionalFormatting>
  <conditionalFormatting sqref="DR5 DR7 DR10 DR12 DR15 DR17 DR20 DR22">
    <cfRule type="cellIs" dxfId="2210" priority="545" operator="lessThan">
      <formula>0</formula>
    </cfRule>
    <cfRule type="cellIs" dxfId="2209" priority="546" operator="greaterThan">
      <formula>0</formula>
    </cfRule>
  </conditionalFormatting>
  <conditionalFormatting sqref="DY4 DY6 DY9 DY11 DY14 DY16 DY19 DY21">
    <cfRule type="expression" dxfId="2208" priority="539">
      <formula>DY5&gt;0</formula>
    </cfRule>
    <cfRule type="expression" dxfId="2207" priority="540">
      <formula>DY5&lt;0</formula>
    </cfRule>
  </conditionalFormatting>
  <conditionalFormatting sqref="DY5 DY7 DY10 DY12 DY15 DY17 DY20 DY22">
    <cfRule type="cellIs" dxfId="2206" priority="541" operator="lessThan">
      <formula>0</formula>
    </cfRule>
    <cfRule type="cellIs" dxfId="2205" priority="542" operator="greaterThan">
      <formula>0</formula>
    </cfRule>
  </conditionalFormatting>
  <conditionalFormatting sqref="EF4 EF6 EF9 EF11 EF14 EF16 EF19 EF21">
    <cfRule type="expression" dxfId="2204" priority="535">
      <formula>EF5&gt;0</formula>
    </cfRule>
    <cfRule type="expression" dxfId="2203" priority="536">
      <formula>EF5&lt;0</formula>
    </cfRule>
  </conditionalFormatting>
  <conditionalFormatting sqref="EF5 EF7 EF10 EF12 EF15 EF17 EF20 EF22">
    <cfRule type="cellIs" dxfId="2202" priority="537" operator="lessThan">
      <formula>0</formula>
    </cfRule>
    <cfRule type="cellIs" dxfId="2201" priority="538" operator="greaterThan">
      <formula>0</formula>
    </cfRule>
  </conditionalFormatting>
  <conditionalFormatting sqref="EM4 EM6 EM9 EM11 EM14 EM16 EM19 EM21">
    <cfRule type="expression" dxfId="2200" priority="531">
      <formula>EM5&gt;0</formula>
    </cfRule>
    <cfRule type="expression" dxfId="2199" priority="532">
      <formula>EM5&lt;0</formula>
    </cfRule>
  </conditionalFormatting>
  <conditionalFormatting sqref="EM5 EM7 EM10 EM12 EM15 EM17 EM20 EM22">
    <cfRule type="cellIs" dxfId="2198" priority="533" operator="lessThan">
      <formula>0</formula>
    </cfRule>
    <cfRule type="cellIs" dxfId="2197" priority="534" operator="greaterThan">
      <formula>0</formula>
    </cfRule>
  </conditionalFormatting>
  <conditionalFormatting sqref="ET4 ET6 ET9 ET11 ET14 ET16 ET19 ET21">
    <cfRule type="expression" dxfId="2196" priority="527">
      <formula>ET5&gt;0</formula>
    </cfRule>
    <cfRule type="expression" dxfId="2195" priority="528">
      <formula>ET5&lt;0</formula>
    </cfRule>
  </conditionalFormatting>
  <conditionalFormatting sqref="ET5 ET7 ET10 ET12 ET15 ET17 ET20 ET22">
    <cfRule type="cellIs" dxfId="2194" priority="529" operator="lessThan">
      <formula>0</formula>
    </cfRule>
    <cfRule type="cellIs" dxfId="2193" priority="530" operator="greaterThan">
      <formula>0</formula>
    </cfRule>
  </conditionalFormatting>
  <conditionalFormatting sqref="FA4 FA6 FA9 FA11 FA14 FA16 FA19 FA21">
    <cfRule type="expression" dxfId="2192" priority="523">
      <formula>FA5&gt;0</formula>
    </cfRule>
    <cfRule type="expression" dxfId="2191" priority="524">
      <formula>FA5&lt;0</formula>
    </cfRule>
  </conditionalFormatting>
  <conditionalFormatting sqref="FA5 FA7 FA10 FA12 FA15 FA17 FA20 FA22">
    <cfRule type="cellIs" dxfId="2190" priority="525" operator="lessThan">
      <formula>0</formula>
    </cfRule>
    <cfRule type="cellIs" dxfId="2189" priority="526" operator="greaterThan">
      <formula>0</formula>
    </cfRule>
  </conditionalFormatting>
  <conditionalFormatting sqref="FH4 FH6 FH9 FH11 FH14 FH16 FH19 FH21">
    <cfRule type="expression" dxfId="2188" priority="519">
      <formula>FH5&gt;0</formula>
    </cfRule>
    <cfRule type="expression" dxfId="2187" priority="520">
      <formula>FH5&lt;0</formula>
    </cfRule>
  </conditionalFormatting>
  <conditionalFormatting sqref="FH5 FH7 FH10 FH12 FH15 FH17 FH20 FH22">
    <cfRule type="cellIs" dxfId="2186" priority="521" operator="lessThan">
      <formula>0</formula>
    </cfRule>
    <cfRule type="cellIs" dxfId="2185" priority="522" operator="greaterThan">
      <formula>0</formula>
    </cfRule>
  </conditionalFormatting>
  <conditionalFormatting sqref="FO4 FO6 FO9 FO11 FO14 FO16 FO19 FO21">
    <cfRule type="expression" dxfId="2184" priority="515">
      <formula>FO5&gt;0</formula>
    </cfRule>
    <cfRule type="expression" dxfId="2183" priority="516">
      <formula>FO5&lt;0</formula>
    </cfRule>
  </conditionalFormatting>
  <conditionalFormatting sqref="FO5 FO7 FO10 FO12 FO15 FO17 FO20 FO22">
    <cfRule type="cellIs" dxfId="2182" priority="517" operator="lessThan">
      <formula>0</formula>
    </cfRule>
    <cfRule type="cellIs" dxfId="2181" priority="518" operator="greaterThan">
      <formula>0</formula>
    </cfRule>
  </conditionalFormatting>
  <conditionalFormatting sqref="FV4 FV6 FV9 FV11 FV14 FV16 FV19 FV21">
    <cfRule type="expression" dxfId="2180" priority="511">
      <formula>FV5&gt;0</formula>
    </cfRule>
    <cfRule type="expression" dxfId="2179" priority="512">
      <formula>FV5&lt;0</formula>
    </cfRule>
  </conditionalFormatting>
  <conditionalFormatting sqref="FV5 FV7 FV10 FV12 FV15 FV17 FV20 FV22">
    <cfRule type="cellIs" dxfId="2178" priority="513" operator="lessThan">
      <formula>0</formula>
    </cfRule>
    <cfRule type="cellIs" dxfId="2177" priority="514" operator="greaterThan">
      <formula>0</formula>
    </cfRule>
  </conditionalFormatting>
  <conditionalFormatting sqref="GC4 GC6 GC9 GC11 GC14 GC16 GC19 GC21">
    <cfRule type="expression" dxfId="2176" priority="507">
      <formula>GC5&gt;0</formula>
    </cfRule>
    <cfRule type="expression" dxfId="2175" priority="508">
      <formula>GC5&lt;0</formula>
    </cfRule>
  </conditionalFormatting>
  <conditionalFormatting sqref="GC5 GC7 GC10 GC12 GC15 GC17 GC20 GC22">
    <cfRule type="cellIs" dxfId="2174" priority="509" operator="lessThan">
      <formula>0</formula>
    </cfRule>
    <cfRule type="cellIs" dxfId="2173" priority="510" operator="greaterThan">
      <formula>0</formula>
    </cfRule>
  </conditionalFormatting>
  <conditionalFormatting sqref="GJ4 GJ6 GJ9 GJ11 GJ14 GJ16 GJ19 GJ21">
    <cfRule type="expression" dxfId="2172" priority="503">
      <formula>GJ5&gt;0</formula>
    </cfRule>
    <cfRule type="expression" dxfId="2171" priority="504">
      <formula>GJ5&lt;0</formula>
    </cfRule>
  </conditionalFormatting>
  <conditionalFormatting sqref="GJ5 GJ7 GJ10 GJ12 GJ15 GJ17 GJ20 GJ22">
    <cfRule type="cellIs" dxfId="2170" priority="505" operator="lessThan">
      <formula>0</formula>
    </cfRule>
    <cfRule type="cellIs" dxfId="2169" priority="506" operator="greaterThan">
      <formula>0</formula>
    </cfRule>
  </conditionalFormatting>
  <conditionalFormatting sqref="GQ4 GQ6 GQ9 GQ11 GQ14 GQ16 GQ19 GQ21">
    <cfRule type="expression" dxfId="2168" priority="491">
      <formula>GQ5&gt;0</formula>
    </cfRule>
    <cfRule type="expression" dxfId="2167" priority="492">
      <formula>GQ5&lt;0</formula>
    </cfRule>
  </conditionalFormatting>
  <conditionalFormatting sqref="GQ5 GQ7 GQ10 GQ12 GQ15 GQ17 GQ20 GQ22">
    <cfRule type="cellIs" dxfId="2166" priority="493" operator="lessThan">
      <formula>0</formula>
    </cfRule>
    <cfRule type="cellIs" dxfId="2165" priority="494" operator="greaterThan">
      <formula>0</formula>
    </cfRule>
  </conditionalFormatting>
  <conditionalFormatting sqref="GX4 GX6 GX9 GX11 GX14 GX16 GX19 GX21">
    <cfRule type="expression" dxfId="2164" priority="487">
      <formula>GX5&gt;0</formula>
    </cfRule>
    <cfRule type="expression" dxfId="2163" priority="488">
      <formula>GX5&lt;0</formula>
    </cfRule>
  </conditionalFormatting>
  <conditionalFormatting sqref="GX5 GX7 GX10 GX12 GX15 GX17 GX20 GX22">
    <cfRule type="cellIs" dxfId="2162" priority="489" operator="lessThan">
      <formula>0</formula>
    </cfRule>
    <cfRule type="cellIs" dxfId="2161" priority="490" operator="greaterThan">
      <formula>0</formula>
    </cfRule>
  </conditionalFormatting>
  <conditionalFormatting sqref="X29">
    <cfRule type="cellIs" dxfId="2160" priority="484" operator="equal">
      <formula>"-"</formula>
    </cfRule>
    <cfRule type="cellIs" dxfId="2159" priority="485" operator="greaterThan">
      <formula>0</formula>
    </cfRule>
    <cfRule type="cellIs" dxfId="2158" priority="486" operator="lessThan">
      <formula>0</formula>
    </cfRule>
  </conditionalFormatting>
  <conditionalFormatting sqref="X32">
    <cfRule type="cellIs" dxfId="2157" priority="481" operator="equal">
      <formula>"-"</formula>
    </cfRule>
    <cfRule type="cellIs" dxfId="2156" priority="482" operator="greaterThan">
      <formula>0</formula>
    </cfRule>
    <cfRule type="cellIs" dxfId="2155" priority="483" operator="lessThan">
      <formula>0</formula>
    </cfRule>
  </conditionalFormatting>
  <conditionalFormatting sqref="X35">
    <cfRule type="cellIs" dxfId="2154" priority="478" operator="equal">
      <formula>"-"</formula>
    </cfRule>
    <cfRule type="cellIs" dxfId="2153" priority="479" operator="greaterThan">
      <formula>0</formula>
    </cfRule>
    <cfRule type="cellIs" dxfId="2152" priority="480" operator="lessThan">
      <formula>0</formula>
    </cfRule>
  </conditionalFormatting>
  <conditionalFormatting sqref="X38">
    <cfRule type="cellIs" dxfId="2151" priority="475" operator="equal">
      <formula>"-"</formula>
    </cfRule>
    <cfRule type="cellIs" dxfId="2150" priority="476" operator="greaterThan">
      <formula>0</formula>
    </cfRule>
    <cfRule type="cellIs" dxfId="2149" priority="477" operator="lessThan">
      <formula>0</formula>
    </cfRule>
  </conditionalFormatting>
  <conditionalFormatting sqref="X41">
    <cfRule type="cellIs" dxfId="2148" priority="472" operator="equal">
      <formula>"-"</formula>
    </cfRule>
    <cfRule type="cellIs" dxfId="2147" priority="473" operator="greaterThan">
      <formula>0</formula>
    </cfRule>
    <cfRule type="cellIs" dxfId="2146" priority="474" operator="lessThan">
      <formula>0</formula>
    </cfRule>
  </conditionalFormatting>
  <conditionalFormatting sqref="X44">
    <cfRule type="cellIs" dxfId="2145" priority="469" operator="equal">
      <formula>"-"</formula>
    </cfRule>
    <cfRule type="cellIs" dxfId="2144" priority="470" operator="greaterThan">
      <formula>0</formula>
    </cfRule>
    <cfRule type="cellIs" dxfId="2143" priority="471" operator="lessThan">
      <formula>0</formula>
    </cfRule>
  </conditionalFormatting>
  <conditionalFormatting sqref="AE29">
    <cfRule type="cellIs" dxfId="2142" priority="466" operator="equal">
      <formula>"-"</formula>
    </cfRule>
    <cfRule type="cellIs" dxfId="2141" priority="467" operator="greaterThan">
      <formula>0</formula>
    </cfRule>
    <cfRule type="cellIs" dxfId="2140" priority="468" operator="lessThan">
      <formula>0</formula>
    </cfRule>
  </conditionalFormatting>
  <conditionalFormatting sqref="AE32">
    <cfRule type="cellIs" dxfId="2139" priority="463" operator="equal">
      <formula>"-"</formula>
    </cfRule>
    <cfRule type="cellIs" dxfId="2138" priority="464" operator="greaterThan">
      <formula>0</formula>
    </cfRule>
    <cfRule type="cellIs" dxfId="2137" priority="465" operator="lessThan">
      <formula>0</formula>
    </cfRule>
  </conditionalFormatting>
  <conditionalFormatting sqref="AE35">
    <cfRule type="cellIs" dxfId="2136" priority="460" operator="equal">
      <formula>"-"</formula>
    </cfRule>
    <cfRule type="cellIs" dxfId="2135" priority="461" operator="greaterThan">
      <formula>0</formula>
    </cfRule>
    <cfRule type="cellIs" dxfId="2134" priority="462" operator="lessThan">
      <formula>0</formula>
    </cfRule>
  </conditionalFormatting>
  <conditionalFormatting sqref="AE38">
    <cfRule type="cellIs" dxfId="2133" priority="457" operator="equal">
      <formula>"-"</formula>
    </cfRule>
    <cfRule type="cellIs" dxfId="2132" priority="458" operator="greaterThan">
      <formula>0</formula>
    </cfRule>
    <cfRule type="cellIs" dxfId="2131" priority="459" operator="lessThan">
      <formula>0</formula>
    </cfRule>
  </conditionalFormatting>
  <conditionalFormatting sqref="AE41">
    <cfRule type="cellIs" dxfId="2130" priority="454" operator="equal">
      <formula>"-"</formula>
    </cfRule>
    <cfRule type="cellIs" dxfId="2129" priority="455" operator="greaterThan">
      <formula>0</formula>
    </cfRule>
    <cfRule type="cellIs" dxfId="2128" priority="456" operator="lessThan">
      <formula>0</formula>
    </cfRule>
  </conditionalFormatting>
  <conditionalFormatting sqref="AE44">
    <cfRule type="cellIs" dxfId="2127" priority="451" operator="equal">
      <formula>"-"</formula>
    </cfRule>
    <cfRule type="cellIs" dxfId="2126" priority="452" operator="greaterThan">
      <formula>0</formula>
    </cfRule>
    <cfRule type="cellIs" dxfId="2125" priority="453" operator="lessThan">
      <formula>0</formula>
    </cfRule>
  </conditionalFormatting>
  <conditionalFormatting sqref="AL29">
    <cfRule type="cellIs" dxfId="2124" priority="448" operator="equal">
      <formula>"-"</formula>
    </cfRule>
    <cfRule type="cellIs" dxfId="2123" priority="449" operator="greaterThan">
      <formula>0</formula>
    </cfRule>
    <cfRule type="cellIs" dxfId="2122" priority="450" operator="lessThan">
      <formula>0</formula>
    </cfRule>
  </conditionalFormatting>
  <conditionalFormatting sqref="AL32">
    <cfRule type="cellIs" dxfId="2121" priority="445" operator="equal">
      <formula>"-"</formula>
    </cfRule>
    <cfRule type="cellIs" dxfId="2120" priority="446" operator="greaterThan">
      <formula>0</formula>
    </cfRule>
    <cfRule type="cellIs" dxfId="2119" priority="447" operator="lessThan">
      <formula>0</formula>
    </cfRule>
  </conditionalFormatting>
  <conditionalFormatting sqref="AL35">
    <cfRule type="cellIs" dxfId="2118" priority="442" operator="equal">
      <formula>"-"</formula>
    </cfRule>
    <cfRule type="cellIs" dxfId="2117" priority="443" operator="greaterThan">
      <formula>0</formula>
    </cfRule>
    <cfRule type="cellIs" dxfId="2116" priority="444" operator="lessThan">
      <formula>0</formula>
    </cfRule>
  </conditionalFormatting>
  <conditionalFormatting sqref="AL38">
    <cfRule type="cellIs" dxfId="2115" priority="439" operator="equal">
      <formula>"-"</formula>
    </cfRule>
    <cfRule type="cellIs" dxfId="2114" priority="440" operator="greaterThan">
      <formula>0</formula>
    </cfRule>
    <cfRule type="cellIs" dxfId="2113" priority="441" operator="lessThan">
      <formula>0</formula>
    </cfRule>
  </conditionalFormatting>
  <conditionalFormatting sqref="AL41">
    <cfRule type="cellIs" dxfId="2112" priority="436" operator="equal">
      <formula>"-"</formula>
    </cfRule>
    <cfRule type="cellIs" dxfId="2111" priority="437" operator="greaterThan">
      <formula>0</formula>
    </cfRule>
    <cfRule type="cellIs" dxfId="2110" priority="438" operator="lessThan">
      <formula>0</formula>
    </cfRule>
  </conditionalFormatting>
  <conditionalFormatting sqref="AL44">
    <cfRule type="cellIs" dxfId="2109" priority="433" operator="equal">
      <formula>"-"</formula>
    </cfRule>
    <cfRule type="cellIs" dxfId="2108" priority="434" operator="greaterThan">
      <formula>0</formula>
    </cfRule>
    <cfRule type="cellIs" dxfId="2107" priority="435" operator="lessThan">
      <formula>0</formula>
    </cfRule>
  </conditionalFormatting>
  <conditionalFormatting sqref="AS29">
    <cfRule type="cellIs" dxfId="2106" priority="430" operator="equal">
      <formula>"-"</formula>
    </cfRule>
    <cfRule type="cellIs" dxfId="2105" priority="431" operator="greaterThan">
      <formula>0</formula>
    </cfRule>
    <cfRule type="cellIs" dxfId="2104" priority="432" operator="lessThan">
      <formula>0</formula>
    </cfRule>
  </conditionalFormatting>
  <conditionalFormatting sqref="AS32">
    <cfRule type="cellIs" dxfId="2103" priority="427" operator="equal">
      <formula>"-"</formula>
    </cfRule>
    <cfRule type="cellIs" dxfId="2102" priority="428" operator="greaterThan">
      <formula>0</formula>
    </cfRule>
    <cfRule type="cellIs" dxfId="2101" priority="429" operator="lessThan">
      <formula>0</formula>
    </cfRule>
  </conditionalFormatting>
  <conditionalFormatting sqref="AS35">
    <cfRule type="cellIs" dxfId="2100" priority="424" operator="equal">
      <formula>"-"</formula>
    </cfRule>
    <cfRule type="cellIs" dxfId="2099" priority="425" operator="greaterThan">
      <formula>0</formula>
    </cfRule>
    <cfRule type="cellIs" dxfId="2098" priority="426" operator="lessThan">
      <formula>0</formula>
    </cfRule>
  </conditionalFormatting>
  <conditionalFormatting sqref="AS38">
    <cfRule type="cellIs" dxfId="2097" priority="421" operator="equal">
      <formula>"-"</formula>
    </cfRule>
    <cfRule type="cellIs" dxfId="2096" priority="422" operator="greaterThan">
      <formula>0</formula>
    </cfRule>
    <cfRule type="cellIs" dxfId="2095" priority="423" operator="lessThan">
      <formula>0</formula>
    </cfRule>
  </conditionalFormatting>
  <conditionalFormatting sqref="AS41">
    <cfRule type="cellIs" dxfId="2094" priority="418" operator="equal">
      <formula>"-"</formula>
    </cfRule>
    <cfRule type="cellIs" dxfId="2093" priority="419" operator="greaterThan">
      <formula>0</formula>
    </cfRule>
    <cfRule type="cellIs" dxfId="2092" priority="420" operator="lessThan">
      <formula>0</formula>
    </cfRule>
  </conditionalFormatting>
  <conditionalFormatting sqref="AS44">
    <cfRule type="cellIs" dxfId="2091" priority="415" operator="equal">
      <formula>"-"</formula>
    </cfRule>
    <cfRule type="cellIs" dxfId="2090" priority="416" operator="greaterThan">
      <formula>0</formula>
    </cfRule>
    <cfRule type="cellIs" dxfId="2089" priority="417" operator="lessThan">
      <formula>0</formula>
    </cfRule>
  </conditionalFormatting>
  <conditionalFormatting sqref="AZ29">
    <cfRule type="cellIs" dxfId="2088" priority="412" operator="equal">
      <formula>"-"</formula>
    </cfRule>
    <cfRule type="cellIs" dxfId="2087" priority="413" operator="greaterThan">
      <formula>0</formula>
    </cfRule>
    <cfRule type="cellIs" dxfId="2086" priority="414" operator="lessThan">
      <formula>0</formula>
    </cfRule>
  </conditionalFormatting>
  <conditionalFormatting sqref="AZ32">
    <cfRule type="cellIs" dxfId="2085" priority="409" operator="equal">
      <formula>"-"</formula>
    </cfRule>
    <cfRule type="cellIs" dxfId="2084" priority="410" operator="greaterThan">
      <formula>0</formula>
    </cfRule>
    <cfRule type="cellIs" dxfId="2083" priority="411" operator="lessThan">
      <formula>0</formula>
    </cfRule>
  </conditionalFormatting>
  <conditionalFormatting sqref="AZ35">
    <cfRule type="cellIs" dxfId="2082" priority="406" operator="equal">
      <formula>"-"</formula>
    </cfRule>
    <cfRule type="cellIs" dxfId="2081" priority="407" operator="greaterThan">
      <formula>0</formula>
    </cfRule>
    <cfRule type="cellIs" dxfId="2080" priority="408" operator="lessThan">
      <formula>0</formula>
    </cfRule>
  </conditionalFormatting>
  <conditionalFormatting sqref="AZ38">
    <cfRule type="cellIs" dxfId="2079" priority="403" operator="equal">
      <formula>"-"</formula>
    </cfRule>
    <cfRule type="cellIs" dxfId="2078" priority="404" operator="greaterThan">
      <formula>0</formula>
    </cfRule>
    <cfRule type="cellIs" dxfId="2077" priority="405" operator="lessThan">
      <formula>0</formula>
    </cfRule>
  </conditionalFormatting>
  <conditionalFormatting sqref="AZ41">
    <cfRule type="cellIs" dxfId="2076" priority="400" operator="equal">
      <formula>"-"</formula>
    </cfRule>
    <cfRule type="cellIs" dxfId="2075" priority="401" operator="greaterThan">
      <formula>0</formula>
    </cfRule>
    <cfRule type="cellIs" dxfId="2074" priority="402" operator="lessThan">
      <formula>0</formula>
    </cfRule>
  </conditionalFormatting>
  <conditionalFormatting sqref="AZ44">
    <cfRule type="cellIs" dxfId="2073" priority="397" operator="equal">
      <formula>"-"</formula>
    </cfRule>
    <cfRule type="cellIs" dxfId="2072" priority="398" operator="greaterThan">
      <formula>0</formula>
    </cfRule>
    <cfRule type="cellIs" dxfId="2071" priority="399" operator="lessThan">
      <formula>0</formula>
    </cfRule>
  </conditionalFormatting>
  <conditionalFormatting sqref="BG29">
    <cfRule type="cellIs" dxfId="2070" priority="394" operator="equal">
      <formula>"-"</formula>
    </cfRule>
    <cfRule type="cellIs" dxfId="2069" priority="395" operator="greaterThan">
      <formula>0</formula>
    </cfRule>
    <cfRule type="cellIs" dxfId="2068" priority="396" operator="lessThan">
      <formula>0</formula>
    </cfRule>
  </conditionalFormatting>
  <conditionalFormatting sqref="BG32">
    <cfRule type="cellIs" dxfId="2067" priority="391" operator="equal">
      <formula>"-"</formula>
    </cfRule>
    <cfRule type="cellIs" dxfId="2066" priority="392" operator="greaterThan">
      <formula>0</formula>
    </cfRule>
    <cfRule type="cellIs" dxfId="2065" priority="393" operator="lessThan">
      <formula>0</formula>
    </cfRule>
  </conditionalFormatting>
  <conditionalFormatting sqref="BG35">
    <cfRule type="cellIs" dxfId="2064" priority="388" operator="equal">
      <formula>"-"</formula>
    </cfRule>
    <cfRule type="cellIs" dxfId="2063" priority="389" operator="greaterThan">
      <formula>0</formula>
    </cfRule>
    <cfRule type="cellIs" dxfId="2062" priority="390" operator="lessThan">
      <formula>0</formula>
    </cfRule>
  </conditionalFormatting>
  <conditionalFormatting sqref="BG38">
    <cfRule type="cellIs" dxfId="2061" priority="385" operator="equal">
      <formula>"-"</formula>
    </cfRule>
    <cfRule type="cellIs" dxfId="2060" priority="386" operator="greaterThan">
      <formula>0</formula>
    </cfRule>
    <cfRule type="cellIs" dxfId="2059" priority="387" operator="lessThan">
      <formula>0</formula>
    </cfRule>
  </conditionalFormatting>
  <conditionalFormatting sqref="BG41">
    <cfRule type="cellIs" dxfId="2058" priority="382" operator="equal">
      <formula>"-"</formula>
    </cfRule>
    <cfRule type="cellIs" dxfId="2057" priority="383" operator="greaterThan">
      <formula>0</formula>
    </cfRule>
    <cfRule type="cellIs" dxfId="2056" priority="384" operator="lessThan">
      <formula>0</formula>
    </cfRule>
  </conditionalFormatting>
  <conditionalFormatting sqref="BG44">
    <cfRule type="cellIs" dxfId="2055" priority="379" operator="equal">
      <formula>"-"</formula>
    </cfRule>
    <cfRule type="cellIs" dxfId="2054" priority="380" operator="greaterThan">
      <formula>0</formula>
    </cfRule>
    <cfRule type="cellIs" dxfId="2053" priority="381" operator="lessThan">
      <formula>0</formula>
    </cfRule>
  </conditionalFormatting>
  <conditionalFormatting sqref="BN29">
    <cfRule type="cellIs" dxfId="2052" priority="376" operator="equal">
      <formula>"-"</formula>
    </cfRule>
    <cfRule type="cellIs" dxfId="2051" priority="377" operator="greaterThan">
      <formula>0</formula>
    </cfRule>
    <cfRule type="cellIs" dxfId="2050" priority="378" operator="lessThan">
      <formula>0</formula>
    </cfRule>
  </conditionalFormatting>
  <conditionalFormatting sqref="BN32">
    <cfRule type="cellIs" dxfId="2049" priority="373" operator="equal">
      <formula>"-"</formula>
    </cfRule>
    <cfRule type="cellIs" dxfId="2048" priority="374" operator="greaterThan">
      <formula>0</formula>
    </cfRule>
    <cfRule type="cellIs" dxfId="2047" priority="375" operator="lessThan">
      <formula>0</formula>
    </cfRule>
  </conditionalFormatting>
  <conditionalFormatting sqref="BN35">
    <cfRule type="cellIs" dxfId="2046" priority="370" operator="equal">
      <formula>"-"</formula>
    </cfRule>
    <cfRule type="cellIs" dxfId="2045" priority="371" operator="greaterThan">
      <formula>0</formula>
    </cfRule>
    <cfRule type="cellIs" dxfId="2044" priority="372" operator="lessThan">
      <formula>0</formula>
    </cfRule>
  </conditionalFormatting>
  <conditionalFormatting sqref="BN38">
    <cfRule type="cellIs" dxfId="2043" priority="367" operator="equal">
      <formula>"-"</formula>
    </cfRule>
    <cfRule type="cellIs" dxfId="2042" priority="368" operator="greaterThan">
      <formula>0</formula>
    </cfRule>
    <cfRule type="cellIs" dxfId="2041" priority="369" operator="lessThan">
      <formula>0</formula>
    </cfRule>
  </conditionalFormatting>
  <conditionalFormatting sqref="BN41">
    <cfRule type="cellIs" dxfId="2040" priority="364" operator="equal">
      <formula>"-"</formula>
    </cfRule>
    <cfRule type="cellIs" dxfId="2039" priority="365" operator="greaterThan">
      <formula>0</formula>
    </cfRule>
    <cfRule type="cellIs" dxfId="2038" priority="366" operator="lessThan">
      <formula>0</formula>
    </cfRule>
  </conditionalFormatting>
  <conditionalFormatting sqref="BN44">
    <cfRule type="cellIs" dxfId="2037" priority="361" operator="equal">
      <formula>"-"</formula>
    </cfRule>
    <cfRule type="cellIs" dxfId="2036" priority="362" operator="greaterThan">
      <formula>0</formula>
    </cfRule>
    <cfRule type="cellIs" dxfId="2035" priority="363" operator="lessThan">
      <formula>0</formula>
    </cfRule>
  </conditionalFormatting>
  <conditionalFormatting sqref="BU29">
    <cfRule type="cellIs" dxfId="2034" priority="358" operator="equal">
      <formula>"-"</formula>
    </cfRule>
    <cfRule type="cellIs" dxfId="2033" priority="359" operator="greaterThan">
      <formula>0</formula>
    </cfRule>
    <cfRule type="cellIs" dxfId="2032" priority="360" operator="lessThan">
      <formula>0</formula>
    </cfRule>
  </conditionalFormatting>
  <conditionalFormatting sqref="BU32">
    <cfRule type="cellIs" dxfId="2031" priority="355" operator="equal">
      <formula>"-"</formula>
    </cfRule>
    <cfRule type="cellIs" dxfId="2030" priority="356" operator="greaterThan">
      <formula>0</formula>
    </cfRule>
    <cfRule type="cellIs" dxfId="2029" priority="357" operator="lessThan">
      <formula>0</formula>
    </cfRule>
  </conditionalFormatting>
  <conditionalFormatting sqref="BU35">
    <cfRule type="cellIs" dxfId="2028" priority="352" operator="equal">
      <formula>"-"</formula>
    </cfRule>
    <cfRule type="cellIs" dxfId="2027" priority="353" operator="greaterThan">
      <formula>0</formula>
    </cfRule>
    <cfRule type="cellIs" dxfId="2026" priority="354" operator="lessThan">
      <formula>0</formula>
    </cfRule>
  </conditionalFormatting>
  <conditionalFormatting sqref="BU38">
    <cfRule type="cellIs" dxfId="2025" priority="349" operator="equal">
      <formula>"-"</formula>
    </cfRule>
    <cfRule type="cellIs" dxfId="2024" priority="350" operator="greaterThan">
      <formula>0</formula>
    </cfRule>
    <cfRule type="cellIs" dxfId="2023" priority="351" operator="lessThan">
      <formula>0</formula>
    </cfRule>
  </conditionalFormatting>
  <conditionalFormatting sqref="BU41">
    <cfRule type="cellIs" dxfId="2022" priority="346" operator="equal">
      <formula>"-"</formula>
    </cfRule>
    <cfRule type="cellIs" dxfId="2021" priority="347" operator="greaterThan">
      <formula>0</formula>
    </cfRule>
    <cfRule type="cellIs" dxfId="2020" priority="348" operator="lessThan">
      <formula>0</formula>
    </cfRule>
  </conditionalFormatting>
  <conditionalFormatting sqref="BU44">
    <cfRule type="cellIs" dxfId="2019" priority="343" operator="equal">
      <formula>"-"</formula>
    </cfRule>
    <cfRule type="cellIs" dxfId="2018" priority="344" operator="greaterThan">
      <formula>0</formula>
    </cfRule>
    <cfRule type="cellIs" dxfId="2017" priority="345" operator="lessThan">
      <formula>0</formula>
    </cfRule>
  </conditionalFormatting>
  <conditionalFormatting sqref="CB29">
    <cfRule type="cellIs" dxfId="2016" priority="340" operator="equal">
      <formula>"-"</formula>
    </cfRule>
    <cfRule type="cellIs" dxfId="2015" priority="341" operator="greaterThan">
      <formula>0</formula>
    </cfRule>
    <cfRule type="cellIs" dxfId="2014" priority="342" operator="lessThan">
      <formula>0</formula>
    </cfRule>
  </conditionalFormatting>
  <conditionalFormatting sqref="CB32">
    <cfRule type="cellIs" dxfId="2013" priority="337" operator="equal">
      <formula>"-"</formula>
    </cfRule>
    <cfRule type="cellIs" dxfId="2012" priority="338" operator="greaterThan">
      <formula>0</formula>
    </cfRule>
    <cfRule type="cellIs" dxfId="2011" priority="339" operator="lessThan">
      <formula>0</formula>
    </cfRule>
  </conditionalFormatting>
  <conditionalFormatting sqref="CB35">
    <cfRule type="cellIs" dxfId="2010" priority="334" operator="equal">
      <formula>"-"</formula>
    </cfRule>
    <cfRule type="cellIs" dxfId="2009" priority="335" operator="greaterThan">
      <formula>0</formula>
    </cfRule>
    <cfRule type="cellIs" dxfId="2008" priority="336" operator="lessThan">
      <formula>0</formula>
    </cfRule>
  </conditionalFormatting>
  <conditionalFormatting sqref="CB38">
    <cfRule type="cellIs" dxfId="2007" priority="331" operator="equal">
      <formula>"-"</formula>
    </cfRule>
    <cfRule type="cellIs" dxfId="2006" priority="332" operator="greaterThan">
      <formula>0</formula>
    </cfRule>
    <cfRule type="cellIs" dxfId="2005" priority="333" operator="lessThan">
      <formula>0</formula>
    </cfRule>
  </conditionalFormatting>
  <conditionalFormatting sqref="CB41">
    <cfRule type="cellIs" dxfId="2004" priority="328" operator="equal">
      <formula>"-"</formula>
    </cfRule>
    <cfRule type="cellIs" dxfId="2003" priority="329" operator="greaterThan">
      <formula>0</formula>
    </cfRule>
    <cfRule type="cellIs" dxfId="2002" priority="330" operator="lessThan">
      <formula>0</formula>
    </cfRule>
  </conditionalFormatting>
  <conditionalFormatting sqref="CB44">
    <cfRule type="cellIs" dxfId="2001" priority="325" operator="equal">
      <formula>"-"</formula>
    </cfRule>
    <cfRule type="cellIs" dxfId="2000" priority="326" operator="greaterThan">
      <formula>0</formula>
    </cfRule>
    <cfRule type="cellIs" dxfId="1999" priority="327" operator="lessThan">
      <formula>0</formula>
    </cfRule>
  </conditionalFormatting>
  <conditionalFormatting sqref="CI29">
    <cfRule type="cellIs" dxfId="1998" priority="322" operator="equal">
      <formula>"-"</formula>
    </cfRule>
    <cfRule type="cellIs" dxfId="1997" priority="323" operator="greaterThan">
      <formula>0</formula>
    </cfRule>
    <cfRule type="cellIs" dxfId="1996" priority="324" operator="lessThan">
      <formula>0</formula>
    </cfRule>
  </conditionalFormatting>
  <conditionalFormatting sqref="CI32">
    <cfRule type="cellIs" dxfId="1995" priority="319" operator="equal">
      <formula>"-"</formula>
    </cfRule>
    <cfRule type="cellIs" dxfId="1994" priority="320" operator="greaterThan">
      <formula>0</formula>
    </cfRule>
    <cfRule type="cellIs" dxfId="1993" priority="321" operator="lessThan">
      <formula>0</formula>
    </cfRule>
  </conditionalFormatting>
  <conditionalFormatting sqref="CI35">
    <cfRule type="cellIs" dxfId="1992" priority="316" operator="equal">
      <formula>"-"</formula>
    </cfRule>
    <cfRule type="cellIs" dxfId="1991" priority="317" operator="greaterThan">
      <formula>0</formula>
    </cfRule>
    <cfRule type="cellIs" dxfId="1990" priority="318" operator="lessThan">
      <formula>0</formula>
    </cfRule>
  </conditionalFormatting>
  <conditionalFormatting sqref="CI38">
    <cfRule type="cellIs" dxfId="1989" priority="313" operator="equal">
      <formula>"-"</formula>
    </cfRule>
    <cfRule type="cellIs" dxfId="1988" priority="314" operator="greaterThan">
      <formula>0</formula>
    </cfRule>
    <cfRule type="cellIs" dxfId="1987" priority="315" operator="lessThan">
      <formula>0</formula>
    </cfRule>
  </conditionalFormatting>
  <conditionalFormatting sqref="CI41">
    <cfRule type="cellIs" dxfId="1986" priority="310" operator="equal">
      <formula>"-"</formula>
    </cfRule>
    <cfRule type="cellIs" dxfId="1985" priority="311" operator="greaterThan">
      <formula>0</formula>
    </cfRule>
    <cfRule type="cellIs" dxfId="1984" priority="312" operator="lessThan">
      <formula>0</formula>
    </cfRule>
  </conditionalFormatting>
  <conditionalFormatting sqref="CI44">
    <cfRule type="cellIs" dxfId="1983" priority="307" operator="equal">
      <formula>"-"</formula>
    </cfRule>
    <cfRule type="cellIs" dxfId="1982" priority="308" operator="greaterThan">
      <formula>0</formula>
    </cfRule>
    <cfRule type="cellIs" dxfId="1981" priority="309" operator="lessThan">
      <formula>0</formula>
    </cfRule>
  </conditionalFormatting>
  <conditionalFormatting sqref="CP29">
    <cfRule type="cellIs" dxfId="1980" priority="304" operator="equal">
      <formula>"-"</formula>
    </cfRule>
    <cfRule type="cellIs" dxfId="1979" priority="305" operator="greaterThan">
      <formula>0</formula>
    </cfRule>
    <cfRule type="cellIs" dxfId="1978" priority="306" operator="lessThan">
      <formula>0</formula>
    </cfRule>
  </conditionalFormatting>
  <conditionalFormatting sqref="CP32">
    <cfRule type="cellIs" dxfId="1977" priority="301" operator="equal">
      <formula>"-"</formula>
    </cfRule>
    <cfRule type="cellIs" dxfId="1976" priority="302" operator="greaterThan">
      <formula>0</formula>
    </cfRule>
    <cfRule type="cellIs" dxfId="1975" priority="303" operator="lessThan">
      <formula>0</formula>
    </cfRule>
  </conditionalFormatting>
  <conditionalFormatting sqref="CP35">
    <cfRule type="cellIs" dxfId="1974" priority="298" operator="equal">
      <formula>"-"</formula>
    </cfRule>
    <cfRule type="cellIs" dxfId="1973" priority="299" operator="greaterThan">
      <formula>0</formula>
    </cfRule>
    <cfRule type="cellIs" dxfId="1972" priority="300" operator="lessThan">
      <formula>0</formula>
    </cfRule>
  </conditionalFormatting>
  <conditionalFormatting sqref="CP38">
    <cfRule type="cellIs" dxfId="1971" priority="295" operator="equal">
      <formula>"-"</formula>
    </cfRule>
    <cfRule type="cellIs" dxfId="1970" priority="296" operator="greaterThan">
      <formula>0</formula>
    </cfRule>
    <cfRule type="cellIs" dxfId="1969" priority="297" operator="lessThan">
      <formula>0</formula>
    </cfRule>
  </conditionalFormatting>
  <conditionalFormatting sqref="CP41">
    <cfRule type="cellIs" dxfId="1968" priority="292" operator="equal">
      <formula>"-"</formula>
    </cfRule>
    <cfRule type="cellIs" dxfId="1967" priority="293" operator="greaterThan">
      <formula>0</formula>
    </cfRule>
    <cfRule type="cellIs" dxfId="1966" priority="294" operator="lessThan">
      <formula>0</formula>
    </cfRule>
  </conditionalFormatting>
  <conditionalFormatting sqref="CP44">
    <cfRule type="cellIs" dxfId="1965" priority="289" operator="equal">
      <formula>"-"</formula>
    </cfRule>
    <cfRule type="cellIs" dxfId="1964" priority="290" operator="greaterThan">
      <formula>0</formula>
    </cfRule>
    <cfRule type="cellIs" dxfId="1963" priority="291" operator="lessThan">
      <formula>0</formula>
    </cfRule>
  </conditionalFormatting>
  <conditionalFormatting sqref="CW29">
    <cfRule type="cellIs" dxfId="1962" priority="286" operator="equal">
      <formula>"-"</formula>
    </cfRule>
    <cfRule type="cellIs" dxfId="1961" priority="287" operator="greaterThan">
      <formula>0</formula>
    </cfRule>
    <cfRule type="cellIs" dxfId="1960" priority="288" operator="lessThan">
      <formula>0</formula>
    </cfRule>
  </conditionalFormatting>
  <conditionalFormatting sqref="CW32">
    <cfRule type="cellIs" dxfId="1959" priority="283" operator="equal">
      <formula>"-"</formula>
    </cfRule>
    <cfRule type="cellIs" dxfId="1958" priority="284" operator="greaterThan">
      <formula>0</formula>
    </cfRule>
    <cfRule type="cellIs" dxfId="1957" priority="285" operator="lessThan">
      <formula>0</formula>
    </cfRule>
  </conditionalFormatting>
  <conditionalFormatting sqref="CW35">
    <cfRule type="cellIs" dxfId="1956" priority="280" operator="equal">
      <formula>"-"</formula>
    </cfRule>
    <cfRule type="cellIs" dxfId="1955" priority="281" operator="greaterThan">
      <formula>0</formula>
    </cfRule>
    <cfRule type="cellIs" dxfId="1954" priority="282" operator="lessThan">
      <formula>0</formula>
    </cfRule>
  </conditionalFormatting>
  <conditionalFormatting sqref="CW38">
    <cfRule type="cellIs" dxfId="1953" priority="277" operator="equal">
      <formula>"-"</formula>
    </cfRule>
    <cfRule type="cellIs" dxfId="1952" priority="278" operator="greaterThan">
      <formula>0</formula>
    </cfRule>
    <cfRule type="cellIs" dxfId="1951" priority="279" operator="lessThan">
      <formula>0</formula>
    </cfRule>
  </conditionalFormatting>
  <conditionalFormatting sqref="CW41">
    <cfRule type="cellIs" dxfId="1950" priority="274" operator="equal">
      <formula>"-"</formula>
    </cfRule>
    <cfRule type="cellIs" dxfId="1949" priority="275" operator="greaterThan">
      <formula>0</formula>
    </cfRule>
    <cfRule type="cellIs" dxfId="1948" priority="276" operator="lessThan">
      <formula>0</formula>
    </cfRule>
  </conditionalFormatting>
  <conditionalFormatting sqref="CW44">
    <cfRule type="cellIs" dxfId="1947" priority="271" operator="equal">
      <formula>"-"</formula>
    </cfRule>
    <cfRule type="cellIs" dxfId="1946" priority="272" operator="greaterThan">
      <formula>0</formula>
    </cfRule>
    <cfRule type="cellIs" dxfId="1945" priority="273" operator="lessThan">
      <formula>0</formula>
    </cfRule>
  </conditionalFormatting>
  <conditionalFormatting sqref="DD29">
    <cfRule type="cellIs" dxfId="1944" priority="268" operator="equal">
      <formula>"-"</formula>
    </cfRule>
    <cfRule type="cellIs" dxfId="1943" priority="269" operator="greaterThan">
      <formula>0</formula>
    </cfRule>
    <cfRule type="cellIs" dxfId="1942" priority="270" operator="lessThan">
      <formula>0</formula>
    </cfRule>
  </conditionalFormatting>
  <conditionalFormatting sqref="DD32">
    <cfRule type="cellIs" dxfId="1941" priority="265" operator="equal">
      <formula>"-"</formula>
    </cfRule>
    <cfRule type="cellIs" dxfId="1940" priority="266" operator="greaterThan">
      <formula>0</formula>
    </cfRule>
    <cfRule type="cellIs" dxfId="1939" priority="267" operator="lessThan">
      <formula>0</formula>
    </cfRule>
  </conditionalFormatting>
  <conditionalFormatting sqref="DD35">
    <cfRule type="cellIs" dxfId="1938" priority="262" operator="equal">
      <formula>"-"</formula>
    </cfRule>
    <cfRule type="cellIs" dxfId="1937" priority="263" operator="greaterThan">
      <formula>0</formula>
    </cfRule>
    <cfRule type="cellIs" dxfId="1936" priority="264" operator="lessThan">
      <formula>0</formula>
    </cfRule>
  </conditionalFormatting>
  <conditionalFormatting sqref="DD38">
    <cfRule type="cellIs" dxfId="1935" priority="259" operator="equal">
      <formula>"-"</formula>
    </cfRule>
    <cfRule type="cellIs" dxfId="1934" priority="260" operator="greaterThan">
      <formula>0</formula>
    </cfRule>
    <cfRule type="cellIs" dxfId="1933" priority="261" operator="lessThan">
      <formula>0</formula>
    </cfRule>
  </conditionalFormatting>
  <conditionalFormatting sqref="DD41">
    <cfRule type="cellIs" dxfId="1932" priority="256" operator="equal">
      <formula>"-"</formula>
    </cfRule>
    <cfRule type="cellIs" dxfId="1931" priority="257" operator="greaterThan">
      <formula>0</formula>
    </cfRule>
    <cfRule type="cellIs" dxfId="1930" priority="258" operator="lessThan">
      <formula>0</formula>
    </cfRule>
  </conditionalFormatting>
  <conditionalFormatting sqref="DD44">
    <cfRule type="cellIs" dxfId="1929" priority="253" operator="equal">
      <formula>"-"</formula>
    </cfRule>
    <cfRule type="cellIs" dxfId="1928" priority="254" operator="greaterThan">
      <formula>0</formula>
    </cfRule>
    <cfRule type="cellIs" dxfId="1927" priority="255" operator="lessThan">
      <formula>0</formula>
    </cfRule>
  </conditionalFormatting>
  <conditionalFormatting sqref="DK29">
    <cfRule type="cellIs" dxfId="1926" priority="250" operator="equal">
      <formula>"-"</formula>
    </cfRule>
    <cfRule type="cellIs" dxfId="1925" priority="251" operator="greaterThan">
      <formula>0</formula>
    </cfRule>
    <cfRule type="cellIs" dxfId="1924" priority="252" operator="lessThan">
      <formula>0</formula>
    </cfRule>
  </conditionalFormatting>
  <conditionalFormatting sqref="DK32">
    <cfRule type="cellIs" dxfId="1923" priority="247" operator="equal">
      <formula>"-"</formula>
    </cfRule>
    <cfRule type="cellIs" dxfId="1922" priority="248" operator="greaterThan">
      <formula>0</formula>
    </cfRule>
    <cfRule type="cellIs" dxfId="1921" priority="249" operator="lessThan">
      <formula>0</formula>
    </cfRule>
  </conditionalFormatting>
  <conditionalFormatting sqref="DK35">
    <cfRule type="cellIs" dxfId="1920" priority="244" operator="equal">
      <formula>"-"</formula>
    </cfRule>
    <cfRule type="cellIs" dxfId="1919" priority="245" operator="greaterThan">
      <formula>0</formula>
    </cfRule>
    <cfRule type="cellIs" dxfId="1918" priority="246" operator="lessThan">
      <formula>0</formula>
    </cfRule>
  </conditionalFormatting>
  <conditionalFormatting sqref="DK38">
    <cfRule type="cellIs" dxfId="1917" priority="241" operator="equal">
      <formula>"-"</formula>
    </cfRule>
    <cfRule type="cellIs" dxfId="1916" priority="242" operator="greaterThan">
      <formula>0</formula>
    </cfRule>
    <cfRule type="cellIs" dxfId="1915" priority="243" operator="lessThan">
      <formula>0</formula>
    </cfRule>
  </conditionalFormatting>
  <conditionalFormatting sqref="DK41">
    <cfRule type="cellIs" dxfId="1914" priority="238" operator="equal">
      <formula>"-"</formula>
    </cfRule>
    <cfRule type="cellIs" dxfId="1913" priority="239" operator="greaterThan">
      <formula>0</formula>
    </cfRule>
    <cfRule type="cellIs" dxfId="1912" priority="240" operator="lessThan">
      <formula>0</formula>
    </cfRule>
  </conditionalFormatting>
  <conditionalFormatting sqref="DK44">
    <cfRule type="cellIs" dxfId="1911" priority="235" operator="equal">
      <formula>"-"</formula>
    </cfRule>
    <cfRule type="cellIs" dxfId="1910" priority="236" operator="greaterThan">
      <formula>0</formula>
    </cfRule>
    <cfRule type="cellIs" dxfId="1909" priority="237" operator="lessThan">
      <formula>0</formula>
    </cfRule>
  </conditionalFormatting>
  <conditionalFormatting sqref="DR29">
    <cfRule type="cellIs" dxfId="1908" priority="232" operator="equal">
      <formula>"-"</formula>
    </cfRule>
    <cfRule type="cellIs" dxfId="1907" priority="233" operator="greaterThan">
      <formula>0</formula>
    </cfRule>
    <cfRule type="cellIs" dxfId="1906" priority="234" operator="lessThan">
      <formula>0</formula>
    </cfRule>
  </conditionalFormatting>
  <conditionalFormatting sqref="DR32">
    <cfRule type="cellIs" dxfId="1905" priority="229" operator="equal">
      <formula>"-"</formula>
    </cfRule>
    <cfRule type="cellIs" dxfId="1904" priority="230" operator="greaterThan">
      <formula>0</formula>
    </cfRule>
    <cfRule type="cellIs" dxfId="1903" priority="231" operator="lessThan">
      <formula>0</formula>
    </cfRule>
  </conditionalFormatting>
  <conditionalFormatting sqref="DR35">
    <cfRule type="cellIs" dxfId="1902" priority="226" operator="equal">
      <formula>"-"</formula>
    </cfRule>
    <cfRule type="cellIs" dxfId="1901" priority="227" operator="greaterThan">
      <formula>0</formula>
    </cfRule>
    <cfRule type="cellIs" dxfId="1900" priority="228" operator="lessThan">
      <formula>0</formula>
    </cfRule>
  </conditionalFormatting>
  <conditionalFormatting sqref="DR38">
    <cfRule type="cellIs" dxfId="1899" priority="223" operator="equal">
      <formula>"-"</formula>
    </cfRule>
    <cfRule type="cellIs" dxfId="1898" priority="224" operator="greaterThan">
      <formula>0</formula>
    </cfRule>
    <cfRule type="cellIs" dxfId="1897" priority="225" operator="lessThan">
      <formula>0</formula>
    </cfRule>
  </conditionalFormatting>
  <conditionalFormatting sqref="DR41">
    <cfRule type="cellIs" dxfId="1896" priority="220" operator="equal">
      <formula>"-"</formula>
    </cfRule>
    <cfRule type="cellIs" dxfId="1895" priority="221" operator="greaterThan">
      <formula>0</formula>
    </cfRule>
    <cfRule type="cellIs" dxfId="1894" priority="222" operator="lessThan">
      <formula>0</formula>
    </cfRule>
  </conditionalFormatting>
  <conditionalFormatting sqref="DR44">
    <cfRule type="cellIs" dxfId="1893" priority="217" operator="equal">
      <formula>"-"</formula>
    </cfRule>
    <cfRule type="cellIs" dxfId="1892" priority="218" operator="greaterThan">
      <formula>0</formula>
    </cfRule>
    <cfRule type="cellIs" dxfId="1891" priority="219" operator="lessThan">
      <formula>0</formula>
    </cfRule>
  </conditionalFormatting>
  <conditionalFormatting sqref="DY29">
    <cfRule type="cellIs" dxfId="1890" priority="214" operator="equal">
      <formula>"-"</formula>
    </cfRule>
    <cfRule type="cellIs" dxfId="1889" priority="215" operator="greaterThan">
      <formula>0</formula>
    </cfRule>
    <cfRule type="cellIs" dxfId="1888" priority="216" operator="lessThan">
      <formula>0</formula>
    </cfRule>
  </conditionalFormatting>
  <conditionalFormatting sqref="DY32">
    <cfRule type="cellIs" dxfId="1887" priority="211" operator="equal">
      <formula>"-"</formula>
    </cfRule>
    <cfRule type="cellIs" dxfId="1886" priority="212" operator="greaterThan">
      <formula>0</formula>
    </cfRule>
    <cfRule type="cellIs" dxfId="1885" priority="213" operator="lessThan">
      <formula>0</formula>
    </cfRule>
  </conditionalFormatting>
  <conditionalFormatting sqref="DY35">
    <cfRule type="cellIs" dxfId="1884" priority="208" operator="equal">
      <formula>"-"</formula>
    </cfRule>
    <cfRule type="cellIs" dxfId="1883" priority="209" operator="greaterThan">
      <formula>0</formula>
    </cfRule>
    <cfRule type="cellIs" dxfId="1882" priority="210" operator="lessThan">
      <formula>0</formula>
    </cfRule>
  </conditionalFormatting>
  <conditionalFormatting sqref="DY38">
    <cfRule type="cellIs" dxfId="1881" priority="205" operator="equal">
      <formula>"-"</formula>
    </cfRule>
    <cfRule type="cellIs" dxfId="1880" priority="206" operator="greaterThan">
      <formula>0</formula>
    </cfRule>
    <cfRule type="cellIs" dxfId="1879" priority="207" operator="lessThan">
      <formula>0</formula>
    </cfRule>
  </conditionalFormatting>
  <conditionalFormatting sqref="DY41">
    <cfRule type="cellIs" dxfId="1878" priority="202" operator="equal">
      <formula>"-"</formula>
    </cfRule>
    <cfRule type="cellIs" dxfId="1877" priority="203" operator="greaterThan">
      <formula>0</formula>
    </cfRule>
    <cfRule type="cellIs" dxfId="1876" priority="204" operator="lessThan">
      <formula>0</formula>
    </cfRule>
  </conditionalFormatting>
  <conditionalFormatting sqref="DY44">
    <cfRule type="cellIs" dxfId="1875" priority="199" operator="equal">
      <formula>"-"</formula>
    </cfRule>
    <cfRule type="cellIs" dxfId="1874" priority="200" operator="greaterThan">
      <formula>0</formula>
    </cfRule>
    <cfRule type="cellIs" dxfId="1873" priority="201" operator="lessThan">
      <formula>0</formula>
    </cfRule>
  </conditionalFormatting>
  <conditionalFormatting sqref="EF29">
    <cfRule type="cellIs" dxfId="1872" priority="196" operator="equal">
      <formula>"-"</formula>
    </cfRule>
    <cfRule type="cellIs" dxfId="1871" priority="197" operator="greaterThan">
      <formula>0</formula>
    </cfRule>
    <cfRule type="cellIs" dxfId="1870" priority="198" operator="lessThan">
      <formula>0</formula>
    </cfRule>
  </conditionalFormatting>
  <conditionalFormatting sqref="EF32">
    <cfRule type="cellIs" dxfId="1869" priority="193" operator="equal">
      <formula>"-"</formula>
    </cfRule>
    <cfRule type="cellIs" dxfId="1868" priority="194" operator="greaterThan">
      <formula>0</formula>
    </cfRule>
    <cfRule type="cellIs" dxfId="1867" priority="195" operator="lessThan">
      <formula>0</formula>
    </cfRule>
  </conditionalFormatting>
  <conditionalFormatting sqref="EF35">
    <cfRule type="cellIs" dxfId="1866" priority="190" operator="equal">
      <formula>"-"</formula>
    </cfRule>
    <cfRule type="cellIs" dxfId="1865" priority="191" operator="greaterThan">
      <formula>0</formula>
    </cfRule>
    <cfRule type="cellIs" dxfId="1864" priority="192" operator="lessThan">
      <formula>0</formula>
    </cfRule>
  </conditionalFormatting>
  <conditionalFormatting sqref="EF38">
    <cfRule type="cellIs" dxfId="1863" priority="187" operator="equal">
      <formula>"-"</formula>
    </cfRule>
    <cfRule type="cellIs" dxfId="1862" priority="188" operator="greaterThan">
      <formula>0</formula>
    </cfRule>
    <cfRule type="cellIs" dxfId="1861" priority="189" operator="lessThan">
      <formula>0</formula>
    </cfRule>
  </conditionalFormatting>
  <conditionalFormatting sqref="EF41">
    <cfRule type="cellIs" dxfId="1860" priority="184" operator="equal">
      <formula>"-"</formula>
    </cfRule>
    <cfRule type="cellIs" dxfId="1859" priority="185" operator="greaterThan">
      <formula>0</formula>
    </cfRule>
    <cfRule type="cellIs" dxfId="1858" priority="186" operator="lessThan">
      <formula>0</formula>
    </cfRule>
  </conditionalFormatting>
  <conditionalFormatting sqref="EF44">
    <cfRule type="cellIs" dxfId="1857" priority="181" operator="equal">
      <formula>"-"</formula>
    </cfRule>
    <cfRule type="cellIs" dxfId="1856" priority="182" operator="greaterThan">
      <formula>0</formula>
    </cfRule>
    <cfRule type="cellIs" dxfId="1855" priority="183" operator="lessThan">
      <formula>0</formula>
    </cfRule>
  </conditionalFormatting>
  <conditionalFormatting sqref="EM29">
    <cfRule type="cellIs" dxfId="1854" priority="178" operator="equal">
      <formula>"-"</formula>
    </cfRule>
    <cfRule type="cellIs" dxfId="1853" priority="179" operator="greaterThan">
      <formula>0</formula>
    </cfRule>
    <cfRule type="cellIs" dxfId="1852" priority="180" operator="lessThan">
      <formula>0</formula>
    </cfRule>
  </conditionalFormatting>
  <conditionalFormatting sqref="EM32">
    <cfRule type="cellIs" dxfId="1851" priority="175" operator="equal">
      <formula>"-"</formula>
    </cfRule>
    <cfRule type="cellIs" dxfId="1850" priority="176" operator="greaterThan">
      <formula>0</formula>
    </cfRule>
    <cfRule type="cellIs" dxfId="1849" priority="177" operator="lessThan">
      <formula>0</formula>
    </cfRule>
  </conditionalFormatting>
  <conditionalFormatting sqref="EM35">
    <cfRule type="cellIs" dxfId="1848" priority="172" operator="equal">
      <formula>"-"</formula>
    </cfRule>
    <cfRule type="cellIs" dxfId="1847" priority="173" operator="greaterThan">
      <formula>0</formula>
    </cfRule>
    <cfRule type="cellIs" dxfId="1846" priority="174" operator="lessThan">
      <formula>0</formula>
    </cfRule>
  </conditionalFormatting>
  <conditionalFormatting sqref="EM38">
    <cfRule type="cellIs" dxfId="1845" priority="169" operator="equal">
      <formula>"-"</formula>
    </cfRule>
    <cfRule type="cellIs" dxfId="1844" priority="170" operator="greaterThan">
      <formula>0</formula>
    </cfRule>
    <cfRule type="cellIs" dxfId="1843" priority="171" operator="lessThan">
      <formula>0</formula>
    </cfRule>
  </conditionalFormatting>
  <conditionalFormatting sqref="EM41">
    <cfRule type="cellIs" dxfId="1842" priority="166" operator="equal">
      <formula>"-"</formula>
    </cfRule>
    <cfRule type="cellIs" dxfId="1841" priority="167" operator="greaterThan">
      <formula>0</formula>
    </cfRule>
    <cfRule type="cellIs" dxfId="1840" priority="168" operator="lessThan">
      <formula>0</formula>
    </cfRule>
  </conditionalFormatting>
  <conditionalFormatting sqref="EM44">
    <cfRule type="cellIs" dxfId="1839" priority="163" operator="equal">
      <formula>"-"</formula>
    </cfRule>
    <cfRule type="cellIs" dxfId="1838" priority="164" operator="greaterThan">
      <formula>0</formula>
    </cfRule>
    <cfRule type="cellIs" dxfId="1837" priority="165" operator="lessThan">
      <formula>0</formula>
    </cfRule>
  </conditionalFormatting>
  <conditionalFormatting sqref="ET29">
    <cfRule type="cellIs" dxfId="1836" priority="160" operator="equal">
      <formula>"-"</formula>
    </cfRule>
    <cfRule type="cellIs" dxfId="1835" priority="161" operator="greaterThan">
      <formula>0</formula>
    </cfRule>
    <cfRule type="cellIs" dxfId="1834" priority="162" operator="lessThan">
      <formula>0</formula>
    </cfRule>
  </conditionalFormatting>
  <conditionalFormatting sqref="ET32">
    <cfRule type="cellIs" dxfId="1833" priority="157" operator="equal">
      <formula>"-"</formula>
    </cfRule>
    <cfRule type="cellIs" dxfId="1832" priority="158" operator="greaterThan">
      <formula>0</formula>
    </cfRule>
    <cfRule type="cellIs" dxfId="1831" priority="159" operator="lessThan">
      <formula>0</formula>
    </cfRule>
  </conditionalFormatting>
  <conditionalFormatting sqref="ET35">
    <cfRule type="cellIs" dxfId="1830" priority="154" operator="equal">
      <formula>"-"</formula>
    </cfRule>
    <cfRule type="cellIs" dxfId="1829" priority="155" operator="greaterThan">
      <formula>0</formula>
    </cfRule>
    <cfRule type="cellIs" dxfId="1828" priority="156" operator="lessThan">
      <formula>0</formula>
    </cfRule>
  </conditionalFormatting>
  <conditionalFormatting sqref="ET38">
    <cfRule type="cellIs" dxfId="1827" priority="151" operator="equal">
      <formula>"-"</formula>
    </cfRule>
    <cfRule type="cellIs" dxfId="1826" priority="152" operator="greaterThan">
      <formula>0</formula>
    </cfRule>
    <cfRule type="cellIs" dxfId="1825" priority="153" operator="lessThan">
      <formula>0</formula>
    </cfRule>
  </conditionalFormatting>
  <conditionalFormatting sqref="ET41">
    <cfRule type="cellIs" dxfId="1824" priority="148" operator="equal">
      <formula>"-"</formula>
    </cfRule>
    <cfRule type="cellIs" dxfId="1823" priority="149" operator="greaterThan">
      <formula>0</formula>
    </cfRule>
    <cfRule type="cellIs" dxfId="1822" priority="150" operator="lessThan">
      <formula>0</formula>
    </cfRule>
  </conditionalFormatting>
  <conditionalFormatting sqref="ET44">
    <cfRule type="cellIs" dxfId="1821" priority="145" operator="equal">
      <formula>"-"</formula>
    </cfRule>
    <cfRule type="cellIs" dxfId="1820" priority="146" operator="greaterThan">
      <formula>0</formula>
    </cfRule>
    <cfRule type="cellIs" dxfId="1819" priority="147" operator="lessThan">
      <formula>0</formula>
    </cfRule>
  </conditionalFormatting>
  <conditionalFormatting sqref="FA29">
    <cfRule type="cellIs" dxfId="1818" priority="142" operator="equal">
      <formula>"-"</formula>
    </cfRule>
    <cfRule type="cellIs" dxfId="1817" priority="143" operator="greaterThan">
      <formula>0</formula>
    </cfRule>
    <cfRule type="cellIs" dxfId="1816" priority="144" operator="lessThan">
      <formula>0</formula>
    </cfRule>
  </conditionalFormatting>
  <conditionalFormatting sqref="FA32">
    <cfRule type="cellIs" dxfId="1815" priority="139" operator="equal">
      <formula>"-"</formula>
    </cfRule>
    <cfRule type="cellIs" dxfId="1814" priority="140" operator="greaterThan">
      <formula>0</formula>
    </cfRule>
    <cfRule type="cellIs" dxfId="1813" priority="141" operator="lessThan">
      <formula>0</formula>
    </cfRule>
  </conditionalFormatting>
  <conditionalFormatting sqref="FA35">
    <cfRule type="cellIs" dxfId="1812" priority="136" operator="equal">
      <formula>"-"</formula>
    </cfRule>
    <cfRule type="cellIs" dxfId="1811" priority="137" operator="greaterThan">
      <formula>0</formula>
    </cfRule>
    <cfRule type="cellIs" dxfId="1810" priority="138" operator="lessThan">
      <formula>0</formula>
    </cfRule>
  </conditionalFormatting>
  <conditionalFormatting sqref="FA38">
    <cfRule type="cellIs" dxfId="1809" priority="133" operator="equal">
      <formula>"-"</formula>
    </cfRule>
    <cfRule type="cellIs" dxfId="1808" priority="134" operator="greaterThan">
      <formula>0</formula>
    </cfRule>
    <cfRule type="cellIs" dxfId="1807" priority="135" operator="lessThan">
      <formula>0</formula>
    </cfRule>
  </conditionalFormatting>
  <conditionalFormatting sqref="FA41">
    <cfRule type="cellIs" dxfId="1806" priority="130" operator="equal">
      <formula>"-"</formula>
    </cfRule>
    <cfRule type="cellIs" dxfId="1805" priority="131" operator="greaterThan">
      <formula>0</formula>
    </cfRule>
    <cfRule type="cellIs" dxfId="1804" priority="132" operator="lessThan">
      <formula>0</formula>
    </cfRule>
  </conditionalFormatting>
  <conditionalFormatting sqref="FA44">
    <cfRule type="cellIs" dxfId="1803" priority="127" operator="equal">
      <formula>"-"</formula>
    </cfRule>
    <cfRule type="cellIs" dxfId="1802" priority="128" operator="greaterThan">
      <formula>0</formula>
    </cfRule>
    <cfRule type="cellIs" dxfId="1801" priority="129" operator="lessThan">
      <formula>0</formula>
    </cfRule>
  </conditionalFormatting>
  <conditionalFormatting sqref="FH29">
    <cfRule type="cellIs" dxfId="1800" priority="124" operator="equal">
      <formula>"-"</formula>
    </cfRule>
    <cfRule type="cellIs" dxfId="1799" priority="125" operator="greaterThan">
      <formula>0</formula>
    </cfRule>
    <cfRule type="cellIs" dxfId="1798" priority="126" operator="lessThan">
      <formula>0</formula>
    </cfRule>
  </conditionalFormatting>
  <conditionalFormatting sqref="FH32">
    <cfRule type="cellIs" dxfId="1797" priority="121" operator="equal">
      <formula>"-"</formula>
    </cfRule>
    <cfRule type="cellIs" dxfId="1796" priority="122" operator="greaterThan">
      <formula>0</formula>
    </cfRule>
    <cfRule type="cellIs" dxfId="1795" priority="123" operator="lessThan">
      <formula>0</formula>
    </cfRule>
  </conditionalFormatting>
  <conditionalFormatting sqref="FH35">
    <cfRule type="cellIs" dxfId="1794" priority="118" operator="equal">
      <formula>"-"</formula>
    </cfRule>
    <cfRule type="cellIs" dxfId="1793" priority="119" operator="greaterThan">
      <formula>0</formula>
    </cfRule>
    <cfRule type="cellIs" dxfId="1792" priority="120" operator="lessThan">
      <formula>0</formula>
    </cfRule>
  </conditionalFormatting>
  <conditionalFormatting sqref="FH38">
    <cfRule type="cellIs" dxfId="1791" priority="115" operator="equal">
      <formula>"-"</formula>
    </cfRule>
    <cfRule type="cellIs" dxfId="1790" priority="116" operator="greaterThan">
      <formula>0</formula>
    </cfRule>
    <cfRule type="cellIs" dxfId="1789" priority="117" operator="lessThan">
      <formula>0</formula>
    </cfRule>
  </conditionalFormatting>
  <conditionalFormatting sqref="FH41">
    <cfRule type="cellIs" dxfId="1788" priority="112" operator="equal">
      <formula>"-"</formula>
    </cfRule>
    <cfRule type="cellIs" dxfId="1787" priority="113" operator="greaterThan">
      <formula>0</formula>
    </cfRule>
    <cfRule type="cellIs" dxfId="1786" priority="114" operator="lessThan">
      <formula>0</formula>
    </cfRule>
  </conditionalFormatting>
  <conditionalFormatting sqref="FH44">
    <cfRule type="cellIs" dxfId="1785" priority="109" operator="equal">
      <formula>"-"</formula>
    </cfRule>
    <cfRule type="cellIs" dxfId="1784" priority="110" operator="greaterThan">
      <formula>0</formula>
    </cfRule>
    <cfRule type="cellIs" dxfId="1783" priority="111" operator="lessThan">
      <formula>0</formula>
    </cfRule>
  </conditionalFormatting>
  <conditionalFormatting sqref="FO29">
    <cfRule type="cellIs" dxfId="1782" priority="106" operator="equal">
      <formula>"-"</formula>
    </cfRule>
    <cfRule type="cellIs" dxfId="1781" priority="107" operator="greaterThan">
      <formula>0</formula>
    </cfRule>
    <cfRule type="cellIs" dxfId="1780" priority="108" operator="lessThan">
      <formula>0</formula>
    </cfRule>
  </conditionalFormatting>
  <conditionalFormatting sqref="FO32">
    <cfRule type="cellIs" dxfId="1779" priority="103" operator="equal">
      <formula>"-"</formula>
    </cfRule>
    <cfRule type="cellIs" dxfId="1778" priority="104" operator="greaterThan">
      <formula>0</formula>
    </cfRule>
    <cfRule type="cellIs" dxfId="1777" priority="105" operator="lessThan">
      <formula>0</formula>
    </cfRule>
  </conditionalFormatting>
  <conditionalFormatting sqref="FO35">
    <cfRule type="cellIs" dxfId="1776" priority="100" operator="equal">
      <formula>"-"</formula>
    </cfRule>
    <cfRule type="cellIs" dxfId="1775" priority="101" operator="greaterThan">
      <formula>0</formula>
    </cfRule>
    <cfRule type="cellIs" dxfId="1774" priority="102" operator="lessThan">
      <formula>0</formula>
    </cfRule>
  </conditionalFormatting>
  <conditionalFormatting sqref="FO38">
    <cfRule type="cellIs" dxfId="1773" priority="97" operator="equal">
      <formula>"-"</formula>
    </cfRule>
    <cfRule type="cellIs" dxfId="1772" priority="98" operator="greaterThan">
      <formula>0</formula>
    </cfRule>
    <cfRule type="cellIs" dxfId="1771" priority="99" operator="lessThan">
      <formula>0</formula>
    </cfRule>
  </conditionalFormatting>
  <conditionalFormatting sqref="FO41">
    <cfRule type="cellIs" dxfId="1770" priority="94" operator="equal">
      <formula>"-"</formula>
    </cfRule>
    <cfRule type="cellIs" dxfId="1769" priority="95" operator="greaterThan">
      <formula>0</formula>
    </cfRule>
    <cfRule type="cellIs" dxfId="1768" priority="96" operator="lessThan">
      <formula>0</formula>
    </cfRule>
  </conditionalFormatting>
  <conditionalFormatting sqref="FO44">
    <cfRule type="cellIs" dxfId="1767" priority="91" operator="equal">
      <formula>"-"</formula>
    </cfRule>
    <cfRule type="cellIs" dxfId="1766" priority="92" operator="greaterThan">
      <formula>0</formula>
    </cfRule>
    <cfRule type="cellIs" dxfId="1765" priority="93" operator="lessThan">
      <formula>0</formula>
    </cfRule>
  </conditionalFormatting>
  <conditionalFormatting sqref="FV29">
    <cfRule type="cellIs" dxfId="1764" priority="88" operator="equal">
      <formula>"-"</formula>
    </cfRule>
    <cfRule type="cellIs" dxfId="1763" priority="89" operator="greaterThan">
      <formula>0</formula>
    </cfRule>
    <cfRule type="cellIs" dxfId="1762" priority="90" operator="lessThan">
      <formula>0</formula>
    </cfRule>
  </conditionalFormatting>
  <conditionalFormatting sqref="FV32">
    <cfRule type="cellIs" dxfId="1761" priority="85" operator="equal">
      <formula>"-"</formula>
    </cfRule>
    <cfRule type="cellIs" dxfId="1760" priority="86" operator="greaterThan">
      <formula>0</formula>
    </cfRule>
    <cfRule type="cellIs" dxfId="1759" priority="87" operator="lessThan">
      <formula>0</formula>
    </cfRule>
  </conditionalFormatting>
  <conditionalFormatting sqref="FV35">
    <cfRule type="cellIs" dxfId="1758" priority="82" operator="equal">
      <formula>"-"</formula>
    </cfRule>
    <cfRule type="cellIs" dxfId="1757" priority="83" operator="greaterThan">
      <formula>0</formula>
    </cfRule>
    <cfRule type="cellIs" dxfId="1756" priority="84" operator="lessThan">
      <formula>0</formula>
    </cfRule>
  </conditionalFormatting>
  <conditionalFormatting sqref="FV38">
    <cfRule type="cellIs" dxfId="1755" priority="79" operator="equal">
      <formula>"-"</formula>
    </cfRule>
    <cfRule type="cellIs" dxfId="1754" priority="80" operator="greaterThan">
      <formula>0</formula>
    </cfRule>
    <cfRule type="cellIs" dxfId="1753" priority="81" operator="lessThan">
      <formula>0</formula>
    </cfRule>
  </conditionalFormatting>
  <conditionalFormatting sqref="FV41">
    <cfRule type="cellIs" dxfId="1752" priority="76" operator="equal">
      <formula>"-"</formula>
    </cfRule>
    <cfRule type="cellIs" dxfId="1751" priority="77" operator="greaterThan">
      <formula>0</formula>
    </cfRule>
    <cfRule type="cellIs" dxfId="1750" priority="78" operator="lessThan">
      <formula>0</formula>
    </cfRule>
  </conditionalFormatting>
  <conditionalFormatting sqref="FV44">
    <cfRule type="cellIs" dxfId="1749" priority="73" operator="equal">
      <formula>"-"</formula>
    </cfRule>
    <cfRule type="cellIs" dxfId="1748" priority="74" operator="greaterThan">
      <formula>0</formula>
    </cfRule>
    <cfRule type="cellIs" dxfId="1747" priority="75" operator="lessThan">
      <formula>0</formula>
    </cfRule>
  </conditionalFormatting>
  <conditionalFormatting sqref="GC29">
    <cfRule type="cellIs" dxfId="1746" priority="70" operator="equal">
      <formula>"-"</formula>
    </cfRule>
    <cfRule type="cellIs" dxfId="1745" priority="71" operator="greaterThan">
      <formula>0</formula>
    </cfRule>
    <cfRule type="cellIs" dxfId="1744" priority="72" operator="lessThan">
      <formula>0</formula>
    </cfRule>
  </conditionalFormatting>
  <conditionalFormatting sqref="GC32">
    <cfRule type="cellIs" dxfId="1743" priority="67" operator="equal">
      <formula>"-"</formula>
    </cfRule>
    <cfRule type="cellIs" dxfId="1742" priority="68" operator="greaterThan">
      <formula>0</formula>
    </cfRule>
    <cfRule type="cellIs" dxfId="1741" priority="69" operator="lessThan">
      <formula>0</formula>
    </cfRule>
  </conditionalFormatting>
  <conditionalFormatting sqref="GC35">
    <cfRule type="cellIs" dxfId="1740" priority="64" operator="equal">
      <formula>"-"</formula>
    </cfRule>
    <cfRule type="cellIs" dxfId="1739" priority="65" operator="greaterThan">
      <formula>0</formula>
    </cfRule>
    <cfRule type="cellIs" dxfId="1738" priority="66" operator="lessThan">
      <formula>0</formula>
    </cfRule>
  </conditionalFormatting>
  <conditionalFormatting sqref="GC38">
    <cfRule type="cellIs" dxfId="1737" priority="61" operator="equal">
      <formula>"-"</formula>
    </cfRule>
    <cfRule type="cellIs" dxfId="1736" priority="62" operator="greaterThan">
      <formula>0</formula>
    </cfRule>
    <cfRule type="cellIs" dxfId="1735" priority="63" operator="lessThan">
      <formula>0</formula>
    </cfRule>
  </conditionalFormatting>
  <conditionalFormatting sqref="GC41">
    <cfRule type="cellIs" dxfId="1734" priority="58" operator="equal">
      <formula>"-"</formula>
    </cfRule>
    <cfRule type="cellIs" dxfId="1733" priority="59" operator="greaterThan">
      <formula>0</formula>
    </cfRule>
    <cfRule type="cellIs" dxfId="1732" priority="60" operator="lessThan">
      <formula>0</formula>
    </cfRule>
  </conditionalFormatting>
  <conditionalFormatting sqref="GC44">
    <cfRule type="cellIs" dxfId="1731" priority="55" operator="equal">
      <formula>"-"</formula>
    </cfRule>
    <cfRule type="cellIs" dxfId="1730" priority="56" operator="greaterThan">
      <formula>0</formula>
    </cfRule>
    <cfRule type="cellIs" dxfId="1729" priority="57" operator="lessThan">
      <formula>0</formula>
    </cfRule>
  </conditionalFormatting>
  <conditionalFormatting sqref="GJ29">
    <cfRule type="cellIs" dxfId="1728" priority="52" operator="equal">
      <formula>"-"</formula>
    </cfRule>
    <cfRule type="cellIs" dxfId="1727" priority="53" operator="greaterThan">
      <formula>0</formula>
    </cfRule>
    <cfRule type="cellIs" dxfId="1726" priority="54" operator="lessThan">
      <formula>0</formula>
    </cfRule>
  </conditionalFormatting>
  <conditionalFormatting sqref="GJ32">
    <cfRule type="cellIs" dxfId="1725" priority="49" operator="equal">
      <formula>"-"</formula>
    </cfRule>
    <cfRule type="cellIs" dxfId="1724" priority="50" operator="greaterThan">
      <formula>0</formula>
    </cfRule>
    <cfRule type="cellIs" dxfId="1723" priority="51" operator="lessThan">
      <formula>0</formula>
    </cfRule>
  </conditionalFormatting>
  <conditionalFormatting sqref="GJ35">
    <cfRule type="cellIs" dxfId="1722" priority="46" operator="equal">
      <formula>"-"</formula>
    </cfRule>
    <cfRule type="cellIs" dxfId="1721" priority="47" operator="greaterThan">
      <formula>0</formula>
    </cfRule>
    <cfRule type="cellIs" dxfId="1720" priority="48" operator="lessThan">
      <formula>0</formula>
    </cfRule>
  </conditionalFormatting>
  <conditionalFormatting sqref="GJ38">
    <cfRule type="cellIs" dxfId="1719" priority="43" operator="equal">
      <formula>"-"</formula>
    </cfRule>
    <cfRule type="cellIs" dxfId="1718" priority="44" operator="greaterThan">
      <formula>0</formula>
    </cfRule>
    <cfRule type="cellIs" dxfId="1717" priority="45" operator="lessThan">
      <formula>0</formula>
    </cfRule>
  </conditionalFormatting>
  <conditionalFormatting sqref="GJ41">
    <cfRule type="cellIs" dxfId="1716" priority="40" operator="equal">
      <formula>"-"</formula>
    </cfRule>
    <cfRule type="cellIs" dxfId="1715" priority="41" operator="greaterThan">
      <formula>0</formula>
    </cfRule>
    <cfRule type="cellIs" dxfId="1714" priority="42" operator="lessThan">
      <formula>0</formula>
    </cfRule>
  </conditionalFormatting>
  <conditionalFormatting sqref="GJ44">
    <cfRule type="cellIs" dxfId="1713" priority="37" operator="equal">
      <formula>"-"</formula>
    </cfRule>
    <cfRule type="cellIs" dxfId="1712" priority="38" operator="greaterThan">
      <formula>0</formula>
    </cfRule>
    <cfRule type="cellIs" dxfId="1711" priority="39" operator="lessThan">
      <formula>0</formula>
    </cfRule>
  </conditionalFormatting>
  <conditionalFormatting sqref="GQ29">
    <cfRule type="cellIs" dxfId="1710" priority="34" operator="equal">
      <formula>"-"</formula>
    </cfRule>
    <cfRule type="cellIs" dxfId="1709" priority="35" operator="greaterThan">
      <formula>0</formula>
    </cfRule>
    <cfRule type="cellIs" dxfId="1708" priority="36" operator="lessThan">
      <formula>0</formula>
    </cfRule>
  </conditionalFormatting>
  <conditionalFormatting sqref="GQ32">
    <cfRule type="cellIs" dxfId="1707" priority="31" operator="equal">
      <formula>"-"</formula>
    </cfRule>
    <cfRule type="cellIs" dxfId="1706" priority="32" operator="greaterThan">
      <formula>0</formula>
    </cfRule>
    <cfRule type="cellIs" dxfId="1705" priority="33" operator="lessThan">
      <formula>0</formula>
    </cfRule>
  </conditionalFormatting>
  <conditionalFormatting sqref="GQ35">
    <cfRule type="cellIs" dxfId="1704" priority="28" operator="equal">
      <formula>"-"</formula>
    </cfRule>
    <cfRule type="cellIs" dxfId="1703" priority="29" operator="greaterThan">
      <formula>0</formula>
    </cfRule>
    <cfRule type="cellIs" dxfId="1702" priority="30" operator="lessThan">
      <formula>0</formula>
    </cfRule>
  </conditionalFormatting>
  <conditionalFormatting sqref="GQ38">
    <cfRule type="cellIs" dxfId="1701" priority="25" operator="equal">
      <formula>"-"</formula>
    </cfRule>
    <cfRule type="cellIs" dxfId="1700" priority="26" operator="greaterThan">
      <formula>0</formula>
    </cfRule>
    <cfRule type="cellIs" dxfId="1699" priority="27" operator="lessThan">
      <formula>0</formula>
    </cfRule>
  </conditionalFormatting>
  <conditionalFormatting sqref="GQ41">
    <cfRule type="cellIs" dxfId="1698" priority="22" operator="equal">
      <formula>"-"</formula>
    </cfRule>
    <cfRule type="cellIs" dxfId="1697" priority="23" operator="greaterThan">
      <formula>0</formula>
    </cfRule>
    <cfRule type="cellIs" dxfId="1696" priority="24" operator="lessThan">
      <formula>0</formula>
    </cfRule>
  </conditionalFormatting>
  <conditionalFormatting sqref="GQ44">
    <cfRule type="cellIs" dxfId="1695" priority="19" operator="equal">
      <formula>"-"</formula>
    </cfRule>
    <cfRule type="cellIs" dxfId="1694" priority="20" operator="greaterThan">
      <formula>0</formula>
    </cfRule>
    <cfRule type="cellIs" dxfId="1693" priority="21" operator="lessThan">
      <formula>0</formula>
    </cfRule>
  </conditionalFormatting>
  <conditionalFormatting sqref="GX29">
    <cfRule type="cellIs" dxfId="1692" priority="16" operator="equal">
      <formula>"-"</formula>
    </cfRule>
    <cfRule type="cellIs" dxfId="1691" priority="17" operator="greaterThan">
      <formula>0</formula>
    </cfRule>
    <cfRule type="cellIs" dxfId="1690" priority="18" operator="lessThan">
      <formula>0</formula>
    </cfRule>
  </conditionalFormatting>
  <conditionalFormatting sqref="GX32">
    <cfRule type="cellIs" dxfId="1689" priority="13" operator="equal">
      <formula>"-"</formula>
    </cfRule>
    <cfRule type="cellIs" dxfId="1688" priority="14" operator="greaterThan">
      <formula>0</formula>
    </cfRule>
    <cfRule type="cellIs" dxfId="1687" priority="15" operator="lessThan">
      <formula>0</formula>
    </cfRule>
  </conditionalFormatting>
  <conditionalFormatting sqref="GX35">
    <cfRule type="cellIs" dxfId="1686" priority="10" operator="equal">
      <formula>"-"</formula>
    </cfRule>
    <cfRule type="cellIs" dxfId="1685" priority="11" operator="greaterThan">
      <formula>0</formula>
    </cfRule>
    <cfRule type="cellIs" dxfId="1684" priority="12" operator="lessThan">
      <formula>0</formula>
    </cfRule>
  </conditionalFormatting>
  <conditionalFormatting sqref="GX38">
    <cfRule type="cellIs" dxfId="1683" priority="7" operator="equal">
      <formula>"-"</formula>
    </cfRule>
    <cfRule type="cellIs" dxfId="1682" priority="8" operator="greaterThan">
      <formula>0</formula>
    </cfRule>
    <cfRule type="cellIs" dxfId="1681" priority="9" operator="lessThan">
      <formula>0</formula>
    </cfRule>
  </conditionalFormatting>
  <conditionalFormatting sqref="GX41">
    <cfRule type="cellIs" dxfId="1680" priority="4" operator="equal">
      <formula>"-"</formula>
    </cfRule>
    <cfRule type="cellIs" dxfId="1679" priority="5" operator="greaterThan">
      <formula>0</formula>
    </cfRule>
    <cfRule type="cellIs" dxfId="1678" priority="6" operator="lessThan">
      <formula>0</formula>
    </cfRule>
  </conditionalFormatting>
  <conditionalFormatting sqref="GX44">
    <cfRule type="cellIs" dxfId="1677" priority="1" operator="equal">
      <formula>"-"</formula>
    </cfRule>
    <cfRule type="cellIs" dxfId="1676" priority="2" operator="greaterThan">
      <formula>0</formula>
    </cfRule>
    <cfRule type="cellIs" dxfId="1675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FEA7-2936-4452-8814-0F97A1394841}">
  <sheetPr codeName="Feuil8">
    <tabColor theme="8" tint="-0.249977111117893"/>
    <pageSetUpPr fitToPage="1"/>
  </sheetPr>
  <dimension ref="B1:NW49"/>
  <sheetViews>
    <sheetView showGridLines="0" zoomScale="70" zoomScaleNormal="70" workbookViewId="0">
      <pane xSplit="8" topLeftCell="GL1" activePane="topRight" state="frozen"/>
      <selection pane="topRight" activeCell="GT70" sqref="GT70"/>
    </sheetView>
  </sheetViews>
  <sheetFormatPr baseColWidth="10" defaultRowHeight="14.4" x14ac:dyDescent="0.3"/>
  <cols>
    <col min="1" max="1" width="2.5546875" customWidth="1"/>
    <col min="2" max="2" width="0.109375" hidden="1" customWidth="1"/>
    <col min="3" max="3" width="6.77734375" hidden="1" customWidth="1"/>
    <col min="4" max="4" width="9.33203125" style="64" customWidth="1"/>
    <col min="7" max="8" width="18.77734375" style="140" customWidth="1"/>
    <col min="9" max="14" width="5.77734375" customWidth="1"/>
    <col min="15" max="15" width="5.77734375" hidden="1" customWidth="1"/>
    <col min="16" max="21" width="5.77734375" customWidth="1"/>
    <col min="22" max="22" width="5.77734375" hidden="1" customWidth="1"/>
    <col min="23" max="28" width="5.77734375" customWidth="1"/>
    <col min="29" max="29" width="5.77734375" hidden="1" customWidth="1"/>
    <col min="30" max="35" width="5.77734375" customWidth="1"/>
    <col min="36" max="36" width="5.77734375" hidden="1" customWidth="1"/>
    <col min="37" max="42" width="5.77734375" customWidth="1"/>
    <col min="43" max="43" width="5.77734375" hidden="1" customWidth="1"/>
    <col min="44" max="49" width="5.77734375" customWidth="1"/>
    <col min="50" max="50" width="5.77734375" hidden="1" customWidth="1"/>
    <col min="51" max="56" width="5.77734375" customWidth="1"/>
    <col min="57" max="57" width="5.77734375" hidden="1" customWidth="1"/>
    <col min="58" max="63" width="5.77734375" customWidth="1"/>
    <col min="64" max="64" width="5.77734375" hidden="1" customWidth="1"/>
    <col min="65" max="70" width="5.77734375" customWidth="1"/>
    <col min="71" max="71" width="5.77734375" hidden="1" customWidth="1"/>
    <col min="72" max="77" width="5.77734375" customWidth="1"/>
    <col min="78" max="78" width="5.77734375" hidden="1" customWidth="1"/>
    <col min="79" max="84" width="5.77734375" customWidth="1"/>
    <col min="85" max="85" width="5.77734375" hidden="1" customWidth="1"/>
    <col min="86" max="91" width="5.77734375" customWidth="1"/>
    <col min="92" max="92" width="5.77734375" hidden="1" customWidth="1"/>
    <col min="93" max="98" width="5.77734375" customWidth="1"/>
    <col min="99" max="99" width="5.77734375" hidden="1" customWidth="1"/>
    <col min="100" max="105" width="5.77734375" customWidth="1"/>
    <col min="106" max="106" width="5.77734375" hidden="1" customWidth="1"/>
    <col min="107" max="112" width="5.77734375" customWidth="1"/>
    <col min="113" max="113" width="5.77734375" hidden="1" customWidth="1"/>
    <col min="114" max="119" width="5.77734375" customWidth="1"/>
    <col min="120" max="120" width="5.77734375" hidden="1" customWidth="1"/>
    <col min="121" max="126" width="5.77734375" customWidth="1"/>
    <col min="127" max="127" width="5.77734375" hidden="1" customWidth="1"/>
    <col min="128" max="133" width="5.77734375" customWidth="1"/>
    <col min="134" max="134" width="5.77734375" hidden="1" customWidth="1"/>
    <col min="135" max="140" width="5.77734375" customWidth="1"/>
    <col min="141" max="141" width="5.77734375" hidden="1" customWidth="1"/>
    <col min="142" max="147" width="5.77734375" customWidth="1"/>
    <col min="148" max="148" width="5.77734375" hidden="1" customWidth="1"/>
    <col min="149" max="154" width="5.77734375" customWidth="1"/>
    <col min="155" max="155" width="5.77734375" hidden="1" customWidth="1"/>
    <col min="156" max="161" width="5.77734375" customWidth="1"/>
    <col min="162" max="162" width="5.77734375" hidden="1" customWidth="1"/>
    <col min="163" max="168" width="5.77734375" customWidth="1"/>
    <col min="169" max="169" width="5.77734375" hidden="1" customWidth="1"/>
    <col min="170" max="175" width="5.77734375" customWidth="1"/>
    <col min="176" max="176" width="5.77734375" hidden="1" customWidth="1"/>
    <col min="177" max="182" width="5.77734375" customWidth="1"/>
    <col min="183" max="183" width="5.77734375" hidden="1" customWidth="1"/>
    <col min="184" max="189" width="5.77734375" customWidth="1"/>
    <col min="190" max="190" width="5.77734375" hidden="1" customWidth="1"/>
    <col min="191" max="196" width="5.77734375" customWidth="1"/>
    <col min="197" max="197" width="5.77734375" hidden="1" customWidth="1"/>
    <col min="198" max="203" width="5.77734375" customWidth="1"/>
    <col min="204" max="204" width="5.77734375" hidden="1" customWidth="1"/>
    <col min="205" max="217" width="5.77734375" customWidth="1"/>
    <col min="218" max="218" width="5.77734375" hidden="1" customWidth="1"/>
    <col min="219" max="224" width="5.77734375" customWidth="1"/>
    <col min="225" max="225" width="5.77734375" hidden="1" customWidth="1"/>
    <col min="226" max="231" width="5.77734375" customWidth="1"/>
    <col min="232" max="232" width="5.77734375" hidden="1" customWidth="1"/>
    <col min="233" max="238" width="5.77734375" customWidth="1"/>
    <col min="239" max="239" width="5.77734375" hidden="1" customWidth="1"/>
    <col min="240" max="245" width="5.77734375" customWidth="1"/>
    <col min="246" max="246" width="5.77734375" hidden="1" customWidth="1"/>
    <col min="247" max="252" width="5.77734375" customWidth="1"/>
    <col min="253" max="253" width="5.77734375" hidden="1" customWidth="1"/>
    <col min="254" max="259" width="5.77734375" customWidth="1"/>
    <col min="260" max="260" width="5.77734375" hidden="1" customWidth="1"/>
    <col min="261" max="266" width="5.77734375" customWidth="1"/>
    <col min="267" max="267" width="5.77734375" hidden="1" customWidth="1"/>
    <col min="268" max="273" width="5.77734375" customWidth="1"/>
    <col min="274" max="274" width="5.77734375" hidden="1" customWidth="1"/>
    <col min="275" max="280" width="5.77734375" customWidth="1"/>
    <col min="281" max="281" width="5.77734375" hidden="1" customWidth="1"/>
    <col min="282" max="287" width="5.77734375" customWidth="1"/>
    <col min="288" max="288" width="5.77734375" hidden="1" customWidth="1"/>
    <col min="289" max="294" width="5.77734375" customWidth="1"/>
    <col min="295" max="295" width="5.77734375" hidden="1" customWidth="1"/>
    <col min="296" max="301" width="5.77734375" customWidth="1"/>
    <col min="302" max="302" width="5.77734375" hidden="1" customWidth="1"/>
    <col min="303" max="308" width="5.77734375" customWidth="1"/>
    <col min="309" max="309" width="5.77734375" hidden="1" customWidth="1"/>
    <col min="310" max="315" width="5.77734375" customWidth="1"/>
    <col min="316" max="316" width="5.77734375" hidden="1" customWidth="1"/>
    <col min="317" max="322" width="5.77734375" customWidth="1"/>
    <col min="323" max="323" width="5.77734375" hidden="1" customWidth="1"/>
    <col min="324" max="329" width="5.77734375" customWidth="1"/>
    <col min="330" max="330" width="5.77734375" hidden="1" customWidth="1"/>
    <col min="331" max="336" width="5.77734375" customWidth="1"/>
    <col min="337" max="337" width="5.77734375" hidden="1" customWidth="1"/>
    <col min="338" max="343" width="5.77734375" customWidth="1"/>
    <col min="344" max="344" width="5.77734375" hidden="1" customWidth="1"/>
    <col min="345" max="350" width="5.77734375" customWidth="1"/>
    <col min="351" max="351" width="5.77734375" hidden="1" customWidth="1"/>
    <col min="352" max="357" width="5.77734375" customWidth="1"/>
    <col min="358" max="358" width="5.77734375" hidden="1" customWidth="1"/>
    <col min="359" max="364" width="5.77734375" customWidth="1"/>
    <col min="365" max="365" width="5.77734375" hidden="1" customWidth="1"/>
    <col min="366" max="371" width="5.77734375" customWidth="1"/>
    <col min="372" max="372" width="5.77734375" hidden="1" customWidth="1"/>
    <col min="373" max="378" width="5.77734375" customWidth="1"/>
    <col min="379" max="379" width="5.77734375" hidden="1" customWidth="1"/>
    <col min="380" max="385" width="5.77734375" customWidth="1"/>
    <col min="386" max="386" width="5.77734375" hidden="1" customWidth="1"/>
  </cols>
  <sheetData>
    <row r="1" spans="2:387" ht="15" thickBot="1" x14ac:dyDescent="0.35"/>
    <row r="2" spans="2:387" ht="15" thickBot="1" x14ac:dyDescent="0.35">
      <c r="I2" s="226" t="str">
        <f>"S"&amp;WEEKNUM(I3)</f>
        <v>S53</v>
      </c>
      <c r="J2" s="225"/>
      <c r="K2" s="225"/>
      <c r="L2" s="225"/>
      <c r="M2" s="225"/>
      <c r="N2" s="218"/>
      <c r="O2" s="222"/>
      <c r="P2" s="226" t="str">
        <f>"S"&amp;WEEKNUM(P3)</f>
        <v>S2</v>
      </c>
      <c r="Q2" s="225"/>
      <c r="R2" s="225"/>
      <c r="S2" s="225"/>
      <c r="T2" s="225"/>
      <c r="U2" s="218"/>
      <c r="V2" s="226"/>
      <c r="W2" s="226" t="str">
        <f>"S"&amp;WEEKNUM(W3)</f>
        <v>S3</v>
      </c>
      <c r="X2" s="225"/>
      <c r="Y2" s="225"/>
      <c r="Z2" s="225"/>
      <c r="AA2" s="225"/>
      <c r="AB2" s="218"/>
      <c r="AC2" s="222"/>
      <c r="AD2" s="226" t="str">
        <f>"S"&amp;WEEKNUM(AD3)</f>
        <v>S4</v>
      </c>
      <c r="AE2" s="225"/>
      <c r="AF2" s="225"/>
      <c r="AG2" s="225"/>
      <c r="AH2" s="225"/>
      <c r="AI2" s="218"/>
      <c r="AJ2" s="222"/>
      <c r="AK2" s="226" t="str">
        <f>"S"&amp;WEEKNUM(AK3)</f>
        <v>S5</v>
      </c>
      <c r="AL2" s="225"/>
      <c r="AM2" s="225"/>
      <c r="AN2" s="225"/>
      <c r="AO2" s="225"/>
      <c r="AP2" s="218"/>
      <c r="AQ2" s="226"/>
      <c r="AR2" s="226" t="str">
        <f>"S"&amp;WEEKNUM(AR3)</f>
        <v>S6</v>
      </c>
      <c r="AS2" s="225"/>
      <c r="AT2" s="225"/>
      <c r="AU2" s="225"/>
      <c r="AV2" s="225"/>
      <c r="AW2" s="218"/>
      <c r="AX2" s="222"/>
      <c r="AY2" s="226" t="str">
        <f>"S"&amp;WEEKNUM(AY3)</f>
        <v>S7</v>
      </c>
      <c r="AZ2" s="225"/>
      <c r="BA2" s="225"/>
      <c r="BB2" s="225"/>
      <c r="BC2" s="225"/>
      <c r="BD2" s="218"/>
      <c r="BE2" s="226"/>
      <c r="BF2" s="226" t="str">
        <f>"S"&amp;WEEKNUM(BF3)</f>
        <v>S8</v>
      </c>
      <c r="BG2" s="225"/>
      <c r="BH2" s="225"/>
      <c r="BI2" s="225"/>
      <c r="BJ2" s="225"/>
      <c r="BK2" s="218"/>
      <c r="BL2" s="222"/>
      <c r="BM2" s="226" t="str">
        <f>"S"&amp;WEEKNUM(BM3)</f>
        <v>S9</v>
      </c>
      <c r="BN2" s="225"/>
      <c r="BO2" s="225"/>
      <c r="BP2" s="225"/>
      <c r="BQ2" s="225"/>
      <c r="BR2" s="218"/>
      <c r="BS2" s="226"/>
      <c r="BT2" s="226" t="str">
        <f>"S"&amp;WEEKNUM(BT3)</f>
        <v>S10</v>
      </c>
      <c r="BU2" s="225"/>
      <c r="BV2" s="225"/>
      <c r="BW2" s="225"/>
      <c r="BX2" s="225"/>
      <c r="BY2" s="218"/>
      <c r="BZ2" s="222"/>
      <c r="CA2" s="226" t="str">
        <f>"S"&amp;WEEKNUM(CA3)</f>
        <v>S11</v>
      </c>
      <c r="CB2" s="225"/>
      <c r="CC2" s="225"/>
      <c r="CD2" s="225"/>
      <c r="CE2" s="225"/>
      <c r="CF2" s="218"/>
      <c r="CG2" s="226"/>
      <c r="CH2" s="226" t="str">
        <f>"S"&amp;WEEKNUM(CH3)</f>
        <v>S12</v>
      </c>
      <c r="CI2" s="225"/>
      <c r="CJ2" s="225"/>
      <c r="CK2" s="225"/>
      <c r="CL2" s="225"/>
      <c r="CM2" s="218"/>
      <c r="CN2" s="222"/>
      <c r="CO2" s="226" t="str">
        <f>"S"&amp;WEEKNUM(CO3)</f>
        <v>S13</v>
      </c>
      <c r="CP2" s="225"/>
      <c r="CQ2" s="225"/>
      <c r="CR2" s="225"/>
      <c r="CS2" s="225"/>
      <c r="CT2" s="218"/>
      <c r="CU2" s="226"/>
      <c r="CV2" s="226" t="str">
        <f>"S"&amp;WEEKNUM(CV3)</f>
        <v>S14</v>
      </c>
      <c r="CW2" s="225"/>
      <c r="CX2" s="225"/>
      <c r="CY2" s="225"/>
      <c r="CZ2" s="225"/>
      <c r="DA2" s="218"/>
      <c r="DB2" s="222"/>
      <c r="DC2" s="226" t="str">
        <f>"S"&amp;WEEKNUM(DC3)</f>
        <v>S15</v>
      </c>
      <c r="DD2" s="225"/>
      <c r="DE2" s="225"/>
      <c r="DF2" s="225"/>
      <c r="DG2" s="225"/>
      <c r="DH2" s="218"/>
      <c r="DI2" s="226"/>
      <c r="DJ2" s="226" t="str">
        <f>"S"&amp;WEEKNUM(DJ3)</f>
        <v>S16</v>
      </c>
      <c r="DK2" s="225"/>
      <c r="DL2" s="225"/>
      <c r="DM2" s="225"/>
      <c r="DN2" s="225"/>
      <c r="DO2" s="218"/>
      <c r="DP2" s="222"/>
      <c r="DQ2" s="226" t="str">
        <f>"S"&amp;WEEKNUM(DQ3)</f>
        <v>S17</v>
      </c>
      <c r="DR2" s="225"/>
      <c r="DS2" s="225"/>
      <c r="DT2" s="225"/>
      <c r="DU2" s="225"/>
      <c r="DV2" s="218"/>
      <c r="DW2" s="222"/>
      <c r="DX2" s="226" t="str">
        <f>"S"&amp;WEEKNUM(DX3)</f>
        <v>S18</v>
      </c>
      <c r="DY2" s="225"/>
      <c r="DZ2" s="225"/>
      <c r="EA2" s="225"/>
      <c r="EB2" s="225"/>
      <c r="EC2" s="218"/>
      <c r="ED2" s="226"/>
      <c r="EE2" s="226" t="str">
        <f>"S"&amp;WEEKNUM(EE3)</f>
        <v>S19</v>
      </c>
      <c r="EF2" s="225"/>
      <c r="EG2" s="225"/>
      <c r="EH2" s="225"/>
      <c r="EI2" s="225"/>
      <c r="EJ2" s="218"/>
      <c r="EK2" s="222"/>
      <c r="EL2" s="226" t="str">
        <f>"S"&amp;WEEKNUM(EL3)</f>
        <v>S20</v>
      </c>
      <c r="EM2" s="225"/>
      <c r="EN2" s="225"/>
      <c r="EO2" s="225"/>
      <c r="EP2" s="225"/>
      <c r="EQ2" s="218"/>
      <c r="ER2" s="222"/>
      <c r="ES2" s="226" t="str">
        <f>"S"&amp;WEEKNUM(ES3)</f>
        <v>S21</v>
      </c>
      <c r="ET2" s="225"/>
      <c r="EU2" s="225"/>
      <c r="EV2" s="225"/>
      <c r="EW2" s="225"/>
      <c r="EX2" s="218"/>
      <c r="EY2" s="226"/>
      <c r="EZ2" s="226" t="str">
        <f>"S"&amp;WEEKNUM(EZ3)</f>
        <v>S22</v>
      </c>
      <c r="FA2" s="225"/>
      <c r="FB2" s="225"/>
      <c r="FC2" s="225"/>
      <c r="FD2" s="225"/>
      <c r="FE2" s="218"/>
      <c r="FF2" s="222"/>
      <c r="FG2" s="226" t="str">
        <f>"S"&amp;WEEKNUM(FG3)</f>
        <v>S23</v>
      </c>
      <c r="FH2" s="225"/>
      <c r="FI2" s="225"/>
      <c r="FJ2" s="225"/>
      <c r="FK2" s="225"/>
      <c r="FL2" s="218"/>
      <c r="FM2" s="222"/>
      <c r="FN2" s="226" t="str">
        <f>"S"&amp;WEEKNUM(FN3)</f>
        <v>S24</v>
      </c>
      <c r="FO2" s="225"/>
      <c r="FP2" s="225"/>
      <c r="FQ2" s="225"/>
      <c r="FR2" s="225"/>
      <c r="FS2" s="218"/>
      <c r="FT2" s="226"/>
      <c r="FU2" s="226" t="str">
        <f>"S"&amp;WEEKNUM(FU3)</f>
        <v>S25</v>
      </c>
      <c r="FV2" s="225"/>
      <c r="FW2" s="225"/>
      <c r="FX2" s="225"/>
      <c r="FY2" s="225"/>
      <c r="FZ2" s="218"/>
      <c r="GA2" s="222"/>
      <c r="GB2" s="226" t="str">
        <f>"S"&amp;WEEKNUM(GB3)</f>
        <v>S26</v>
      </c>
      <c r="GC2" s="225"/>
      <c r="GD2" s="225"/>
      <c r="GE2" s="225"/>
      <c r="GF2" s="225"/>
      <c r="GG2" s="218"/>
      <c r="GH2" s="222"/>
      <c r="GI2" s="226" t="str">
        <f>"S"&amp;WEEKNUM(GI3)</f>
        <v>S27</v>
      </c>
      <c r="GJ2" s="225"/>
      <c r="GK2" s="225"/>
      <c r="GL2" s="225"/>
      <c r="GM2" s="225"/>
      <c r="GN2" s="218"/>
      <c r="GO2" s="226"/>
      <c r="GP2" s="226" t="str">
        <f>"S"&amp;WEEKNUM(GP3)</f>
        <v>S28</v>
      </c>
      <c r="GQ2" s="225"/>
      <c r="GR2" s="225"/>
      <c r="GS2" s="225"/>
      <c r="GT2" s="225"/>
      <c r="GU2" s="218"/>
      <c r="GV2" s="222"/>
      <c r="GW2" s="226" t="str">
        <f>"S"&amp;WEEKNUM(GW3)</f>
        <v>S29</v>
      </c>
      <c r="GX2" s="225"/>
      <c r="GY2" s="225"/>
      <c r="GZ2" s="225"/>
      <c r="HA2" s="225"/>
      <c r="HB2" s="218"/>
      <c r="HC2" s="222"/>
      <c r="HD2" s="226" t="str">
        <f>"S"&amp;WEEKNUM(HD3)</f>
        <v>S30</v>
      </c>
      <c r="HE2" s="225"/>
      <c r="HF2" s="225"/>
      <c r="HG2" s="225"/>
      <c r="HH2" s="225"/>
      <c r="HI2" s="218"/>
      <c r="HJ2" s="226"/>
      <c r="HK2" s="226" t="str">
        <f>"S"&amp;WEEKNUM(HK3)</f>
        <v>S31</v>
      </c>
      <c r="HL2" s="225"/>
      <c r="HM2" s="225"/>
      <c r="HN2" s="225"/>
      <c r="HO2" s="225"/>
      <c r="HP2" s="218"/>
      <c r="HQ2" s="222"/>
      <c r="HR2" s="226" t="str">
        <f>"S"&amp;WEEKNUM(HR3)</f>
        <v>S32</v>
      </c>
      <c r="HS2" s="225"/>
      <c r="HT2" s="225"/>
      <c r="HU2" s="225"/>
      <c r="HV2" s="225"/>
      <c r="HW2" s="218"/>
      <c r="HX2" s="226"/>
      <c r="HY2" s="226" t="str">
        <f>"S"&amp;WEEKNUM(HY3)</f>
        <v>S33</v>
      </c>
      <c r="HZ2" s="225"/>
      <c r="IA2" s="225"/>
      <c r="IB2" s="225"/>
      <c r="IC2" s="225"/>
      <c r="ID2" s="218"/>
      <c r="IE2" s="222"/>
      <c r="IF2" s="226" t="str">
        <f>"S"&amp;WEEKNUM(IF3)</f>
        <v>S34</v>
      </c>
      <c r="IG2" s="225"/>
      <c r="IH2" s="225"/>
      <c r="II2" s="225"/>
      <c r="IJ2" s="225"/>
      <c r="IK2" s="218"/>
      <c r="IL2" s="226"/>
      <c r="IM2" s="226" t="str">
        <f>"S"&amp;WEEKNUM(IM3)</f>
        <v>S35</v>
      </c>
      <c r="IN2" s="225"/>
      <c r="IO2" s="225"/>
      <c r="IP2" s="225"/>
      <c r="IQ2" s="225"/>
      <c r="IR2" s="218"/>
      <c r="IS2" s="222"/>
      <c r="IT2" s="226" t="str">
        <f>"S"&amp;WEEKNUM(IT3)</f>
        <v>S36</v>
      </c>
      <c r="IU2" s="225"/>
      <c r="IV2" s="225"/>
      <c r="IW2" s="225"/>
      <c r="IX2" s="225"/>
      <c r="IY2" s="218"/>
      <c r="IZ2" s="226"/>
      <c r="JA2" s="226" t="str">
        <f>"S"&amp;WEEKNUM(JA3)</f>
        <v>S37</v>
      </c>
      <c r="JB2" s="225"/>
      <c r="JC2" s="225"/>
      <c r="JD2" s="225"/>
      <c r="JE2" s="225"/>
      <c r="JF2" s="218"/>
      <c r="JG2" s="222"/>
      <c r="JH2" s="226" t="str">
        <f>"S"&amp;WEEKNUM(JH3)</f>
        <v>S38</v>
      </c>
      <c r="JI2" s="225"/>
      <c r="JJ2" s="225"/>
      <c r="JK2" s="225"/>
      <c r="JL2" s="225"/>
      <c r="JM2" s="218"/>
      <c r="JN2" s="226"/>
      <c r="JO2" s="226" t="str">
        <f>"S"&amp;WEEKNUM(JO3)</f>
        <v>S39</v>
      </c>
      <c r="JP2" s="225"/>
      <c r="JQ2" s="225"/>
      <c r="JR2" s="225"/>
      <c r="JS2" s="225"/>
      <c r="JT2" s="218"/>
      <c r="JU2" s="222"/>
      <c r="JV2" s="226" t="str">
        <f>"S"&amp;WEEKNUM(JV3)</f>
        <v>S40</v>
      </c>
      <c r="JW2" s="225"/>
      <c r="JX2" s="225"/>
      <c r="JY2" s="225"/>
      <c r="JZ2" s="225"/>
      <c r="KA2" s="218"/>
      <c r="KB2" s="226"/>
      <c r="KC2" s="226" t="str">
        <f>"S"&amp;WEEKNUM(KC3)</f>
        <v>S41</v>
      </c>
      <c r="KD2" s="225"/>
      <c r="KE2" s="225"/>
      <c r="KF2" s="225"/>
      <c r="KG2" s="225"/>
      <c r="KH2" s="218"/>
      <c r="KI2" s="222"/>
      <c r="KJ2" s="226" t="str">
        <f>"S"&amp;WEEKNUM(KJ3)</f>
        <v>S42</v>
      </c>
      <c r="KK2" s="225"/>
      <c r="KL2" s="225"/>
      <c r="KM2" s="225"/>
      <c r="KN2" s="225"/>
      <c r="KO2" s="218"/>
      <c r="KP2" s="222"/>
      <c r="KQ2" s="226" t="str">
        <f>"S"&amp;WEEKNUM(KQ3)</f>
        <v>S43</v>
      </c>
      <c r="KR2" s="225"/>
      <c r="KS2" s="225"/>
      <c r="KT2" s="225"/>
      <c r="KU2" s="225"/>
      <c r="KV2" s="218"/>
      <c r="KW2" s="226"/>
      <c r="KX2" s="226" t="str">
        <f>"S"&amp;WEEKNUM(KX3)</f>
        <v>S44</v>
      </c>
      <c r="KY2" s="225"/>
      <c r="KZ2" s="225"/>
      <c r="LA2" s="225"/>
      <c r="LB2" s="225"/>
      <c r="LC2" s="218"/>
      <c r="LD2" s="222"/>
      <c r="LE2" s="226" t="str">
        <f>"S"&amp;WEEKNUM(LE3)</f>
        <v>S45</v>
      </c>
      <c r="LF2" s="225"/>
      <c r="LG2" s="225"/>
      <c r="LH2" s="225"/>
      <c r="LI2" s="225"/>
      <c r="LJ2" s="218"/>
      <c r="LK2" s="222"/>
      <c r="LL2" s="226" t="str">
        <f>"S"&amp;WEEKNUM(LL3)</f>
        <v>S46</v>
      </c>
      <c r="LM2" s="225"/>
      <c r="LN2" s="225"/>
      <c r="LO2" s="225"/>
      <c r="LP2" s="225"/>
      <c r="LQ2" s="218"/>
      <c r="LR2" s="226"/>
      <c r="LS2" s="226" t="str">
        <f>"S"&amp;WEEKNUM(LS3)</f>
        <v>S47</v>
      </c>
      <c r="LT2" s="225"/>
      <c r="LU2" s="225"/>
      <c r="LV2" s="225"/>
      <c r="LW2" s="225"/>
      <c r="LX2" s="218"/>
      <c r="LY2" s="222"/>
      <c r="LZ2" s="226" t="str">
        <f>"S"&amp;WEEKNUM(LZ3)</f>
        <v>S48</v>
      </c>
      <c r="MA2" s="225"/>
      <c r="MB2" s="225"/>
      <c r="MC2" s="225"/>
      <c r="MD2" s="225"/>
      <c r="ME2" s="218"/>
      <c r="MF2" s="222"/>
      <c r="MG2" s="226" t="str">
        <f>"S"&amp;WEEKNUM(MG3)</f>
        <v>S49</v>
      </c>
      <c r="MH2" s="225"/>
      <c r="MI2" s="225"/>
      <c r="MJ2" s="225"/>
      <c r="MK2" s="225"/>
      <c r="ML2" s="218"/>
      <c r="MM2" s="226"/>
      <c r="MN2" s="226" t="str">
        <f>"S"&amp;WEEKNUM(MN3)</f>
        <v>S50</v>
      </c>
      <c r="MO2" s="225"/>
      <c r="MP2" s="225"/>
      <c r="MQ2" s="225"/>
      <c r="MR2" s="225"/>
      <c r="MS2" s="218"/>
      <c r="MT2" s="222"/>
      <c r="MU2" s="226" t="str">
        <f>"S"&amp;WEEKNUM(MU3)</f>
        <v>S51</v>
      </c>
      <c r="MV2" s="225"/>
      <c r="MW2" s="225"/>
      <c r="MX2" s="225"/>
      <c r="MY2" s="225"/>
      <c r="MZ2" s="218"/>
      <c r="NA2" s="222"/>
      <c r="NB2" s="226" t="str">
        <f>"S"&amp;WEEKNUM(NB3)</f>
        <v>S52</v>
      </c>
      <c r="NC2" s="225"/>
      <c r="ND2" s="225"/>
      <c r="NE2" s="225"/>
      <c r="NF2" s="225"/>
      <c r="NG2" s="218"/>
      <c r="NH2" s="226"/>
      <c r="NI2" s="226" t="str">
        <f>"S"&amp;WEEKNUM(NI3)</f>
        <v>S53</v>
      </c>
      <c r="NJ2" s="225"/>
      <c r="NK2" s="225"/>
      <c r="NL2" s="225"/>
      <c r="NM2" s="225"/>
      <c r="NN2" s="218"/>
      <c r="NO2" s="222"/>
      <c r="NP2" s="226" t="str">
        <f>"S"&amp;WEEKNUM(NP3)</f>
        <v>S2</v>
      </c>
      <c r="NQ2" s="225"/>
      <c r="NR2" s="225"/>
      <c r="NS2" s="225"/>
      <c r="NT2" s="225"/>
      <c r="NU2" s="218"/>
      <c r="NV2" s="222"/>
    </row>
    <row r="3" spans="2:387" ht="15" thickBot="1" x14ac:dyDescent="0.35">
      <c r="I3" s="223">
        <v>45656</v>
      </c>
      <c r="J3" s="223">
        <v>45657</v>
      </c>
      <c r="K3" s="223">
        <v>45658</v>
      </c>
      <c r="L3" s="223">
        <v>45659</v>
      </c>
      <c r="M3" s="223">
        <v>45660</v>
      </c>
      <c r="N3" s="223">
        <v>45661</v>
      </c>
      <c r="O3" s="132">
        <v>45662</v>
      </c>
      <c r="P3" s="223">
        <v>45663</v>
      </c>
      <c r="Q3" s="224">
        <v>45664</v>
      </c>
      <c r="R3" s="224">
        <v>45665</v>
      </c>
      <c r="S3" s="224">
        <v>45666</v>
      </c>
      <c r="T3" s="224">
        <v>45667</v>
      </c>
      <c r="U3" s="224">
        <v>45668</v>
      </c>
      <c r="V3" s="132">
        <v>45669</v>
      </c>
      <c r="W3" s="223">
        <v>45670</v>
      </c>
      <c r="X3" s="224">
        <v>45671</v>
      </c>
      <c r="Y3" s="224">
        <v>45672</v>
      </c>
      <c r="Z3" s="224">
        <v>45673</v>
      </c>
      <c r="AA3" s="224">
        <v>45674</v>
      </c>
      <c r="AB3" s="224">
        <v>45675</v>
      </c>
      <c r="AC3" s="132">
        <v>45676</v>
      </c>
      <c r="AD3" s="223">
        <v>45677</v>
      </c>
      <c r="AE3" s="224">
        <v>45678</v>
      </c>
      <c r="AF3" s="224">
        <v>45679</v>
      </c>
      <c r="AG3" s="224">
        <v>45680</v>
      </c>
      <c r="AH3" s="224">
        <v>45681</v>
      </c>
      <c r="AI3" s="224">
        <v>45682</v>
      </c>
      <c r="AJ3" s="132">
        <v>45683</v>
      </c>
      <c r="AK3" s="223">
        <v>45684</v>
      </c>
      <c r="AL3" s="224">
        <v>45685</v>
      </c>
      <c r="AM3" s="224">
        <v>45686</v>
      </c>
      <c r="AN3" s="224">
        <v>45687</v>
      </c>
      <c r="AO3" s="224">
        <v>45688</v>
      </c>
      <c r="AP3" s="224">
        <v>45689</v>
      </c>
      <c r="AQ3" s="132">
        <v>45690</v>
      </c>
      <c r="AR3" s="223">
        <v>45691</v>
      </c>
      <c r="AS3" s="224">
        <v>45692</v>
      </c>
      <c r="AT3" s="224">
        <v>45693</v>
      </c>
      <c r="AU3" s="224">
        <v>45694</v>
      </c>
      <c r="AV3" s="224">
        <v>45695</v>
      </c>
      <c r="AW3" s="224">
        <v>45696</v>
      </c>
      <c r="AX3" s="132">
        <v>45697</v>
      </c>
      <c r="AY3" s="223">
        <v>45698</v>
      </c>
      <c r="AZ3" s="224">
        <v>45699</v>
      </c>
      <c r="BA3" s="224">
        <v>45700</v>
      </c>
      <c r="BB3" s="224">
        <v>45701</v>
      </c>
      <c r="BC3" s="224">
        <v>45702</v>
      </c>
      <c r="BD3" s="224">
        <v>45703</v>
      </c>
      <c r="BE3" s="132">
        <v>45704</v>
      </c>
      <c r="BF3" s="223">
        <v>45705</v>
      </c>
      <c r="BG3" s="224">
        <v>45706</v>
      </c>
      <c r="BH3" s="224">
        <v>45707</v>
      </c>
      <c r="BI3" s="224">
        <v>45708</v>
      </c>
      <c r="BJ3" s="224">
        <v>45709</v>
      </c>
      <c r="BK3" s="224">
        <v>45710</v>
      </c>
      <c r="BL3" s="132">
        <v>45711</v>
      </c>
      <c r="BM3" s="223">
        <v>45712</v>
      </c>
      <c r="BN3" s="224">
        <v>45713</v>
      </c>
      <c r="BO3" s="224">
        <v>45714</v>
      </c>
      <c r="BP3" s="224">
        <v>45715</v>
      </c>
      <c r="BQ3" s="224">
        <v>45716</v>
      </c>
      <c r="BR3" s="224">
        <v>45717</v>
      </c>
      <c r="BS3" s="132">
        <v>45718</v>
      </c>
      <c r="BT3" s="223">
        <v>45719</v>
      </c>
      <c r="BU3" s="224">
        <v>45720</v>
      </c>
      <c r="BV3" s="224">
        <v>45721</v>
      </c>
      <c r="BW3" s="224">
        <v>45722</v>
      </c>
      <c r="BX3" s="224">
        <v>45723</v>
      </c>
      <c r="BY3" s="224">
        <v>45724</v>
      </c>
      <c r="BZ3" s="132">
        <v>45725</v>
      </c>
      <c r="CA3" s="223">
        <v>45726</v>
      </c>
      <c r="CB3" s="224">
        <v>45727</v>
      </c>
      <c r="CC3" s="224">
        <v>45728</v>
      </c>
      <c r="CD3" s="224">
        <v>45729</v>
      </c>
      <c r="CE3" s="224">
        <v>45730</v>
      </c>
      <c r="CF3" s="224">
        <v>45731</v>
      </c>
      <c r="CG3" s="132">
        <v>45732</v>
      </c>
      <c r="CH3" s="223">
        <v>45733</v>
      </c>
      <c r="CI3" s="224">
        <v>45734</v>
      </c>
      <c r="CJ3" s="224">
        <v>45735</v>
      </c>
      <c r="CK3" s="224">
        <v>45736</v>
      </c>
      <c r="CL3" s="224">
        <v>45737</v>
      </c>
      <c r="CM3" s="224">
        <v>45738</v>
      </c>
      <c r="CN3" s="132">
        <v>45739</v>
      </c>
      <c r="CO3" s="223">
        <v>45740</v>
      </c>
      <c r="CP3" s="224">
        <v>45741</v>
      </c>
      <c r="CQ3" s="224">
        <v>45742</v>
      </c>
      <c r="CR3" s="224">
        <v>45743</v>
      </c>
      <c r="CS3" s="224">
        <v>45744</v>
      </c>
      <c r="CT3" s="224">
        <v>45745</v>
      </c>
      <c r="CU3" s="132">
        <v>45746</v>
      </c>
      <c r="CV3" s="223">
        <v>45747</v>
      </c>
      <c r="CW3" s="224">
        <v>45748</v>
      </c>
      <c r="CX3" s="224">
        <v>45749</v>
      </c>
      <c r="CY3" s="224">
        <v>45750</v>
      </c>
      <c r="CZ3" s="224">
        <v>45751</v>
      </c>
      <c r="DA3" s="224">
        <v>45752</v>
      </c>
      <c r="DB3" s="132">
        <v>45753</v>
      </c>
      <c r="DC3" s="223">
        <v>45754</v>
      </c>
      <c r="DD3" s="224">
        <v>45755</v>
      </c>
      <c r="DE3" s="224">
        <v>45756</v>
      </c>
      <c r="DF3" s="224">
        <v>45757</v>
      </c>
      <c r="DG3" s="224">
        <v>45758</v>
      </c>
      <c r="DH3" s="224">
        <v>45759</v>
      </c>
      <c r="DI3" s="132">
        <v>45760</v>
      </c>
      <c r="DJ3" s="223">
        <v>45761</v>
      </c>
      <c r="DK3" s="224">
        <v>45762</v>
      </c>
      <c r="DL3" s="224">
        <v>45763</v>
      </c>
      <c r="DM3" s="224">
        <v>45764</v>
      </c>
      <c r="DN3" s="224">
        <v>45765</v>
      </c>
      <c r="DO3" s="224">
        <v>45766</v>
      </c>
      <c r="DP3" s="132">
        <v>45767</v>
      </c>
      <c r="DQ3" s="223">
        <v>45768</v>
      </c>
      <c r="DR3" s="224">
        <v>45769</v>
      </c>
      <c r="DS3" s="224">
        <v>45770</v>
      </c>
      <c r="DT3" s="224">
        <v>45771</v>
      </c>
      <c r="DU3" s="224">
        <v>45772</v>
      </c>
      <c r="DV3" s="224">
        <v>45773</v>
      </c>
      <c r="DW3" s="132">
        <v>45774</v>
      </c>
      <c r="DX3" s="223">
        <v>45775</v>
      </c>
      <c r="DY3" s="224">
        <v>45776</v>
      </c>
      <c r="DZ3" s="224">
        <v>45777</v>
      </c>
      <c r="EA3" s="224">
        <v>45778</v>
      </c>
      <c r="EB3" s="224">
        <v>45779</v>
      </c>
      <c r="EC3" s="224">
        <v>45780</v>
      </c>
      <c r="ED3" s="132">
        <v>45781</v>
      </c>
      <c r="EE3" s="223">
        <v>45782</v>
      </c>
      <c r="EF3" s="224">
        <v>45783</v>
      </c>
      <c r="EG3" s="224">
        <v>45784</v>
      </c>
      <c r="EH3" s="224">
        <v>45785</v>
      </c>
      <c r="EI3" s="224">
        <v>45786</v>
      </c>
      <c r="EJ3" s="224">
        <v>45787</v>
      </c>
      <c r="EK3" s="132">
        <v>45788</v>
      </c>
      <c r="EL3" s="223">
        <v>45789</v>
      </c>
      <c r="EM3" s="224">
        <v>45790</v>
      </c>
      <c r="EN3" s="224">
        <v>45791</v>
      </c>
      <c r="EO3" s="224">
        <v>45792</v>
      </c>
      <c r="EP3" s="224">
        <v>45793</v>
      </c>
      <c r="EQ3" s="224">
        <v>45794</v>
      </c>
      <c r="ER3" s="132">
        <v>45795</v>
      </c>
      <c r="ES3" s="223">
        <v>45796</v>
      </c>
      <c r="ET3" s="224">
        <v>45797</v>
      </c>
      <c r="EU3" s="224">
        <v>45798</v>
      </c>
      <c r="EV3" s="224">
        <v>45799</v>
      </c>
      <c r="EW3" s="224">
        <v>45800</v>
      </c>
      <c r="EX3" s="224">
        <v>45801</v>
      </c>
      <c r="EY3" s="132">
        <v>45802</v>
      </c>
      <c r="EZ3" s="223">
        <v>45803</v>
      </c>
      <c r="FA3" s="224">
        <v>45804</v>
      </c>
      <c r="FB3" s="224">
        <v>45805</v>
      </c>
      <c r="FC3" s="224">
        <v>45806</v>
      </c>
      <c r="FD3" s="224">
        <v>45807</v>
      </c>
      <c r="FE3" s="224">
        <v>45808</v>
      </c>
      <c r="FF3" s="132">
        <v>45809</v>
      </c>
      <c r="FG3" s="223">
        <v>45810</v>
      </c>
      <c r="FH3" s="224">
        <v>45811</v>
      </c>
      <c r="FI3" s="224">
        <v>45812</v>
      </c>
      <c r="FJ3" s="224">
        <v>45813</v>
      </c>
      <c r="FK3" s="224">
        <v>45814</v>
      </c>
      <c r="FL3" s="224">
        <v>45815</v>
      </c>
      <c r="FM3" s="132">
        <v>45816</v>
      </c>
      <c r="FN3" s="223">
        <v>45817</v>
      </c>
      <c r="FO3" s="224">
        <v>45818</v>
      </c>
      <c r="FP3" s="224">
        <v>45819</v>
      </c>
      <c r="FQ3" s="224">
        <v>45820</v>
      </c>
      <c r="FR3" s="224">
        <v>45821</v>
      </c>
      <c r="FS3" s="224">
        <v>45822</v>
      </c>
      <c r="FT3" s="132">
        <v>45823</v>
      </c>
      <c r="FU3" s="223">
        <v>45824</v>
      </c>
      <c r="FV3" s="224">
        <v>45825</v>
      </c>
      <c r="FW3" s="224">
        <v>45826</v>
      </c>
      <c r="FX3" s="224">
        <v>45827</v>
      </c>
      <c r="FY3" s="224">
        <v>45828</v>
      </c>
      <c r="FZ3" s="224">
        <v>45829</v>
      </c>
      <c r="GA3" s="132">
        <v>45830</v>
      </c>
      <c r="GB3" s="223">
        <v>45831</v>
      </c>
      <c r="GC3" s="224">
        <v>45832</v>
      </c>
      <c r="GD3" s="224">
        <v>45833</v>
      </c>
      <c r="GE3" s="224">
        <v>45834</v>
      </c>
      <c r="GF3" s="224">
        <v>45835</v>
      </c>
      <c r="GG3" s="224">
        <v>45836</v>
      </c>
      <c r="GH3" s="132">
        <v>45837</v>
      </c>
      <c r="GI3" s="223">
        <v>45838</v>
      </c>
      <c r="GJ3" s="224">
        <v>45839</v>
      </c>
      <c r="GK3" s="224">
        <v>45840</v>
      </c>
      <c r="GL3" s="224">
        <v>45841</v>
      </c>
      <c r="GM3" s="224">
        <v>45842</v>
      </c>
      <c r="GN3" s="224">
        <v>45843</v>
      </c>
      <c r="GO3" s="132">
        <v>45844</v>
      </c>
      <c r="GP3" s="223">
        <v>45845</v>
      </c>
      <c r="GQ3" s="224">
        <v>45846</v>
      </c>
      <c r="GR3" s="224">
        <v>45847</v>
      </c>
      <c r="GS3" s="224">
        <v>45848</v>
      </c>
      <c r="GT3" s="224">
        <v>45849</v>
      </c>
      <c r="GU3" s="224">
        <v>45850</v>
      </c>
      <c r="GV3" s="132">
        <v>45851</v>
      </c>
      <c r="GW3" s="223">
        <v>45852</v>
      </c>
      <c r="GX3" s="224">
        <v>45853</v>
      </c>
      <c r="GY3" s="224">
        <v>45854</v>
      </c>
      <c r="GZ3" s="224">
        <v>45855</v>
      </c>
      <c r="HA3" s="224">
        <v>45856</v>
      </c>
      <c r="HB3" s="224">
        <v>45857</v>
      </c>
      <c r="HC3" s="132">
        <v>45858</v>
      </c>
      <c r="HD3" s="223">
        <v>45859</v>
      </c>
      <c r="HE3" s="224">
        <v>45860</v>
      </c>
      <c r="HF3" s="224">
        <v>45861</v>
      </c>
      <c r="HG3" s="224">
        <v>45862</v>
      </c>
      <c r="HH3" s="224">
        <v>45863</v>
      </c>
      <c r="HI3" s="224">
        <v>45864</v>
      </c>
      <c r="HJ3" s="132">
        <v>45865</v>
      </c>
      <c r="HK3" s="223">
        <v>45866</v>
      </c>
      <c r="HL3" s="224">
        <v>45867</v>
      </c>
      <c r="HM3" s="224">
        <v>45868</v>
      </c>
      <c r="HN3" s="224">
        <v>45869</v>
      </c>
      <c r="HO3" s="224">
        <v>45870</v>
      </c>
      <c r="HP3" s="224">
        <v>45871</v>
      </c>
      <c r="HQ3" s="132">
        <v>45872</v>
      </c>
      <c r="HR3" s="223">
        <v>45873</v>
      </c>
      <c r="HS3" s="224">
        <v>45874</v>
      </c>
      <c r="HT3" s="224">
        <v>45875</v>
      </c>
      <c r="HU3" s="224">
        <v>45876</v>
      </c>
      <c r="HV3" s="224">
        <v>45877</v>
      </c>
      <c r="HW3" s="224">
        <v>45878</v>
      </c>
      <c r="HX3" s="132">
        <v>45879</v>
      </c>
      <c r="HY3" s="223">
        <v>45880</v>
      </c>
      <c r="HZ3" s="224">
        <v>45881</v>
      </c>
      <c r="IA3" s="224">
        <v>45882</v>
      </c>
      <c r="IB3" s="224">
        <v>45883</v>
      </c>
      <c r="IC3" s="224">
        <v>45884</v>
      </c>
      <c r="ID3" s="224">
        <v>45885</v>
      </c>
      <c r="IE3" s="132">
        <v>45886</v>
      </c>
      <c r="IF3" s="223">
        <v>45887</v>
      </c>
      <c r="IG3" s="224">
        <v>45888</v>
      </c>
      <c r="IH3" s="224">
        <v>45889</v>
      </c>
      <c r="II3" s="224">
        <v>45890</v>
      </c>
      <c r="IJ3" s="224">
        <v>45891</v>
      </c>
      <c r="IK3" s="224">
        <v>45892</v>
      </c>
      <c r="IL3" s="132">
        <v>45893</v>
      </c>
      <c r="IM3" s="223">
        <v>45894</v>
      </c>
      <c r="IN3" s="224">
        <v>45895</v>
      </c>
      <c r="IO3" s="224">
        <v>45896</v>
      </c>
      <c r="IP3" s="224">
        <v>45897</v>
      </c>
      <c r="IQ3" s="224">
        <v>45898</v>
      </c>
      <c r="IR3" s="224">
        <v>45899</v>
      </c>
      <c r="IS3" s="132">
        <v>45900</v>
      </c>
      <c r="IT3" s="223">
        <v>45901</v>
      </c>
      <c r="IU3" s="224">
        <v>45902</v>
      </c>
      <c r="IV3" s="224">
        <v>45903</v>
      </c>
      <c r="IW3" s="224">
        <v>45904</v>
      </c>
      <c r="IX3" s="224">
        <v>45905</v>
      </c>
      <c r="IY3" s="224">
        <v>45906</v>
      </c>
      <c r="IZ3" s="132">
        <v>45907</v>
      </c>
      <c r="JA3" s="223">
        <v>45908</v>
      </c>
      <c r="JB3" s="224">
        <v>45909</v>
      </c>
      <c r="JC3" s="224">
        <v>45910</v>
      </c>
      <c r="JD3" s="224">
        <v>45911</v>
      </c>
      <c r="JE3" s="224">
        <v>45912</v>
      </c>
      <c r="JF3" s="224">
        <v>45913</v>
      </c>
      <c r="JG3" s="132">
        <v>45914</v>
      </c>
      <c r="JH3" s="223">
        <v>45915</v>
      </c>
      <c r="JI3" s="224">
        <v>45916</v>
      </c>
      <c r="JJ3" s="224">
        <v>45917</v>
      </c>
      <c r="JK3" s="224">
        <v>45918</v>
      </c>
      <c r="JL3" s="224">
        <v>45919</v>
      </c>
      <c r="JM3" s="224">
        <v>45920</v>
      </c>
      <c r="JN3" s="132">
        <v>45921</v>
      </c>
      <c r="JO3" s="223">
        <v>45922</v>
      </c>
      <c r="JP3" s="224">
        <v>45923</v>
      </c>
      <c r="JQ3" s="224">
        <v>45924</v>
      </c>
      <c r="JR3" s="224">
        <v>45925</v>
      </c>
      <c r="JS3" s="224">
        <v>45926</v>
      </c>
      <c r="JT3" s="224">
        <v>45927</v>
      </c>
      <c r="JU3" s="132">
        <v>45928</v>
      </c>
      <c r="JV3" s="223">
        <v>45929</v>
      </c>
      <c r="JW3" s="224">
        <v>45930</v>
      </c>
      <c r="JX3" s="224">
        <v>45931</v>
      </c>
      <c r="JY3" s="224">
        <v>45932</v>
      </c>
      <c r="JZ3" s="224">
        <v>45933</v>
      </c>
      <c r="KA3" s="224">
        <v>45934</v>
      </c>
      <c r="KB3" s="132">
        <v>45935</v>
      </c>
      <c r="KC3" s="223">
        <v>45936</v>
      </c>
      <c r="KD3" s="224">
        <v>45937</v>
      </c>
      <c r="KE3" s="224">
        <v>45938</v>
      </c>
      <c r="KF3" s="224">
        <v>45939</v>
      </c>
      <c r="KG3" s="224">
        <v>45940</v>
      </c>
      <c r="KH3" s="224">
        <v>45941</v>
      </c>
      <c r="KI3" s="132">
        <v>45942</v>
      </c>
      <c r="KJ3" s="223">
        <v>45943</v>
      </c>
      <c r="KK3" s="224">
        <v>45944</v>
      </c>
      <c r="KL3" s="224">
        <v>45945</v>
      </c>
      <c r="KM3" s="224">
        <v>45946</v>
      </c>
      <c r="KN3" s="224">
        <v>45947</v>
      </c>
      <c r="KO3" s="224">
        <v>45948</v>
      </c>
      <c r="KP3" s="132">
        <v>45949</v>
      </c>
      <c r="KQ3" s="223">
        <v>45950</v>
      </c>
      <c r="KR3" s="224">
        <v>45951</v>
      </c>
      <c r="KS3" s="224">
        <v>45952</v>
      </c>
      <c r="KT3" s="224">
        <v>45953</v>
      </c>
      <c r="KU3" s="224">
        <v>45954</v>
      </c>
      <c r="KV3" s="224">
        <v>45955</v>
      </c>
      <c r="KW3" s="132">
        <v>45956</v>
      </c>
      <c r="KX3" s="223">
        <v>45957</v>
      </c>
      <c r="KY3" s="224">
        <v>45958</v>
      </c>
      <c r="KZ3" s="224">
        <v>45959</v>
      </c>
      <c r="LA3" s="224">
        <v>45960</v>
      </c>
      <c r="LB3" s="224">
        <v>45961</v>
      </c>
      <c r="LC3" s="224">
        <v>45962</v>
      </c>
      <c r="LD3" s="132">
        <v>45963</v>
      </c>
      <c r="LE3" s="223">
        <v>45964</v>
      </c>
      <c r="LF3" s="224">
        <v>45965</v>
      </c>
      <c r="LG3" s="224">
        <v>45966</v>
      </c>
      <c r="LH3" s="224">
        <v>45967</v>
      </c>
      <c r="LI3" s="224">
        <v>45968</v>
      </c>
      <c r="LJ3" s="224">
        <v>45969</v>
      </c>
      <c r="LK3" s="132">
        <v>45970</v>
      </c>
      <c r="LL3" s="223">
        <v>45971</v>
      </c>
      <c r="LM3" s="224">
        <v>45972</v>
      </c>
      <c r="LN3" s="224">
        <v>45973</v>
      </c>
      <c r="LO3" s="224">
        <v>45974</v>
      </c>
      <c r="LP3" s="224">
        <v>45975</v>
      </c>
      <c r="LQ3" s="224">
        <v>45976</v>
      </c>
      <c r="LR3" s="132">
        <v>45977</v>
      </c>
      <c r="LS3" s="223">
        <v>45978</v>
      </c>
      <c r="LT3" s="224">
        <v>45979</v>
      </c>
      <c r="LU3" s="224">
        <v>45980</v>
      </c>
      <c r="LV3" s="224">
        <v>45981</v>
      </c>
      <c r="LW3" s="224">
        <v>45982</v>
      </c>
      <c r="LX3" s="224">
        <v>45983</v>
      </c>
      <c r="LY3" s="132">
        <v>45984</v>
      </c>
      <c r="LZ3" s="223">
        <v>45985</v>
      </c>
      <c r="MA3" s="224">
        <v>45986</v>
      </c>
      <c r="MB3" s="224">
        <v>45987</v>
      </c>
      <c r="MC3" s="224">
        <v>45988</v>
      </c>
      <c r="MD3" s="224">
        <v>45989</v>
      </c>
      <c r="ME3" s="224">
        <v>45990</v>
      </c>
      <c r="MF3" s="132">
        <v>45991</v>
      </c>
      <c r="MG3" s="223">
        <v>45992</v>
      </c>
      <c r="MH3" s="224">
        <v>45993</v>
      </c>
      <c r="MI3" s="224">
        <v>45994</v>
      </c>
      <c r="MJ3" s="224">
        <v>45995</v>
      </c>
      <c r="MK3" s="224">
        <v>45996</v>
      </c>
      <c r="ML3" s="224">
        <v>45997</v>
      </c>
      <c r="MM3" s="132">
        <v>45998</v>
      </c>
      <c r="MN3" s="223">
        <v>45999</v>
      </c>
      <c r="MO3" s="224">
        <v>46000</v>
      </c>
      <c r="MP3" s="224">
        <v>46001</v>
      </c>
      <c r="MQ3" s="224">
        <v>46002</v>
      </c>
      <c r="MR3" s="224">
        <v>46003</v>
      </c>
      <c r="MS3" s="224">
        <v>46004</v>
      </c>
      <c r="MT3" s="132">
        <v>46005</v>
      </c>
      <c r="MU3" s="223">
        <v>46006</v>
      </c>
      <c r="MV3" s="224">
        <v>46007</v>
      </c>
      <c r="MW3" s="224">
        <v>46008</v>
      </c>
      <c r="MX3" s="224">
        <v>46009</v>
      </c>
      <c r="MY3" s="224">
        <v>46010</v>
      </c>
      <c r="MZ3" s="224">
        <v>46011</v>
      </c>
      <c r="NA3" s="132">
        <v>46012</v>
      </c>
      <c r="NB3" s="223">
        <v>46013</v>
      </c>
      <c r="NC3" s="224">
        <v>46014</v>
      </c>
      <c r="ND3" s="224">
        <v>46015</v>
      </c>
      <c r="NE3" s="224">
        <v>46016</v>
      </c>
      <c r="NF3" s="224">
        <v>46017</v>
      </c>
      <c r="NG3" s="224">
        <v>46018</v>
      </c>
      <c r="NH3" s="132">
        <v>46019</v>
      </c>
      <c r="NI3" s="223">
        <v>46020</v>
      </c>
      <c r="NJ3" s="224">
        <v>46021</v>
      </c>
      <c r="NK3" s="224">
        <v>46022</v>
      </c>
      <c r="NL3" s="224">
        <v>46023</v>
      </c>
      <c r="NM3" s="224">
        <v>46024</v>
      </c>
      <c r="NN3" s="224">
        <v>46025</v>
      </c>
      <c r="NO3" s="132">
        <v>46026</v>
      </c>
      <c r="NP3" s="223">
        <v>46027</v>
      </c>
      <c r="NQ3" s="224">
        <v>46028</v>
      </c>
      <c r="NR3" s="224">
        <v>46029</v>
      </c>
      <c r="NS3" s="224">
        <v>46030</v>
      </c>
      <c r="NT3" s="224">
        <v>46031</v>
      </c>
      <c r="NU3" s="224">
        <v>46032</v>
      </c>
      <c r="NV3" s="132">
        <v>45655</v>
      </c>
    </row>
    <row r="4" spans="2:387" ht="15" thickBot="1" x14ac:dyDescent="0.35">
      <c r="B4" s="1"/>
      <c r="C4" s="2" t="s">
        <v>1</v>
      </c>
      <c r="D4" s="205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133" t="s">
        <v>500</v>
      </c>
      <c r="J4" s="134" t="s">
        <v>501</v>
      </c>
      <c r="K4" s="134" t="s">
        <v>502</v>
      </c>
      <c r="L4" s="134" t="s">
        <v>503</v>
      </c>
      <c r="M4" s="134" t="s">
        <v>504</v>
      </c>
      <c r="N4" s="134" t="s">
        <v>505</v>
      </c>
      <c r="O4" s="135" t="s">
        <v>506</v>
      </c>
      <c r="P4" s="133" t="s">
        <v>507</v>
      </c>
      <c r="Q4" s="134" t="s">
        <v>508</v>
      </c>
      <c r="R4" s="134" t="s">
        <v>509</v>
      </c>
      <c r="S4" s="134" t="s">
        <v>510</v>
      </c>
      <c r="T4" s="134" t="s">
        <v>511</v>
      </c>
      <c r="U4" s="134" t="s">
        <v>512</v>
      </c>
      <c r="V4" s="135" t="s">
        <v>513</v>
      </c>
      <c r="W4" s="133" t="s">
        <v>514</v>
      </c>
      <c r="X4" s="134" t="s">
        <v>515</v>
      </c>
      <c r="Y4" s="134" t="s">
        <v>516</v>
      </c>
      <c r="Z4" s="134" t="s">
        <v>517</v>
      </c>
      <c r="AA4" s="134" t="s">
        <v>518</v>
      </c>
      <c r="AB4" s="134" t="s">
        <v>519</v>
      </c>
      <c r="AC4" s="135" t="s">
        <v>520</v>
      </c>
      <c r="AD4" s="133" t="s">
        <v>521</v>
      </c>
      <c r="AE4" s="134" t="s">
        <v>522</v>
      </c>
      <c r="AF4" s="134" t="s">
        <v>523</v>
      </c>
      <c r="AG4" s="134" t="s">
        <v>524</v>
      </c>
      <c r="AH4" s="134" t="s">
        <v>525</v>
      </c>
      <c r="AI4" s="134" t="s">
        <v>526</v>
      </c>
      <c r="AJ4" s="135" t="s">
        <v>527</v>
      </c>
      <c r="AK4" s="133" t="s">
        <v>528</v>
      </c>
      <c r="AL4" s="134" t="s">
        <v>529</v>
      </c>
      <c r="AM4" s="134" t="s">
        <v>530</v>
      </c>
      <c r="AN4" s="134" t="s">
        <v>531</v>
      </c>
      <c r="AO4" s="134" t="s">
        <v>532</v>
      </c>
      <c r="AP4" s="134" t="s">
        <v>533</v>
      </c>
      <c r="AQ4" s="135" t="s">
        <v>534</v>
      </c>
      <c r="AR4" s="133" t="s">
        <v>535</v>
      </c>
      <c r="AS4" s="134" t="s">
        <v>536</v>
      </c>
      <c r="AT4" s="134" t="s">
        <v>537</v>
      </c>
      <c r="AU4" s="134" t="s">
        <v>538</v>
      </c>
      <c r="AV4" s="134" t="s">
        <v>539</v>
      </c>
      <c r="AW4" s="134" t="s">
        <v>540</v>
      </c>
      <c r="AX4" s="135" t="s">
        <v>541</v>
      </c>
      <c r="AY4" s="133" t="s">
        <v>542</v>
      </c>
      <c r="AZ4" s="134" t="s">
        <v>543</v>
      </c>
      <c r="BA4" s="134" t="s">
        <v>544</v>
      </c>
      <c r="BB4" s="134" t="s">
        <v>545</v>
      </c>
      <c r="BC4" s="134" t="s">
        <v>546</v>
      </c>
      <c r="BD4" s="134" t="s">
        <v>547</v>
      </c>
      <c r="BE4" s="135" t="s">
        <v>548</v>
      </c>
      <c r="BF4" s="133" t="s">
        <v>549</v>
      </c>
      <c r="BG4" s="134" t="s">
        <v>550</v>
      </c>
      <c r="BH4" s="134" t="s">
        <v>551</v>
      </c>
      <c r="BI4" s="134" t="s">
        <v>552</v>
      </c>
      <c r="BJ4" s="134" t="s">
        <v>553</v>
      </c>
      <c r="BK4" s="134" t="s">
        <v>554</v>
      </c>
      <c r="BL4" s="135" t="s">
        <v>555</v>
      </c>
      <c r="BM4" s="133" t="s">
        <v>556</v>
      </c>
      <c r="BN4" s="134" t="s">
        <v>557</v>
      </c>
      <c r="BO4" s="134" t="s">
        <v>558</v>
      </c>
      <c r="BP4" s="134" t="s">
        <v>559</v>
      </c>
      <c r="BQ4" s="134" t="s">
        <v>560</v>
      </c>
      <c r="BR4" s="134" t="s">
        <v>561</v>
      </c>
      <c r="BS4" s="135" t="s">
        <v>562</v>
      </c>
      <c r="BT4" s="133" t="s">
        <v>563</v>
      </c>
      <c r="BU4" s="134" t="s">
        <v>564</v>
      </c>
      <c r="BV4" s="134" t="s">
        <v>565</v>
      </c>
      <c r="BW4" s="134" t="s">
        <v>566</v>
      </c>
      <c r="BX4" s="134" t="s">
        <v>567</v>
      </c>
      <c r="BY4" s="134" t="s">
        <v>568</v>
      </c>
      <c r="BZ4" s="135" t="s">
        <v>569</v>
      </c>
      <c r="CA4" s="133" t="s">
        <v>570</v>
      </c>
      <c r="CB4" s="134" t="s">
        <v>571</v>
      </c>
      <c r="CC4" s="134" t="s">
        <v>572</v>
      </c>
      <c r="CD4" s="134" t="s">
        <v>573</v>
      </c>
      <c r="CE4" s="134" t="s">
        <v>574</v>
      </c>
      <c r="CF4" s="134" t="s">
        <v>575</v>
      </c>
      <c r="CG4" s="135" t="s">
        <v>576</v>
      </c>
      <c r="CH4" s="133" t="s">
        <v>577</v>
      </c>
      <c r="CI4" s="134" t="s">
        <v>578</v>
      </c>
      <c r="CJ4" s="134" t="s">
        <v>579</v>
      </c>
      <c r="CK4" s="134" t="s">
        <v>580</v>
      </c>
      <c r="CL4" s="134" t="s">
        <v>581</v>
      </c>
      <c r="CM4" s="134" t="s">
        <v>582</v>
      </c>
      <c r="CN4" s="135" t="s">
        <v>583</v>
      </c>
      <c r="CO4" s="133" t="s">
        <v>584</v>
      </c>
      <c r="CP4" s="134" t="s">
        <v>585</v>
      </c>
      <c r="CQ4" s="134" t="s">
        <v>586</v>
      </c>
      <c r="CR4" s="134" t="s">
        <v>587</v>
      </c>
      <c r="CS4" s="134" t="s">
        <v>588</v>
      </c>
      <c r="CT4" s="134" t="s">
        <v>589</v>
      </c>
      <c r="CU4" s="135" t="s">
        <v>590</v>
      </c>
      <c r="CV4" s="133" t="s">
        <v>591</v>
      </c>
      <c r="CW4" s="134" t="s">
        <v>476</v>
      </c>
      <c r="CX4" s="134" t="s">
        <v>477</v>
      </c>
      <c r="CY4" s="134" t="s">
        <v>478</v>
      </c>
      <c r="CZ4" s="134" t="s">
        <v>479</v>
      </c>
      <c r="DA4" s="134" t="s">
        <v>480</v>
      </c>
      <c r="DB4" s="135" t="s">
        <v>481</v>
      </c>
      <c r="DC4" s="133" t="s">
        <v>482</v>
      </c>
      <c r="DD4" s="134" t="s">
        <v>483</v>
      </c>
      <c r="DE4" s="134" t="s">
        <v>484</v>
      </c>
      <c r="DF4" s="134" t="s">
        <v>485</v>
      </c>
      <c r="DG4" s="134" t="s">
        <v>486</v>
      </c>
      <c r="DH4" s="134" t="s">
        <v>487</v>
      </c>
      <c r="DI4" s="135" t="s">
        <v>488</v>
      </c>
      <c r="DJ4" s="133" t="s">
        <v>489</v>
      </c>
      <c r="DK4" s="134" t="s">
        <v>490</v>
      </c>
      <c r="DL4" s="134" t="s">
        <v>491</v>
      </c>
      <c r="DM4" s="134" t="s">
        <v>492</v>
      </c>
      <c r="DN4" s="134" t="s">
        <v>493</v>
      </c>
      <c r="DO4" s="134" t="s">
        <v>494</v>
      </c>
      <c r="DP4" s="135" t="s">
        <v>495</v>
      </c>
      <c r="DQ4" s="133" t="s">
        <v>496</v>
      </c>
      <c r="DR4" s="134" t="s">
        <v>592</v>
      </c>
      <c r="DS4" s="134" t="s">
        <v>593</v>
      </c>
      <c r="DT4" s="134" t="s">
        <v>594</v>
      </c>
      <c r="DU4" s="134" t="s">
        <v>595</v>
      </c>
      <c r="DV4" s="134" t="s">
        <v>596</v>
      </c>
      <c r="DW4" s="135" t="s">
        <v>597</v>
      </c>
      <c r="DX4" s="133" t="s">
        <v>598</v>
      </c>
      <c r="DY4" s="134" t="s">
        <v>599</v>
      </c>
      <c r="DZ4" s="134" t="s">
        <v>600</v>
      </c>
      <c r="EA4" s="134" t="s">
        <v>601</v>
      </c>
      <c r="EB4" s="134" t="s">
        <v>602</v>
      </c>
      <c r="EC4" s="134" t="s">
        <v>603</v>
      </c>
      <c r="ED4" s="135" t="s">
        <v>604</v>
      </c>
      <c r="EE4" s="133" t="s">
        <v>605</v>
      </c>
      <c r="EF4" s="134" t="s">
        <v>606</v>
      </c>
      <c r="EG4" s="134" t="s">
        <v>607</v>
      </c>
      <c r="EH4" s="134" t="s">
        <v>608</v>
      </c>
      <c r="EI4" s="134" t="s">
        <v>609</v>
      </c>
      <c r="EJ4" s="134" t="s">
        <v>610</v>
      </c>
      <c r="EK4" s="135" t="s">
        <v>611</v>
      </c>
      <c r="EL4" s="133" t="s">
        <v>612</v>
      </c>
      <c r="EM4" s="134" t="s">
        <v>613</v>
      </c>
      <c r="EN4" s="134" t="s">
        <v>614</v>
      </c>
      <c r="EO4" s="134" t="s">
        <v>615</v>
      </c>
      <c r="EP4" s="134" t="s">
        <v>616</v>
      </c>
      <c r="EQ4" s="134" t="s">
        <v>617</v>
      </c>
      <c r="ER4" s="135" t="s">
        <v>618</v>
      </c>
      <c r="ES4" s="133" t="s">
        <v>619</v>
      </c>
      <c r="ET4" s="134" t="s">
        <v>620</v>
      </c>
      <c r="EU4" s="134" t="s">
        <v>621</v>
      </c>
      <c r="EV4" s="134" t="s">
        <v>622</v>
      </c>
      <c r="EW4" s="134" t="s">
        <v>623</v>
      </c>
      <c r="EX4" s="134" t="s">
        <v>624</v>
      </c>
      <c r="EY4" s="135" t="s">
        <v>625</v>
      </c>
      <c r="EZ4" s="133" t="s">
        <v>626</v>
      </c>
      <c r="FA4" s="134" t="s">
        <v>627</v>
      </c>
      <c r="FB4" s="134" t="s">
        <v>628</v>
      </c>
      <c r="FC4" s="134" t="s">
        <v>629</v>
      </c>
      <c r="FD4" s="134" t="s">
        <v>630</v>
      </c>
      <c r="FE4" s="134" t="s">
        <v>631</v>
      </c>
      <c r="FF4" s="135" t="s">
        <v>632</v>
      </c>
      <c r="FG4" s="133" t="s">
        <v>633</v>
      </c>
      <c r="FH4" s="134" t="s">
        <v>634</v>
      </c>
      <c r="FI4" s="134" t="s">
        <v>635</v>
      </c>
      <c r="FJ4" s="134" t="s">
        <v>636</v>
      </c>
      <c r="FK4" s="134" t="s">
        <v>637</v>
      </c>
      <c r="FL4" s="134" t="s">
        <v>638</v>
      </c>
      <c r="FM4" s="135" t="s">
        <v>639</v>
      </c>
      <c r="FN4" s="133" t="s">
        <v>640</v>
      </c>
      <c r="FO4" s="134" t="s">
        <v>641</v>
      </c>
      <c r="FP4" s="134" t="s">
        <v>642</v>
      </c>
      <c r="FQ4" s="134" t="s">
        <v>643</v>
      </c>
      <c r="FR4" s="134" t="s">
        <v>644</v>
      </c>
      <c r="FS4" s="134" t="s">
        <v>645</v>
      </c>
      <c r="FT4" s="135" t="s">
        <v>646</v>
      </c>
      <c r="FU4" s="133" t="s">
        <v>647</v>
      </c>
      <c r="FV4" s="134" t="s">
        <v>648</v>
      </c>
      <c r="FW4" s="134" t="s">
        <v>649</v>
      </c>
      <c r="FX4" s="134" t="s">
        <v>650</v>
      </c>
      <c r="FY4" s="134" t="s">
        <v>651</v>
      </c>
      <c r="FZ4" s="134" t="s">
        <v>652</v>
      </c>
      <c r="GA4" s="135" t="s">
        <v>653</v>
      </c>
      <c r="GB4" s="133" t="s">
        <v>654</v>
      </c>
      <c r="GC4" s="134" t="s">
        <v>655</v>
      </c>
      <c r="GD4" s="134" t="s">
        <v>656</v>
      </c>
      <c r="GE4" s="134" t="s">
        <v>657</v>
      </c>
      <c r="GF4" s="134" t="s">
        <v>658</v>
      </c>
      <c r="GG4" s="134" t="s">
        <v>659</v>
      </c>
      <c r="GH4" s="135" t="s">
        <v>660</v>
      </c>
      <c r="GI4" s="133" t="s">
        <v>661</v>
      </c>
      <c r="GJ4" s="134" t="s">
        <v>662</v>
      </c>
      <c r="GK4" s="134" t="s">
        <v>663</v>
      </c>
      <c r="GL4" s="134" t="s">
        <v>664</v>
      </c>
      <c r="GM4" s="134" t="s">
        <v>665</v>
      </c>
      <c r="GN4" s="134" t="s">
        <v>666</v>
      </c>
      <c r="GO4" s="135" t="s">
        <v>667</v>
      </c>
      <c r="GP4" s="133" t="s">
        <v>668</v>
      </c>
      <c r="GQ4" s="134" t="s">
        <v>669</v>
      </c>
      <c r="GR4" s="134" t="s">
        <v>670</v>
      </c>
      <c r="GS4" s="134" t="s">
        <v>671</v>
      </c>
      <c r="GT4" s="134" t="s">
        <v>672</v>
      </c>
      <c r="GU4" s="134" t="s">
        <v>673</v>
      </c>
      <c r="GV4" s="135" t="s">
        <v>674</v>
      </c>
      <c r="GW4" s="133" t="s">
        <v>675</v>
      </c>
      <c r="GX4" s="134" t="s">
        <v>676</v>
      </c>
      <c r="GY4" s="134" t="s">
        <v>677</v>
      </c>
      <c r="GZ4" s="134" t="s">
        <v>678</v>
      </c>
      <c r="HA4" s="134" t="s">
        <v>679</v>
      </c>
      <c r="HB4" s="134" t="s">
        <v>680</v>
      </c>
      <c r="HC4" s="135" t="s">
        <v>681</v>
      </c>
      <c r="HD4" s="376" t="s">
        <v>1108</v>
      </c>
      <c r="HE4" s="376" t="s">
        <v>1109</v>
      </c>
      <c r="HF4" s="376" t="s">
        <v>1110</v>
      </c>
      <c r="HG4" s="376" t="s">
        <v>1111</v>
      </c>
      <c r="HH4" s="376" t="s">
        <v>1112</v>
      </c>
      <c r="HI4" s="376" t="s">
        <v>1113</v>
      </c>
      <c r="HJ4" s="376" t="s">
        <v>1114</v>
      </c>
      <c r="HK4" s="376" t="s">
        <v>1115</v>
      </c>
      <c r="HL4" s="376" t="s">
        <v>1116</v>
      </c>
      <c r="HM4" s="376" t="s">
        <v>1117</v>
      </c>
      <c r="HN4" s="376" t="s">
        <v>1118</v>
      </c>
      <c r="HO4" s="376" t="s">
        <v>1119</v>
      </c>
      <c r="HP4" s="376" t="s">
        <v>1120</v>
      </c>
      <c r="HQ4" s="376" t="s">
        <v>1121</v>
      </c>
      <c r="HR4" s="376" t="s">
        <v>1122</v>
      </c>
      <c r="HS4" s="376" t="s">
        <v>1123</v>
      </c>
      <c r="HT4" s="376" t="s">
        <v>1124</v>
      </c>
      <c r="HU4" s="376" t="s">
        <v>1125</v>
      </c>
      <c r="HV4" s="376" t="s">
        <v>1126</v>
      </c>
      <c r="HW4" s="376" t="s">
        <v>1127</v>
      </c>
      <c r="HX4" s="376" t="s">
        <v>1128</v>
      </c>
      <c r="HY4" s="376" t="s">
        <v>1129</v>
      </c>
      <c r="HZ4" s="376" t="s">
        <v>1130</v>
      </c>
      <c r="IA4" s="376" t="s">
        <v>1131</v>
      </c>
      <c r="IB4" s="376" t="s">
        <v>1132</v>
      </c>
      <c r="IC4" s="376" t="s">
        <v>1133</v>
      </c>
      <c r="ID4" s="376" t="s">
        <v>1134</v>
      </c>
      <c r="IE4" s="376" t="s">
        <v>1135</v>
      </c>
      <c r="IF4" s="376" t="s">
        <v>1136</v>
      </c>
      <c r="IG4" s="376" t="s">
        <v>1137</v>
      </c>
      <c r="IH4" s="376" t="s">
        <v>1138</v>
      </c>
      <c r="II4" s="376" t="s">
        <v>1139</v>
      </c>
      <c r="IJ4" s="376" t="s">
        <v>1140</v>
      </c>
      <c r="IK4" s="376" t="s">
        <v>1141</v>
      </c>
      <c r="IL4" s="376" t="s">
        <v>1142</v>
      </c>
      <c r="IM4" s="376" t="s">
        <v>1143</v>
      </c>
      <c r="IN4" s="376" t="s">
        <v>1144</v>
      </c>
      <c r="IO4" s="376" t="s">
        <v>1145</v>
      </c>
      <c r="IP4" s="376" t="s">
        <v>1146</v>
      </c>
      <c r="IQ4" s="376" t="s">
        <v>1147</v>
      </c>
      <c r="IR4" s="376" t="s">
        <v>1148</v>
      </c>
      <c r="IS4" s="376" t="s">
        <v>1149</v>
      </c>
      <c r="IT4" s="376" t="s">
        <v>1150</v>
      </c>
      <c r="IU4" s="376" t="s">
        <v>1151</v>
      </c>
      <c r="IV4" s="376" t="s">
        <v>1152</v>
      </c>
      <c r="IW4" s="376" t="s">
        <v>1153</v>
      </c>
      <c r="IX4" s="376" t="s">
        <v>1154</v>
      </c>
      <c r="IY4" s="376" t="s">
        <v>1155</v>
      </c>
      <c r="IZ4" s="376" t="s">
        <v>1156</v>
      </c>
      <c r="JA4" s="376" t="s">
        <v>1157</v>
      </c>
      <c r="JB4" s="376" t="s">
        <v>1158</v>
      </c>
      <c r="JC4" s="376" t="s">
        <v>1159</v>
      </c>
      <c r="JD4" s="376" t="s">
        <v>1160</v>
      </c>
      <c r="JE4" s="376" t="s">
        <v>1161</v>
      </c>
      <c r="JF4" s="376" t="s">
        <v>1162</v>
      </c>
      <c r="JG4" s="376" t="s">
        <v>1163</v>
      </c>
      <c r="JH4" s="376" t="s">
        <v>1164</v>
      </c>
      <c r="JI4" s="376" t="s">
        <v>1165</v>
      </c>
      <c r="JJ4" s="376" t="s">
        <v>1166</v>
      </c>
      <c r="JK4" s="376" t="s">
        <v>1167</v>
      </c>
      <c r="JL4" s="376" t="s">
        <v>1168</v>
      </c>
      <c r="JM4" s="376" t="s">
        <v>1169</v>
      </c>
      <c r="JN4" s="376" t="s">
        <v>1170</v>
      </c>
      <c r="JO4" s="376" t="s">
        <v>1171</v>
      </c>
      <c r="JP4" s="376" t="s">
        <v>1172</v>
      </c>
      <c r="JQ4" s="376" t="s">
        <v>1173</v>
      </c>
      <c r="JR4" s="376" t="s">
        <v>1174</v>
      </c>
      <c r="JS4" s="376" t="s">
        <v>1175</v>
      </c>
      <c r="JT4" s="376" t="s">
        <v>1176</v>
      </c>
      <c r="JU4" s="376" t="s">
        <v>1177</v>
      </c>
      <c r="JV4" s="376" t="s">
        <v>1178</v>
      </c>
      <c r="JW4" s="376" t="s">
        <v>1179</v>
      </c>
      <c r="JX4" s="376" t="s">
        <v>1180</v>
      </c>
      <c r="JY4" s="376" t="s">
        <v>1181</v>
      </c>
      <c r="JZ4" s="376" t="s">
        <v>1182</v>
      </c>
      <c r="KA4" s="376" t="s">
        <v>1183</v>
      </c>
      <c r="KB4" s="376" t="s">
        <v>1184</v>
      </c>
      <c r="KC4" s="376" t="s">
        <v>1185</v>
      </c>
      <c r="KD4" s="376" t="s">
        <v>1186</v>
      </c>
      <c r="KE4" s="376" t="s">
        <v>1187</v>
      </c>
      <c r="KF4" s="376" t="s">
        <v>1188</v>
      </c>
      <c r="KG4" s="376" t="s">
        <v>1189</v>
      </c>
      <c r="KH4" s="376" t="s">
        <v>1190</v>
      </c>
      <c r="KI4" s="376" t="s">
        <v>1191</v>
      </c>
      <c r="KJ4" s="376" t="s">
        <v>1192</v>
      </c>
      <c r="KK4" s="376" t="s">
        <v>1193</v>
      </c>
      <c r="KL4" s="376" t="s">
        <v>1194</v>
      </c>
      <c r="KM4" s="376" t="s">
        <v>1195</v>
      </c>
      <c r="KN4" s="376" t="s">
        <v>1196</v>
      </c>
      <c r="KO4" s="376" t="s">
        <v>1197</v>
      </c>
      <c r="KP4" s="376" t="s">
        <v>1198</v>
      </c>
      <c r="KQ4" s="376" t="s">
        <v>1199</v>
      </c>
      <c r="KR4" s="376" t="s">
        <v>1200</v>
      </c>
      <c r="KS4" s="376" t="s">
        <v>1201</v>
      </c>
      <c r="KT4" s="376" t="s">
        <v>1202</v>
      </c>
      <c r="KU4" s="376" t="s">
        <v>1203</v>
      </c>
      <c r="KV4" s="376" t="s">
        <v>1204</v>
      </c>
      <c r="KW4" s="376" t="s">
        <v>1205</v>
      </c>
      <c r="KX4" s="376" t="s">
        <v>1206</v>
      </c>
      <c r="KY4" s="376" t="s">
        <v>1207</v>
      </c>
      <c r="KZ4" s="376" t="s">
        <v>1208</v>
      </c>
      <c r="LA4" s="376" t="s">
        <v>1209</v>
      </c>
      <c r="LB4" s="376" t="s">
        <v>1210</v>
      </c>
      <c r="LC4" s="376" t="s">
        <v>1211</v>
      </c>
      <c r="LD4" s="376" t="s">
        <v>1212</v>
      </c>
      <c r="LE4" s="376" t="s">
        <v>1213</v>
      </c>
      <c r="LF4" s="376" t="s">
        <v>1214</v>
      </c>
      <c r="LG4" s="376" t="s">
        <v>1215</v>
      </c>
      <c r="LH4" s="376" t="s">
        <v>1216</v>
      </c>
      <c r="LI4" s="376" t="s">
        <v>1217</v>
      </c>
      <c r="LJ4" s="376" t="s">
        <v>1218</v>
      </c>
      <c r="LK4" s="376" t="s">
        <v>1219</v>
      </c>
      <c r="LL4" s="376" t="s">
        <v>1220</v>
      </c>
      <c r="LM4" s="376" t="s">
        <v>1221</v>
      </c>
      <c r="LN4" s="376" t="s">
        <v>1222</v>
      </c>
      <c r="LO4" s="376" t="s">
        <v>1223</v>
      </c>
      <c r="LP4" s="376" t="s">
        <v>1224</v>
      </c>
      <c r="LQ4" s="376" t="s">
        <v>1225</v>
      </c>
      <c r="LR4" s="376" t="s">
        <v>1226</v>
      </c>
      <c r="LS4" s="376" t="s">
        <v>1227</v>
      </c>
      <c r="LT4" s="376" t="s">
        <v>1228</v>
      </c>
      <c r="LU4" s="376" t="s">
        <v>1229</v>
      </c>
      <c r="LV4" s="376" t="s">
        <v>1230</v>
      </c>
      <c r="LW4" s="376" t="s">
        <v>1231</v>
      </c>
      <c r="LX4" s="376" t="s">
        <v>1232</v>
      </c>
      <c r="LY4" s="376" t="s">
        <v>1233</v>
      </c>
      <c r="LZ4" s="376" t="s">
        <v>1234</v>
      </c>
      <c r="MA4" s="376" t="s">
        <v>1235</v>
      </c>
      <c r="MB4" s="376" t="s">
        <v>1236</v>
      </c>
      <c r="MC4" s="376" t="s">
        <v>1237</v>
      </c>
      <c r="MD4" s="376" t="s">
        <v>1238</v>
      </c>
      <c r="ME4" s="376" t="s">
        <v>1239</v>
      </c>
      <c r="MF4" s="376" t="s">
        <v>1240</v>
      </c>
      <c r="MG4" s="376" t="s">
        <v>1241</v>
      </c>
      <c r="MH4" s="376" t="s">
        <v>1242</v>
      </c>
      <c r="MI4" s="376" t="s">
        <v>1243</v>
      </c>
      <c r="MJ4" s="376" t="s">
        <v>1244</v>
      </c>
      <c r="MK4" s="376" t="s">
        <v>1245</v>
      </c>
      <c r="ML4" s="376" t="s">
        <v>1246</v>
      </c>
      <c r="MM4" s="376" t="s">
        <v>1247</v>
      </c>
      <c r="MN4" s="376" t="s">
        <v>1248</v>
      </c>
      <c r="MO4" s="376" t="s">
        <v>1249</v>
      </c>
      <c r="MP4" s="376" t="s">
        <v>1250</v>
      </c>
      <c r="MQ4" s="376" t="s">
        <v>1251</v>
      </c>
      <c r="MR4" s="376" t="s">
        <v>1252</v>
      </c>
      <c r="MS4" s="376" t="s">
        <v>1253</v>
      </c>
      <c r="MT4" s="376" t="s">
        <v>1254</v>
      </c>
      <c r="MU4" s="376" t="s">
        <v>1255</v>
      </c>
      <c r="MV4" s="376" t="s">
        <v>1256</v>
      </c>
      <c r="MW4" s="376" t="s">
        <v>1257</v>
      </c>
      <c r="MX4" s="376" t="s">
        <v>1258</v>
      </c>
      <c r="MY4" s="376" t="s">
        <v>1259</v>
      </c>
      <c r="MZ4" s="376" t="s">
        <v>1260</v>
      </c>
      <c r="NA4" s="376" t="s">
        <v>1261</v>
      </c>
      <c r="NB4" s="376" t="s">
        <v>1262</v>
      </c>
      <c r="NC4" s="376" t="s">
        <v>1263</v>
      </c>
      <c r="ND4" s="376" t="s">
        <v>1264</v>
      </c>
      <c r="NE4" s="376" t="s">
        <v>1265</v>
      </c>
      <c r="NF4" s="376" t="s">
        <v>1266</v>
      </c>
      <c r="NG4" s="376" t="s">
        <v>1267</v>
      </c>
      <c r="NH4" s="376" t="s">
        <v>1268</v>
      </c>
      <c r="NI4" s="376" t="s">
        <v>1269</v>
      </c>
      <c r="NJ4" s="376" t="s">
        <v>1270</v>
      </c>
      <c r="NK4" s="376" t="s">
        <v>1271</v>
      </c>
      <c r="NL4" s="376" t="s">
        <v>1272</v>
      </c>
      <c r="NM4" s="376" t="s">
        <v>1273</v>
      </c>
      <c r="NN4" s="376" t="s">
        <v>1274</v>
      </c>
      <c r="NO4" s="376" t="s">
        <v>1275</v>
      </c>
      <c r="NP4" s="376" t="s">
        <v>1276</v>
      </c>
      <c r="NQ4" s="376" t="s">
        <v>1277</v>
      </c>
      <c r="NR4" s="376" t="s">
        <v>1278</v>
      </c>
      <c r="NS4" s="376" t="s">
        <v>1279</v>
      </c>
      <c r="NT4" s="376" t="s">
        <v>1280</v>
      </c>
      <c r="NU4" s="134" t="s">
        <v>680</v>
      </c>
      <c r="NV4" s="135" t="s">
        <v>681</v>
      </c>
      <c r="NW4" s="63"/>
    </row>
    <row r="5" spans="2:387" hidden="1" x14ac:dyDescent="0.3">
      <c r="B5" s="38">
        <v>55906</v>
      </c>
      <c r="C5" s="9">
        <v>35</v>
      </c>
      <c r="D5" s="206" t="s">
        <v>7</v>
      </c>
      <c r="E5" s="190" t="s">
        <v>8</v>
      </c>
      <c r="F5" s="146" t="s">
        <v>32</v>
      </c>
      <c r="G5" s="155" t="s">
        <v>33</v>
      </c>
      <c r="H5" s="156" t="s">
        <v>34</v>
      </c>
      <c r="I5" s="125" t="s">
        <v>32</v>
      </c>
      <c r="J5" s="125" t="s">
        <v>32</v>
      </c>
      <c r="K5" s="125" t="s">
        <v>460</v>
      </c>
      <c r="L5" s="125" t="s">
        <v>32</v>
      </c>
      <c r="M5" s="125" t="s">
        <v>32</v>
      </c>
      <c r="N5" s="230"/>
      <c r="O5" s="230"/>
      <c r="P5" s="41"/>
      <c r="Q5" s="41"/>
      <c r="R5" s="41"/>
      <c r="S5" s="41"/>
      <c r="T5" s="41"/>
      <c r="U5" s="230"/>
      <c r="V5" s="230"/>
      <c r="W5" s="41"/>
      <c r="X5" s="41"/>
      <c r="Y5" s="41"/>
      <c r="Z5" s="41"/>
      <c r="AA5" s="41"/>
      <c r="AB5" s="230"/>
      <c r="AC5" s="230"/>
      <c r="AD5" s="41"/>
      <c r="AE5" s="41"/>
      <c r="AF5" s="41"/>
      <c r="AG5" s="41"/>
      <c r="AH5" s="41"/>
      <c r="AI5" s="230"/>
      <c r="AJ5" s="230"/>
      <c r="AK5" s="41"/>
      <c r="AL5" s="41"/>
      <c r="AM5" s="41"/>
      <c r="AN5" s="41"/>
      <c r="AO5" s="41"/>
      <c r="AP5" s="230"/>
      <c r="AQ5" s="230"/>
      <c r="AR5" s="41"/>
      <c r="AS5" s="41"/>
      <c r="AT5" s="41"/>
      <c r="AU5" s="41"/>
      <c r="AV5" s="41"/>
      <c r="AW5" s="230"/>
      <c r="AX5" s="230"/>
      <c r="AY5" s="41"/>
      <c r="AZ5" s="41"/>
      <c r="BA5" s="41"/>
      <c r="BB5" s="41"/>
      <c r="BC5" s="41"/>
      <c r="BD5" s="230"/>
      <c r="BE5" s="230"/>
      <c r="BF5" s="41"/>
      <c r="BG5" s="41"/>
      <c r="BH5" s="41"/>
      <c r="BI5" s="41"/>
      <c r="BJ5" s="41"/>
      <c r="BK5" s="230"/>
      <c r="BL5" s="230"/>
      <c r="BM5" s="41"/>
      <c r="BN5" s="41"/>
      <c r="BO5" s="41"/>
      <c r="BP5" s="41"/>
      <c r="BQ5" s="41"/>
      <c r="BR5" s="230"/>
      <c r="BS5" s="230"/>
      <c r="BT5" s="41"/>
      <c r="BU5" s="41"/>
      <c r="BV5" s="41"/>
      <c r="BW5" s="41"/>
      <c r="BX5" s="41"/>
      <c r="BY5" s="230"/>
      <c r="BZ5" s="230"/>
      <c r="CA5" s="41"/>
      <c r="CB5" s="41"/>
      <c r="CC5" s="41"/>
      <c r="CD5" s="41"/>
      <c r="CE5" s="41"/>
      <c r="CF5" s="230"/>
      <c r="CG5" s="230"/>
      <c r="CH5" s="41"/>
      <c r="CI5" s="41"/>
      <c r="CJ5" s="41"/>
      <c r="CK5" s="41"/>
      <c r="CL5" s="41"/>
      <c r="CM5" s="230"/>
      <c r="CN5" s="230"/>
      <c r="CO5" s="41"/>
      <c r="CP5" s="41"/>
      <c r="CQ5" s="41"/>
      <c r="CR5" s="41"/>
      <c r="CS5" s="41"/>
      <c r="CT5" s="230"/>
      <c r="CU5" s="230"/>
      <c r="CV5" s="41"/>
      <c r="CW5" s="41"/>
      <c r="CX5" s="41"/>
      <c r="CY5" s="41"/>
      <c r="CZ5" s="41"/>
      <c r="DA5" s="230"/>
      <c r="DB5" s="230"/>
      <c r="DC5" s="41"/>
      <c r="DD5" s="41"/>
      <c r="DE5" s="41"/>
      <c r="DF5" s="41"/>
      <c r="DG5" s="41"/>
      <c r="DH5" s="230"/>
      <c r="DI5" s="230"/>
      <c r="DJ5" s="41"/>
      <c r="DK5" s="41"/>
      <c r="DL5" s="41"/>
      <c r="DM5" s="41"/>
      <c r="DN5" s="41"/>
      <c r="DO5" s="230"/>
      <c r="DP5" s="230"/>
      <c r="DQ5" s="41"/>
      <c r="DR5" s="41"/>
      <c r="DS5" s="41"/>
      <c r="DT5" s="41"/>
      <c r="DU5" s="41"/>
      <c r="DV5" s="230"/>
      <c r="DW5" s="230"/>
      <c r="DX5" s="41"/>
      <c r="DY5" s="41"/>
      <c r="DZ5" s="41"/>
      <c r="EA5" s="41"/>
      <c r="EB5" s="41"/>
      <c r="EC5" s="230"/>
      <c r="ED5" s="230"/>
      <c r="EE5" s="41"/>
      <c r="EF5" s="41"/>
      <c r="EG5" s="41"/>
      <c r="EH5" s="41"/>
      <c r="EI5" s="41"/>
      <c r="EJ5" s="230"/>
      <c r="EK5" s="230"/>
      <c r="EL5" s="41"/>
      <c r="EM5" s="41"/>
      <c r="EN5" s="41"/>
      <c r="EO5" s="41"/>
      <c r="EP5" s="41"/>
      <c r="EQ5" s="230"/>
      <c r="ER5" s="230"/>
      <c r="ES5" s="41"/>
      <c r="ET5" s="41"/>
      <c r="EU5" s="41"/>
      <c r="EV5" s="41"/>
      <c r="EW5" s="41"/>
      <c r="EX5" s="230"/>
      <c r="EY5" s="230"/>
      <c r="EZ5" s="41"/>
      <c r="FA5" s="41"/>
      <c r="FB5" s="41"/>
      <c r="FC5" s="41"/>
      <c r="FD5" s="41"/>
      <c r="FE5" s="230"/>
      <c r="FF5" s="230"/>
      <c r="FG5" s="41"/>
      <c r="FH5" s="41"/>
      <c r="FI5" s="41"/>
      <c r="FJ5" s="41"/>
      <c r="FK5" s="41"/>
      <c r="FL5" s="230"/>
      <c r="FM5" s="230"/>
      <c r="FN5" s="41"/>
      <c r="FO5" s="41"/>
      <c r="FP5" s="41"/>
      <c r="FQ5" s="41"/>
      <c r="FR5" s="41"/>
      <c r="FS5" s="230"/>
      <c r="FT5" s="230"/>
      <c r="FU5" s="41"/>
      <c r="FV5" s="41"/>
      <c r="FW5" s="41"/>
      <c r="FX5" s="41"/>
      <c r="FY5" s="41"/>
      <c r="FZ5" s="230"/>
      <c r="GA5" s="230"/>
      <c r="GB5" s="41"/>
      <c r="GC5" s="41"/>
      <c r="GD5" s="41"/>
      <c r="GE5" s="41"/>
      <c r="GF5" s="41"/>
      <c r="GG5" s="230"/>
      <c r="GH5" s="230"/>
      <c r="GI5" s="41"/>
      <c r="GJ5" s="41"/>
      <c r="GK5" s="41"/>
      <c r="GL5" s="41"/>
      <c r="GM5" s="41"/>
      <c r="GN5" s="230"/>
      <c r="GO5" s="230"/>
      <c r="GP5" s="41"/>
      <c r="GQ5" s="41"/>
      <c r="GR5" s="41"/>
      <c r="GS5" s="41"/>
      <c r="GT5" s="41"/>
      <c r="GU5" s="230"/>
      <c r="GV5" s="230"/>
      <c r="GW5" s="41" t="s">
        <v>460</v>
      </c>
      <c r="GX5" s="41"/>
      <c r="GY5" s="41"/>
      <c r="GZ5" s="41"/>
      <c r="HA5" s="41"/>
      <c r="HB5" s="230"/>
      <c r="HC5" s="230"/>
      <c r="HD5" s="55"/>
      <c r="HE5" s="55"/>
      <c r="HF5" s="55"/>
      <c r="HG5" s="55"/>
      <c r="HH5" s="55"/>
      <c r="HI5" s="373"/>
      <c r="HJ5" s="373"/>
      <c r="HK5" s="55"/>
      <c r="HL5" s="55"/>
      <c r="HM5" s="55"/>
      <c r="HN5" s="55"/>
      <c r="HO5" s="55"/>
      <c r="HP5" s="373"/>
      <c r="HQ5" s="373"/>
      <c r="HR5" s="55"/>
      <c r="HS5" s="55"/>
      <c r="HT5" s="55"/>
      <c r="HU5" s="55"/>
      <c r="HV5" s="55"/>
      <c r="HW5" s="373"/>
      <c r="HX5" s="373"/>
      <c r="HY5" s="55"/>
      <c r="HZ5" s="55"/>
      <c r="IA5" s="55"/>
      <c r="IB5" s="55"/>
      <c r="IC5" s="55"/>
      <c r="ID5" s="373"/>
      <c r="IE5" s="373"/>
      <c r="IF5" s="55"/>
      <c r="IG5" s="55"/>
      <c r="IH5" s="55"/>
      <c r="II5" s="55"/>
      <c r="IJ5" s="55"/>
      <c r="IK5" s="373"/>
      <c r="IL5" s="373"/>
      <c r="IM5" s="55"/>
      <c r="IN5" s="55"/>
      <c r="IO5" s="55"/>
      <c r="IP5" s="55"/>
      <c r="IQ5" s="55"/>
      <c r="IR5" s="373"/>
      <c r="IS5" s="373"/>
      <c r="IT5" s="55"/>
      <c r="IU5" s="55"/>
      <c r="IV5" s="55"/>
      <c r="IW5" s="55"/>
      <c r="IX5" s="55"/>
      <c r="IY5" s="373"/>
      <c r="IZ5" s="373"/>
      <c r="JA5" s="55"/>
      <c r="JB5" s="55"/>
      <c r="JC5" s="55"/>
      <c r="JD5" s="55"/>
      <c r="JE5" s="55"/>
      <c r="JF5" s="373"/>
      <c r="JG5" s="373"/>
      <c r="JH5" s="55"/>
      <c r="JI5" s="55"/>
      <c r="JJ5" s="55"/>
      <c r="JK5" s="55"/>
      <c r="JL5" s="55"/>
      <c r="JM5" s="373"/>
      <c r="JN5" s="373"/>
      <c r="JO5" s="55"/>
      <c r="JP5" s="55"/>
      <c r="JQ5" s="55"/>
      <c r="JR5" s="55"/>
      <c r="JS5" s="55"/>
      <c r="JT5" s="373"/>
      <c r="JU5" s="373"/>
      <c r="JV5" s="55"/>
      <c r="JW5" s="55"/>
      <c r="JX5" s="55"/>
      <c r="JY5" s="55"/>
      <c r="JZ5" s="55"/>
      <c r="KA5" s="373"/>
      <c r="KB5" s="373"/>
      <c r="KC5" s="55"/>
      <c r="KD5" s="55"/>
      <c r="KE5" s="55"/>
      <c r="KF5" s="55"/>
      <c r="KG5" s="55"/>
      <c r="KH5" s="373"/>
      <c r="KI5" s="373"/>
      <c r="KJ5" s="55"/>
      <c r="KK5" s="55"/>
      <c r="KL5" s="55"/>
      <c r="KM5" s="55"/>
      <c r="KN5" s="55"/>
      <c r="KO5" s="373"/>
      <c r="KP5" s="373"/>
      <c r="KQ5" s="55"/>
      <c r="KR5" s="55"/>
      <c r="KS5" s="55"/>
      <c r="KT5" s="55"/>
      <c r="KU5" s="55"/>
      <c r="KV5" s="373"/>
      <c r="KW5" s="373"/>
      <c r="KX5" s="55"/>
      <c r="KY5" s="55"/>
      <c r="KZ5" s="55"/>
      <c r="LA5" s="55"/>
      <c r="LB5" s="55"/>
      <c r="LC5" s="373"/>
      <c r="LD5" s="373"/>
      <c r="LE5" s="55"/>
      <c r="LF5" s="55"/>
      <c r="LG5" s="55"/>
      <c r="LH5" s="55"/>
      <c r="LI5" s="55"/>
      <c r="LJ5" s="373"/>
      <c r="LK5" s="373"/>
      <c r="LL5" s="55"/>
      <c r="LM5" s="55"/>
      <c r="LN5" s="55"/>
      <c r="LO5" s="55"/>
      <c r="LP5" s="55"/>
      <c r="LQ5" s="373"/>
      <c r="LR5" s="373"/>
      <c r="LS5" s="55"/>
      <c r="LT5" s="55"/>
      <c r="LU5" s="55"/>
      <c r="LV5" s="55"/>
      <c r="LW5" s="55"/>
      <c r="LX5" s="373"/>
      <c r="LY5" s="373"/>
      <c r="LZ5" s="55"/>
      <c r="MA5" s="55"/>
      <c r="MB5" s="55"/>
      <c r="MC5" s="55"/>
      <c r="MD5" s="55"/>
      <c r="ME5" s="373"/>
      <c r="MF5" s="373"/>
      <c r="MG5" s="55"/>
      <c r="MH5" s="55"/>
      <c r="MI5" s="55"/>
      <c r="MJ5" s="55"/>
      <c r="MK5" s="55"/>
      <c r="ML5" s="373"/>
      <c r="MM5" s="373"/>
      <c r="MN5" s="55"/>
      <c r="MO5" s="55"/>
      <c r="MP5" s="55"/>
      <c r="MQ5" s="55"/>
      <c r="MR5" s="55"/>
      <c r="MS5" s="373"/>
      <c r="MT5" s="373"/>
      <c r="MU5" s="55"/>
      <c r="MV5" s="55"/>
      <c r="MW5" s="55"/>
      <c r="MX5" s="55"/>
      <c r="MY5" s="55"/>
      <c r="MZ5" s="373"/>
      <c r="NA5" s="373"/>
      <c r="NB5" s="55"/>
      <c r="NC5" s="55"/>
      <c r="ND5" s="55"/>
      <c r="NE5" s="55"/>
      <c r="NF5" s="55"/>
      <c r="NG5" s="373"/>
      <c r="NH5" s="373"/>
      <c r="NI5" s="55"/>
      <c r="NJ5" s="55"/>
      <c r="NK5" s="55"/>
      <c r="NL5" s="55"/>
      <c r="NM5" s="55"/>
      <c r="NN5" s="373"/>
      <c r="NO5" s="373"/>
      <c r="NP5" s="55"/>
      <c r="NQ5" s="55"/>
      <c r="NR5" s="55"/>
      <c r="NS5" s="55"/>
      <c r="NT5" s="55"/>
      <c r="NU5" s="230"/>
      <c r="NV5" s="230"/>
    </row>
    <row r="6" spans="2:387" hidden="1" x14ac:dyDescent="0.3">
      <c r="B6" s="38">
        <v>71616</v>
      </c>
      <c r="C6" s="9">
        <v>35</v>
      </c>
      <c r="D6" s="206" t="s">
        <v>7</v>
      </c>
      <c r="E6" s="190" t="s">
        <v>8</v>
      </c>
      <c r="F6" s="146" t="s">
        <v>44</v>
      </c>
      <c r="G6" s="159" t="s">
        <v>45</v>
      </c>
      <c r="H6" s="160" t="s">
        <v>46</v>
      </c>
      <c r="I6" s="125" t="s">
        <v>44</v>
      </c>
      <c r="J6" s="125" t="s">
        <v>44</v>
      </c>
      <c r="K6" s="125" t="s">
        <v>460</v>
      </c>
      <c r="L6" s="125" t="s">
        <v>44</v>
      </c>
      <c r="M6" s="125" t="s">
        <v>44</v>
      </c>
      <c r="N6" s="230"/>
      <c r="O6" s="230"/>
      <c r="P6" s="41"/>
      <c r="Q6" s="41"/>
      <c r="R6" s="41"/>
      <c r="S6" s="41"/>
      <c r="T6" s="41"/>
      <c r="U6" s="230"/>
      <c r="V6" s="230"/>
      <c r="W6" s="41"/>
      <c r="X6" s="41"/>
      <c r="Y6" s="41"/>
      <c r="Z6" s="41"/>
      <c r="AA6" s="41"/>
      <c r="AB6" s="230"/>
      <c r="AC6" s="230"/>
      <c r="AD6" s="41" t="s">
        <v>460</v>
      </c>
      <c r="AE6" s="41" t="s">
        <v>460</v>
      </c>
      <c r="AF6" s="41" t="s">
        <v>460</v>
      </c>
      <c r="AG6" s="41" t="s">
        <v>460</v>
      </c>
      <c r="AH6" s="41" t="s">
        <v>460</v>
      </c>
      <c r="AI6" s="41" t="s">
        <v>460</v>
      </c>
      <c r="AJ6" s="41" t="s">
        <v>460</v>
      </c>
      <c r="AK6" s="41" t="s">
        <v>460</v>
      </c>
      <c r="AL6" s="41" t="s">
        <v>460</v>
      </c>
      <c r="AM6" s="41" t="s">
        <v>460</v>
      </c>
      <c r="AN6" s="41" t="s">
        <v>460</v>
      </c>
      <c r="AO6" s="41" t="s">
        <v>460</v>
      </c>
      <c r="AP6" s="41" t="s">
        <v>460</v>
      </c>
      <c r="AQ6" s="41" t="s">
        <v>460</v>
      </c>
      <c r="AR6" s="41" t="s">
        <v>460</v>
      </c>
      <c r="AS6" s="41" t="s">
        <v>460</v>
      </c>
      <c r="AT6" s="41" t="s">
        <v>460</v>
      </c>
      <c r="AU6" s="41" t="s">
        <v>460</v>
      </c>
      <c r="AV6" s="41" t="s">
        <v>460</v>
      </c>
      <c r="AW6" s="230"/>
      <c r="AX6" s="230"/>
      <c r="AY6" s="41"/>
      <c r="AZ6" s="41"/>
      <c r="BA6" s="41"/>
      <c r="BB6" s="41"/>
      <c r="BC6" s="41"/>
      <c r="BD6" s="230"/>
      <c r="BE6" s="230"/>
      <c r="BF6" s="41"/>
      <c r="BG6" s="41"/>
      <c r="BH6" s="41"/>
      <c r="BI6" s="41"/>
      <c r="BJ6" s="41"/>
      <c r="BK6" s="230"/>
      <c r="BL6" s="230"/>
      <c r="BM6" s="41"/>
      <c r="BN6" s="41"/>
      <c r="BO6" s="41"/>
      <c r="BP6" s="41"/>
      <c r="BQ6" s="41"/>
      <c r="BR6" s="230"/>
      <c r="BS6" s="230"/>
      <c r="BT6" s="41"/>
      <c r="BU6" s="41"/>
      <c r="BV6" s="41"/>
      <c r="BW6" s="41"/>
      <c r="BX6" s="41"/>
      <c r="BY6" s="230"/>
      <c r="BZ6" s="230"/>
      <c r="CA6" s="41"/>
      <c r="CB6" s="41"/>
      <c r="CC6" s="41"/>
      <c r="CD6" s="41"/>
      <c r="CE6" s="41"/>
      <c r="CF6" s="230"/>
      <c r="CG6" s="230"/>
      <c r="CH6" s="41"/>
      <c r="CI6" s="41"/>
      <c r="CJ6" s="41"/>
      <c r="CK6" s="41"/>
      <c r="CL6" s="41"/>
      <c r="CM6" s="230"/>
      <c r="CN6" s="230"/>
      <c r="CO6" s="41"/>
      <c r="CP6" s="41"/>
      <c r="CQ6" s="41"/>
      <c r="CR6" s="41"/>
      <c r="CS6" s="41"/>
      <c r="CT6" s="230"/>
      <c r="CU6" s="230"/>
      <c r="CV6" s="41"/>
      <c r="CW6" s="41"/>
      <c r="CX6" s="41"/>
      <c r="CY6" s="41"/>
      <c r="CZ6" s="41"/>
      <c r="DA6" s="230"/>
      <c r="DB6" s="230"/>
      <c r="DC6" s="41"/>
      <c r="DD6" s="41"/>
      <c r="DE6" s="41"/>
      <c r="DF6" s="41"/>
      <c r="DG6" s="41"/>
      <c r="DH6" s="230"/>
      <c r="DI6" s="230"/>
      <c r="DJ6" s="41"/>
      <c r="DK6" s="41"/>
      <c r="DL6" s="41"/>
      <c r="DM6" s="41"/>
      <c r="DN6" s="41"/>
      <c r="DO6" s="230"/>
      <c r="DP6" s="230"/>
      <c r="DQ6" s="41"/>
      <c r="DR6" s="41"/>
      <c r="DS6" s="41"/>
      <c r="DT6" s="41"/>
      <c r="DU6" s="41"/>
      <c r="DV6" s="230"/>
      <c r="DW6" s="234"/>
      <c r="DX6" s="41"/>
      <c r="DY6" s="41"/>
      <c r="DZ6" s="41"/>
      <c r="EA6" s="41"/>
      <c r="EB6" s="41"/>
      <c r="EC6" s="230"/>
      <c r="ED6" s="230"/>
      <c r="EE6" s="41"/>
      <c r="EF6" s="41"/>
      <c r="EG6" s="41"/>
      <c r="EH6" s="41"/>
      <c r="EI6" s="41"/>
      <c r="EJ6" s="230"/>
      <c r="EK6" s="230"/>
      <c r="EL6" s="41"/>
      <c r="EM6" s="41"/>
      <c r="EN6" s="41"/>
      <c r="EO6" s="41"/>
      <c r="EP6" s="41"/>
      <c r="EQ6" s="230"/>
      <c r="ER6" s="230"/>
      <c r="ES6" s="41"/>
      <c r="ET6" s="41"/>
      <c r="EU6" s="41"/>
      <c r="EV6" s="41"/>
      <c r="EW6" s="41"/>
      <c r="EX6" s="230"/>
      <c r="EY6" s="230"/>
      <c r="EZ6" s="41"/>
      <c r="FA6" s="41"/>
      <c r="FB6" s="41"/>
      <c r="FC6" s="41"/>
      <c r="FD6" s="41"/>
      <c r="FE6" s="230"/>
      <c r="FF6" s="230"/>
      <c r="FG6" s="41"/>
      <c r="FH6" s="41"/>
      <c r="FI6" s="41"/>
      <c r="FJ6" s="41"/>
      <c r="FK6" s="41"/>
      <c r="FL6" s="230"/>
      <c r="FM6" s="230"/>
      <c r="FN6" s="41"/>
      <c r="FO6" s="41"/>
      <c r="FP6" s="41"/>
      <c r="FQ6" s="41"/>
      <c r="FR6" s="41"/>
      <c r="FS6" s="230"/>
      <c r="FT6" s="230"/>
      <c r="FU6" s="41"/>
      <c r="FV6" s="41"/>
      <c r="FW6" s="41"/>
      <c r="FX6" s="41"/>
      <c r="FY6" s="41"/>
      <c r="FZ6" s="230"/>
      <c r="GA6" s="230"/>
      <c r="GB6" s="41"/>
      <c r="GC6" s="41"/>
      <c r="GD6" s="41"/>
      <c r="GE6" s="41"/>
      <c r="GF6" s="41"/>
      <c r="GG6" s="230"/>
      <c r="GH6" s="230"/>
      <c r="GI6" s="41"/>
      <c r="GJ6" s="41"/>
      <c r="GK6" s="41"/>
      <c r="GL6" s="41"/>
      <c r="GM6" s="41"/>
      <c r="GN6" s="230"/>
      <c r="GO6" s="230"/>
      <c r="GP6" s="41"/>
      <c r="GQ6" s="41"/>
      <c r="GR6" s="41"/>
      <c r="GS6" s="41"/>
      <c r="GT6" s="41"/>
      <c r="GU6" s="230"/>
      <c r="GV6" s="230"/>
      <c r="GW6" s="41" t="s">
        <v>460</v>
      </c>
      <c r="GX6" s="41"/>
      <c r="GY6" s="41"/>
      <c r="GZ6" s="41"/>
      <c r="HA6" s="41"/>
      <c r="HB6" s="230"/>
      <c r="HC6" s="230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234"/>
      <c r="HQ6" s="234"/>
      <c r="HR6" s="41"/>
      <c r="HS6" s="41"/>
      <c r="HT6" s="41"/>
      <c r="HU6" s="41"/>
      <c r="HV6" s="41"/>
      <c r="HW6" s="234"/>
      <c r="HX6" s="234"/>
      <c r="HY6" s="41"/>
      <c r="HZ6" s="41"/>
      <c r="IA6" s="41"/>
      <c r="IB6" s="41"/>
      <c r="IC6" s="41"/>
      <c r="ID6" s="234"/>
      <c r="IE6" s="234"/>
      <c r="IF6" s="41"/>
      <c r="IG6" s="41"/>
      <c r="IH6" s="41"/>
      <c r="II6" s="41"/>
      <c r="IJ6" s="41"/>
      <c r="IK6" s="234"/>
      <c r="IL6" s="234"/>
      <c r="IM6" s="41"/>
      <c r="IN6" s="41"/>
      <c r="IO6" s="41"/>
      <c r="IP6" s="41"/>
      <c r="IQ6" s="41"/>
      <c r="IR6" s="234"/>
      <c r="IS6" s="234"/>
      <c r="IT6" s="41"/>
      <c r="IU6" s="41"/>
      <c r="IV6" s="41"/>
      <c r="IW6" s="41"/>
      <c r="IX6" s="41"/>
      <c r="IY6" s="234"/>
      <c r="IZ6" s="234"/>
      <c r="JA6" s="41"/>
      <c r="JB6" s="41"/>
      <c r="JC6" s="41"/>
      <c r="JD6" s="41"/>
      <c r="JE6" s="41"/>
      <c r="JF6" s="234"/>
      <c r="JG6" s="234"/>
      <c r="JH6" s="41"/>
      <c r="JI6" s="41"/>
      <c r="JJ6" s="41"/>
      <c r="JK6" s="41"/>
      <c r="JL6" s="41"/>
      <c r="JM6" s="234"/>
      <c r="JN6" s="234"/>
      <c r="JO6" s="41"/>
      <c r="JP6" s="41"/>
      <c r="JQ6" s="41"/>
      <c r="JR6" s="41"/>
      <c r="JS6" s="41"/>
      <c r="JT6" s="234"/>
      <c r="JU6" s="234"/>
      <c r="JV6" s="41"/>
      <c r="JW6" s="41"/>
      <c r="JX6" s="41"/>
      <c r="JY6" s="41"/>
      <c r="JZ6" s="41"/>
      <c r="KA6" s="234"/>
      <c r="KB6" s="234"/>
      <c r="KC6" s="41"/>
      <c r="KD6" s="41"/>
      <c r="KE6" s="41"/>
      <c r="KF6" s="41"/>
      <c r="KG6" s="41"/>
      <c r="KH6" s="234"/>
      <c r="KI6" s="234"/>
      <c r="KJ6" s="41"/>
      <c r="KK6" s="41"/>
      <c r="KL6" s="41"/>
      <c r="KM6" s="41"/>
      <c r="KN6" s="41"/>
      <c r="KO6" s="234"/>
      <c r="KP6" s="234"/>
      <c r="KQ6" s="41"/>
      <c r="KR6" s="41"/>
      <c r="KS6" s="41"/>
      <c r="KT6" s="41"/>
      <c r="KU6" s="41"/>
      <c r="KV6" s="234"/>
      <c r="KW6" s="234"/>
      <c r="KX6" s="41"/>
      <c r="KY6" s="41"/>
      <c r="KZ6" s="41"/>
      <c r="LA6" s="41"/>
      <c r="LB6" s="41"/>
      <c r="LC6" s="234"/>
      <c r="LD6" s="234"/>
      <c r="LE6" s="41"/>
      <c r="LF6" s="41"/>
      <c r="LG6" s="41"/>
      <c r="LH6" s="41"/>
      <c r="LI6" s="41"/>
      <c r="LJ6" s="234"/>
      <c r="LK6" s="234"/>
      <c r="LL6" s="41"/>
      <c r="LM6" s="41"/>
      <c r="LN6" s="41"/>
      <c r="LO6" s="41"/>
      <c r="LP6" s="41"/>
      <c r="LQ6" s="234"/>
      <c r="LR6" s="234"/>
      <c r="LS6" s="41"/>
      <c r="LT6" s="41"/>
      <c r="LU6" s="41"/>
      <c r="LV6" s="41"/>
      <c r="LW6" s="41"/>
      <c r="LX6" s="234"/>
      <c r="LY6" s="234"/>
      <c r="LZ6" s="41"/>
      <c r="MA6" s="41"/>
      <c r="MB6" s="41"/>
      <c r="MC6" s="41"/>
      <c r="MD6" s="41"/>
      <c r="ME6" s="234"/>
      <c r="MF6" s="234"/>
      <c r="MG6" s="41"/>
      <c r="MH6" s="41"/>
      <c r="MI6" s="41"/>
      <c r="MJ6" s="41"/>
      <c r="MK6" s="41"/>
      <c r="ML6" s="234"/>
      <c r="MM6" s="234"/>
      <c r="MN6" s="41"/>
      <c r="MO6" s="41"/>
      <c r="MP6" s="41"/>
      <c r="MQ6" s="41"/>
      <c r="MR6" s="41"/>
      <c r="MS6" s="234"/>
      <c r="MT6" s="234"/>
      <c r="MU6" s="41"/>
      <c r="MV6" s="41"/>
      <c r="MW6" s="41"/>
      <c r="MX6" s="41"/>
      <c r="MY6" s="41"/>
      <c r="MZ6" s="234"/>
      <c r="NA6" s="234"/>
      <c r="NB6" s="41"/>
      <c r="NC6" s="41"/>
      <c r="ND6" s="41"/>
      <c r="NE6" s="41"/>
      <c r="NF6" s="41"/>
      <c r="NG6" s="234"/>
      <c r="NH6" s="234"/>
      <c r="NI6" s="41"/>
      <c r="NJ6" s="41"/>
      <c r="NK6" s="41"/>
      <c r="NL6" s="41"/>
      <c r="NM6" s="41"/>
      <c r="NN6" s="234"/>
      <c r="NO6" s="234"/>
      <c r="NP6" s="41"/>
      <c r="NQ6" s="41"/>
      <c r="NR6" s="41"/>
      <c r="NS6" s="41"/>
      <c r="NT6" s="41"/>
      <c r="NU6" s="230"/>
      <c r="NV6" s="230"/>
    </row>
    <row r="7" spans="2:387" hidden="1" x14ac:dyDescent="0.3">
      <c r="B7" s="8">
        <v>43211</v>
      </c>
      <c r="C7" s="9">
        <v>35</v>
      </c>
      <c r="D7" s="206" t="s">
        <v>7</v>
      </c>
      <c r="E7" s="190" t="s">
        <v>8</v>
      </c>
      <c r="F7" s="146" t="s">
        <v>47</v>
      </c>
      <c r="G7" s="159" t="s">
        <v>48</v>
      </c>
      <c r="H7" s="160" t="s">
        <v>49</v>
      </c>
      <c r="I7" s="125"/>
      <c r="J7" s="41"/>
      <c r="K7" s="125" t="s">
        <v>460</v>
      </c>
      <c r="L7" s="41"/>
      <c r="M7" s="41"/>
      <c r="N7" s="230"/>
      <c r="O7" s="230"/>
      <c r="P7" s="41"/>
      <c r="Q7" s="41"/>
      <c r="R7" s="41"/>
      <c r="S7" s="41"/>
      <c r="T7" s="41"/>
      <c r="U7" s="230"/>
      <c r="V7" s="230"/>
      <c r="W7" s="41"/>
      <c r="X7" s="41"/>
      <c r="Y7" s="41"/>
      <c r="Z7" s="41"/>
      <c r="AA7" s="41"/>
      <c r="AB7" s="230"/>
      <c r="AC7" s="230"/>
      <c r="AD7" s="41"/>
      <c r="AE7" s="41"/>
      <c r="AF7" s="41"/>
      <c r="AG7" s="41"/>
      <c r="AH7" s="41"/>
      <c r="AI7" s="230"/>
      <c r="AJ7" s="230"/>
      <c r="AK7" s="41"/>
      <c r="AL7" s="41"/>
      <c r="AM7" s="41"/>
      <c r="AN7" s="41"/>
      <c r="AO7" s="41"/>
      <c r="AP7" s="230"/>
      <c r="AQ7" s="230"/>
      <c r="AR7" s="41"/>
      <c r="AS7" s="41"/>
      <c r="AT7" s="41"/>
      <c r="AU7" s="41"/>
      <c r="AV7" s="41"/>
      <c r="AW7" s="230"/>
      <c r="AX7" s="230"/>
      <c r="AY7" s="41"/>
      <c r="AZ7" s="41"/>
      <c r="BA7" s="41"/>
      <c r="BB7" s="41"/>
      <c r="BC7" s="41"/>
      <c r="BD7" s="230"/>
      <c r="BE7" s="230"/>
      <c r="BF7" s="41"/>
      <c r="BG7" s="41"/>
      <c r="BH7" s="41"/>
      <c r="BI7" s="41"/>
      <c r="BJ7" s="41"/>
      <c r="BK7" s="230"/>
      <c r="BL7" s="230"/>
      <c r="BM7" s="41"/>
      <c r="BN7" s="41"/>
      <c r="BO7" s="41"/>
      <c r="BP7" s="41"/>
      <c r="BQ7" s="41"/>
      <c r="BR7" s="230"/>
      <c r="BS7" s="230"/>
      <c r="BT7" s="41"/>
      <c r="BU7" s="41"/>
      <c r="BV7" s="41"/>
      <c r="BW7" s="41"/>
      <c r="BX7" s="41"/>
      <c r="BY7" s="230"/>
      <c r="BZ7" s="230"/>
      <c r="CA7" s="41"/>
      <c r="CB7" s="41"/>
      <c r="CC7" s="41"/>
      <c r="CD7" s="41"/>
      <c r="CE7" s="41"/>
      <c r="CF7" s="230"/>
      <c r="CG7" s="230"/>
      <c r="CH7" s="41"/>
      <c r="CI7" s="41"/>
      <c r="CJ7" s="41"/>
      <c r="CK7" s="41"/>
      <c r="CL7" s="41"/>
      <c r="CM7" s="230"/>
      <c r="CN7" s="230"/>
      <c r="CO7" s="41"/>
      <c r="CP7" s="41"/>
      <c r="CQ7" s="41"/>
      <c r="CR7" s="41"/>
      <c r="CS7" s="41"/>
      <c r="CT7" s="230"/>
      <c r="CU7" s="230"/>
      <c r="CV7" s="41"/>
      <c r="CW7" s="41"/>
      <c r="CX7" s="41"/>
      <c r="CY7" s="41"/>
      <c r="CZ7" s="41"/>
      <c r="DA7" s="41" t="s">
        <v>460</v>
      </c>
      <c r="DB7" s="41" t="s">
        <v>460</v>
      </c>
      <c r="DC7" s="41"/>
      <c r="DD7" s="41"/>
      <c r="DE7" s="41"/>
      <c r="DF7" s="41"/>
      <c r="DG7" s="41"/>
      <c r="DH7" s="230"/>
      <c r="DI7" s="230"/>
      <c r="DJ7" s="41"/>
      <c r="DK7" s="41"/>
      <c r="DL7" s="41"/>
      <c r="DM7" s="41"/>
      <c r="DN7" s="41"/>
      <c r="DO7" s="230"/>
      <c r="DP7" s="230"/>
      <c r="DQ7" s="41"/>
      <c r="DR7" s="41"/>
      <c r="DS7" s="41"/>
      <c r="DT7" s="41"/>
      <c r="DU7" s="41"/>
      <c r="DV7" s="230"/>
      <c r="DW7" s="234"/>
      <c r="DX7" s="41"/>
      <c r="DY7" s="41"/>
      <c r="DZ7" s="41"/>
      <c r="EA7" s="41"/>
      <c r="EB7" s="41"/>
      <c r="EC7" s="230"/>
      <c r="ED7" s="230"/>
      <c r="EE7" s="41"/>
      <c r="EF7" s="41"/>
      <c r="EG7" s="41"/>
      <c r="EH7" s="41"/>
      <c r="EI7" s="41"/>
      <c r="EJ7" s="230"/>
      <c r="EK7" s="230"/>
      <c r="EL7" s="41"/>
      <c r="EM7" s="41"/>
      <c r="EN7" s="41"/>
      <c r="EO7" s="41"/>
      <c r="EP7" s="41"/>
      <c r="EQ7" s="230"/>
      <c r="ER7" s="230"/>
      <c r="ES7" s="41"/>
      <c r="ET7" s="41"/>
      <c r="EU7" s="41"/>
      <c r="EV7" s="41"/>
      <c r="EW7" s="41"/>
      <c r="EX7" s="230"/>
      <c r="EY7" s="230"/>
      <c r="EZ7" s="41"/>
      <c r="FA7" s="41"/>
      <c r="FB7" s="41"/>
      <c r="FC7" s="41"/>
      <c r="FD7" s="41"/>
      <c r="FE7" s="230"/>
      <c r="FF7" s="230"/>
      <c r="FG7" s="41"/>
      <c r="FH7" s="41"/>
      <c r="FI7" s="41"/>
      <c r="FJ7" s="41"/>
      <c r="FK7" s="41"/>
      <c r="FL7" s="230"/>
      <c r="FM7" s="230"/>
      <c r="FN7" s="41"/>
      <c r="FO7" s="41"/>
      <c r="FP7" s="41"/>
      <c r="FQ7" s="41"/>
      <c r="FR7" s="41"/>
      <c r="FS7" s="230"/>
      <c r="FT7" s="230"/>
      <c r="FU7" s="41"/>
      <c r="FV7" s="41"/>
      <c r="FW7" s="41"/>
      <c r="FX7" s="41"/>
      <c r="FY7" s="41"/>
      <c r="FZ7" s="230"/>
      <c r="GA7" s="230"/>
      <c r="GB7" s="41"/>
      <c r="GC7" s="41"/>
      <c r="GD7" s="41"/>
      <c r="GE7" s="41"/>
      <c r="GF7" s="41"/>
      <c r="GG7" s="230"/>
      <c r="GH7" s="230"/>
      <c r="GI7" s="41"/>
      <c r="GJ7" s="41"/>
      <c r="GK7" s="41"/>
      <c r="GL7" s="41"/>
      <c r="GM7" s="41"/>
      <c r="GN7" s="230"/>
      <c r="GO7" s="230"/>
      <c r="GP7" s="41"/>
      <c r="GQ7" s="41"/>
      <c r="GR7" s="41"/>
      <c r="GS7" s="41"/>
      <c r="GT7" s="41"/>
      <c r="GU7" s="230"/>
      <c r="GV7" s="230"/>
      <c r="GW7" s="41" t="s">
        <v>460</v>
      </c>
      <c r="GX7" s="41"/>
      <c r="GY7" s="41"/>
      <c r="GZ7" s="41"/>
      <c r="HA7" s="41"/>
      <c r="HB7" s="230"/>
      <c r="HC7" s="230"/>
      <c r="HD7" s="41"/>
      <c r="HE7" s="41"/>
      <c r="HF7" s="41"/>
      <c r="HG7" s="41"/>
      <c r="HH7" s="41"/>
      <c r="HI7" s="234"/>
      <c r="HJ7" s="234"/>
      <c r="HK7" s="41"/>
      <c r="HL7" s="41"/>
      <c r="HM7" s="41"/>
      <c r="HN7" s="41"/>
      <c r="HO7" s="41"/>
      <c r="HP7" s="234"/>
      <c r="HQ7" s="234"/>
      <c r="HR7" s="41"/>
      <c r="HS7" s="41"/>
      <c r="HT7" s="41"/>
      <c r="HU7" s="41"/>
      <c r="HV7" s="41"/>
      <c r="HW7" s="234"/>
      <c r="HX7" s="234"/>
      <c r="HY7" s="41"/>
      <c r="HZ7" s="41"/>
      <c r="IA7" s="41"/>
      <c r="IB7" s="41"/>
      <c r="IC7" s="41"/>
      <c r="ID7" s="234"/>
      <c r="IE7" s="234"/>
      <c r="IF7" s="41"/>
      <c r="IG7" s="41"/>
      <c r="IH7" s="41"/>
      <c r="II7" s="41"/>
      <c r="IJ7" s="41"/>
      <c r="IK7" s="234"/>
      <c r="IL7" s="234"/>
      <c r="IM7" s="41"/>
      <c r="IN7" s="41"/>
      <c r="IO7" s="41"/>
      <c r="IP7" s="41"/>
      <c r="IQ7" s="41"/>
      <c r="IR7" s="234"/>
      <c r="IS7" s="234"/>
      <c r="IT7" s="41"/>
      <c r="IU7" s="41"/>
      <c r="IV7" s="41"/>
      <c r="IW7" s="41"/>
      <c r="IX7" s="41"/>
      <c r="IY7" s="234"/>
      <c r="IZ7" s="234"/>
      <c r="JA7" s="41"/>
      <c r="JB7" s="41"/>
      <c r="JC7" s="41"/>
      <c r="JD7" s="41"/>
      <c r="JE7" s="41"/>
      <c r="JF7" s="234"/>
      <c r="JG7" s="234"/>
      <c r="JH7" s="41"/>
      <c r="JI7" s="41"/>
      <c r="JJ7" s="41"/>
      <c r="JK7" s="41"/>
      <c r="JL7" s="41"/>
      <c r="JM7" s="234"/>
      <c r="JN7" s="234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234"/>
      <c r="KB7" s="234"/>
      <c r="KC7" s="41"/>
      <c r="KD7" s="41"/>
      <c r="KE7" s="41"/>
      <c r="KF7" s="41"/>
      <c r="KG7" s="41"/>
      <c r="KH7" s="234"/>
      <c r="KI7" s="234"/>
      <c r="KJ7" s="41"/>
      <c r="KK7" s="41"/>
      <c r="KL7" s="41"/>
      <c r="KM7" s="41"/>
      <c r="KN7" s="41"/>
      <c r="KO7" s="234"/>
      <c r="KP7" s="234"/>
      <c r="KQ7" s="41"/>
      <c r="KR7" s="41"/>
      <c r="KS7" s="41"/>
      <c r="KT7" s="41"/>
      <c r="KU7" s="41"/>
      <c r="KV7" s="234"/>
      <c r="KW7" s="234"/>
      <c r="KX7" s="41"/>
      <c r="KY7" s="41"/>
      <c r="KZ7" s="41"/>
      <c r="LA7" s="41"/>
      <c r="LB7" s="41"/>
      <c r="LC7" s="234"/>
      <c r="LD7" s="234"/>
      <c r="LE7" s="41"/>
      <c r="LF7" s="41"/>
      <c r="LG7" s="41"/>
      <c r="LH7" s="41"/>
      <c r="LI7" s="41"/>
      <c r="LJ7" s="234"/>
      <c r="LK7" s="234"/>
      <c r="LL7" s="41"/>
      <c r="LM7" s="41"/>
      <c r="LN7" s="41"/>
      <c r="LO7" s="41"/>
      <c r="LP7" s="41"/>
      <c r="LQ7" s="234"/>
      <c r="LR7" s="234"/>
      <c r="LS7" s="41"/>
      <c r="LT7" s="41"/>
      <c r="LU7" s="41"/>
      <c r="LV7" s="41"/>
      <c r="LW7" s="41"/>
      <c r="LX7" s="234"/>
      <c r="LY7" s="234"/>
      <c r="LZ7" s="41"/>
      <c r="MA7" s="41"/>
      <c r="MB7" s="41"/>
      <c r="MC7" s="41"/>
      <c r="MD7" s="41"/>
      <c r="ME7" s="234"/>
      <c r="MF7" s="234"/>
      <c r="MG7" s="41"/>
      <c r="MH7" s="41"/>
      <c r="MI7" s="41"/>
      <c r="MJ7" s="41"/>
      <c r="MK7" s="41"/>
      <c r="ML7" s="234"/>
      <c r="MM7" s="234"/>
      <c r="MN7" s="41"/>
      <c r="MO7" s="41"/>
      <c r="MP7" s="41"/>
      <c r="MQ7" s="41"/>
      <c r="MR7" s="41"/>
      <c r="MS7" s="234"/>
      <c r="MT7" s="234"/>
      <c r="MU7" s="41"/>
      <c r="MV7" s="41"/>
      <c r="MW7" s="41"/>
      <c r="MX7" s="41"/>
      <c r="MY7" s="41"/>
      <c r="MZ7" s="234"/>
      <c r="NA7" s="234"/>
      <c r="NB7" s="41"/>
      <c r="NC7" s="41"/>
      <c r="ND7" s="41"/>
      <c r="NE7" s="41"/>
      <c r="NF7" s="41"/>
      <c r="NG7" s="234"/>
      <c r="NH7" s="234"/>
      <c r="NI7" s="41"/>
      <c r="NJ7" s="41"/>
      <c r="NK7" s="41"/>
      <c r="NL7" s="41"/>
      <c r="NM7" s="41"/>
      <c r="NN7" s="234"/>
      <c r="NO7" s="234"/>
      <c r="NP7" s="41"/>
      <c r="NQ7" s="41"/>
      <c r="NR7" s="41"/>
      <c r="NS7" s="41"/>
      <c r="NT7" s="41"/>
      <c r="NU7" s="230"/>
      <c r="NV7" s="230"/>
    </row>
    <row r="8" spans="2:387" x14ac:dyDescent="0.3">
      <c r="B8" s="38">
        <v>16882</v>
      </c>
      <c r="C8" s="9">
        <v>35</v>
      </c>
      <c r="D8" s="206" t="s">
        <v>7</v>
      </c>
      <c r="E8" s="190" t="s">
        <v>8</v>
      </c>
      <c r="F8" s="146" t="s">
        <v>51</v>
      </c>
      <c r="G8" s="159" t="s">
        <v>52</v>
      </c>
      <c r="H8" s="160" t="s">
        <v>53</v>
      </c>
      <c r="I8" s="125" t="s">
        <v>51</v>
      </c>
      <c r="J8" s="125" t="s">
        <v>51</v>
      </c>
      <c r="K8" s="125" t="s">
        <v>460</v>
      </c>
      <c r="L8" s="125" t="s">
        <v>51</v>
      </c>
      <c r="M8" s="125" t="s">
        <v>51</v>
      </c>
      <c r="N8" s="230"/>
      <c r="O8" s="230"/>
      <c r="P8" s="41"/>
      <c r="Q8" s="41"/>
      <c r="R8" s="41"/>
      <c r="S8" s="41"/>
      <c r="T8" s="41"/>
      <c r="U8" s="230"/>
      <c r="V8" s="230"/>
      <c r="W8" s="41" t="s">
        <v>461</v>
      </c>
      <c r="X8" s="41" t="s">
        <v>461</v>
      </c>
      <c r="Y8" s="41" t="s">
        <v>461</v>
      </c>
      <c r="Z8" s="41" t="s">
        <v>461</v>
      </c>
      <c r="AA8" s="41" t="s">
        <v>461</v>
      </c>
      <c r="AB8" s="230"/>
      <c r="AC8" s="230"/>
      <c r="AD8" s="41" t="s">
        <v>460</v>
      </c>
      <c r="AE8" s="41" t="s">
        <v>461</v>
      </c>
      <c r="AF8" s="41" t="s">
        <v>461</v>
      </c>
      <c r="AG8" s="41" t="s">
        <v>461</v>
      </c>
      <c r="AH8" s="41" t="s">
        <v>461</v>
      </c>
      <c r="AI8" s="230"/>
      <c r="AJ8" s="230"/>
      <c r="AK8" s="41" t="s">
        <v>461</v>
      </c>
      <c r="AL8" s="41" t="s">
        <v>461</v>
      </c>
      <c r="AM8" s="41" t="s">
        <v>461</v>
      </c>
      <c r="AN8" s="41" t="s">
        <v>461</v>
      </c>
      <c r="AO8" s="41" t="s">
        <v>461</v>
      </c>
      <c r="AP8" s="230"/>
      <c r="AQ8" s="230"/>
      <c r="AR8" s="41" t="s">
        <v>461</v>
      </c>
      <c r="AS8" s="41" t="s">
        <v>461</v>
      </c>
      <c r="AT8" s="41" t="s">
        <v>461</v>
      </c>
      <c r="AU8" s="41" t="s">
        <v>461</v>
      </c>
      <c r="AV8" s="41" t="s">
        <v>461</v>
      </c>
      <c r="AW8" s="230"/>
      <c r="AX8" s="230"/>
      <c r="AY8" s="41"/>
      <c r="AZ8" s="41"/>
      <c r="BA8" s="41"/>
      <c r="BB8" s="41"/>
      <c r="BC8" s="41"/>
      <c r="BD8" s="230"/>
      <c r="BE8" s="230"/>
      <c r="BF8" s="41"/>
      <c r="BG8" s="41"/>
      <c r="BH8" s="41"/>
      <c r="BI8" s="41"/>
      <c r="BJ8" s="41"/>
      <c r="BK8" s="230"/>
      <c r="BL8" s="230"/>
      <c r="BM8" s="41"/>
      <c r="BN8" s="41"/>
      <c r="BO8" s="41"/>
      <c r="BP8" s="41"/>
      <c r="BQ8" s="41"/>
      <c r="BR8" s="230"/>
      <c r="BS8" s="230"/>
      <c r="BT8" s="41"/>
      <c r="BU8" s="41"/>
      <c r="BV8" s="41"/>
      <c r="BW8" s="41"/>
      <c r="BX8" s="41"/>
      <c r="BY8" s="230"/>
      <c r="BZ8" s="230"/>
      <c r="CA8" s="41"/>
      <c r="CB8" s="41"/>
      <c r="CC8" s="41"/>
      <c r="CD8" s="41"/>
      <c r="CE8" s="41"/>
      <c r="CF8" s="230"/>
      <c r="CG8" s="230"/>
      <c r="CH8" s="41"/>
      <c r="CI8" s="41"/>
      <c r="CJ8" s="41"/>
      <c r="CK8" s="41"/>
      <c r="CL8" s="41"/>
      <c r="CM8" s="230"/>
      <c r="CN8" s="230"/>
      <c r="CO8" s="41"/>
      <c r="CP8" s="41"/>
      <c r="CQ8" s="41"/>
      <c r="CR8" s="41"/>
      <c r="CS8" s="41"/>
      <c r="CT8" s="230"/>
      <c r="CU8" s="230"/>
      <c r="CV8" s="41"/>
      <c r="CW8" s="41"/>
      <c r="CX8" s="41"/>
      <c r="CY8" s="41"/>
      <c r="CZ8" s="41"/>
      <c r="DA8" s="230"/>
      <c r="DB8" s="230"/>
      <c r="DC8" s="41"/>
      <c r="DD8" s="41"/>
      <c r="DE8" s="41"/>
      <c r="DF8" s="41"/>
      <c r="DG8" s="41"/>
      <c r="DH8" s="230"/>
      <c r="DI8" s="230"/>
      <c r="DJ8" s="41"/>
      <c r="DK8" s="41"/>
      <c r="DL8" s="41"/>
      <c r="DM8" s="41"/>
      <c r="DN8" s="41"/>
      <c r="DO8" s="230"/>
      <c r="DP8" s="230"/>
      <c r="DQ8" s="41"/>
      <c r="DR8" s="41"/>
      <c r="DS8" s="41"/>
      <c r="DT8" s="41"/>
      <c r="DU8" s="41"/>
      <c r="DV8" s="230"/>
      <c r="DW8" s="234"/>
      <c r="DX8" s="41"/>
      <c r="DY8" s="41"/>
      <c r="DZ8" s="41"/>
      <c r="EA8" s="41"/>
      <c r="EB8" s="41"/>
      <c r="EC8" s="230"/>
      <c r="ED8" s="230"/>
      <c r="EE8" s="41" t="s">
        <v>460</v>
      </c>
      <c r="EF8" s="41" t="s">
        <v>460</v>
      </c>
      <c r="EG8" s="41" t="s">
        <v>460</v>
      </c>
      <c r="EH8" s="41" t="s">
        <v>460</v>
      </c>
      <c r="EI8" s="41" t="s">
        <v>460</v>
      </c>
      <c r="EJ8" s="230"/>
      <c r="EK8" s="230"/>
      <c r="EL8" s="41"/>
      <c r="EM8" s="41"/>
      <c r="EN8" s="41"/>
      <c r="EO8" s="41"/>
      <c r="EP8" s="41"/>
      <c r="EQ8" s="230"/>
      <c r="ER8" s="230"/>
      <c r="ES8" s="41"/>
      <c r="ET8" s="41"/>
      <c r="EU8" s="41"/>
      <c r="EV8" s="41"/>
      <c r="EW8" s="41"/>
      <c r="EX8" s="230"/>
      <c r="EY8" s="230"/>
      <c r="EZ8" s="41"/>
      <c r="FA8" s="41"/>
      <c r="FB8" s="41"/>
      <c r="FC8" s="41"/>
      <c r="FD8" s="41"/>
      <c r="FE8" s="230"/>
      <c r="FF8" s="230"/>
      <c r="FG8" s="41"/>
      <c r="FH8" s="41"/>
      <c r="FI8" s="41"/>
      <c r="FJ8" s="41"/>
      <c r="FK8" s="41"/>
      <c r="FL8" s="230"/>
      <c r="FM8" s="230"/>
      <c r="FN8" s="41"/>
      <c r="FO8" s="41"/>
      <c r="FP8" s="41"/>
      <c r="FQ8" s="41"/>
      <c r="FR8" s="41"/>
      <c r="FS8" s="230"/>
      <c r="FT8" s="230"/>
      <c r="FU8" s="41"/>
      <c r="FV8" s="41"/>
      <c r="FW8" s="41"/>
      <c r="FX8" s="41"/>
      <c r="FY8" s="41"/>
      <c r="FZ8" s="230"/>
      <c r="GA8" s="230"/>
      <c r="GB8" s="41"/>
      <c r="GC8" s="41"/>
      <c r="GD8" s="41"/>
      <c r="GE8" s="41"/>
      <c r="GF8" s="41"/>
      <c r="GG8" s="230"/>
      <c r="GH8" s="230"/>
      <c r="GI8" s="41"/>
      <c r="GJ8" s="41"/>
      <c r="GK8" s="41"/>
      <c r="GL8" s="41"/>
      <c r="GM8" s="41"/>
      <c r="GN8" s="230"/>
      <c r="GO8" s="230"/>
      <c r="GP8" s="41"/>
      <c r="GQ8" s="41"/>
      <c r="GR8" s="41"/>
      <c r="GS8" s="41"/>
      <c r="GT8" s="41"/>
      <c r="GU8" s="230"/>
      <c r="GV8" s="230"/>
      <c r="GW8" s="41" t="s">
        <v>460</v>
      </c>
      <c r="GX8" s="41"/>
      <c r="GY8" s="41"/>
      <c r="GZ8" s="41"/>
      <c r="HA8" s="41"/>
      <c r="HB8" s="230"/>
      <c r="HC8" s="230"/>
      <c r="HD8" s="41"/>
      <c r="HE8" s="41"/>
      <c r="HF8" s="41"/>
      <c r="HG8" s="41"/>
      <c r="HH8" s="41"/>
      <c r="HI8" s="234"/>
      <c r="HJ8" s="234"/>
      <c r="HK8" s="41"/>
      <c r="HL8" s="41"/>
      <c r="HM8" s="41"/>
      <c r="HN8" s="41"/>
      <c r="HO8" s="41"/>
      <c r="HP8" s="234"/>
      <c r="HQ8" s="234"/>
      <c r="HR8" s="41"/>
      <c r="HS8" s="41"/>
      <c r="HT8" s="41"/>
      <c r="HU8" s="41"/>
      <c r="HV8" s="41"/>
      <c r="HW8" s="234"/>
      <c r="HX8" s="234"/>
      <c r="HY8" s="41"/>
      <c r="HZ8" s="41"/>
      <c r="IA8" s="41"/>
      <c r="IB8" s="41"/>
      <c r="IC8" s="41"/>
      <c r="ID8" s="234"/>
      <c r="IE8" s="234"/>
      <c r="IF8" s="41"/>
      <c r="IG8" s="41"/>
      <c r="IH8" s="41"/>
      <c r="II8" s="41"/>
      <c r="IJ8" s="41"/>
      <c r="IK8" s="234"/>
      <c r="IL8" s="234"/>
      <c r="IM8" s="41"/>
      <c r="IN8" s="41"/>
      <c r="IO8" s="41"/>
      <c r="IP8" s="41"/>
      <c r="IQ8" s="41"/>
      <c r="IR8" s="234"/>
      <c r="IS8" s="234"/>
      <c r="IT8" s="41"/>
      <c r="IU8" s="41"/>
      <c r="IV8" s="41"/>
      <c r="IW8" s="41"/>
      <c r="IX8" s="41"/>
      <c r="IY8" s="234"/>
      <c r="IZ8" s="234"/>
      <c r="JA8" s="41"/>
      <c r="JB8" s="41"/>
      <c r="JC8" s="41"/>
      <c r="JD8" s="41"/>
      <c r="JE8" s="41"/>
      <c r="JF8" s="234"/>
      <c r="JG8" s="234"/>
      <c r="JH8" s="41"/>
      <c r="JI8" s="41"/>
      <c r="JJ8" s="41"/>
      <c r="JK8" s="41"/>
      <c r="JL8" s="41"/>
      <c r="JM8" s="234"/>
      <c r="JN8" s="234"/>
      <c r="JO8" s="41"/>
      <c r="JP8" s="41"/>
      <c r="JQ8" s="41"/>
      <c r="JR8" s="41"/>
      <c r="JS8" s="41"/>
      <c r="JT8" s="234"/>
      <c r="JU8" s="234"/>
      <c r="JV8" s="41"/>
      <c r="JW8" s="41"/>
      <c r="JX8" s="41"/>
      <c r="JY8" s="41"/>
      <c r="JZ8" s="41"/>
      <c r="KA8" s="234"/>
      <c r="KB8" s="234"/>
      <c r="KC8" s="41"/>
      <c r="KD8" s="41"/>
      <c r="KE8" s="41"/>
      <c r="KF8" s="41"/>
      <c r="KG8" s="41"/>
      <c r="KH8" s="234"/>
      <c r="KI8" s="234"/>
      <c r="KJ8" s="41"/>
      <c r="KK8" s="41"/>
      <c r="KL8" s="41"/>
      <c r="KM8" s="41"/>
      <c r="KN8" s="41"/>
      <c r="KO8" s="234"/>
      <c r="KP8" s="234"/>
      <c r="KQ8" s="41"/>
      <c r="KR8" s="41"/>
      <c r="KS8" s="41"/>
      <c r="KT8" s="41"/>
      <c r="KU8" s="41"/>
      <c r="KV8" s="234"/>
      <c r="KW8" s="234"/>
      <c r="KX8" s="41"/>
      <c r="KY8" s="41"/>
      <c r="KZ8" s="41"/>
      <c r="LA8" s="41"/>
      <c r="LB8" s="41"/>
      <c r="LC8" s="234"/>
      <c r="LD8" s="234"/>
      <c r="LE8" s="41"/>
      <c r="LF8" s="41"/>
      <c r="LG8" s="41"/>
      <c r="LH8" s="41"/>
      <c r="LI8" s="41"/>
      <c r="LJ8" s="234"/>
      <c r="LK8" s="234"/>
      <c r="LL8" s="41"/>
      <c r="LM8" s="41"/>
      <c r="LN8" s="41"/>
      <c r="LO8" s="41"/>
      <c r="LP8" s="41"/>
      <c r="LQ8" s="234"/>
      <c r="LR8" s="234"/>
      <c r="LS8" s="41"/>
      <c r="LT8" s="41"/>
      <c r="LU8" s="41"/>
      <c r="LV8" s="41"/>
      <c r="LW8" s="41"/>
      <c r="LX8" s="234"/>
      <c r="LY8" s="234"/>
      <c r="LZ8" s="41"/>
      <c r="MA8" s="41"/>
      <c r="MB8" s="41"/>
      <c r="MC8" s="41"/>
      <c r="MD8" s="41"/>
      <c r="ME8" s="234"/>
      <c r="MF8" s="234"/>
      <c r="MG8" s="41"/>
      <c r="MH8" s="41"/>
      <c r="MI8" s="41"/>
      <c r="MJ8" s="41"/>
      <c r="MK8" s="41"/>
      <c r="ML8" s="234"/>
      <c r="MM8" s="234"/>
      <c r="MN8" s="41"/>
      <c r="MO8" s="41"/>
      <c r="MP8" s="41"/>
      <c r="MQ8" s="41"/>
      <c r="MR8" s="41"/>
      <c r="MS8" s="234"/>
      <c r="MT8" s="234"/>
      <c r="MU8" s="41"/>
      <c r="MV8" s="41"/>
      <c r="MW8" s="41"/>
      <c r="MX8" s="41"/>
      <c r="MY8" s="41"/>
      <c r="MZ8" s="234"/>
      <c r="NA8" s="234"/>
      <c r="NB8" s="41"/>
      <c r="NC8" s="41"/>
      <c r="ND8" s="41"/>
      <c r="NE8" s="41"/>
      <c r="NF8" s="41"/>
      <c r="NG8" s="234"/>
      <c r="NH8" s="234"/>
      <c r="NI8" s="41"/>
      <c r="NJ8" s="41"/>
      <c r="NK8" s="41"/>
      <c r="NL8" s="41"/>
      <c r="NM8" s="41"/>
      <c r="NN8" s="234"/>
      <c r="NO8" s="234"/>
      <c r="NP8" s="41"/>
      <c r="NQ8" s="41"/>
      <c r="NR8" s="41"/>
      <c r="NS8" s="41"/>
      <c r="NT8" s="41"/>
      <c r="NU8" s="230"/>
      <c r="NV8" s="230"/>
    </row>
    <row r="9" spans="2:387" hidden="1" x14ac:dyDescent="0.3">
      <c r="B9" s="8">
        <v>101354</v>
      </c>
      <c r="C9" s="9">
        <v>35</v>
      </c>
      <c r="D9" s="206" t="s">
        <v>7</v>
      </c>
      <c r="E9" s="190" t="s">
        <v>8</v>
      </c>
      <c r="F9" s="146" t="s">
        <v>44</v>
      </c>
      <c r="G9" s="159" t="s">
        <v>84</v>
      </c>
      <c r="H9" s="160" t="s">
        <v>85</v>
      </c>
      <c r="I9" s="125" t="s">
        <v>44</v>
      </c>
      <c r="J9" s="125" t="s">
        <v>44</v>
      </c>
      <c r="K9" s="125" t="s">
        <v>460</v>
      </c>
      <c r="L9" s="125" t="s">
        <v>44</v>
      </c>
      <c r="M9" s="125" t="s">
        <v>44</v>
      </c>
      <c r="N9" s="230"/>
      <c r="O9" s="230"/>
      <c r="P9" s="41"/>
      <c r="Q9" s="41"/>
      <c r="R9" s="41"/>
      <c r="S9" s="41"/>
      <c r="T9" s="41"/>
      <c r="U9" s="230"/>
      <c r="V9" s="230"/>
      <c r="W9" s="41"/>
      <c r="X9" s="41"/>
      <c r="Y9" s="41"/>
      <c r="Z9" s="41"/>
      <c r="AA9" s="41"/>
      <c r="AB9" s="230"/>
      <c r="AC9" s="230"/>
      <c r="AD9" s="41"/>
      <c r="AE9" s="41"/>
      <c r="AF9" s="41"/>
      <c r="AG9" s="41"/>
      <c r="AH9" s="41"/>
      <c r="AI9" s="230"/>
      <c r="AJ9" s="230"/>
      <c r="AK9" s="41"/>
      <c r="AL9" s="41"/>
      <c r="AM9" s="41"/>
      <c r="AN9" s="41"/>
      <c r="AO9" s="41"/>
      <c r="AP9" s="230"/>
      <c r="AQ9" s="230"/>
      <c r="AR9" s="41"/>
      <c r="AS9" s="41"/>
      <c r="AT9" s="41"/>
      <c r="AU9" s="41"/>
      <c r="AV9" s="41"/>
      <c r="AW9" s="230"/>
      <c r="AX9" s="230"/>
      <c r="AY9" s="41"/>
      <c r="AZ9" s="41"/>
      <c r="BA9" s="41"/>
      <c r="BB9" s="41"/>
      <c r="BC9" s="41"/>
      <c r="BD9" s="230"/>
      <c r="BE9" s="230"/>
      <c r="BF9" s="41"/>
      <c r="BG9" s="41"/>
      <c r="BH9" s="41"/>
      <c r="BI9" s="41"/>
      <c r="BJ9" s="41"/>
      <c r="BK9" s="230"/>
      <c r="BL9" s="230"/>
      <c r="BM9" s="41"/>
      <c r="BN9" s="41"/>
      <c r="BO9" s="41"/>
      <c r="BP9" s="41"/>
      <c r="BQ9" s="41"/>
      <c r="BR9" s="230"/>
      <c r="BS9" s="230"/>
      <c r="BT9" s="41"/>
      <c r="BU9" s="41"/>
      <c r="BV9" s="41"/>
      <c r="BW9" s="41"/>
      <c r="BX9" s="41"/>
      <c r="BY9" s="230"/>
      <c r="BZ9" s="230"/>
      <c r="CA9" s="41"/>
      <c r="CB9" s="41"/>
      <c r="CC9" s="41"/>
      <c r="CD9" s="41"/>
      <c r="CE9" s="41"/>
      <c r="CF9" s="230"/>
      <c r="CG9" s="230"/>
      <c r="CH9" s="41"/>
      <c r="CI9" s="41"/>
      <c r="CJ9" s="41"/>
      <c r="CK9" s="41"/>
      <c r="CL9" s="41"/>
      <c r="CM9" s="230"/>
      <c r="CN9" s="230"/>
      <c r="CO9" s="41"/>
      <c r="CP9" s="41"/>
      <c r="CQ9" s="41"/>
      <c r="CR9" s="41"/>
      <c r="CS9" s="41"/>
      <c r="CT9" s="230"/>
      <c r="CU9" s="230"/>
      <c r="CV9" s="41"/>
      <c r="CW9" s="41"/>
      <c r="CX9" s="41"/>
      <c r="CY9" s="41"/>
      <c r="CZ9" s="41"/>
      <c r="DA9" s="230"/>
      <c r="DB9" s="230"/>
      <c r="DC9" s="41"/>
      <c r="DD9" s="41"/>
      <c r="DE9" s="41"/>
      <c r="DF9" s="41"/>
      <c r="DG9" s="41"/>
      <c r="DH9" s="230"/>
      <c r="DI9" s="230"/>
      <c r="DJ9" s="41"/>
      <c r="DK9" s="41"/>
      <c r="DL9" s="41"/>
      <c r="DM9" s="41"/>
      <c r="DN9" s="41"/>
      <c r="DO9" s="230"/>
      <c r="DP9" s="230"/>
      <c r="DQ9" s="41"/>
      <c r="DR9" s="41"/>
      <c r="DS9" s="41"/>
      <c r="DT9" s="41"/>
      <c r="DU9" s="41"/>
      <c r="DV9" s="230"/>
      <c r="DW9" s="234"/>
      <c r="DX9" s="41"/>
      <c r="DY9" s="41"/>
      <c r="DZ9" s="41"/>
      <c r="EA9" s="41"/>
      <c r="EB9" s="41"/>
      <c r="EC9" s="230"/>
      <c r="ED9" s="230"/>
      <c r="EE9" s="41"/>
      <c r="EF9" s="41"/>
      <c r="EG9" s="41"/>
      <c r="EH9" s="41"/>
      <c r="EI9" s="41"/>
      <c r="EJ9" s="230"/>
      <c r="EK9" s="230"/>
      <c r="EL9" s="41"/>
      <c r="EM9" s="41"/>
      <c r="EN9" s="41"/>
      <c r="EO9" s="41"/>
      <c r="EP9" s="41"/>
      <c r="EQ9" s="230"/>
      <c r="ER9" s="230"/>
      <c r="ES9" s="41"/>
      <c r="ET9" s="41"/>
      <c r="EU9" s="41"/>
      <c r="EV9" s="41"/>
      <c r="EW9" s="41"/>
      <c r="EX9" s="230"/>
      <c r="EY9" s="230"/>
      <c r="EZ9" s="41"/>
      <c r="FA9" s="41"/>
      <c r="FB9" s="41"/>
      <c r="FC9" s="41"/>
      <c r="FD9" s="41"/>
      <c r="FE9" s="230"/>
      <c r="FF9" s="230"/>
      <c r="FG9" s="41"/>
      <c r="FH9" s="41"/>
      <c r="FI9" s="41"/>
      <c r="FJ9" s="41"/>
      <c r="FK9" s="41"/>
      <c r="FL9" s="230"/>
      <c r="FM9" s="230"/>
      <c r="FN9" s="41"/>
      <c r="FO9" s="41"/>
      <c r="FP9" s="41"/>
      <c r="FQ9" s="41"/>
      <c r="FR9" s="41"/>
      <c r="FS9" s="230"/>
      <c r="FT9" s="230"/>
      <c r="FU9" s="41"/>
      <c r="FV9" s="41"/>
      <c r="FW9" s="41"/>
      <c r="FX9" s="41"/>
      <c r="FY9" s="41"/>
      <c r="FZ9" s="230"/>
      <c r="GA9" s="230"/>
      <c r="GB9" s="41"/>
      <c r="GC9" s="41"/>
      <c r="GD9" s="41"/>
      <c r="GE9" s="41"/>
      <c r="GF9" s="41"/>
      <c r="GG9" s="230"/>
      <c r="GH9" s="230"/>
      <c r="GI9" s="41"/>
      <c r="GJ9" s="41"/>
      <c r="GK9" s="41"/>
      <c r="GL9" s="41"/>
      <c r="GM9" s="41"/>
      <c r="GN9" s="230"/>
      <c r="GO9" s="230"/>
      <c r="GP9" s="41"/>
      <c r="GQ9" s="41"/>
      <c r="GR9" s="41"/>
      <c r="GS9" s="41"/>
      <c r="GT9" s="41"/>
      <c r="GU9" s="230"/>
      <c r="GV9" s="230"/>
      <c r="GW9" s="41" t="s">
        <v>460</v>
      </c>
      <c r="GX9" s="41"/>
      <c r="GY9" s="41"/>
      <c r="GZ9" s="41"/>
      <c r="HA9" s="41"/>
      <c r="HB9" s="230"/>
      <c r="HC9" s="230"/>
      <c r="HD9" s="41"/>
      <c r="HE9" s="41"/>
      <c r="HF9" s="41"/>
      <c r="HG9" s="41"/>
      <c r="HH9" s="41"/>
      <c r="HI9" s="234"/>
      <c r="HJ9" s="234"/>
      <c r="HK9" s="41"/>
      <c r="HL9" s="41"/>
      <c r="HM9" s="41"/>
      <c r="HN9" s="41"/>
      <c r="HO9" s="41"/>
      <c r="HP9" s="234"/>
      <c r="HQ9" s="234"/>
      <c r="HR9" s="41"/>
      <c r="HS9" s="41"/>
      <c r="HT9" s="41"/>
      <c r="HU9" s="41"/>
      <c r="HV9" s="41"/>
      <c r="HW9" s="234"/>
      <c r="HX9" s="234"/>
      <c r="HY9" s="41"/>
      <c r="HZ9" s="41"/>
      <c r="IA9" s="41"/>
      <c r="IB9" s="41"/>
      <c r="IC9" s="41"/>
      <c r="ID9" s="234"/>
      <c r="IE9" s="234"/>
      <c r="IF9" s="41"/>
      <c r="IG9" s="41"/>
      <c r="IH9" s="41"/>
      <c r="II9" s="41"/>
      <c r="IJ9" s="41"/>
      <c r="IK9" s="234"/>
      <c r="IL9" s="234"/>
      <c r="IM9" s="41"/>
      <c r="IN9" s="41"/>
      <c r="IO9" s="41"/>
      <c r="IP9" s="41"/>
      <c r="IQ9" s="41"/>
      <c r="IR9" s="234"/>
      <c r="IS9" s="234"/>
      <c r="IT9" s="41"/>
      <c r="IU9" s="41"/>
      <c r="IV9" s="41"/>
      <c r="IW9" s="41"/>
      <c r="IX9" s="41"/>
      <c r="IY9" s="234"/>
      <c r="IZ9" s="234"/>
      <c r="JA9" s="41"/>
      <c r="JB9" s="41"/>
      <c r="JC9" s="41"/>
      <c r="JD9" s="41"/>
      <c r="JE9" s="41"/>
      <c r="JF9" s="234"/>
      <c r="JG9" s="234"/>
      <c r="JH9" s="41"/>
      <c r="JI9" s="41"/>
      <c r="JJ9" s="41"/>
      <c r="JK9" s="41"/>
      <c r="JL9" s="41"/>
      <c r="JM9" s="234"/>
      <c r="JN9" s="234"/>
      <c r="JO9" s="41"/>
      <c r="JP9" s="41"/>
      <c r="JQ9" s="41"/>
      <c r="JR9" s="41"/>
      <c r="JS9" s="41"/>
      <c r="JT9" s="234"/>
      <c r="JU9" s="234"/>
      <c r="JV9" s="41"/>
      <c r="JW9" s="41"/>
      <c r="JX9" s="41"/>
      <c r="JY9" s="41"/>
      <c r="JZ9" s="41"/>
      <c r="KA9" s="234"/>
      <c r="KB9" s="234"/>
      <c r="KC9" s="41"/>
      <c r="KD9" s="41"/>
      <c r="KE9" s="41"/>
      <c r="KF9" s="41"/>
      <c r="KG9" s="41"/>
      <c r="KH9" s="234"/>
      <c r="KI9" s="234"/>
      <c r="KJ9" s="41"/>
      <c r="KK9" s="41"/>
      <c r="KL9" s="41"/>
      <c r="KM9" s="41"/>
      <c r="KN9" s="41"/>
      <c r="KO9" s="234"/>
      <c r="KP9" s="234"/>
      <c r="KQ9" s="41"/>
      <c r="KR9" s="41"/>
      <c r="KS9" s="41"/>
      <c r="KT9" s="41"/>
      <c r="KU9" s="41"/>
      <c r="KV9" s="234"/>
      <c r="KW9" s="234"/>
      <c r="KX9" s="41"/>
      <c r="KY9" s="41"/>
      <c r="KZ9" s="41"/>
      <c r="LA9" s="41"/>
      <c r="LB9" s="41"/>
      <c r="LC9" s="234"/>
      <c r="LD9" s="234"/>
      <c r="LE9" s="41"/>
      <c r="LF9" s="41"/>
      <c r="LG9" s="41"/>
      <c r="LH9" s="41"/>
      <c r="LI9" s="41"/>
      <c r="LJ9" s="234"/>
      <c r="LK9" s="234"/>
      <c r="LL9" s="41"/>
      <c r="LM9" s="41"/>
      <c r="LN9" s="41"/>
      <c r="LO9" s="41"/>
      <c r="LP9" s="41"/>
      <c r="LQ9" s="234"/>
      <c r="LR9" s="234"/>
      <c r="LS9" s="41"/>
      <c r="LT9" s="41"/>
      <c r="LU9" s="41"/>
      <c r="LV9" s="41"/>
      <c r="LW9" s="41"/>
      <c r="LX9" s="234"/>
      <c r="LY9" s="234"/>
      <c r="LZ9" s="41"/>
      <c r="MA9" s="41"/>
      <c r="MB9" s="41"/>
      <c r="MC9" s="41"/>
      <c r="MD9" s="41"/>
      <c r="ME9" s="234"/>
      <c r="MF9" s="234"/>
      <c r="MG9" s="41"/>
      <c r="MH9" s="41"/>
      <c r="MI9" s="41"/>
      <c r="MJ9" s="41"/>
      <c r="MK9" s="41"/>
      <c r="ML9" s="234"/>
      <c r="MM9" s="234"/>
      <c r="MN9" s="41"/>
      <c r="MO9" s="41"/>
      <c r="MP9" s="41"/>
      <c r="MQ9" s="41"/>
      <c r="MR9" s="41"/>
      <c r="MS9" s="234"/>
      <c r="MT9" s="234"/>
      <c r="MU9" s="41"/>
      <c r="MV9" s="41"/>
      <c r="MW9" s="41"/>
      <c r="MX9" s="41"/>
      <c r="MY9" s="41"/>
      <c r="MZ9" s="234"/>
      <c r="NA9" s="234"/>
      <c r="NB9" s="41"/>
      <c r="NC9" s="41"/>
      <c r="ND9" s="41"/>
      <c r="NE9" s="41"/>
      <c r="NF9" s="41"/>
      <c r="NG9" s="234"/>
      <c r="NH9" s="234"/>
      <c r="NI9" s="41"/>
      <c r="NJ9" s="41"/>
      <c r="NK9" s="41"/>
      <c r="NL9" s="41"/>
      <c r="NM9" s="41"/>
      <c r="NN9" s="234"/>
      <c r="NO9" s="234"/>
      <c r="NP9" s="41"/>
      <c r="NQ9" s="41"/>
      <c r="NR9" s="41"/>
      <c r="NS9" s="41"/>
      <c r="NT9" s="41"/>
      <c r="NU9" s="230"/>
      <c r="NV9" s="230"/>
    </row>
    <row r="10" spans="2:387" hidden="1" x14ac:dyDescent="0.3">
      <c r="B10" s="71">
        <v>107007</v>
      </c>
      <c r="C10" s="9">
        <v>35</v>
      </c>
      <c r="D10" s="206" t="s">
        <v>7</v>
      </c>
      <c r="E10" s="190" t="s">
        <v>8</v>
      </c>
      <c r="F10" s="146" t="s">
        <v>9</v>
      </c>
      <c r="G10" s="159" t="s">
        <v>92</v>
      </c>
      <c r="H10" s="160" t="s">
        <v>93</v>
      </c>
      <c r="I10" s="125" t="s">
        <v>386</v>
      </c>
      <c r="J10" s="125" t="s">
        <v>386</v>
      </c>
      <c r="K10" s="125" t="s">
        <v>460</v>
      </c>
      <c r="L10" s="125" t="s">
        <v>386</v>
      </c>
      <c r="M10" s="125" t="s">
        <v>386</v>
      </c>
      <c r="N10" s="230"/>
      <c r="O10" s="230"/>
      <c r="P10" s="41"/>
      <c r="Q10" s="41"/>
      <c r="R10" s="41"/>
      <c r="S10" s="41"/>
      <c r="T10" s="41"/>
      <c r="U10" s="230"/>
      <c r="V10" s="230"/>
      <c r="W10" s="41"/>
      <c r="X10" s="41"/>
      <c r="Y10" s="41"/>
      <c r="Z10" s="41"/>
      <c r="AA10" s="41"/>
      <c r="AB10" s="230"/>
      <c r="AC10" s="230"/>
      <c r="AD10" s="41"/>
      <c r="AE10" s="41"/>
      <c r="AF10" s="41"/>
      <c r="AG10" s="41"/>
      <c r="AH10" s="41"/>
      <c r="AI10" s="230"/>
      <c r="AJ10" s="230"/>
      <c r="AK10" s="41"/>
      <c r="AL10" s="41"/>
      <c r="AM10" s="41"/>
      <c r="AN10" s="41"/>
      <c r="AO10" s="41"/>
      <c r="AP10" s="230"/>
      <c r="AQ10" s="230"/>
      <c r="AR10" s="41"/>
      <c r="AS10" s="41"/>
      <c r="AT10" s="41"/>
      <c r="AU10" s="41"/>
      <c r="AV10" s="41"/>
      <c r="AW10" s="230"/>
      <c r="AX10" s="230"/>
      <c r="AY10" s="41"/>
      <c r="AZ10" s="41"/>
      <c r="BA10" s="41"/>
      <c r="BB10" s="41"/>
      <c r="BC10" s="41"/>
      <c r="BD10" s="230"/>
      <c r="BE10" s="230"/>
      <c r="BF10" s="41"/>
      <c r="BG10" s="41"/>
      <c r="BH10" s="41"/>
      <c r="BI10" s="41"/>
      <c r="BJ10" s="41"/>
      <c r="BK10" s="230"/>
      <c r="BL10" s="230"/>
      <c r="BM10" s="41"/>
      <c r="BN10" s="41"/>
      <c r="BO10" s="41"/>
      <c r="BP10" s="41"/>
      <c r="BQ10" s="41"/>
      <c r="BR10" s="230"/>
      <c r="BS10" s="230"/>
      <c r="BT10" s="41"/>
      <c r="BU10" s="41"/>
      <c r="BV10" s="41"/>
      <c r="BW10" s="41"/>
      <c r="BX10" s="41"/>
      <c r="BY10" s="230"/>
      <c r="BZ10" s="230"/>
      <c r="CA10" s="41"/>
      <c r="CB10" s="41"/>
      <c r="CC10" s="41"/>
      <c r="CD10" s="41"/>
      <c r="CE10" s="41"/>
      <c r="CF10" s="230"/>
      <c r="CG10" s="230"/>
      <c r="CH10" s="41"/>
      <c r="CI10" s="41"/>
      <c r="CJ10" s="41"/>
      <c r="CK10" s="41"/>
      <c r="CL10" s="41"/>
      <c r="CM10" s="230"/>
      <c r="CN10" s="230"/>
      <c r="CO10" s="41"/>
      <c r="CP10" s="41"/>
      <c r="CQ10" s="41"/>
      <c r="CR10" s="41"/>
      <c r="CS10" s="41"/>
      <c r="CT10" s="230"/>
      <c r="CU10" s="230"/>
      <c r="CV10" s="41"/>
      <c r="CW10" s="41"/>
      <c r="CX10" s="41"/>
      <c r="CY10" s="41"/>
      <c r="CZ10" s="41"/>
      <c r="DA10" s="230"/>
      <c r="DB10" s="230"/>
      <c r="DC10" s="41"/>
      <c r="DD10" s="41"/>
      <c r="DE10" s="41"/>
      <c r="DF10" s="41"/>
      <c r="DG10" s="41"/>
      <c r="DH10" s="230"/>
      <c r="DI10" s="230"/>
      <c r="DJ10" s="41"/>
      <c r="DK10" s="41"/>
      <c r="DL10" s="41"/>
      <c r="DM10" s="41"/>
      <c r="DN10" s="41"/>
      <c r="DO10" s="230"/>
      <c r="DP10" s="230"/>
      <c r="DQ10" s="41"/>
      <c r="DR10" s="41"/>
      <c r="DS10" s="41"/>
      <c r="DT10" s="41"/>
      <c r="DU10" s="41"/>
      <c r="DV10" s="230"/>
      <c r="DW10" s="234"/>
      <c r="DX10" s="41"/>
      <c r="DY10" s="41"/>
      <c r="DZ10" s="41"/>
      <c r="EA10" s="41"/>
      <c r="EB10" s="41"/>
      <c r="EC10" s="230"/>
      <c r="ED10" s="230"/>
      <c r="EE10" s="41"/>
      <c r="EF10" s="41"/>
      <c r="EG10" s="41"/>
      <c r="EH10" s="41"/>
      <c r="EI10" s="41"/>
      <c r="EJ10" s="230"/>
      <c r="EK10" s="230"/>
      <c r="EL10" s="41"/>
      <c r="EM10" s="41"/>
      <c r="EN10" s="41"/>
      <c r="EO10" s="41"/>
      <c r="EP10" s="41"/>
      <c r="EQ10" s="230"/>
      <c r="ER10" s="230"/>
      <c r="ES10" s="41"/>
      <c r="ET10" s="41"/>
      <c r="EU10" s="41"/>
      <c r="EV10" s="41"/>
      <c r="EW10" s="41"/>
      <c r="EX10" s="230"/>
      <c r="EY10" s="230"/>
      <c r="EZ10" s="41"/>
      <c r="FA10" s="41"/>
      <c r="FB10" s="41"/>
      <c r="FC10" s="41"/>
      <c r="FD10" s="41"/>
      <c r="FE10" s="230"/>
      <c r="FF10" s="230"/>
      <c r="FG10" s="41"/>
      <c r="FH10" s="41"/>
      <c r="FI10" s="41"/>
      <c r="FJ10" s="41"/>
      <c r="FK10" s="41"/>
      <c r="FL10" s="230"/>
      <c r="FM10" s="230"/>
      <c r="FN10" s="41"/>
      <c r="FO10" s="41"/>
      <c r="FP10" s="41"/>
      <c r="FQ10" s="41"/>
      <c r="FR10" s="41"/>
      <c r="FS10" s="230"/>
      <c r="FT10" s="230"/>
      <c r="FU10" s="41"/>
      <c r="FV10" s="41"/>
      <c r="FW10" s="41"/>
      <c r="FX10" s="41"/>
      <c r="FY10" s="41"/>
      <c r="FZ10" s="230"/>
      <c r="GA10" s="230"/>
      <c r="GB10" s="41"/>
      <c r="GC10" s="41"/>
      <c r="GD10" s="41"/>
      <c r="GE10" s="41"/>
      <c r="GF10" s="41"/>
      <c r="GG10" s="230"/>
      <c r="GH10" s="230"/>
      <c r="GI10" s="41"/>
      <c r="GJ10" s="41"/>
      <c r="GK10" s="41"/>
      <c r="GL10" s="41"/>
      <c r="GM10" s="41"/>
      <c r="GN10" s="230"/>
      <c r="GO10" s="230"/>
      <c r="GP10" s="41"/>
      <c r="GQ10" s="41"/>
      <c r="GR10" s="41"/>
      <c r="GS10" s="41"/>
      <c r="GT10" s="41"/>
      <c r="GU10" s="230"/>
      <c r="GV10" s="230"/>
      <c r="GW10" s="41" t="s">
        <v>460</v>
      </c>
      <c r="GX10" s="41"/>
      <c r="GY10" s="41"/>
      <c r="GZ10" s="41"/>
      <c r="HA10" s="41"/>
      <c r="HB10" s="230"/>
      <c r="HC10" s="230"/>
      <c r="HD10" s="41"/>
      <c r="HE10" s="41"/>
      <c r="HF10" s="41"/>
      <c r="HG10" s="41"/>
      <c r="HH10" s="41"/>
      <c r="HI10" s="234"/>
      <c r="HJ10" s="234"/>
      <c r="HK10" s="41"/>
      <c r="HL10" s="41"/>
      <c r="HM10" s="41"/>
      <c r="HN10" s="41"/>
      <c r="HO10" s="41"/>
      <c r="HP10" s="234"/>
      <c r="HQ10" s="234"/>
      <c r="HR10" s="41"/>
      <c r="HS10" s="41"/>
      <c r="HT10" s="41"/>
      <c r="HU10" s="41"/>
      <c r="HV10" s="41"/>
      <c r="HW10" s="234"/>
      <c r="HX10" s="234"/>
      <c r="HY10" s="41"/>
      <c r="HZ10" s="41"/>
      <c r="IA10" s="41"/>
      <c r="IB10" s="41"/>
      <c r="IC10" s="41"/>
      <c r="ID10" s="234"/>
      <c r="IE10" s="234"/>
      <c r="IF10" s="41"/>
      <c r="IG10" s="41"/>
      <c r="IH10" s="41"/>
      <c r="II10" s="41"/>
      <c r="IJ10" s="41"/>
      <c r="IK10" s="234"/>
      <c r="IL10" s="234"/>
      <c r="IM10" s="41"/>
      <c r="IN10" s="41"/>
      <c r="IO10" s="41"/>
      <c r="IP10" s="41"/>
      <c r="IQ10" s="41"/>
      <c r="IR10" s="234"/>
      <c r="IS10" s="234"/>
      <c r="IT10" s="41"/>
      <c r="IU10" s="41"/>
      <c r="IV10" s="41"/>
      <c r="IW10" s="41"/>
      <c r="IX10" s="41"/>
      <c r="IY10" s="234"/>
      <c r="IZ10" s="234"/>
      <c r="JA10" s="41"/>
      <c r="JB10" s="41"/>
      <c r="JC10" s="41"/>
      <c r="JD10" s="41"/>
      <c r="JE10" s="41"/>
      <c r="JF10" s="234"/>
      <c r="JG10" s="234"/>
      <c r="JH10" s="41"/>
      <c r="JI10" s="41"/>
      <c r="JJ10" s="41"/>
      <c r="JK10" s="41"/>
      <c r="JL10" s="41"/>
      <c r="JM10" s="234"/>
      <c r="JN10" s="234"/>
      <c r="JO10" s="41"/>
      <c r="JP10" s="41"/>
      <c r="JQ10" s="41"/>
      <c r="JR10" s="41"/>
      <c r="JS10" s="41"/>
      <c r="JT10" s="234"/>
      <c r="JU10" s="234"/>
      <c r="JV10" s="41"/>
      <c r="JW10" s="41"/>
      <c r="JX10" s="41"/>
      <c r="JY10" s="41"/>
      <c r="JZ10" s="41"/>
      <c r="KA10" s="234"/>
      <c r="KB10" s="234"/>
      <c r="KC10" s="41"/>
      <c r="KD10" s="41"/>
      <c r="KE10" s="41"/>
      <c r="KF10" s="41"/>
      <c r="KG10" s="41"/>
      <c r="KH10" s="234"/>
      <c r="KI10" s="234"/>
      <c r="KJ10" s="41"/>
      <c r="KK10" s="41"/>
      <c r="KL10" s="41"/>
      <c r="KM10" s="41"/>
      <c r="KN10" s="41"/>
      <c r="KO10" s="234"/>
      <c r="KP10" s="234"/>
      <c r="KQ10" s="41"/>
      <c r="KR10" s="41"/>
      <c r="KS10" s="41"/>
      <c r="KT10" s="41"/>
      <c r="KU10" s="41"/>
      <c r="KV10" s="234"/>
      <c r="KW10" s="234"/>
      <c r="KX10" s="41"/>
      <c r="KY10" s="41"/>
      <c r="KZ10" s="41"/>
      <c r="LA10" s="41"/>
      <c r="LB10" s="41"/>
      <c r="LC10" s="234"/>
      <c r="LD10" s="234"/>
      <c r="LE10" s="41"/>
      <c r="LF10" s="41"/>
      <c r="LG10" s="41"/>
      <c r="LH10" s="41"/>
      <c r="LI10" s="41"/>
      <c r="LJ10" s="234"/>
      <c r="LK10" s="234"/>
      <c r="LL10" s="41"/>
      <c r="LM10" s="41"/>
      <c r="LN10" s="41"/>
      <c r="LO10" s="41"/>
      <c r="LP10" s="41"/>
      <c r="LQ10" s="234"/>
      <c r="LR10" s="234"/>
      <c r="LS10" s="41"/>
      <c r="LT10" s="41"/>
      <c r="LU10" s="41"/>
      <c r="LV10" s="41"/>
      <c r="LW10" s="41"/>
      <c r="LX10" s="234"/>
      <c r="LY10" s="234"/>
      <c r="LZ10" s="41"/>
      <c r="MA10" s="41"/>
      <c r="MB10" s="41"/>
      <c r="MC10" s="41"/>
      <c r="MD10" s="41"/>
      <c r="ME10" s="234"/>
      <c r="MF10" s="234"/>
      <c r="MG10" s="41"/>
      <c r="MH10" s="41"/>
      <c r="MI10" s="41"/>
      <c r="MJ10" s="41"/>
      <c r="MK10" s="41"/>
      <c r="ML10" s="234"/>
      <c r="MM10" s="234"/>
      <c r="MN10" s="41"/>
      <c r="MO10" s="41"/>
      <c r="MP10" s="41"/>
      <c r="MQ10" s="41"/>
      <c r="MR10" s="41"/>
      <c r="MS10" s="234"/>
      <c r="MT10" s="234"/>
      <c r="MU10" s="41"/>
      <c r="MV10" s="41"/>
      <c r="MW10" s="41"/>
      <c r="MX10" s="41"/>
      <c r="MY10" s="41"/>
      <c r="MZ10" s="234"/>
      <c r="NA10" s="234"/>
      <c r="NB10" s="41"/>
      <c r="NC10" s="41"/>
      <c r="ND10" s="41"/>
      <c r="NE10" s="41"/>
      <c r="NF10" s="41"/>
      <c r="NG10" s="234"/>
      <c r="NH10" s="234"/>
      <c r="NI10" s="41"/>
      <c r="NJ10" s="41"/>
      <c r="NK10" s="41"/>
      <c r="NL10" s="41"/>
      <c r="NM10" s="41"/>
      <c r="NN10" s="234"/>
      <c r="NO10" s="234"/>
      <c r="NP10" s="41"/>
      <c r="NQ10" s="41"/>
      <c r="NR10" s="41"/>
      <c r="NS10" s="41"/>
      <c r="NT10" s="41"/>
      <c r="NU10" s="230"/>
      <c r="NV10" s="230"/>
    </row>
    <row r="11" spans="2:387" x14ac:dyDescent="0.3">
      <c r="B11" s="38">
        <v>44176</v>
      </c>
      <c r="C11" s="9">
        <v>35</v>
      </c>
      <c r="D11" s="206" t="s">
        <v>7</v>
      </c>
      <c r="E11" s="190" t="s">
        <v>8</v>
      </c>
      <c r="F11" s="146" t="s">
        <v>9</v>
      </c>
      <c r="G11" s="159" t="s">
        <v>96</v>
      </c>
      <c r="H11" s="160" t="s">
        <v>97</v>
      </c>
      <c r="I11" s="125" t="s">
        <v>429</v>
      </c>
      <c r="J11" s="125" t="s">
        <v>429</v>
      </c>
      <c r="K11" s="125" t="s">
        <v>460</v>
      </c>
      <c r="L11" s="125" t="s">
        <v>429</v>
      </c>
      <c r="M11" s="125" t="s">
        <v>429</v>
      </c>
      <c r="N11" s="230"/>
      <c r="O11" s="230"/>
      <c r="P11" s="41"/>
      <c r="Q11" s="41"/>
      <c r="R11" s="41"/>
      <c r="S11" s="41"/>
      <c r="T11" s="41"/>
      <c r="U11" s="230"/>
      <c r="V11" s="230"/>
      <c r="W11" s="41"/>
      <c r="X11" s="41"/>
      <c r="Y11" s="41"/>
      <c r="Z11" s="41"/>
      <c r="AA11" s="41"/>
      <c r="AB11" s="230"/>
      <c r="AC11" s="230"/>
      <c r="AD11" s="41"/>
      <c r="AE11" s="41"/>
      <c r="AF11" s="41"/>
      <c r="AG11" s="41"/>
      <c r="AH11" s="41"/>
      <c r="AI11" s="230"/>
      <c r="AJ11" s="230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230"/>
      <c r="BE11" s="230"/>
      <c r="BF11" s="41"/>
      <c r="BG11" s="41"/>
      <c r="BH11" s="41"/>
      <c r="BI11" s="41"/>
      <c r="BJ11" s="41"/>
      <c r="BK11" s="230"/>
      <c r="BL11" s="230"/>
      <c r="BM11" s="41"/>
      <c r="BN11" s="41"/>
      <c r="BO11" s="41"/>
      <c r="BP11" s="41"/>
      <c r="BQ11" s="41"/>
      <c r="BR11" s="230"/>
      <c r="BS11" s="230"/>
      <c r="BT11" s="41"/>
      <c r="BU11" s="41"/>
      <c r="BV11" s="41"/>
      <c r="BW11" s="41"/>
      <c r="BX11" s="41"/>
      <c r="BY11" s="230"/>
      <c r="BZ11" s="230"/>
      <c r="CA11" s="41"/>
      <c r="CB11" s="41"/>
      <c r="CC11" s="41"/>
      <c r="CD11" s="41"/>
      <c r="CE11" s="41"/>
      <c r="CF11" s="230"/>
      <c r="CG11" s="230"/>
      <c r="CH11" s="41"/>
      <c r="CI11" s="41"/>
      <c r="CJ11" s="41"/>
      <c r="CK11" s="41"/>
      <c r="CL11" s="41"/>
      <c r="CM11" s="230"/>
      <c r="CN11" s="230"/>
      <c r="CO11" s="41"/>
      <c r="CP11" s="41"/>
      <c r="CQ11" s="41"/>
      <c r="CR11" s="41"/>
      <c r="CS11" s="41"/>
      <c r="CT11" s="230"/>
      <c r="CU11" s="230"/>
      <c r="CV11" s="41"/>
      <c r="CW11" s="41"/>
      <c r="CX11" s="41"/>
      <c r="CY11" s="41"/>
      <c r="CZ11" s="41"/>
      <c r="DA11" s="230"/>
      <c r="DB11" s="230"/>
      <c r="DC11" s="41"/>
      <c r="DD11" s="41"/>
      <c r="DE11" s="41"/>
      <c r="DF11" s="41"/>
      <c r="DG11" s="41"/>
      <c r="DH11" s="230"/>
      <c r="DI11" s="230"/>
      <c r="DJ11" s="41"/>
      <c r="DK11" s="41"/>
      <c r="DL11" s="41"/>
      <c r="DM11" s="41"/>
      <c r="DN11" s="41"/>
      <c r="DO11" s="230"/>
      <c r="DP11" s="230"/>
      <c r="DQ11" s="41"/>
      <c r="DR11" s="41"/>
      <c r="DS11" s="41"/>
      <c r="DT11" s="41"/>
      <c r="DU11" s="41"/>
      <c r="DV11" s="230"/>
      <c r="DW11" s="234"/>
      <c r="DX11" s="41"/>
      <c r="DY11" s="41"/>
      <c r="DZ11" s="41"/>
      <c r="EA11" s="41"/>
      <c r="EB11" s="41"/>
      <c r="EC11" s="230"/>
      <c r="ED11" s="230"/>
      <c r="EE11" s="41" t="s">
        <v>460</v>
      </c>
      <c r="EF11" s="41" t="s">
        <v>460</v>
      </c>
      <c r="EG11" s="41"/>
      <c r="EH11" s="41"/>
      <c r="EI11" s="41"/>
      <c r="EJ11" s="230"/>
      <c r="EK11" s="230"/>
      <c r="EL11" s="41"/>
      <c r="EM11" s="41"/>
      <c r="EN11" s="41"/>
      <c r="EO11" s="41"/>
      <c r="EP11" s="41"/>
      <c r="EQ11" s="230"/>
      <c r="ER11" s="230"/>
      <c r="ES11" s="41"/>
      <c r="ET11" s="41"/>
      <c r="EU11" s="41"/>
      <c r="EV11" s="41"/>
      <c r="EW11" s="41"/>
      <c r="EX11" s="230"/>
      <c r="EY11" s="230"/>
      <c r="EZ11" s="41"/>
      <c r="FA11" s="41"/>
      <c r="FB11" s="41"/>
      <c r="FC11" s="41"/>
      <c r="FD11" s="41"/>
      <c r="FE11" s="230"/>
      <c r="FF11" s="230"/>
      <c r="FG11" s="41"/>
      <c r="FH11" s="41"/>
      <c r="FI11" s="41"/>
      <c r="FJ11" s="41"/>
      <c r="FK11" s="41"/>
      <c r="FL11" s="230"/>
      <c r="FM11" s="230"/>
      <c r="FN11" s="41"/>
      <c r="FO11" s="41"/>
      <c r="FP11" s="41"/>
      <c r="FQ11" s="41"/>
      <c r="FR11" s="41"/>
      <c r="FS11" s="230"/>
      <c r="FT11" s="230"/>
      <c r="FU11" s="41"/>
      <c r="FV11" s="41"/>
      <c r="FW11" s="41"/>
      <c r="FX11" s="41"/>
      <c r="FY11" s="41"/>
      <c r="FZ11" s="230"/>
      <c r="GA11" s="230"/>
      <c r="GB11" s="41"/>
      <c r="GC11" s="41"/>
      <c r="GD11" s="41"/>
      <c r="GE11" s="41"/>
      <c r="GF11" s="41"/>
      <c r="GG11" s="230"/>
      <c r="GH11" s="230"/>
      <c r="GI11" s="41"/>
      <c r="GJ11" s="41"/>
      <c r="GK11" s="41"/>
      <c r="GL11" s="41"/>
      <c r="GM11" s="41"/>
      <c r="GN11" s="230"/>
      <c r="GO11" s="230"/>
      <c r="GP11" s="41" t="s">
        <v>460</v>
      </c>
      <c r="GQ11" s="41" t="s">
        <v>460</v>
      </c>
      <c r="GR11" s="41" t="s">
        <v>460</v>
      </c>
      <c r="GS11" s="41" t="s">
        <v>460</v>
      </c>
      <c r="GT11" s="41" t="s">
        <v>460</v>
      </c>
      <c r="GU11" s="230"/>
      <c r="GV11" s="230"/>
      <c r="GW11" s="41" t="s">
        <v>460</v>
      </c>
      <c r="GX11" s="41" t="s">
        <v>460</v>
      </c>
      <c r="GY11" s="41" t="s">
        <v>460</v>
      </c>
      <c r="GZ11" s="41" t="s">
        <v>460</v>
      </c>
      <c r="HA11" s="41" t="s">
        <v>460</v>
      </c>
      <c r="HB11" s="230"/>
      <c r="HC11" s="230"/>
      <c r="HD11" s="41" t="s">
        <v>460</v>
      </c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234"/>
      <c r="HX11" s="234"/>
      <c r="HY11" s="41"/>
      <c r="HZ11" s="41"/>
      <c r="IA11" s="41"/>
      <c r="IB11" s="41"/>
      <c r="IC11" s="41"/>
      <c r="ID11" s="234"/>
      <c r="IE11" s="234"/>
      <c r="IF11" s="41"/>
      <c r="IG11" s="41"/>
      <c r="IH11" s="41"/>
      <c r="II11" s="41"/>
      <c r="IJ11" s="41"/>
      <c r="IK11" s="234"/>
      <c r="IL11" s="234"/>
      <c r="IM11" s="41"/>
      <c r="IN11" s="41"/>
      <c r="IO11" s="41"/>
      <c r="IP11" s="41"/>
      <c r="IQ11" s="41"/>
      <c r="IR11" s="234"/>
      <c r="IS11" s="234"/>
      <c r="IT11" s="41" t="s">
        <v>460</v>
      </c>
      <c r="IU11" s="41" t="s">
        <v>460</v>
      </c>
      <c r="IV11" s="41" t="s">
        <v>460</v>
      </c>
      <c r="IW11" s="41" t="s">
        <v>460</v>
      </c>
      <c r="IX11" s="41" t="s">
        <v>460</v>
      </c>
      <c r="IY11" s="234"/>
      <c r="IZ11" s="234"/>
      <c r="JA11" s="41"/>
      <c r="JB11" s="41"/>
      <c r="JC11" s="41"/>
      <c r="JD11" s="41"/>
      <c r="JE11" s="41"/>
      <c r="JF11" s="234"/>
      <c r="JG11" s="234"/>
      <c r="JH11" s="41"/>
      <c r="JI11" s="41"/>
      <c r="JJ11" s="41"/>
      <c r="JK11" s="41"/>
      <c r="JL11" s="41"/>
      <c r="JM11" s="234"/>
      <c r="JN11" s="234"/>
      <c r="JO11" s="41"/>
      <c r="JP11" s="41"/>
      <c r="JQ11" s="41"/>
      <c r="JR11" s="41"/>
      <c r="JS11" s="41"/>
      <c r="JT11" s="234"/>
      <c r="JU11" s="234"/>
      <c r="JV11" s="41"/>
      <c r="JW11" s="41"/>
      <c r="JX11" s="41"/>
      <c r="JY11" s="41"/>
      <c r="JZ11" s="41"/>
      <c r="KA11" s="234"/>
      <c r="KB11" s="234"/>
      <c r="KC11" s="41"/>
      <c r="KD11" s="41"/>
      <c r="KE11" s="41"/>
      <c r="KF11" s="41"/>
      <c r="KG11" s="41"/>
      <c r="KH11" s="234"/>
      <c r="KI11" s="234"/>
      <c r="KJ11" s="41"/>
      <c r="KK11" s="41"/>
      <c r="KL11" s="41"/>
      <c r="KM11" s="41"/>
      <c r="KN11" s="41"/>
      <c r="KO11" s="234"/>
      <c r="KP11" s="234"/>
      <c r="KQ11" s="41"/>
      <c r="KR11" s="41"/>
      <c r="KS11" s="41"/>
      <c r="KT11" s="41"/>
      <c r="KU11" s="41"/>
      <c r="KV11" s="234"/>
      <c r="KW11" s="234"/>
      <c r="KX11" s="41"/>
      <c r="KY11" s="41"/>
      <c r="KZ11" s="41"/>
      <c r="LA11" s="41"/>
      <c r="LB11" s="41"/>
      <c r="LC11" s="234"/>
      <c r="LD11" s="234"/>
      <c r="LE11" s="41"/>
      <c r="LF11" s="41"/>
      <c r="LG11" s="41"/>
      <c r="LH11" s="41"/>
      <c r="LI11" s="41"/>
      <c r="LJ11" s="234"/>
      <c r="LK11" s="234"/>
      <c r="LL11" s="41"/>
      <c r="LM11" s="41"/>
      <c r="LN11" s="41"/>
      <c r="LO11" s="41"/>
      <c r="LP11" s="41"/>
      <c r="LQ11" s="234"/>
      <c r="LR11" s="234"/>
      <c r="LS11" s="41"/>
      <c r="LT11" s="41"/>
      <c r="LU11" s="41"/>
      <c r="LV11" s="41"/>
      <c r="LW11" s="41"/>
      <c r="LX11" s="234"/>
      <c r="LY11" s="234"/>
      <c r="LZ11" s="41"/>
      <c r="MA11" s="41"/>
      <c r="MB11" s="41"/>
      <c r="MC11" s="41"/>
      <c r="MD11" s="41"/>
      <c r="ME11" s="234"/>
      <c r="MF11" s="234"/>
      <c r="MG11" s="41"/>
      <c r="MH11" s="41"/>
      <c r="MI11" s="41"/>
      <c r="MJ11" s="41"/>
      <c r="MK11" s="41"/>
      <c r="ML11" s="234"/>
      <c r="MM11" s="234"/>
      <c r="MN11" s="41"/>
      <c r="MO11" s="41"/>
      <c r="MP11" s="41"/>
      <c r="MQ11" s="41"/>
      <c r="MR11" s="41"/>
      <c r="MS11" s="234"/>
      <c r="MT11" s="234"/>
      <c r="MU11" s="41"/>
      <c r="MV11" s="41"/>
      <c r="MW11" s="41"/>
      <c r="MX11" s="41"/>
      <c r="MY11" s="41"/>
      <c r="MZ11" s="234"/>
      <c r="NA11" s="234"/>
      <c r="NB11" s="41"/>
      <c r="NC11" s="41"/>
      <c r="ND11" s="41"/>
      <c r="NE11" s="41"/>
      <c r="NF11" s="41"/>
      <c r="NG11" s="234"/>
      <c r="NH11" s="234"/>
      <c r="NI11" s="41"/>
      <c r="NJ11" s="41"/>
      <c r="NK11" s="41"/>
      <c r="NL11" s="41"/>
      <c r="NM11" s="41"/>
      <c r="NN11" s="234"/>
      <c r="NO11" s="234"/>
      <c r="NP11" s="41"/>
      <c r="NQ11" s="41"/>
      <c r="NR11" s="41"/>
      <c r="NS11" s="41"/>
      <c r="NT11" s="41"/>
      <c r="NU11" s="230"/>
      <c r="NV11" s="230"/>
    </row>
    <row r="12" spans="2:387" hidden="1" x14ac:dyDescent="0.3">
      <c r="B12" s="49">
        <v>17098</v>
      </c>
      <c r="C12" s="50">
        <v>35</v>
      </c>
      <c r="D12" s="206" t="s">
        <v>7</v>
      </c>
      <c r="E12" s="190" t="s">
        <v>8</v>
      </c>
      <c r="F12" s="146" t="s">
        <v>9</v>
      </c>
      <c r="G12" s="159" t="s">
        <v>103</v>
      </c>
      <c r="H12" s="160" t="s">
        <v>104</v>
      </c>
      <c r="I12" s="125" t="s">
        <v>386</v>
      </c>
      <c r="J12" s="125" t="s">
        <v>386</v>
      </c>
      <c r="K12" s="125" t="s">
        <v>460</v>
      </c>
      <c r="L12" s="125" t="s">
        <v>386</v>
      </c>
      <c r="M12" s="125" t="s">
        <v>386</v>
      </c>
      <c r="N12" s="230"/>
      <c r="O12" s="230"/>
      <c r="P12" s="41"/>
      <c r="Q12" s="41"/>
      <c r="R12" s="41"/>
      <c r="S12" s="41"/>
      <c r="T12" s="41"/>
      <c r="U12" s="230"/>
      <c r="V12" s="230"/>
      <c r="W12" s="41"/>
      <c r="X12" s="41"/>
      <c r="Y12" s="41"/>
      <c r="Z12" s="41"/>
      <c r="AA12" s="41"/>
      <c r="AB12" s="230"/>
      <c r="AC12" s="230"/>
      <c r="AD12" s="41"/>
      <c r="AE12" s="41"/>
      <c r="AF12" s="41"/>
      <c r="AG12" s="41"/>
      <c r="AH12" s="41"/>
      <c r="AI12" s="230"/>
      <c r="AJ12" s="230"/>
      <c r="AK12" s="41"/>
      <c r="AL12" s="41"/>
      <c r="AM12" s="41"/>
      <c r="AN12" s="41"/>
      <c r="AO12" s="41"/>
      <c r="AP12" s="230"/>
      <c r="AQ12" s="230"/>
      <c r="AR12" s="41" t="s">
        <v>457</v>
      </c>
      <c r="AS12" s="41" t="s">
        <v>457</v>
      </c>
      <c r="AT12" s="41" t="s">
        <v>457</v>
      </c>
      <c r="AU12" s="41" t="s">
        <v>457</v>
      </c>
      <c r="AV12" s="41" t="s">
        <v>457</v>
      </c>
      <c r="AW12" s="230"/>
      <c r="AX12" s="230"/>
      <c r="AY12" s="41"/>
      <c r="AZ12" s="41"/>
      <c r="BA12" s="41"/>
      <c r="BB12" s="41"/>
      <c r="BC12" s="41"/>
      <c r="BD12" s="230"/>
      <c r="BE12" s="230"/>
      <c r="BF12" s="41"/>
      <c r="BG12" s="41"/>
      <c r="BH12" s="41"/>
      <c r="BI12" s="41"/>
      <c r="BJ12" s="41"/>
      <c r="BK12" s="230"/>
      <c r="BL12" s="230"/>
      <c r="BM12" s="41"/>
      <c r="BN12" s="41"/>
      <c r="BO12" s="41"/>
      <c r="BP12" s="41"/>
      <c r="BQ12" s="41"/>
      <c r="BR12" s="230"/>
      <c r="BS12" s="230"/>
      <c r="BT12" s="41"/>
      <c r="BU12" s="41"/>
      <c r="BV12" s="41"/>
      <c r="BW12" s="41"/>
      <c r="BX12" s="41"/>
      <c r="BY12" s="41" t="s">
        <v>460</v>
      </c>
      <c r="BZ12" s="41" t="s">
        <v>460</v>
      </c>
      <c r="CA12" s="41"/>
      <c r="CB12" s="41"/>
      <c r="CC12" s="41"/>
      <c r="CD12" s="41"/>
      <c r="CE12" s="41"/>
      <c r="CF12" s="41" t="s">
        <v>460</v>
      </c>
      <c r="CG12" s="41" t="s">
        <v>460</v>
      </c>
      <c r="CH12" s="41"/>
      <c r="CI12" s="41"/>
      <c r="CJ12" s="41"/>
      <c r="CK12" s="41"/>
      <c r="CL12" s="41"/>
      <c r="CM12" s="230"/>
      <c r="CN12" s="230"/>
      <c r="CO12" s="41"/>
      <c r="CP12" s="41"/>
      <c r="CQ12" s="41"/>
      <c r="CR12" s="41"/>
      <c r="CS12" s="41"/>
      <c r="CT12" s="230"/>
      <c r="CU12" s="230"/>
      <c r="CV12" s="41"/>
      <c r="CW12" s="41"/>
      <c r="CX12" s="41"/>
      <c r="CY12" s="41"/>
      <c r="CZ12" s="41"/>
      <c r="DA12" s="230"/>
      <c r="DB12" s="230"/>
      <c r="DC12" s="41"/>
      <c r="DD12" s="41"/>
      <c r="DE12" s="41"/>
      <c r="DF12" s="41"/>
      <c r="DG12" s="41"/>
      <c r="DH12" s="230"/>
      <c r="DI12" s="230"/>
      <c r="DJ12" s="41"/>
      <c r="DK12" s="41"/>
      <c r="DL12" s="41"/>
      <c r="DM12" s="41"/>
      <c r="DN12" s="41"/>
      <c r="DO12" s="230"/>
      <c r="DP12" s="230"/>
      <c r="DQ12" s="41"/>
      <c r="DR12" s="41"/>
      <c r="DS12" s="41"/>
      <c r="DT12" s="41"/>
      <c r="DU12" s="41"/>
      <c r="DV12" s="230"/>
      <c r="DW12" s="234"/>
      <c r="DX12" s="41"/>
      <c r="DY12" s="41"/>
      <c r="DZ12" s="41"/>
      <c r="EA12" s="41"/>
      <c r="EB12" s="41"/>
      <c r="EC12" s="230"/>
      <c r="ED12" s="230"/>
      <c r="EE12" s="41"/>
      <c r="EF12" s="41"/>
      <c r="EG12" s="41"/>
      <c r="EH12" s="41"/>
      <c r="EI12" s="41"/>
      <c r="EJ12" s="230"/>
      <c r="EK12" s="230"/>
      <c r="EL12" s="41"/>
      <c r="EM12" s="41"/>
      <c r="EN12" s="41"/>
      <c r="EO12" s="41"/>
      <c r="EP12" s="41"/>
      <c r="EQ12" s="230"/>
      <c r="ER12" s="230"/>
      <c r="ES12" s="41"/>
      <c r="ET12" s="41"/>
      <c r="EU12" s="41"/>
      <c r="EV12" s="41"/>
      <c r="EW12" s="41"/>
      <c r="EX12" s="230"/>
      <c r="EY12" s="230"/>
      <c r="EZ12" s="41"/>
      <c r="FA12" s="41"/>
      <c r="FB12" s="41"/>
      <c r="FC12" s="41"/>
      <c r="FD12" s="41"/>
      <c r="FE12" s="230"/>
      <c r="FF12" s="230"/>
      <c r="FG12" s="41"/>
      <c r="FH12" s="41"/>
      <c r="FI12" s="41"/>
      <c r="FJ12" s="41"/>
      <c r="FK12" s="41"/>
      <c r="FL12" s="230"/>
      <c r="FM12" s="230"/>
      <c r="FN12" s="41"/>
      <c r="FO12" s="41"/>
      <c r="FP12" s="41"/>
      <c r="FQ12" s="41"/>
      <c r="FR12" s="41"/>
      <c r="FS12" s="230"/>
      <c r="FT12" s="230"/>
      <c r="FU12" s="41"/>
      <c r="FV12" s="41"/>
      <c r="FW12" s="41"/>
      <c r="FX12" s="41"/>
      <c r="FY12" s="41"/>
      <c r="FZ12" s="230"/>
      <c r="GA12" s="230"/>
      <c r="GB12" s="41"/>
      <c r="GC12" s="41"/>
      <c r="GD12" s="41"/>
      <c r="GE12" s="41"/>
      <c r="GF12" s="41"/>
      <c r="GG12" s="230"/>
      <c r="GH12" s="230"/>
      <c r="GI12" s="41"/>
      <c r="GJ12" s="41"/>
      <c r="GK12" s="41"/>
      <c r="GL12" s="41"/>
      <c r="GM12" s="41"/>
      <c r="GN12" s="230"/>
      <c r="GO12" s="230"/>
      <c r="GP12" s="41"/>
      <c r="GQ12" s="41"/>
      <c r="GR12" s="41"/>
      <c r="GS12" s="41"/>
      <c r="GT12" s="41"/>
      <c r="GU12" s="230"/>
      <c r="GV12" s="230"/>
      <c r="GW12" s="41" t="s">
        <v>460</v>
      </c>
      <c r="GX12" s="41"/>
      <c r="GY12" s="41"/>
      <c r="GZ12" s="41"/>
      <c r="HA12" s="41"/>
      <c r="HB12" s="230"/>
      <c r="HC12" s="230"/>
      <c r="HD12" s="41"/>
      <c r="HE12" s="41"/>
      <c r="HF12" s="41"/>
      <c r="HG12" s="41"/>
      <c r="HH12" s="41"/>
      <c r="HI12" s="234"/>
      <c r="HJ12" s="234"/>
      <c r="HK12" s="41"/>
      <c r="HL12" s="41"/>
      <c r="HM12" s="41"/>
      <c r="HN12" s="41"/>
      <c r="HO12" s="41"/>
      <c r="HP12" s="234"/>
      <c r="HQ12" s="234"/>
      <c r="HR12" s="41"/>
      <c r="HS12" s="41"/>
      <c r="HT12" s="41"/>
      <c r="HU12" s="41"/>
      <c r="HV12" s="41"/>
      <c r="HW12" s="234"/>
      <c r="HX12" s="234"/>
      <c r="HY12" s="41"/>
      <c r="HZ12" s="41"/>
      <c r="IA12" s="41"/>
      <c r="IB12" s="41"/>
      <c r="IC12" s="41"/>
      <c r="ID12" s="234"/>
      <c r="IE12" s="234"/>
      <c r="IF12" s="41"/>
      <c r="IG12" s="41"/>
      <c r="IH12" s="41"/>
      <c r="II12" s="41"/>
      <c r="IJ12" s="41"/>
      <c r="IK12" s="234"/>
      <c r="IL12" s="234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234"/>
      <c r="JG12" s="234"/>
      <c r="JH12" s="41"/>
      <c r="JI12" s="41"/>
      <c r="JJ12" s="41"/>
      <c r="JK12" s="41"/>
      <c r="JL12" s="41"/>
      <c r="JM12" s="234"/>
      <c r="JN12" s="234"/>
      <c r="JO12" s="41"/>
      <c r="JP12" s="41"/>
      <c r="JQ12" s="41"/>
      <c r="JR12" s="41"/>
      <c r="JS12" s="41"/>
      <c r="JT12" s="234"/>
      <c r="JU12" s="234"/>
      <c r="JV12" s="41"/>
      <c r="JW12" s="41"/>
      <c r="JX12" s="41"/>
      <c r="JY12" s="41"/>
      <c r="JZ12" s="41"/>
      <c r="KA12" s="234"/>
      <c r="KB12" s="234"/>
      <c r="KC12" s="41"/>
      <c r="KD12" s="41"/>
      <c r="KE12" s="41"/>
      <c r="KF12" s="41"/>
      <c r="KG12" s="41"/>
      <c r="KH12" s="234"/>
      <c r="KI12" s="234"/>
      <c r="KJ12" s="41"/>
      <c r="KK12" s="41"/>
      <c r="KL12" s="41"/>
      <c r="KM12" s="41"/>
      <c r="KN12" s="41"/>
      <c r="KO12" s="234"/>
      <c r="KP12" s="234"/>
      <c r="KQ12" s="41"/>
      <c r="KR12" s="41"/>
      <c r="KS12" s="41"/>
      <c r="KT12" s="41"/>
      <c r="KU12" s="41"/>
      <c r="KV12" s="234"/>
      <c r="KW12" s="234"/>
      <c r="KX12" s="41"/>
      <c r="KY12" s="41"/>
      <c r="KZ12" s="41"/>
      <c r="LA12" s="41"/>
      <c r="LB12" s="41"/>
      <c r="LC12" s="234"/>
      <c r="LD12" s="234"/>
      <c r="LE12" s="41"/>
      <c r="LF12" s="41"/>
      <c r="LG12" s="41"/>
      <c r="LH12" s="41"/>
      <c r="LI12" s="41"/>
      <c r="LJ12" s="234"/>
      <c r="LK12" s="234"/>
      <c r="LL12" s="41"/>
      <c r="LM12" s="41"/>
      <c r="LN12" s="41"/>
      <c r="LO12" s="41"/>
      <c r="LP12" s="41"/>
      <c r="LQ12" s="234"/>
      <c r="LR12" s="234"/>
      <c r="LS12" s="41"/>
      <c r="LT12" s="41"/>
      <c r="LU12" s="41"/>
      <c r="LV12" s="41"/>
      <c r="LW12" s="41"/>
      <c r="LX12" s="234"/>
      <c r="LY12" s="234"/>
      <c r="LZ12" s="41"/>
      <c r="MA12" s="41"/>
      <c r="MB12" s="41"/>
      <c r="MC12" s="41"/>
      <c r="MD12" s="41"/>
      <c r="ME12" s="234"/>
      <c r="MF12" s="234"/>
      <c r="MG12" s="41"/>
      <c r="MH12" s="41"/>
      <c r="MI12" s="41"/>
      <c r="MJ12" s="41"/>
      <c r="MK12" s="41"/>
      <c r="ML12" s="234"/>
      <c r="MM12" s="234"/>
      <c r="MN12" s="41"/>
      <c r="MO12" s="41"/>
      <c r="MP12" s="41"/>
      <c r="MQ12" s="41"/>
      <c r="MR12" s="41"/>
      <c r="MS12" s="234"/>
      <c r="MT12" s="234"/>
      <c r="MU12" s="41"/>
      <c r="MV12" s="41"/>
      <c r="MW12" s="41"/>
      <c r="MX12" s="41"/>
      <c r="MY12" s="41"/>
      <c r="MZ12" s="234"/>
      <c r="NA12" s="234"/>
      <c r="NB12" s="41"/>
      <c r="NC12" s="41"/>
      <c r="ND12" s="41"/>
      <c r="NE12" s="41"/>
      <c r="NF12" s="41"/>
      <c r="NG12" s="234"/>
      <c r="NH12" s="234"/>
      <c r="NI12" s="41"/>
      <c r="NJ12" s="41"/>
      <c r="NK12" s="41"/>
      <c r="NL12" s="41"/>
      <c r="NM12" s="41"/>
      <c r="NN12" s="234"/>
      <c r="NO12" s="234"/>
      <c r="NP12" s="41"/>
      <c r="NQ12" s="41"/>
      <c r="NR12" s="41"/>
      <c r="NS12" s="41"/>
      <c r="NT12" s="41"/>
      <c r="NU12" s="230"/>
      <c r="NV12" s="230"/>
    </row>
    <row r="13" spans="2:387" hidden="1" x14ac:dyDescent="0.3">
      <c r="B13" s="67">
        <v>105558</v>
      </c>
      <c r="C13" s="9">
        <v>35</v>
      </c>
      <c r="D13" s="206" t="s">
        <v>7</v>
      </c>
      <c r="E13" s="190" t="s">
        <v>8</v>
      </c>
      <c r="F13" s="146" t="s">
        <v>44</v>
      </c>
      <c r="G13" s="159" t="s">
        <v>111</v>
      </c>
      <c r="H13" s="160" t="s">
        <v>112</v>
      </c>
      <c r="I13" s="125" t="s">
        <v>460</v>
      </c>
      <c r="J13" s="125" t="s">
        <v>460</v>
      </c>
      <c r="K13" s="125" t="s">
        <v>460</v>
      </c>
      <c r="L13" s="125" t="s">
        <v>460</v>
      </c>
      <c r="M13" s="125" t="s">
        <v>460</v>
      </c>
      <c r="N13" s="230"/>
      <c r="O13" s="230"/>
      <c r="P13" s="41"/>
      <c r="Q13" s="41"/>
      <c r="R13" s="41"/>
      <c r="S13" s="41"/>
      <c r="T13" s="41"/>
      <c r="U13" s="230"/>
      <c r="V13" s="230"/>
      <c r="W13" s="41"/>
      <c r="X13" s="41"/>
      <c r="Y13" s="41"/>
      <c r="Z13" s="41"/>
      <c r="AA13" s="41"/>
      <c r="AB13" s="230"/>
      <c r="AC13" s="230"/>
      <c r="AD13" s="41"/>
      <c r="AE13" s="41"/>
      <c r="AF13" s="41"/>
      <c r="AG13" s="41"/>
      <c r="AH13" s="41"/>
      <c r="AI13" s="230"/>
      <c r="AJ13" s="230"/>
      <c r="AK13" s="41"/>
      <c r="AL13" s="41"/>
      <c r="AM13" s="41"/>
      <c r="AN13" s="41"/>
      <c r="AO13" s="41"/>
      <c r="AP13" s="230"/>
      <c r="AQ13" s="230"/>
      <c r="AR13" s="41"/>
      <c r="AS13" s="41"/>
      <c r="AT13" s="41"/>
      <c r="AU13" s="41"/>
      <c r="AV13" s="41"/>
      <c r="AW13" s="230"/>
      <c r="AX13" s="230"/>
      <c r="AY13" s="41"/>
      <c r="AZ13" s="41"/>
      <c r="BA13" s="41"/>
      <c r="BB13" s="41"/>
      <c r="BC13" s="41"/>
      <c r="BD13" s="41" t="s">
        <v>460</v>
      </c>
      <c r="BE13" s="41" t="s">
        <v>460</v>
      </c>
      <c r="BF13" s="41"/>
      <c r="BG13" s="41"/>
      <c r="BH13" s="41"/>
      <c r="BI13" s="41"/>
      <c r="BJ13" s="41"/>
      <c r="BK13" s="230"/>
      <c r="BL13" s="230"/>
      <c r="BM13" s="41"/>
      <c r="BN13" s="41"/>
      <c r="BO13" s="41"/>
      <c r="BP13" s="41"/>
      <c r="BQ13" s="41"/>
      <c r="BR13" s="41" t="s">
        <v>460</v>
      </c>
      <c r="BS13" s="41" t="s">
        <v>460</v>
      </c>
      <c r="BT13" s="41"/>
      <c r="BU13" s="41"/>
      <c r="BV13" s="41"/>
      <c r="BW13" s="41"/>
      <c r="BX13" s="41"/>
      <c r="BY13" s="230"/>
      <c r="BZ13" s="230"/>
      <c r="CA13" s="41"/>
      <c r="CB13" s="41"/>
      <c r="CC13" s="41"/>
      <c r="CD13" s="41"/>
      <c r="CE13" s="41"/>
      <c r="CF13" s="230"/>
      <c r="CG13" s="230"/>
      <c r="CH13" s="41"/>
      <c r="CI13" s="41"/>
      <c r="CJ13" s="41"/>
      <c r="CK13" s="41"/>
      <c r="CL13" s="41"/>
      <c r="CM13" s="230"/>
      <c r="CN13" s="230"/>
      <c r="CO13" s="41"/>
      <c r="CP13" s="41"/>
      <c r="CQ13" s="41"/>
      <c r="CR13" s="41"/>
      <c r="CS13" s="41"/>
      <c r="CT13" s="230"/>
      <c r="CU13" s="230"/>
      <c r="CV13" s="41"/>
      <c r="CW13" s="41"/>
      <c r="CX13" s="41"/>
      <c r="CY13" s="41"/>
      <c r="CZ13" s="41"/>
      <c r="DA13" s="230"/>
      <c r="DB13" s="230"/>
      <c r="DC13" s="41"/>
      <c r="DD13" s="41"/>
      <c r="DE13" s="41"/>
      <c r="DF13" s="41"/>
      <c r="DG13" s="41"/>
      <c r="DH13" s="230"/>
      <c r="DI13" s="230"/>
      <c r="DJ13" s="41"/>
      <c r="DK13" s="41"/>
      <c r="DL13" s="41"/>
      <c r="DM13" s="41"/>
      <c r="DN13" s="41"/>
      <c r="DO13" s="230"/>
      <c r="DP13" s="230"/>
      <c r="DQ13" s="41"/>
      <c r="DR13" s="41"/>
      <c r="DS13" s="41"/>
      <c r="DT13" s="41"/>
      <c r="DU13" s="41"/>
      <c r="DV13" s="230"/>
      <c r="DW13" s="234"/>
      <c r="DX13" s="41"/>
      <c r="DY13" s="41"/>
      <c r="DZ13" s="41"/>
      <c r="EA13" s="41"/>
      <c r="EB13" s="41"/>
      <c r="EC13" s="230"/>
      <c r="ED13" s="230"/>
      <c r="EE13" s="41"/>
      <c r="EF13" s="41"/>
      <c r="EG13" s="41"/>
      <c r="EH13" s="41"/>
      <c r="EI13" s="41"/>
      <c r="EJ13" s="230"/>
      <c r="EK13" s="230"/>
      <c r="EL13" s="41"/>
      <c r="EM13" s="41"/>
      <c r="EN13" s="41"/>
      <c r="EO13" s="41"/>
      <c r="EP13" s="41"/>
      <c r="EQ13" s="230"/>
      <c r="ER13" s="230"/>
      <c r="ES13" s="41"/>
      <c r="ET13" s="41"/>
      <c r="EU13" s="41"/>
      <c r="EV13" s="41"/>
      <c r="EW13" s="41"/>
      <c r="EX13" s="230"/>
      <c r="EY13" s="230"/>
      <c r="EZ13" s="41"/>
      <c r="FA13" s="41"/>
      <c r="FB13" s="41"/>
      <c r="FC13" s="41"/>
      <c r="FD13" s="41"/>
      <c r="FE13" s="230"/>
      <c r="FF13" s="230"/>
      <c r="FG13" s="41"/>
      <c r="FH13" s="41"/>
      <c r="FI13" s="41"/>
      <c r="FJ13" s="41"/>
      <c r="FK13" s="41"/>
      <c r="FL13" s="230"/>
      <c r="FM13" s="230"/>
      <c r="FN13" s="41"/>
      <c r="FO13" s="41"/>
      <c r="FP13" s="41"/>
      <c r="FQ13" s="41"/>
      <c r="FR13" s="41"/>
      <c r="FS13" s="230"/>
      <c r="FT13" s="230"/>
      <c r="FU13" s="41"/>
      <c r="FV13" s="41"/>
      <c r="FW13" s="41"/>
      <c r="FX13" s="41"/>
      <c r="FY13" s="41"/>
      <c r="FZ13" s="230"/>
      <c r="GA13" s="230"/>
      <c r="GB13" s="41"/>
      <c r="GC13" s="41"/>
      <c r="GD13" s="41"/>
      <c r="GE13" s="41"/>
      <c r="GF13" s="41"/>
      <c r="GG13" s="230"/>
      <c r="GH13" s="230"/>
      <c r="GI13" s="41"/>
      <c r="GJ13" s="41"/>
      <c r="GK13" s="41"/>
      <c r="GL13" s="41"/>
      <c r="GM13" s="41"/>
      <c r="GN13" s="230"/>
      <c r="GO13" s="230"/>
      <c r="GP13" s="41"/>
      <c r="GQ13" s="41"/>
      <c r="GR13" s="41"/>
      <c r="GS13" s="41"/>
      <c r="GT13" s="41"/>
      <c r="GU13" s="230"/>
      <c r="GV13" s="230"/>
      <c r="GW13" s="41" t="s">
        <v>460</v>
      </c>
      <c r="GX13" s="41"/>
      <c r="GY13" s="41"/>
      <c r="GZ13" s="41"/>
      <c r="HA13" s="41"/>
      <c r="HB13" s="230"/>
      <c r="HC13" s="230"/>
      <c r="HD13" s="41"/>
      <c r="HE13" s="41"/>
      <c r="HF13" s="41"/>
      <c r="HG13" s="41"/>
      <c r="HH13" s="41"/>
      <c r="HI13" s="234"/>
      <c r="HJ13" s="234"/>
      <c r="HK13" s="41"/>
      <c r="HL13" s="41"/>
      <c r="HM13" s="41"/>
      <c r="HN13" s="41"/>
      <c r="HO13" s="41"/>
      <c r="HP13" s="234"/>
      <c r="HQ13" s="234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234"/>
      <c r="IE13" s="234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234"/>
      <c r="IS13" s="234"/>
      <c r="IT13" s="41"/>
      <c r="IU13" s="41"/>
      <c r="IV13" s="41"/>
      <c r="IW13" s="41"/>
      <c r="IX13" s="41"/>
      <c r="IY13" s="234"/>
      <c r="IZ13" s="234"/>
      <c r="JA13" s="41"/>
      <c r="JB13" s="41"/>
      <c r="JC13" s="41"/>
      <c r="JD13" s="41"/>
      <c r="JE13" s="41"/>
      <c r="JF13" s="234"/>
      <c r="JG13" s="234"/>
      <c r="JH13" s="41"/>
      <c r="JI13" s="41"/>
      <c r="JJ13" s="41"/>
      <c r="JK13" s="41"/>
      <c r="JL13" s="41"/>
      <c r="JM13" s="234"/>
      <c r="JN13" s="234"/>
      <c r="JO13" s="41"/>
      <c r="JP13" s="41"/>
      <c r="JQ13" s="41"/>
      <c r="JR13" s="41"/>
      <c r="JS13" s="41"/>
      <c r="JT13" s="234"/>
      <c r="JU13" s="234"/>
      <c r="JV13" s="41"/>
      <c r="JW13" s="41"/>
      <c r="JX13" s="41"/>
      <c r="JY13" s="41"/>
      <c r="JZ13" s="41"/>
      <c r="KA13" s="234"/>
      <c r="KB13" s="234"/>
      <c r="KC13" s="41"/>
      <c r="KD13" s="41"/>
      <c r="KE13" s="41"/>
      <c r="KF13" s="41"/>
      <c r="KG13" s="41"/>
      <c r="KH13" s="234"/>
      <c r="KI13" s="234"/>
      <c r="KJ13" s="41"/>
      <c r="KK13" s="41"/>
      <c r="KL13" s="41"/>
      <c r="KM13" s="41"/>
      <c r="KN13" s="41"/>
      <c r="KO13" s="234"/>
      <c r="KP13" s="234"/>
      <c r="KQ13" s="41"/>
      <c r="KR13" s="41"/>
      <c r="KS13" s="41"/>
      <c r="KT13" s="41"/>
      <c r="KU13" s="41"/>
      <c r="KV13" s="234"/>
      <c r="KW13" s="234"/>
      <c r="KX13" s="41"/>
      <c r="KY13" s="41"/>
      <c r="KZ13" s="41"/>
      <c r="LA13" s="41"/>
      <c r="LB13" s="41"/>
      <c r="LC13" s="234"/>
      <c r="LD13" s="234"/>
      <c r="LE13" s="41"/>
      <c r="LF13" s="41"/>
      <c r="LG13" s="41"/>
      <c r="LH13" s="41"/>
      <c r="LI13" s="41"/>
      <c r="LJ13" s="234"/>
      <c r="LK13" s="234"/>
      <c r="LL13" s="41"/>
      <c r="LM13" s="41"/>
      <c r="LN13" s="41"/>
      <c r="LO13" s="41"/>
      <c r="LP13" s="41"/>
      <c r="LQ13" s="234"/>
      <c r="LR13" s="234"/>
      <c r="LS13" s="41"/>
      <c r="LT13" s="41"/>
      <c r="LU13" s="41"/>
      <c r="LV13" s="41"/>
      <c r="LW13" s="41"/>
      <c r="LX13" s="234"/>
      <c r="LY13" s="234"/>
      <c r="LZ13" s="41"/>
      <c r="MA13" s="41"/>
      <c r="MB13" s="41"/>
      <c r="MC13" s="41"/>
      <c r="MD13" s="41"/>
      <c r="ME13" s="234"/>
      <c r="MF13" s="234"/>
      <c r="MG13" s="41"/>
      <c r="MH13" s="41"/>
      <c r="MI13" s="41"/>
      <c r="MJ13" s="41"/>
      <c r="MK13" s="41"/>
      <c r="ML13" s="234"/>
      <c r="MM13" s="234"/>
      <c r="MN13" s="41"/>
      <c r="MO13" s="41"/>
      <c r="MP13" s="41"/>
      <c r="MQ13" s="41"/>
      <c r="MR13" s="41"/>
      <c r="MS13" s="234"/>
      <c r="MT13" s="234"/>
      <c r="MU13" s="41"/>
      <c r="MV13" s="41"/>
      <c r="MW13" s="41"/>
      <c r="MX13" s="41"/>
      <c r="MY13" s="41"/>
      <c r="MZ13" s="234"/>
      <c r="NA13" s="234"/>
      <c r="NB13" s="41"/>
      <c r="NC13" s="41"/>
      <c r="ND13" s="41"/>
      <c r="NE13" s="41"/>
      <c r="NF13" s="41"/>
      <c r="NG13" s="234"/>
      <c r="NH13" s="234"/>
      <c r="NI13" s="41"/>
      <c r="NJ13" s="41"/>
      <c r="NK13" s="41"/>
      <c r="NL13" s="41"/>
      <c r="NM13" s="41"/>
      <c r="NN13" s="234"/>
      <c r="NO13" s="234"/>
      <c r="NP13" s="41"/>
      <c r="NQ13" s="41"/>
      <c r="NR13" s="41"/>
      <c r="NS13" s="41"/>
      <c r="NT13" s="41"/>
      <c r="NU13" s="230"/>
      <c r="NV13" s="230"/>
    </row>
    <row r="14" spans="2:387" hidden="1" x14ac:dyDescent="0.3">
      <c r="B14" s="38">
        <v>53018</v>
      </c>
      <c r="C14" s="9">
        <v>35</v>
      </c>
      <c r="D14" s="206" t="s">
        <v>7</v>
      </c>
      <c r="E14" s="190" t="s">
        <v>8</v>
      </c>
      <c r="F14" s="146" t="s">
        <v>44</v>
      </c>
      <c r="G14" s="159" t="s">
        <v>117</v>
      </c>
      <c r="H14" s="160" t="s">
        <v>119</v>
      </c>
      <c r="I14" s="125" t="s">
        <v>44</v>
      </c>
      <c r="J14" s="125" t="s">
        <v>44</v>
      </c>
      <c r="K14" s="125" t="s">
        <v>460</v>
      </c>
      <c r="L14" s="125" t="s">
        <v>44</v>
      </c>
      <c r="M14" s="125" t="s">
        <v>44</v>
      </c>
      <c r="N14" s="230"/>
      <c r="O14" s="230"/>
      <c r="P14" s="41"/>
      <c r="Q14" s="41"/>
      <c r="R14" s="41"/>
      <c r="S14" s="41"/>
      <c r="T14" s="41"/>
      <c r="U14" s="230"/>
      <c r="V14" s="230"/>
      <c r="W14" s="41"/>
      <c r="X14" s="41"/>
      <c r="Y14" s="41"/>
      <c r="Z14" s="41"/>
      <c r="AA14" s="41"/>
      <c r="AB14" s="230"/>
      <c r="AC14" s="230"/>
      <c r="AD14" s="41"/>
      <c r="AE14" s="41"/>
      <c r="AF14" s="41"/>
      <c r="AG14" s="41"/>
      <c r="AH14" s="41"/>
      <c r="AI14" s="230"/>
      <c r="AJ14" s="230"/>
      <c r="AK14" s="41"/>
      <c r="AL14" s="41"/>
      <c r="AM14" s="41"/>
      <c r="AN14" s="41"/>
      <c r="AO14" s="41"/>
      <c r="AP14" s="230"/>
      <c r="AQ14" s="230"/>
      <c r="AR14" s="41"/>
      <c r="AS14" s="41"/>
      <c r="AT14" s="41"/>
      <c r="AU14" s="41"/>
      <c r="AV14" s="41"/>
      <c r="AW14" s="230"/>
      <c r="AX14" s="230"/>
      <c r="AY14" s="41"/>
      <c r="AZ14" s="41"/>
      <c r="BA14" s="41"/>
      <c r="BB14" s="41"/>
      <c r="BC14" s="41"/>
      <c r="BD14" s="41" t="s">
        <v>460</v>
      </c>
      <c r="BE14" s="41" t="s">
        <v>460</v>
      </c>
      <c r="BF14" s="41"/>
      <c r="BG14" s="41"/>
      <c r="BH14" s="41"/>
      <c r="BI14" s="41"/>
      <c r="BJ14" s="41"/>
      <c r="BK14" s="230"/>
      <c r="BL14" s="230"/>
      <c r="BM14" s="41"/>
      <c r="BN14" s="41"/>
      <c r="BO14" s="41"/>
      <c r="BP14" s="41"/>
      <c r="BQ14" s="41"/>
      <c r="BR14" s="230"/>
      <c r="BS14" s="230"/>
      <c r="BT14" s="41"/>
      <c r="BU14" s="41"/>
      <c r="BV14" s="41"/>
      <c r="BW14" s="41"/>
      <c r="BX14" s="41"/>
      <c r="BY14" s="230"/>
      <c r="BZ14" s="230"/>
      <c r="CA14" s="41"/>
      <c r="CB14" s="41"/>
      <c r="CC14" s="41"/>
      <c r="CD14" s="41"/>
      <c r="CE14" s="41"/>
      <c r="CF14" s="230"/>
      <c r="CG14" s="230"/>
      <c r="CH14" s="41"/>
      <c r="CI14" s="41"/>
      <c r="CJ14" s="41"/>
      <c r="CK14" s="41"/>
      <c r="CL14" s="41"/>
      <c r="CM14" s="230"/>
      <c r="CN14" s="230"/>
      <c r="CO14" s="41"/>
      <c r="CP14" s="41"/>
      <c r="CQ14" s="41"/>
      <c r="CR14" s="41"/>
      <c r="CS14" s="41"/>
      <c r="CT14" s="230"/>
      <c r="CU14" s="230"/>
      <c r="CV14" s="41"/>
      <c r="CW14" s="41"/>
      <c r="CX14" s="41"/>
      <c r="CY14" s="41"/>
      <c r="CZ14" s="41"/>
      <c r="DA14" s="230"/>
      <c r="DB14" s="230"/>
      <c r="DC14" s="41"/>
      <c r="DD14" s="41"/>
      <c r="DE14" s="41"/>
      <c r="DF14" s="41"/>
      <c r="DG14" s="41"/>
      <c r="DH14" s="230"/>
      <c r="DI14" s="230"/>
      <c r="DJ14" s="41"/>
      <c r="DK14" s="41"/>
      <c r="DL14" s="41"/>
      <c r="DM14" s="41"/>
      <c r="DN14" s="41"/>
      <c r="DO14" s="230"/>
      <c r="DP14" s="230"/>
      <c r="DQ14" s="41"/>
      <c r="DR14" s="41"/>
      <c r="DS14" s="41"/>
      <c r="DT14" s="41"/>
      <c r="DU14" s="41"/>
      <c r="DV14" s="230"/>
      <c r="DW14" s="234"/>
      <c r="DX14" s="41"/>
      <c r="DY14" s="41"/>
      <c r="DZ14" s="41"/>
      <c r="EA14" s="41"/>
      <c r="EB14" s="41"/>
      <c r="EC14" s="230"/>
      <c r="ED14" s="230"/>
      <c r="EE14" s="41"/>
      <c r="EF14" s="41"/>
      <c r="EG14" s="41"/>
      <c r="EH14" s="41"/>
      <c r="EI14" s="41"/>
      <c r="EJ14" s="230"/>
      <c r="EK14" s="230"/>
      <c r="EL14" s="41"/>
      <c r="EM14" s="41"/>
      <c r="EN14" s="41"/>
      <c r="EO14" s="41"/>
      <c r="EP14" s="41"/>
      <c r="EQ14" s="230"/>
      <c r="ER14" s="230"/>
      <c r="ES14" s="41"/>
      <c r="ET14" s="41"/>
      <c r="EU14" s="41"/>
      <c r="EV14" s="41"/>
      <c r="EW14" s="41"/>
      <c r="EX14" s="230"/>
      <c r="EY14" s="230"/>
      <c r="EZ14" s="41"/>
      <c r="FA14" s="41"/>
      <c r="FB14" s="41"/>
      <c r="FC14" s="41"/>
      <c r="FD14" s="41"/>
      <c r="FE14" s="230"/>
      <c r="FF14" s="230"/>
      <c r="FG14" s="41"/>
      <c r="FH14" s="41"/>
      <c r="FI14" s="41"/>
      <c r="FJ14" s="41"/>
      <c r="FK14" s="41"/>
      <c r="FL14" s="230"/>
      <c r="FM14" s="230"/>
      <c r="FN14" s="41"/>
      <c r="FO14" s="41"/>
      <c r="FP14" s="41"/>
      <c r="FQ14" s="41"/>
      <c r="FR14" s="41"/>
      <c r="FS14" s="230"/>
      <c r="FT14" s="230"/>
      <c r="FU14" s="41"/>
      <c r="FV14" s="41"/>
      <c r="FW14" s="41"/>
      <c r="FX14" s="41"/>
      <c r="FY14" s="41"/>
      <c r="FZ14" s="230"/>
      <c r="GA14" s="230"/>
      <c r="GB14" s="41"/>
      <c r="GC14" s="41"/>
      <c r="GD14" s="41"/>
      <c r="GE14" s="41"/>
      <c r="GF14" s="41"/>
      <c r="GG14" s="230"/>
      <c r="GH14" s="230"/>
      <c r="GI14" s="41"/>
      <c r="GJ14" s="41"/>
      <c r="GK14" s="41"/>
      <c r="GL14" s="41"/>
      <c r="GM14" s="41"/>
      <c r="GN14" s="230"/>
      <c r="GO14" s="230"/>
      <c r="GP14" s="41"/>
      <c r="GQ14" s="41"/>
      <c r="GR14" s="41"/>
      <c r="GS14" s="41"/>
      <c r="GT14" s="41"/>
      <c r="GU14" s="230"/>
      <c r="GV14" s="230"/>
      <c r="GW14" s="41" t="s">
        <v>460</v>
      </c>
      <c r="GX14" s="41"/>
      <c r="GY14" s="41"/>
      <c r="GZ14" s="41"/>
      <c r="HA14" s="41"/>
      <c r="HB14" s="230"/>
      <c r="HC14" s="230"/>
      <c r="HD14" s="41"/>
      <c r="HE14" s="41"/>
      <c r="HF14" s="41"/>
      <c r="HG14" s="41"/>
      <c r="HH14" s="41"/>
      <c r="HI14" s="234"/>
      <c r="HJ14" s="234"/>
      <c r="HK14" s="41"/>
      <c r="HL14" s="41"/>
      <c r="HM14" s="41"/>
      <c r="HN14" s="41"/>
      <c r="HO14" s="41"/>
      <c r="HP14" s="234"/>
      <c r="HQ14" s="234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234"/>
      <c r="IE14" s="234"/>
      <c r="IF14" s="41"/>
      <c r="IG14" s="41"/>
      <c r="IH14" s="41"/>
      <c r="II14" s="41"/>
      <c r="IJ14" s="41"/>
      <c r="IK14" s="234"/>
      <c r="IL14" s="234"/>
      <c r="IM14" s="41"/>
      <c r="IN14" s="41"/>
      <c r="IO14" s="41"/>
      <c r="IP14" s="41"/>
      <c r="IQ14" s="41"/>
      <c r="IR14" s="234"/>
      <c r="IS14" s="234"/>
      <c r="IT14" s="41"/>
      <c r="IU14" s="41"/>
      <c r="IV14" s="41"/>
      <c r="IW14" s="41"/>
      <c r="IX14" s="41"/>
      <c r="IY14" s="234"/>
      <c r="IZ14" s="234"/>
      <c r="JA14" s="41"/>
      <c r="JB14" s="41"/>
      <c r="JC14" s="41"/>
      <c r="JD14" s="41"/>
      <c r="JE14" s="41"/>
      <c r="JF14" s="234"/>
      <c r="JG14" s="234"/>
      <c r="JH14" s="41"/>
      <c r="JI14" s="41"/>
      <c r="JJ14" s="41"/>
      <c r="JK14" s="41"/>
      <c r="JL14" s="41"/>
      <c r="JM14" s="234"/>
      <c r="JN14" s="234"/>
      <c r="JO14" s="41"/>
      <c r="JP14" s="41"/>
      <c r="JQ14" s="41"/>
      <c r="JR14" s="41"/>
      <c r="JS14" s="41"/>
      <c r="JT14" s="234"/>
      <c r="JU14" s="234"/>
      <c r="JV14" s="41"/>
      <c r="JW14" s="41"/>
      <c r="JX14" s="41"/>
      <c r="JY14" s="41"/>
      <c r="JZ14" s="41"/>
      <c r="KA14" s="234"/>
      <c r="KB14" s="234"/>
      <c r="KC14" s="41"/>
      <c r="KD14" s="41"/>
      <c r="KE14" s="41"/>
      <c r="KF14" s="41"/>
      <c r="KG14" s="41"/>
      <c r="KH14" s="234"/>
      <c r="KI14" s="234"/>
      <c r="KJ14" s="41"/>
      <c r="KK14" s="41"/>
      <c r="KL14" s="41"/>
      <c r="KM14" s="41"/>
      <c r="KN14" s="41"/>
      <c r="KO14" s="234"/>
      <c r="KP14" s="234"/>
      <c r="KQ14" s="41"/>
      <c r="KR14" s="41"/>
      <c r="KS14" s="41"/>
      <c r="KT14" s="41"/>
      <c r="KU14" s="41"/>
      <c r="KV14" s="234"/>
      <c r="KW14" s="234"/>
      <c r="KX14" s="41"/>
      <c r="KY14" s="41"/>
      <c r="KZ14" s="41"/>
      <c r="LA14" s="41"/>
      <c r="LB14" s="41"/>
      <c r="LC14" s="234"/>
      <c r="LD14" s="234"/>
      <c r="LE14" s="41"/>
      <c r="LF14" s="41"/>
      <c r="LG14" s="41"/>
      <c r="LH14" s="41"/>
      <c r="LI14" s="41"/>
      <c r="LJ14" s="234"/>
      <c r="LK14" s="234"/>
      <c r="LL14" s="41"/>
      <c r="LM14" s="41"/>
      <c r="LN14" s="41"/>
      <c r="LO14" s="41"/>
      <c r="LP14" s="41"/>
      <c r="LQ14" s="234"/>
      <c r="LR14" s="234"/>
      <c r="LS14" s="41"/>
      <c r="LT14" s="41"/>
      <c r="LU14" s="41"/>
      <c r="LV14" s="41"/>
      <c r="LW14" s="41"/>
      <c r="LX14" s="234"/>
      <c r="LY14" s="234"/>
      <c r="LZ14" s="41"/>
      <c r="MA14" s="41"/>
      <c r="MB14" s="41"/>
      <c r="MC14" s="41"/>
      <c r="MD14" s="41"/>
      <c r="ME14" s="234"/>
      <c r="MF14" s="234"/>
      <c r="MG14" s="41"/>
      <c r="MH14" s="41"/>
      <c r="MI14" s="41"/>
      <c r="MJ14" s="41"/>
      <c r="MK14" s="41"/>
      <c r="ML14" s="234"/>
      <c r="MM14" s="234"/>
      <c r="MN14" s="41"/>
      <c r="MO14" s="41"/>
      <c r="MP14" s="41"/>
      <c r="MQ14" s="41"/>
      <c r="MR14" s="41"/>
      <c r="MS14" s="234"/>
      <c r="MT14" s="234"/>
      <c r="MU14" s="41"/>
      <c r="MV14" s="41"/>
      <c r="MW14" s="41"/>
      <c r="MX14" s="41"/>
      <c r="MY14" s="41"/>
      <c r="MZ14" s="234"/>
      <c r="NA14" s="234"/>
      <c r="NB14" s="41"/>
      <c r="NC14" s="41"/>
      <c r="ND14" s="41"/>
      <c r="NE14" s="41"/>
      <c r="NF14" s="41"/>
      <c r="NG14" s="234"/>
      <c r="NH14" s="234"/>
      <c r="NI14" s="41"/>
      <c r="NJ14" s="41"/>
      <c r="NK14" s="41"/>
      <c r="NL14" s="41"/>
      <c r="NM14" s="41"/>
      <c r="NN14" s="234"/>
      <c r="NO14" s="234"/>
      <c r="NP14" s="41"/>
      <c r="NQ14" s="41"/>
      <c r="NR14" s="41"/>
      <c r="NS14" s="41"/>
      <c r="NT14" s="41"/>
      <c r="NU14" s="230"/>
      <c r="NV14" s="230"/>
    </row>
    <row r="15" spans="2:387" x14ac:dyDescent="0.3">
      <c r="B15" s="54">
        <v>105861</v>
      </c>
      <c r="C15" s="55">
        <v>35</v>
      </c>
      <c r="D15" s="206" t="s">
        <v>7</v>
      </c>
      <c r="E15" s="190" t="s">
        <v>8</v>
      </c>
      <c r="F15" s="146" t="s">
        <v>9</v>
      </c>
      <c r="G15" s="159" t="s">
        <v>890</v>
      </c>
      <c r="H15" s="160" t="s">
        <v>891</v>
      </c>
      <c r="I15" s="125" t="s">
        <v>430</v>
      </c>
      <c r="J15" s="125" t="s">
        <v>430</v>
      </c>
      <c r="K15" s="125" t="s">
        <v>460</v>
      </c>
      <c r="L15" s="125" t="s">
        <v>430</v>
      </c>
      <c r="M15" s="125" t="s">
        <v>430</v>
      </c>
      <c r="N15" s="230"/>
      <c r="O15" s="230"/>
      <c r="P15" s="41"/>
      <c r="Q15" s="41"/>
      <c r="R15" s="41"/>
      <c r="S15" s="41"/>
      <c r="T15" s="41"/>
      <c r="U15" s="230"/>
      <c r="V15" s="230"/>
      <c r="W15" s="41"/>
      <c r="X15" s="41"/>
      <c r="Y15" s="41"/>
      <c r="Z15" s="41"/>
      <c r="AA15" s="41"/>
      <c r="AB15" s="230"/>
      <c r="AC15" s="230"/>
      <c r="AD15" s="41"/>
      <c r="AE15" s="41"/>
      <c r="AF15" s="41"/>
      <c r="AG15" s="41"/>
      <c r="AH15" s="41"/>
      <c r="AI15" s="230"/>
      <c r="AJ15" s="230"/>
      <c r="AK15" s="41"/>
      <c r="AL15" s="41"/>
      <c r="AM15" s="41"/>
      <c r="AN15" s="41"/>
      <c r="AO15" s="41"/>
      <c r="AP15" s="230"/>
      <c r="AQ15" s="230"/>
      <c r="AR15" s="41"/>
      <c r="AS15" s="41"/>
      <c r="AT15" s="41"/>
      <c r="AU15" s="41"/>
      <c r="AV15" s="41"/>
      <c r="AW15" s="230"/>
      <c r="AX15" s="230"/>
      <c r="AY15" s="41"/>
      <c r="AZ15" s="41"/>
      <c r="BA15" s="41"/>
      <c r="BB15" s="41"/>
      <c r="BC15" s="41"/>
      <c r="BD15" s="230"/>
      <c r="BE15" s="230"/>
      <c r="BF15" s="41"/>
      <c r="BG15" s="41"/>
      <c r="BH15" s="41"/>
      <c r="BI15" s="41"/>
      <c r="BJ15" s="41"/>
      <c r="BK15" s="41" t="s">
        <v>460</v>
      </c>
      <c r="BL15" s="41" t="s">
        <v>460</v>
      </c>
      <c r="BM15" s="41"/>
      <c r="BN15" s="41"/>
      <c r="BO15" s="41"/>
      <c r="BP15" s="41"/>
      <c r="BQ15" s="41"/>
      <c r="BR15" s="230"/>
      <c r="BS15" s="230"/>
      <c r="BT15" s="41"/>
      <c r="BU15" s="41"/>
      <c r="BV15" s="41"/>
      <c r="BW15" s="41"/>
      <c r="BX15" s="41"/>
      <c r="BY15" s="230"/>
      <c r="BZ15" s="230"/>
      <c r="CA15" s="41"/>
      <c r="CB15" s="41"/>
      <c r="CC15" s="41"/>
      <c r="CD15" s="41"/>
      <c r="CE15" s="41"/>
      <c r="CF15" s="230"/>
      <c r="CG15" s="230"/>
      <c r="CH15" s="41"/>
      <c r="CI15" s="41"/>
      <c r="CJ15" s="41"/>
      <c r="CK15" s="41"/>
      <c r="CL15" s="41"/>
      <c r="CM15" s="230"/>
      <c r="CN15" s="230"/>
      <c r="CO15" s="41"/>
      <c r="CP15" s="41"/>
      <c r="CQ15" s="41"/>
      <c r="CR15" s="41"/>
      <c r="CS15" s="41"/>
      <c r="CT15" s="230"/>
      <c r="CU15" s="230"/>
      <c r="CV15" s="41"/>
      <c r="CW15" s="41"/>
      <c r="CX15" s="41"/>
      <c r="CY15" s="41"/>
      <c r="CZ15" s="41"/>
      <c r="DA15" s="230"/>
      <c r="DB15" s="230"/>
      <c r="DC15" s="41"/>
      <c r="DD15" s="41"/>
      <c r="DE15" s="41"/>
      <c r="DF15" s="41"/>
      <c r="DG15" s="41"/>
      <c r="DH15" s="230"/>
      <c r="DI15" s="230"/>
      <c r="DJ15" s="41"/>
      <c r="DK15" s="41"/>
      <c r="DL15" s="41"/>
      <c r="DM15" s="41"/>
      <c r="DN15" s="41"/>
      <c r="DO15" s="230"/>
      <c r="DP15" s="230"/>
      <c r="DQ15" s="41"/>
      <c r="DR15" s="41" t="s">
        <v>460</v>
      </c>
      <c r="DS15" s="41" t="s">
        <v>460</v>
      </c>
      <c r="DT15" s="41" t="s">
        <v>460</v>
      </c>
      <c r="DU15" s="41" t="s">
        <v>460</v>
      </c>
      <c r="DV15" s="230"/>
      <c r="DW15" s="234"/>
      <c r="DX15" s="41"/>
      <c r="DY15" s="41"/>
      <c r="DZ15" s="41"/>
      <c r="EA15" s="41"/>
      <c r="EB15" s="41"/>
      <c r="EC15" s="230"/>
      <c r="ED15" s="230"/>
      <c r="EE15" s="41"/>
      <c r="EF15" s="41"/>
      <c r="EG15" s="41"/>
      <c r="EH15" s="41"/>
      <c r="EI15" s="41"/>
      <c r="EJ15" s="230"/>
      <c r="EK15" s="230"/>
      <c r="EL15" s="41"/>
      <c r="EM15" s="41"/>
      <c r="EN15" s="41"/>
      <c r="EO15" s="41"/>
      <c r="EP15" s="41"/>
      <c r="EQ15" s="230"/>
      <c r="ER15" s="230"/>
      <c r="ES15" s="41"/>
      <c r="ET15" s="41"/>
      <c r="EU15" s="41"/>
      <c r="EV15" s="41"/>
      <c r="EW15" s="41"/>
      <c r="EX15" s="230"/>
      <c r="EY15" s="230"/>
      <c r="EZ15" s="41"/>
      <c r="FA15" s="41"/>
      <c r="FB15" s="41"/>
      <c r="FC15" s="41"/>
      <c r="FD15" s="41"/>
      <c r="FE15" s="230"/>
      <c r="FF15" s="230"/>
      <c r="FG15" s="41"/>
      <c r="FH15" s="41"/>
      <c r="FI15" s="41"/>
      <c r="FJ15" s="41"/>
      <c r="FK15" s="41"/>
      <c r="FL15" s="230"/>
      <c r="FM15" s="230"/>
      <c r="FN15" s="41"/>
      <c r="FO15" s="41"/>
      <c r="FP15" s="41"/>
      <c r="FQ15" s="41"/>
      <c r="FR15" s="41"/>
      <c r="FS15" s="230"/>
      <c r="FT15" s="230"/>
      <c r="FU15" s="41"/>
      <c r="FV15" s="41"/>
      <c r="FW15" s="41"/>
      <c r="FX15" s="41"/>
      <c r="FY15" s="41"/>
      <c r="FZ15" s="230"/>
      <c r="GA15" s="230"/>
      <c r="GB15" s="41"/>
      <c r="GC15" s="41"/>
      <c r="GD15" s="41"/>
      <c r="GE15" s="41"/>
      <c r="GF15" s="41"/>
      <c r="GG15" s="230"/>
      <c r="GH15" s="230"/>
      <c r="GI15" s="41"/>
      <c r="GJ15" s="41"/>
      <c r="GK15" s="41"/>
      <c r="GL15" s="41"/>
      <c r="GM15" s="41"/>
      <c r="GN15" s="230"/>
      <c r="GO15" s="230"/>
      <c r="GP15" s="41"/>
      <c r="GQ15" s="41"/>
      <c r="GR15" s="41"/>
      <c r="GS15" s="41"/>
      <c r="GT15" s="41"/>
      <c r="GU15" s="230"/>
      <c r="GV15" s="230"/>
      <c r="GW15" s="41" t="s">
        <v>460</v>
      </c>
      <c r="GX15" s="41"/>
      <c r="GY15" s="41"/>
      <c r="GZ15" s="41"/>
      <c r="HA15" s="41"/>
      <c r="HB15" s="230"/>
      <c r="HC15" s="230"/>
      <c r="HD15" s="41"/>
      <c r="HE15" s="41"/>
      <c r="HF15" s="41"/>
      <c r="HG15" s="41"/>
      <c r="HH15" s="41"/>
      <c r="HI15" s="234"/>
      <c r="HJ15" s="234"/>
      <c r="HK15" s="41"/>
      <c r="HL15" s="41"/>
      <c r="HM15" s="41"/>
      <c r="HN15" s="41"/>
      <c r="HO15" s="41"/>
      <c r="HP15" s="234"/>
      <c r="HQ15" s="234"/>
      <c r="HR15" s="41" t="s">
        <v>460</v>
      </c>
      <c r="HS15" s="41" t="s">
        <v>460</v>
      </c>
      <c r="HT15" s="41" t="s">
        <v>460</v>
      </c>
      <c r="HU15" s="41" t="s">
        <v>460</v>
      </c>
      <c r="HV15" s="41" t="s">
        <v>460</v>
      </c>
      <c r="HW15" s="234"/>
      <c r="HX15" s="234"/>
      <c r="HY15" s="41" t="s">
        <v>460</v>
      </c>
      <c r="HZ15" s="41" t="s">
        <v>460</v>
      </c>
      <c r="IA15" s="41" t="s">
        <v>460</v>
      </c>
      <c r="IB15" s="41" t="s">
        <v>460</v>
      </c>
      <c r="IC15" s="41" t="s">
        <v>460</v>
      </c>
      <c r="ID15" s="41"/>
      <c r="IE15" s="41"/>
      <c r="IF15" s="41"/>
      <c r="IG15" s="41"/>
      <c r="IH15" s="41"/>
      <c r="II15" s="41"/>
      <c r="IJ15" s="41"/>
      <c r="IK15" s="234"/>
      <c r="IL15" s="234"/>
      <c r="IM15" s="41"/>
      <c r="IN15" s="41"/>
      <c r="IO15" s="41"/>
      <c r="IP15" s="41"/>
      <c r="IQ15" s="41"/>
      <c r="IR15" s="234"/>
      <c r="IS15" s="234"/>
      <c r="IT15" s="41"/>
      <c r="IU15" s="41"/>
      <c r="IV15" s="41"/>
      <c r="IW15" s="41"/>
      <c r="IX15" s="41"/>
      <c r="IY15" s="234"/>
      <c r="IZ15" s="234"/>
      <c r="JA15" s="41"/>
      <c r="JB15" s="41"/>
      <c r="JC15" s="41"/>
      <c r="JD15" s="41"/>
      <c r="JE15" s="41"/>
      <c r="JF15" s="234"/>
      <c r="JG15" s="234"/>
      <c r="JH15" s="41"/>
      <c r="JI15" s="41"/>
      <c r="JJ15" s="41"/>
      <c r="JK15" s="41"/>
      <c r="JL15" s="41"/>
      <c r="JM15" s="234"/>
      <c r="JN15" s="234"/>
      <c r="JO15" s="41"/>
      <c r="JP15" s="41"/>
      <c r="JQ15" s="41"/>
      <c r="JR15" s="41"/>
      <c r="JS15" s="41"/>
      <c r="JT15" s="234"/>
      <c r="JU15" s="234"/>
      <c r="JV15" s="41"/>
      <c r="JW15" s="41"/>
      <c r="JX15" s="41"/>
      <c r="JY15" s="41"/>
      <c r="JZ15" s="41"/>
      <c r="KA15" s="234"/>
      <c r="KB15" s="234"/>
      <c r="KC15" s="41"/>
      <c r="KD15" s="41"/>
      <c r="KE15" s="41"/>
      <c r="KF15" s="41"/>
      <c r="KG15" s="41"/>
      <c r="KH15" s="234"/>
      <c r="KI15" s="234"/>
      <c r="KJ15" s="41"/>
      <c r="KK15" s="41"/>
      <c r="KL15" s="41"/>
      <c r="KM15" s="41"/>
      <c r="KN15" s="41"/>
      <c r="KO15" s="234"/>
      <c r="KP15" s="234"/>
      <c r="KQ15" s="41"/>
      <c r="KR15" s="41"/>
      <c r="KS15" s="41"/>
      <c r="KT15" s="41"/>
      <c r="KU15" s="41"/>
      <c r="KV15" s="234"/>
      <c r="KW15" s="234"/>
      <c r="KX15" s="41"/>
      <c r="KY15" s="41"/>
      <c r="KZ15" s="41"/>
      <c r="LA15" s="41"/>
      <c r="LB15" s="41"/>
      <c r="LC15" s="234"/>
      <c r="LD15" s="234"/>
      <c r="LE15" s="41"/>
      <c r="LF15" s="41"/>
      <c r="LG15" s="41"/>
      <c r="LH15" s="41"/>
      <c r="LI15" s="41"/>
      <c r="LJ15" s="234"/>
      <c r="LK15" s="234"/>
      <c r="LL15" s="41"/>
      <c r="LM15" s="41"/>
      <c r="LN15" s="41"/>
      <c r="LO15" s="41"/>
      <c r="LP15" s="41"/>
      <c r="LQ15" s="234"/>
      <c r="LR15" s="234"/>
      <c r="LS15" s="41"/>
      <c r="LT15" s="41"/>
      <c r="LU15" s="41"/>
      <c r="LV15" s="41"/>
      <c r="LW15" s="41"/>
      <c r="LX15" s="234"/>
      <c r="LY15" s="234"/>
      <c r="LZ15" s="41"/>
      <c r="MA15" s="41"/>
      <c r="MB15" s="41"/>
      <c r="MC15" s="41"/>
      <c r="MD15" s="41"/>
      <c r="ME15" s="234"/>
      <c r="MF15" s="234"/>
      <c r="MG15" s="41"/>
      <c r="MH15" s="41"/>
      <c r="MI15" s="41"/>
      <c r="MJ15" s="41"/>
      <c r="MK15" s="41"/>
      <c r="ML15" s="234"/>
      <c r="MM15" s="234"/>
      <c r="MN15" s="41"/>
      <c r="MO15" s="41"/>
      <c r="MP15" s="41"/>
      <c r="MQ15" s="41"/>
      <c r="MR15" s="41"/>
      <c r="MS15" s="234"/>
      <c r="MT15" s="234"/>
      <c r="MU15" s="41"/>
      <c r="MV15" s="41"/>
      <c r="MW15" s="41"/>
      <c r="MX15" s="41"/>
      <c r="MY15" s="41"/>
      <c r="MZ15" s="234"/>
      <c r="NA15" s="234"/>
      <c r="NB15" s="41"/>
      <c r="NC15" s="41"/>
      <c r="ND15" s="41"/>
      <c r="NE15" s="41"/>
      <c r="NF15" s="41"/>
      <c r="NG15" s="234"/>
      <c r="NH15" s="234"/>
      <c r="NI15" s="41"/>
      <c r="NJ15" s="41"/>
      <c r="NK15" s="41"/>
      <c r="NL15" s="41"/>
      <c r="NM15" s="41"/>
      <c r="NN15" s="234"/>
      <c r="NO15" s="234"/>
      <c r="NP15" s="41"/>
      <c r="NQ15" s="41"/>
      <c r="NR15" s="41"/>
      <c r="NS15" s="41"/>
      <c r="NT15" s="41"/>
      <c r="NU15" s="230"/>
      <c r="NV15" s="230"/>
    </row>
    <row r="16" spans="2:387" hidden="1" x14ac:dyDescent="0.3">
      <c r="B16" s="8">
        <v>103711</v>
      </c>
      <c r="C16" s="9">
        <v>35</v>
      </c>
      <c r="D16" s="206" t="s">
        <v>7</v>
      </c>
      <c r="E16" s="190" t="s">
        <v>8</v>
      </c>
      <c r="F16" s="146" t="s">
        <v>9</v>
      </c>
      <c r="G16" s="159" t="s">
        <v>145</v>
      </c>
      <c r="H16" s="160" t="s">
        <v>146</v>
      </c>
      <c r="I16" s="125" t="s">
        <v>386</v>
      </c>
      <c r="J16" s="125" t="s">
        <v>386</v>
      </c>
      <c r="K16" s="125" t="s">
        <v>460</v>
      </c>
      <c r="L16" s="125" t="s">
        <v>386</v>
      </c>
      <c r="M16" s="125" t="s">
        <v>386</v>
      </c>
      <c r="N16" s="230"/>
      <c r="O16" s="230"/>
      <c r="P16" s="41"/>
      <c r="Q16" s="41"/>
      <c r="R16" s="41"/>
      <c r="S16" s="41"/>
      <c r="T16" s="41"/>
      <c r="U16" s="230"/>
      <c r="V16" s="230"/>
      <c r="W16" s="41"/>
      <c r="X16" s="41"/>
      <c r="Y16" s="41"/>
      <c r="Z16" s="41"/>
      <c r="AA16" s="41"/>
      <c r="AB16" s="230"/>
      <c r="AC16" s="230"/>
      <c r="AD16" s="41"/>
      <c r="AE16" s="41"/>
      <c r="AF16" s="41"/>
      <c r="AG16" s="41"/>
      <c r="AH16" s="41"/>
      <c r="AI16" s="230"/>
      <c r="AJ16" s="230"/>
      <c r="AK16" s="41"/>
      <c r="AL16" s="41"/>
      <c r="AM16" s="41"/>
      <c r="AN16" s="41"/>
      <c r="AO16" s="41"/>
      <c r="AP16" s="230"/>
      <c r="AQ16" s="230"/>
      <c r="AR16" s="41"/>
      <c r="AS16" s="41"/>
      <c r="AT16" s="41"/>
      <c r="AU16" s="41"/>
      <c r="AV16" s="41"/>
      <c r="AW16" s="230"/>
      <c r="AX16" s="230"/>
      <c r="AY16" s="41"/>
      <c r="AZ16" s="41"/>
      <c r="BA16" s="41"/>
      <c r="BB16" s="41"/>
      <c r="BC16" s="41"/>
      <c r="BD16" s="230"/>
      <c r="BE16" s="230"/>
      <c r="BF16" s="41"/>
      <c r="BG16" s="41"/>
      <c r="BH16" s="41"/>
      <c r="BI16" s="41"/>
      <c r="BJ16" s="41"/>
      <c r="BK16" s="230"/>
      <c r="BL16" s="230"/>
      <c r="BM16" s="41"/>
      <c r="BN16" s="41"/>
      <c r="BO16" s="41"/>
      <c r="BP16" s="41"/>
      <c r="BQ16" s="41"/>
      <c r="BR16" s="230"/>
      <c r="BS16" s="230"/>
      <c r="BT16" s="41"/>
      <c r="BU16" s="41"/>
      <c r="BV16" s="41"/>
      <c r="BW16" s="41"/>
      <c r="BX16" s="41"/>
      <c r="BY16" s="230"/>
      <c r="BZ16" s="230"/>
      <c r="CA16" s="41"/>
      <c r="CB16" s="41"/>
      <c r="CC16" s="41"/>
      <c r="CD16" s="41"/>
      <c r="CE16" s="41"/>
      <c r="CF16" s="230"/>
      <c r="CG16" s="230"/>
      <c r="CH16" s="41"/>
      <c r="CI16" s="41"/>
      <c r="CJ16" s="41"/>
      <c r="CK16" s="41"/>
      <c r="CL16" s="41"/>
      <c r="CM16" s="230"/>
      <c r="CN16" s="230"/>
      <c r="CO16" s="41"/>
      <c r="CP16" s="41"/>
      <c r="CQ16" s="41"/>
      <c r="CR16" s="41"/>
      <c r="CS16" s="41"/>
      <c r="CT16" s="230"/>
      <c r="CU16" s="230"/>
      <c r="CV16" s="41"/>
      <c r="CW16" s="41"/>
      <c r="CX16" s="41"/>
      <c r="CY16" s="41"/>
      <c r="CZ16" s="41"/>
      <c r="DA16" s="230"/>
      <c r="DB16" s="230"/>
      <c r="DC16" s="41"/>
      <c r="DD16" s="41"/>
      <c r="DE16" s="41"/>
      <c r="DF16" s="41"/>
      <c r="DG16" s="41"/>
      <c r="DH16" s="230"/>
      <c r="DI16" s="230"/>
      <c r="DJ16" s="41"/>
      <c r="DK16" s="41"/>
      <c r="DL16" s="41"/>
      <c r="DM16" s="41"/>
      <c r="DN16" s="41"/>
      <c r="DO16" s="230"/>
      <c r="DP16" s="230"/>
      <c r="DQ16" s="41"/>
      <c r="DR16" s="41"/>
      <c r="DS16" s="41"/>
      <c r="DT16" s="41"/>
      <c r="DU16" s="41"/>
      <c r="DV16" s="230"/>
      <c r="DW16" s="234"/>
      <c r="DX16" s="41"/>
      <c r="DY16" s="41"/>
      <c r="DZ16" s="41"/>
      <c r="EA16" s="41"/>
      <c r="EB16" s="41"/>
      <c r="EC16" s="230"/>
      <c r="ED16" s="230"/>
      <c r="EE16" s="41"/>
      <c r="EF16" s="41"/>
      <c r="EG16" s="41"/>
      <c r="EH16" s="41"/>
      <c r="EI16" s="41"/>
      <c r="EJ16" s="230"/>
      <c r="EK16" s="230"/>
      <c r="EL16" s="41"/>
      <c r="EM16" s="41"/>
      <c r="EN16" s="41"/>
      <c r="EO16" s="41"/>
      <c r="EP16" s="41"/>
      <c r="EQ16" s="230"/>
      <c r="ER16" s="230"/>
      <c r="ES16" s="41"/>
      <c r="ET16" s="41"/>
      <c r="EU16" s="41"/>
      <c r="EV16" s="41"/>
      <c r="EW16" s="41"/>
      <c r="EX16" s="230"/>
      <c r="EY16" s="230"/>
      <c r="EZ16" s="41"/>
      <c r="FA16" s="41"/>
      <c r="FB16" s="41"/>
      <c r="FC16" s="41"/>
      <c r="FD16" s="41"/>
      <c r="FE16" s="230"/>
      <c r="FF16" s="230"/>
      <c r="FG16" s="41"/>
      <c r="FH16" s="41"/>
      <c r="FI16" s="41"/>
      <c r="FJ16" s="41"/>
      <c r="FK16" s="41"/>
      <c r="FL16" s="230"/>
      <c r="FM16" s="230"/>
      <c r="FN16" s="41"/>
      <c r="FO16" s="41"/>
      <c r="FP16" s="41"/>
      <c r="FQ16" s="41"/>
      <c r="FR16" s="41"/>
      <c r="FS16" s="230"/>
      <c r="FT16" s="230"/>
      <c r="FU16" s="41"/>
      <c r="FV16" s="41"/>
      <c r="FW16" s="41"/>
      <c r="FX16" s="41"/>
      <c r="FY16" s="41"/>
      <c r="FZ16" s="230"/>
      <c r="GA16" s="230"/>
      <c r="GB16" s="41"/>
      <c r="GC16" s="41"/>
      <c r="GD16" s="41"/>
      <c r="GE16" s="41"/>
      <c r="GF16" s="41"/>
      <c r="GG16" s="230"/>
      <c r="GH16" s="230"/>
      <c r="GI16" s="41"/>
      <c r="GJ16" s="41"/>
      <c r="GK16" s="41"/>
      <c r="GL16" s="41"/>
      <c r="GM16" s="41"/>
      <c r="GN16" s="230"/>
      <c r="GO16" s="230"/>
      <c r="GP16" s="41"/>
      <c r="GQ16" s="41"/>
      <c r="GR16" s="41"/>
      <c r="GS16" s="41"/>
      <c r="GT16" s="41"/>
      <c r="GU16" s="230"/>
      <c r="GV16" s="230"/>
      <c r="GW16" s="41" t="s">
        <v>460</v>
      </c>
      <c r="GX16" s="41"/>
      <c r="GY16" s="41"/>
      <c r="GZ16" s="41"/>
      <c r="HA16" s="41"/>
      <c r="HB16" s="230"/>
      <c r="HC16" s="230"/>
      <c r="HD16" s="41"/>
      <c r="HE16" s="41"/>
      <c r="HF16" s="41"/>
      <c r="HG16" s="41"/>
      <c r="HH16" s="41"/>
      <c r="HI16" s="234"/>
      <c r="HJ16" s="234"/>
      <c r="HK16" s="41"/>
      <c r="HL16" s="41"/>
      <c r="HM16" s="41"/>
      <c r="HN16" s="41"/>
      <c r="HO16" s="41"/>
      <c r="HP16" s="234"/>
      <c r="HQ16" s="234"/>
      <c r="HR16" s="41"/>
      <c r="HS16" s="41"/>
      <c r="HT16" s="41"/>
      <c r="HU16" s="41"/>
      <c r="HV16" s="41"/>
      <c r="HW16" s="234"/>
      <c r="HX16" s="234"/>
      <c r="HY16" s="41"/>
      <c r="HZ16" s="41"/>
      <c r="IA16" s="41"/>
      <c r="IB16" s="41"/>
      <c r="IC16" s="41"/>
      <c r="ID16" s="234"/>
      <c r="IE16" s="234"/>
      <c r="IF16" s="41"/>
      <c r="IG16" s="41"/>
      <c r="IH16" s="41"/>
      <c r="II16" s="41"/>
      <c r="IJ16" s="41"/>
      <c r="IK16" s="234"/>
      <c r="IL16" s="234"/>
      <c r="IM16" s="41"/>
      <c r="IN16" s="41"/>
      <c r="IO16" s="41"/>
      <c r="IP16" s="41"/>
      <c r="IQ16" s="41"/>
      <c r="IR16" s="234"/>
      <c r="IS16" s="234"/>
      <c r="IT16" s="41"/>
      <c r="IU16" s="41"/>
      <c r="IV16" s="41"/>
      <c r="IW16" s="41"/>
      <c r="IX16" s="41"/>
      <c r="IY16" s="234"/>
      <c r="IZ16" s="234"/>
      <c r="JA16" s="41"/>
      <c r="JB16" s="41"/>
      <c r="JC16" s="41"/>
      <c r="JD16" s="41"/>
      <c r="JE16" s="41"/>
      <c r="JF16" s="234"/>
      <c r="JG16" s="234"/>
      <c r="JH16" s="41"/>
      <c r="JI16" s="41"/>
      <c r="JJ16" s="41"/>
      <c r="JK16" s="41"/>
      <c r="JL16" s="41"/>
      <c r="JM16" s="234"/>
      <c r="JN16" s="234"/>
      <c r="JO16" s="41"/>
      <c r="JP16" s="41"/>
      <c r="JQ16" s="41"/>
      <c r="JR16" s="41"/>
      <c r="JS16" s="41"/>
      <c r="JT16" s="234"/>
      <c r="JU16" s="234"/>
      <c r="JV16" s="41"/>
      <c r="JW16" s="41"/>
      <c r="JX16" s="41"/>
      <c r="JY16" s="41"/>
      <c r="JZ16" s="41"/>
      <c r="KA16" s="234"/>
      <c r="KB16" s="234"/>
      <c r="KC16" s="41"/>
      <c r="KD16" s="41"/>
      <c r="KE16" s="41"/>
      <c r="KF16" s="41"/>
      <c r="KG16" s="41"/>
      <c r="KH16" s="234"/>
      <c r="KI16" s="234"/>
      <c r="KJ16" s="41"/>
      <c r="KK16" s="41"/>
      <c r="KL16" s="41"/>
      <c r="KM16" s="41"/>
      <c r="KN16" s="41"/>
      <c r="KO16" s="234"/>
      <c r="KP16" s="234"/>
      <c r="KQ16" s="41"/>
      <c r="KR16" s="41"/>
      <c r="KS16" s="41"/>
      <c r="KT16" s="41"/>
      <c r="KU16" s="41"/>
      <c r="KV16" s="234"/>
      <c r="KW16" s="234"/>
      <c r="KX16" s="41"/>
      <c r="KY16" s="41"/>
      <c r="KZ16" s="41"/>
      <c r="LA16" s="41"/>
      <c r="LB16" s="41"/>
      <c r="LC16" s="234"/>
      <c r="LD16" s="234"/>
      <c r="LE16" s="41"/>
      <c r="LF16" s="41"/>
      <c r="LG16" s="41"/>
      <c r="LH16" s="41"/>
      <c r="LI16" s="41"/>
      <c r="LJ16" s="234"/>
      <c r="LK16" s="234"/>
      <c r="LL16" s="41"/>
      <c r="LM16" s="41"/>
      <c r="LN16" s="41"/>
      <c r="LO16" s="41"/>
      <c r="LP16" s="41"/>
      <c r="LQ16" s="234"/>
      <c r="LR16" s="234"/>
      <c r="LS16" s="41"/>
      <c r="LT16" s="41"/>
      <c r="LU16" s="41"/>
      <c r="LV16" s="41"/>
      <c r="LW16" s="41"/>
      <c r="LX16" s="234"/>
      <c r="LY16" s="234"/>
      <c r="LZ16" s="41"/>
      <c r="MA16" s="41"/>
      <c r="MB16" s="41"/>
      <c r="MC16" s="41"/>
      <c r="MD16" s="41"/>
      <c r="ME16" s="234"/>
      <c r="MF16" s="234"/>
      <c r="MG16" s="41"/>
      <c r="MH16" s="41"/>
      <c r="MI16" s="41"/>
      <c r="MJ16" s="41"/>
      <c r="MK16" s="41"/>
      <c r="ML16" s="234"/>
      <c r="MM16" s="234"/>
      <c r="MN16" s="41"/>
      <c r="MO16" s="41"/>
      <c r="MP16" s="41"/>
      <c r="MQ16" s="41"/>
      <c r="MR16" s="41"/>
      <c r="MS16" s="234"/>
      <c r="MT16" s="234"/>
      <c r="MU16" s="41"/>
      <c r="MV16" s="41"/>
      <c r="MW16" s="41"/>
      <c r="MX16" s="41"/>
      <c r="MY16" s="41"/>
      <c r="MZ16" s="234"/>
      <c r="NA16" s="234"/>
      <c r="NB16" s="41"/>
      <c r="NC16" s="41"/>
      <c r="ND16" s="41"/>
      <c r="NE16" s="41"/>
      <c r="NF16" s="41"/>
      <c r="NG16" s="234"/>
      <c r="NH16" s="234"/>
      <c r="NI16" s="41"/>
      <c r="NJ16" s="41"/>
      <c r="NK16" s="41"/>
      <c r="NL16" s="41"/>
      <c r="NM16" s="41"/>
      <c r="NN16" s="234"/>
      <c r="NO16" s="234"/>
      <c r="NP16" s="41"/>
      <c r="NQ16" s="41"/>
      <c r="NR16" s="41"/>
      <c r="NS16" s="41"/>
      <c r="NT16" s="41"/>
      <c r="NU16" s="230"/>
      <c r="NV16" s="230"/>
    </row>
    <row r="17" spans="2:386" hidden="1" x14ac:dyDescent="0.3">
      <c r="B17" s="24" t="s">
        <v>18</v>
      </c>
      <c r="C17" s="25">
        <v>35</v>
      </c>
      <c r="D17" s="206" t="s">
        <v>7</v>
      </c>
      <c r="E17" s="190" t="s">
        <v>8</v>
      </c>
      <c r="F17" s="146" t="s">
        <v>44</v>
      </c>
      <c r="G17" s="155" t="s">
        <v>161</v>
      </c>
      <c r="H17" s="156" t="s">
        <v>162</v>
      </c>
      <c r="I17" s="125" t="s">
        <v>44</v>
      </c>
      <c r="J17" s="125" t="s">
        <v>44</v>
      </c>
      <c r="K17" s="125" t="s">
        <v>460</v>
      </c>
      <c r="L17" s="125" t="s">
        <v>44</v>
      </c>
      <c r="M17" s="125" t="s">
        <v>44</v>
      </c>
      <c r="N17" s="230"/>
      <c r="O17" s="230"/>
      <c r="P17" s="41"/>
      <c r="Q17" s="41"/>
      <c r="R17" s="41"/>
      <c r="S17" s="41"/>
      <c r="T17" s="41"/>
      <c r="U17" s="230"/>
      <c r="V17" s="230"/>
      <c r="W17" s="41" t="s">
        <v>44</v>
      </c>
      <c r="X17" s="41" t="s">
        <v>44</v>
      </c>
      <c r="Y17" s="41" t="s">
        <v>44</v>
      </c>
      <c r="Z17" s="41" t="s">
        <v>44</v>
      </c>
      <c r="AA17" s="41" t="s">
        <v>44</v>
      </c>
      <c r="AB17" s="230"/>
      <c r="AC17" s="230"/>
      <c r="AD17" s="41"/>
      <c r="AE17" s="41"/>
      <c r="AF17" s="41"/>
      <c r="AG17" s="41"/>
      <c r="AH17" s="41"/>
      <c r="AI17" s="230"/>
      <c r="AJ17" s="230"/>
      <c r="AK17" s="41"/>
      <c r="AL17" s="41"/>
      <c r="AM17" s="41"/>
      <c r="AN17" s="41"/>
      <c r="AO17" s="41"/>
      <c r="AP17" s="230"/>
      <c r="AQ17" s="230"/>
      <c r="AR17" s="41"/>
      <c r="AS17" s="41"/>
      <c r="AT17" s="41"/>
      <c r="AU17" s="41"/>
      <c r="AV17" s="41"/>
      <c r="AW17" s="230"/>
      <c r="AX17" s="230"/>
      <c r="AY17" s="41"/>
      <c r="AZ17" s="41"/>
      <c r="BA17" s="41"/>
      <c r="BB17" s="41"/>
      <c r="BC17" s="41"/>
      <c r="BD17" s="230"/>
      <c r="BE17" s="230"/>
      <c r="BF17" s="41"/>
      <c r="BG17" s="41"/>
      <c r="BH17" s="41"/>
      <c r="BI17" s="41"/>
      <c r="BJ17" s="41"/>
      <c r="BK17" s="230"/>
      <c r="BL17" s="230"/>
      <c r="BM17" s="41"/>
      <c r="BN17" s="41"/>
      <c r="BO17" s="41"/>
      <c r="BP17" s="41"/>
      <c r="BQ17" s="41"/>
      <c r="BR17" s="230"/>
      <c r="BS17" s="230"/>
      <c r="BT17" s="41"/>
      <c r="BU17" s="41"/>
      <c r="BV17" s="41"/>
      <c r="BW17" s="41"/>
      <c r="BX17" s="41"/>
      <c r="BY17" s="230"/>
      <c r="BZ17" s="230"/>
      <c r="CA17" s="41"/>
      <c r="CB17" s="41"/>
      <c r="CC17" s="41"/>
      <c r="CD17" s="41"/>
      <c r="CE17" s="41"/>
      <c r="CF17" s="230"/>
      <c r="CG17" s="230"/>
      <c r="CH17" s="41"/>
      <c r="CI17" s="41"/>
      <c r="CJ17" s="41"/>
      <c r="CK17" s="41"/>
      <c r="CL17" s="41"/>
      <c r="CM17" s="230"/>
      <c r="CN17" s="230"/>
      <c r="CO17" s="41"/>
      <c r="CP17" s="41"/>
      <c r="CQ17" s="41"/>
      <c r="CR17" s="41"/>
      <c r="CS17" s="41"/>
      <c r="CT17" s="230"/>
      <c r="CU17" s="230"/>
      <c r="CV17" s="41"/>
      <c r="CW17" s="41"/>
      <c r="CX17" s="41"/>
      <c r="CY17" s="41"/>
      <c r="CZ17" s="41"/>
      <c r="DA17" s="230"/>
      <c r="DB17" s="230"/>
      <c r="DC17" s="41"/>
      <c r="DD17" s="41"/>
      <c r="DE17" s="41"/>
      <c r="DF17" s="41"/>
      <c r="DG17" s="41"/>
      <c r="DH17" s="230"/>
      <c r="DI17" s="230"/>
      <c r="DJ17" s="41"/>
      <c r="DK17" s="41"/>
      <c r="DL17" s="41"/>
      <c r="DM17" s="41"/>
      <c r="DN17" s="41"/>
      <c r="DO17" s="230"/>
      <c r="DP17" s="230"/>
      <c r="DQ17" s="41"/>
      <c r="DR17" s="41"/>
      <c r="DS17" s="41"/>
      <c r="DT17" s="41"/>
      <c r="DU17" s="41"/>
      <c r="DV17" s="230"/>
      <c r="DW17" s="230"/>
      <c r="DX17" s="41"/>
      <c r="DY17" s="41"/>
      <c r="DZ17" s="41"/>
      <c r="EA17" s="41"/>
      <c r="EB17" s="41"/>
      <c r="EC17" s="230"/>
      <c r="ED17" s="230"/>
      <c r="EE17" s="41"/>
      <c r="EF17" s="41"/>
      <c r="EG17" s="41"/>
      <c r="EH17" s="41"/>
      <c r="EI17" s="41"/>
      <c r="EJ17" s="230"/>
      <c r="EK17" s="230"/>
      <c r="EL17" s="41"/>
      <c r="EM17" s="41"/>
      <c r="EN17" s="41"/>
      <c r="EO17" s="41"/>
      <c r="EP17" s="41"/>
      <c r="EQ17" s="230"/>
      <c r="ER17" s="230"/>
      <c r="ES17" s="41"/>
      <c r="ET17" s="41"/>
      <c r="EU17" s="41"/>
      <c r="EV17" s="41"/>
      <c r="EW17" s="41"/>
      <c r="EX17" s="230"/>
      <c r="EY17" s="230"/>
      <c r="EZ17" s="41"/>
      <c r="FA17" s="41"/>
      <c r="FB17" s="41"/>
      <c r="FC17" s="41"/>
      <c r="FD17" s="41"/>
      <c r="FE17" s="230"/>
      <c r="FF17" s="230"/>
      <c r="FG17" s="41"/>
      <c r="FH17" s="41"/>
      <c r="FI17" s="41"/>
      <c r="FJ17" s="41"/>
      <c r="FK17" s="41"/>
      <c r="FL17" s="230"/>
      <c r="FM17" s="230"/>
      <c r="FN17" s="41"/>
      <c r="FO17" s="41"/>
      <c r="FP17" s="41"/>
      <c r="FQ17" s="41"/>
      <c r="FR17" s="41"/>
      <c r="FS17" s="230"/>
      <c r="FT17" s="230"/>
      <c r="FU17" s="41"/>
      <c r="FV17" s="41"/>
      <c r="FW17" s="41"/>
      <c r="FX17" s="41"/>
      <c r="FY17" s="41"/>
      <c r="FZ17" s="230"/>
      <c r="GA17" s="230"/>
      <c r="GB17" s="41"/>
      <c r="GC17" s="41"/>
      <c r="GD17" s="41"/>
      <c r="GE17" s="41"/>
      <c r="GF17" s="41"/>
      <c r="GG17" s="230"/>
      <c r="GH17" s="230"/>
      <c r="GI17" s="41"/>
      <c r="GJ17" s="41"/>
      <c r="GK17" s="41"/>
      <c r="GL17" s="41"/>
      <c r="GM17" s="41"/>
      <c r="GN17" s="230"/>
      <c r="GO17" s="230"/>
      <c r="GP17" s="41"/>
      <c r="GQ17" s="41"/>
      <c r="GR17" s="41"/>
      <c r="GS17" s="41"/>
      <c r="GT17" s="41"/>
      <c r="GU17" s="230"/>
      <c r="GV17" s="230"/>
      <c r="GW17" s="41" t="s">
        <v>460</v>
      </c>
      <c r="GX17" s="41"/>
      <c r="GY17" s="41"/>
      <c r="GZ17" s="41"/>
      <c r="HA17" s="41"/>
      <c r="HB17" s="230"/>
      <c r="HC17" s="230"/>
      <c r="HD17" s="41"/>
      <c r="HE17" s="41"/>
      <c r="HF17" s="41"/>
      <c r="HG17" s="41"/>
      <c r="HH17" s="41"/>
      <c r="HI17" s="234"/>
      <c r="HJ17" s="234"/>
      <c r="HK17" s="41"/>
      <c r="HL17" s="41"/>
      <c r="HM17" s="41"/>
      <c r="HN17" s="41"/>
      <c r="HO17" s="41"/>
      <c r="HP17" s="234"/>
      <c r="HQ17" s="234"/>
      <c r="HR17" s="41"/>
      <c r="HS17" s="41"/>
      <c r="HT17" s="41"/>
      <c r="HU17" s="41"/>
      <c r="HV17" s="41"/>
      <c r="HW17" s="234"/>
      <c r="HX17" s="234"/>
      <c r="HY17" s="41"/>
      <c r="HZ17" s="41"/>
      <c r="IA17" s="41"/>
      <c r="IB17" s="41"/>
      <c r="IC17" s="41"/>
      <c r="ID17" s="234"/>
      <c r="IE17" s="234"/>
      <c r="IF17" s="41"/>
      <c r="IG17" s="41"/>
      <c r="IH17" s="41"/>
      <c r="II17" s="41"/>
      <c r="IJ17" s="41"/>
      <c r="IK17" s="234"/>
      <c r="IL17" s="234"/>
      <c r="IM17" s="41"/>
      <c r="IN17" s="41"/>
      <c r="IO17" s="41"/>
      <c r="IP17" s="41"/>
      <c r="IQ17" s="41"/>
      <c r="IR17" s="234"/>
      <c r="IS17" s="234"/>
      <c r="IT17" s="41"/>
      <c r="IU17" s="41"/>
      <c r="IV17" s="41"/>
      <c r="IW17" s="41"/>
      <c r="IX17" s="41"/>
      <c r="IY17" s="234"/>
      <c r="IZ17" s="234"/>
      <c r="JA17" s="41"/>
      <c r="JB17" s="41"/>
      <c r="JC17" s="41"/>
      <c r="JD17" s="41"/>
      <c r="JE17" s="41"/>
      <c r="JF17" s="234"/>
      <c r="JG17" s="234"/>
      <c r="JH17" s="41"/>
      <c r="JI17" s="41"/>
      <c r="JJ17" s="41"/>
      <c r="JK17" s="41"/>
      <c r="JL17" s="41"/>
      <c r="JM17" s="234"/>
      <c r="JN17" s="234"/>
      <c r="JO17" s="41"/>
      <c r="JP17" s="41"/>
      <c r="JQ17" s="41"/>
      <c r="JR17" s="41"/>
      <c r="JS17" s="41"/>
      <c r="JT17" s="234"/>
      <c r="JU17" s="234"/>
      <c r="JV17" s="41"/>
      <c r="JW17" s="41"/>
      <c r="JX17" s="41"/>
      <c r="JY17" s="41"/>
      <c r="JZ17" s="41"/>
      <c r="KA17" s="234"/>
      <c r="KB17" s="234"/>
      <c r="KC17" s="41"/>
      <c r="KD17" s="41"/>
      <c r="KE17" s="41"/>
      <c r="KF17" s="41"/>
      <c r="KG17" s="41"/>
      <c r="KH17" s="234"/>
      <c r="KI17" s="234"/>
      <c r="KJ17" s="41"/>
      <c r="KK17" s="41"/>
      <c r="KL17" s="41"/>
      <c r="KM17" s="41"/>
      <c r="KN17" s="41"/>
      <c r="KO17" s="234"/>
      <c r="KP17" s="234"/>
      <c r="KQ17" s="41"/>
      <c r="KR17" s="41"/>
      <c r="KS17" s="41"/>
      <c r="KT17" s="41"/>
      <c r="KU17" s="41"/>
      <c r="KV17" s="234"/>
      <c r="KW17" s="234"/>
      <c r="KX17" s="41"/>
      <c r="KY17" s="41"/>
      <c r="KZ17" s="41"/>
      <c r="LA17" s="41"/>
      <c r="LB17" s="41"/>
      <c r="LC17" s="234"/>
      <c r="LD17" s="234"/>
      <c r="LE17" s="41"/>
      <c r="LF17" s="41"/>
      <c r="LG17" s="41"/>
      <c r="LH17" s="41"/>
      <c r="LI17" s="41"/>
      <c r="LJ17" s="234"/>
      <c r="LK17" s="234"/>
      <c r="LL17" s="41"/>
      <c r="LM17" s="41"/>
      <c r="LN17" s="41"/>
      <c r="LO17" s="41"/>
      <c r="LP17" s="41"/>
      <c r="LQ17" s="234"/>
      <c r="LR17" s="234"/>
      <c r="LS17" s="41"/>
      <c r="LT17" s="41"/>
      <c r="LU17" s="41"/>
      <c r="LV17" s="41"/>
      <c r="LW17" s="41"/>
      <c r="LX17" s="234"/>
      <c r="LY17" s="234"/>
      <c r="LZ17" s="41"/>
      <c r="MA17" s="41"/>
      <c r="MB17" s="41"/>
      <c r="MC17" s="41"/>
      <c r="MD17" s="41"/>
      <c r="ME17" s="234"/>
      <c r="MF17" s="234"/>
      <c r="MG17" s="41"/>
      <c r="MH17" s="41"/>
      <c r="MI17" s="41"/>
      <c r="MJ17" s="41"/>
      <c r="MK17" s="41"/>
      <c r="ML17" s="234"/>
      <c r="MM17" s="234"/>
      <c r="MN17" s="41"/>
      <c r="MO17" s="41"/>
      <c r="MP17" s="41"/>
      <c r="MQ17" s="41"/>
      <c r="MR17" s="41"/>
      <c r="MS17" s="234"/>
      <c r="MT17" s="234"/>
      <c r="MU17" s="41"/>
      <c r="MV17" s="41"/>
      <c r="MW17" s="41"/>
      <c r="MX17" s="41"/>
      <c r="MY17" s="41"/>
      <c r="MZ17" s="234"/>
      <c r="NA17" s="234"/>
      <c r="NB17" s="41"/>
      <c r="NC17" s="41"/>
      <c r="ND17" s="41"/>
      <c r="NE17" s="41"/>
      <c r="NF17" s="41"/>
      <c r="NG17" s="234"/>
      <c r="NH17" s="234"/>
      <c r="NI17" s="41"/>
      <c r="NJ17" s="41"/>
      <c r="NK17" s="41"/>
      <c r="NL17" s="41"/>
      <c r="NM17" s="41"/>
      <c r="NN17" s="234"/>
      <c r="NO17" s="234"/>
      <c r="NP17" s="41"/>
      <c r="NQ17" s="41"/>
      <c r="NR17" s="41"/>
      <c r="NS17" s="41"/>
      <c r="NT17" s="41"/>
      <c r="NU17" s="230"/>
      <c r="NV17" s="230"/>
    </row>
    <row r="18" spans="2:386" hidden="1" x14ac:dyDescent="0.3">
      <c r="B18" s="66" t="s">
        <v>18</v>
      </c>
      <c r="C18" s="25">
        <v>35</v>
      </c>
      <c r="D18" s="343" t="s">
        <v>7</v>
      </c>
      <c r="E18" s="190" t="s">
        <v>8</v>
      </c>
      <c r="F18" s="344" t="s">
        <v>44</v>
      </c>
      <c r="G18" s="153" t="s">
        <v>161</v>
      </c>
      <c r="H18" s="154" t="s">
        <v>163</v>
      </c>
      <c r="I18" s="125" t="s">
        <v>460</v>
      </c>
      <c r="J18" s="125" t="s">
        <v>460</v>
      </c>
      <c r="K18" s="125" t="s">
        <v>460</v>
      </c>
      <c r="L18" s="125" t="s">
        <v>460</v>
      </c>
      <c r="M18" s="125" t="s">
        <v>460</v>
      </c>
      <c r="N18" s="230"/>
      <c r="O18" s="230"/>
      <c r="P18" s="41"/>
      <c r="Q18" s="41"/>
      <c r="R18" s="41"/>
      <c r="S18" s="41"/>
      <c r="T18" s="41"/>
      <c r="U18" s="230"/>
      <c r="V18" s="230"/>
      <c r="W18" s="41" t="s">
        <v>460</v>
      </c>
      <c r="X18" s="41" t="s">
        <v>460</v>
      </c>
      <c r="Y18" s="41" t="s">
        <v>460</v>
      </c>
      <c r="Z18" s="41" t="s">
        <v>460</v>
      </c>
      <c r="AA18" s="41" t="s">
        <v>460</v>
      </c>
      <c r="AB18" s="41" t="s">
        <v>460</v>
      </c>
      <c r="AC18" s="41" t="s">
        <v>460</v>
      </c>
      <c r="AD18" s="41" t="s">
        <v>461</v>
      </c>
      <c r="AE18" s="41" t="s">
        <v>461</v>
      </c>
      <c r="AF18" s="41" t="s">
        <v>461</v>
      </c>
      <c r="AG18" s="41" t="s">
        <v>461</v>
      </c>
      <c r="AH18" s="41" t="s">
        <v>461</v>
      </c>
      <c r="AI18" s="230"/>
      <c r="AJ18" s="230"/>
      <c r="AK18" s="41" t="s">
        <v>461</v>
      </c>
      <c r="AL18" s="41" t="s">
        <v>461</v>
      </c>
      <c r="AM18" s="41" t="s">
        <v>461</v>
      </c>
      <c r="AN18" s="41" t="s">
        <v>461</v>
      </c>
      <c r="AO18" s="41" t="s">
        <v>461</v>
      </c>
      <c r="AP18" s="230"/>
      <c r="AQ18" s="230"/>
      <c r="AR18" s="41" t="s">
        <v>460</v>
      </c>
      <c r="AS18" s="41" t="s">
        <v>460</v>
      </c>
      <c r="AT18" s="41" t="s">
        <v>460</v>
      </c>
      <c r="AU18" s="41" t="s">
        <v>460</v>
      </c>
      <c r="AV18" s="41" t="s">
        <v>460</v>
      </c>
      <c r="AW18" s="230"/>
      <c r="AX18" s="230"/>
      <c r="AY18" s="41"/>
      <c r="AZ18" s="41"/>
      <c r="BA18" s="41"/>
      <c r="BB18" s="41"/>
      <c r="BC18" s="41"/>
      <c r="BD18" s="230"/>
      <c r="BE18" s="230"/>
      <c r="BF18" s="41"/>
      <c r="BG18" s="41"/>
      <c r="BH18" s="41"/>
      <c r="BI18" s="41"/>
      <c r="BJ18" s="41"/>
      <c r="BK18" s="230"/>
      <c r="BL18" s="230"/>
      <c r="BM18" s="41"/>
      <c r="BN18" s="41"/>
      <c r="BO18" s="41"/>
      <c r="BP18" s="41"/>
      <c r="BQ18" s="41"/>
      <c r="BR18" s="230"/>
      <c r="BS18" s="230"/>
      <c r="BT18" s="41"/>
      <c r="BU18" s="41"/>
      <c r="BV18" s="41"/>
      <c r="BW18" s="41"/>
      <c r="BX18" s="41"/>
      <c r="BY18" s="230"/>
      <c r="BZ18" s="230"/>
      <c r="CA18" s="41"/>
      <c r="CB18" s="41"/>
      <c r="CC18" s="41"/>
      <c r="CD18" s="41"/>
      <c r="CE18" s="41"/>
      <c r="CF18" s="230"/>
      <c r="CG18" s="230"/>
      <c r="CH18" s="41"/>
      <c r="CI18" s="41"/>
      <c r="CJ18" s="41"/>
      <c r="CK18" s="41"/>
      <c r="CL18" s="41"/>
      <c r="CM18" s="230"/>
      <c r="CN18" s="230"/>
      <c r="CO18" s="41"/>
      <c r="CP18" s="41"/>
      <c r="CQ18" s="41"/>
      <c r="CR18" s="41"/>
      <c r="CS18" s="41"/>
      <c r="CT18" s="230"/>
      <c r="CU18" s="230"/>
      <c r="CV18" s="41"/>
      <c r="CW18" s="41"/>
      <c r="CX18" s="41"/>
      <c r="CY18" s="41"/>
      <c r="CZ18" s="41"/>
      <c r="DA18" s="230"/>
      <c r="DB18" s="230"/>
      <c r="DC18" s="41"/>
      <c r="DD18" s="41"/>
      <c r="DE18" s="41"/>
      <c r="DF18" s="41"/>
      <c r="DG18" s="41"/>
      <c r="DH18" s="230"/>
      <c r="DI18" s="230"/>
      <c r="DJ18" s="41"/>
      <c r="DK18" s="41"/>
      <c r="DL18" s="41"/>
      <c r="DM18" s="41"/>
      <c r="DN18" s="41"/>
      <c r="DO18" s="230"/>
      <c r="DP18" s="230"/>
      <c r="DQ18" s="41"/>
      <c r="DR18" s="41"/>
      <c r="DS18" s="41"/>
      <c r="DT18" s="41"/>
      <c r="DU18" s="41"/>
      <c r="DV18" s="230"/>
      <c r="DW18" s="230"/>
      <c r="DX18" s="41"/>
      <c r="DY18" s="41"/>
      <c r="DZ18" s="41"/>
      <c r="EA18" s="41"/>
      <c r="EB18" s="41"/>
      <c r="EC18" s="230"/>
      <c r="ED18" s="230"/>
      <c r="EE18" s="41"/>
      <c r="EF18" s="41"/>
      <c r="EG18" s="41"/>
      <c r="EH18" s="41"/>
      <c r="EI18" s="41"/>
      <c r="EJ18" s="230"/>
      <c r="EK18" s="230"/>
      <c r="EL18" s="41"/>
      <c r="EM18" s="41"/>
      <c r="EN18" s="41"/>
      <c r="EO18" s="41"/>
      <c r="EP18" s="41"/>
      <c r="EQ18" s="230"/>
      <c r="ER18" s="230"/>
      <c r="ES18" s="41"/>
      <c r="ET18" s="41"/>
      <c r="EU18" s="41"/>
      <c r="EV18" s="41"/>
      <c r="EW18" s="41"/>
      <c r="EX18" s="230"/>
      <c r="EY18" s="230"/>
      <c r="EZ18" s="41"/>
      <c r="FA18" s="41"/>
      <c r="FB18" s="41"/>
      <c r="FC18" s="41"/>
      <c r="FD18" s="41"/>
      <c r="FE18" s="230"/>
      <c r="FF18" s="230"/>
      <c r="FG18" s="41"/>
      <c r="FH18" s="41"/>
      <c r="FI18" s="41"/>
      <c r="FJ18" s="41"/>
      <c r="FK18" s="41"/>
      <c r="FL18" s="230"/>
      <c r="FM18" s="230"/>
      <c r="FN18" s="41"/>
      <c r="FO18" s="41"/>
      <c r="FP18" s="41"/>
      <c r="FQ18" s="41"/>
      <c r="FR18" s="41"/>
      <c r="FS18" s="230"/>
      <c r="FT18" s="230"/>
      <c r="FU18" s="41"/>
      <c r="FV18" s="41"/>
      <c r="FW18" s="41"/>
      <c r="FX18" s="41"/>
      <c r="FY18" s="41"/>
      <c r="FZ18" s="230"/>
      <c r="GA18" s="230"/>
      <c r="GB18" s="41"/>
      <c r="GC18" s="41"/>
      <c r="GD18" s="41"/>
      <c r="GE18" s="41"/>
      <c r="GF18" s="41"/>
      <c r="GG18" s="230"/>
      <c r="GH18" s="230"/>
      <c r="GI18" s="41"/>
      <c r="GJ18" s="41"/>
      <c r="GK18" s="41"/>
      <c r="GL18" s="41"/>
      <c r="GM18" s="41"/>
      <c r="GN18" s="230"/>
      <c r="GO18" s="230"/>
      <c r="GP18" s="41"/>
      <c r="GQ18" s="41"/>
      <c r="GR18" s="41"/>
      <c r="GS18" s="41"/>
      <c r="GT18" s="41"/>
      <c r="GU18" s="230"/>
      <c r="GV18" s="230"/>
      <c r="GW18" s="41" t="s">
        <v>460</v>
      </c>
      <c r="GX18" s="41"/>
      <c r="GY18" s="41"/>
      <c r="GZ18" s="41"/>
      <c r="HA18" s="41"/>
      <c r="HB18" s="230"/>
      <c r="HC18" s="230"/>
      <c r="HD18" s="41"/>
      <c r="HE18" s="41"/>
      <c r="HF18" s="41"/>
      <c r="HG18" s="41"/>
      <c r="HH18" s="41"/>
      <c r="HI18" s="234"/>
      <c r="HJ18" s="234"/>
      <c r="HK18" s="41"/>
      <c r="HL18" s="41"/>
      <c r="HM18" s="41"/>
      <c r="HN18" s="41"/>
      <c r="HO18" s="41"/>
      <c r="HP18" s="234"/>
      <c r="HQ18" s="234"/>
      <c r="HR18" s="41"/>
      <c r="HS18" s="41"/>
      <c r="HT18" s="41"/>
      <c r="HU18" s="41"/>
      <c r="HV18" s="41"/>
      <c r="HW18" s="234"/>
      <c r="HX18" s="234"/>
      <c r="HY18" s="41"/>
      <c r="HZ18" s="41"/>
      <c r="IA18" s="41"/>
      <c r="IB18" s="41"/>
      <c r="IC18" s="41"/>
      <c r="ID18" s="234"/>
      <c r="IE18" s="234"/>
      <c r="IF18" s="41"/>
      <c r="IG18" s="41"/>
      <c r="IH18" s="41"/>
      <c r="II18" s="41"/>
      <c r="IJ18" s="41"/>
      <c r="IK18" s="234"/>
      <c r="IL18" s="234"/>
      <c r="IM18" s="41"/>
      <c r="IN18" s="41"/>
      <c r="IO18" s="41"/>
      <c r="IP18" s="41"/>
      <c r="IQ18" s="41"/>
      <c r="IR18" s="234"/>
      <c r="IS18" s="234"/>
      <c r="IT18" s="41"/>
      <c r="IU18" s="41"/>
      <c r="IV18" s="41"/>
      <c r="IW18" s="41"/>
      <c r="IX18" s="41"/>
      <c r="IY18" s="234"/>
      <c r="IZ18" s="234"/>
      <c r="JA18" s="41"/>
      <c r="JB18" s="41"/>
      <c r="JC18" s="41"/>
      <c r="JD18" s="41"/>
      <c r="JE18" s="41"/>
      <c r="JF18" s="234"/>
      <c r="JG18" s="234"/>
      <c r="JH18" s="41"/>
      <c r="JI18" s="41"/>
      <c r="JJ18" s="41"/>
      <c r="JK18" s="41"/>
      <c r="JL18" s="41"/>
      <c r="JM18" s="234"/>
      <c r="JN18" s="234"/>
      <c r="JO18" s="41"/>
      <c r="JP18" s="41"/>
      <c r="JQ18" s="41"/>
      <c r="JR18" s="41"/>
      <c r="JS18" s="41"/>
      <c r="JT18" s="234"/>
      <c r="JU18" s="234"/>
      <c r="JV18" s="41"/>
      <c r="JW18" s="41"/>
      <c r="JX18" s="41"/>
      <c r="JY18" s="41"/>
      <c r="JZ18" s="41"/>
      <c r="KA18" s="234"/>
      <c r="KB18" s="234"/>
      <c r="KC18" s="41"/>
      <c r="KD18" s="41"/>
      <c r="KE18" s="41"/>
      <c r="KF18" s="41"/>
      <c r="KG18" s="41"/>
      <c r="KH18" s="234"/>
      <c r="KI18" s="234"/>
      <c r="KJ18" s="41"/>
      <c r="KK18" s="41"/>
      <c r="KL18" s="41"/>
      <c r="KM18" s="41"/>
      <c r="KN18" s="41"/>
      <c r="KO18" s="234"/>
      <c r="KP18" s="234"/>
      <c r="KQ18" s="41"/>
      <c r="KR18" s="41"/>
      <c r="KS18" s="41"/>
      <c r="KT18" s="41"/>
      <c r="KU18" s="41"/>
      <c r="KV18" s="234"/>
      <c r="KW18" s="234"/>
      <c r="KX18" s="41"/>
      <c r="KY18" s="41"/>
      <c r="KZ18" s="41"/>
      <c r="LA18" s="41"/>
      <c r="LB18" s="41"/>
      <c r="LC18" s="234"/>
      <c r="LD18" s="234"/>
      <c r="LE18" s="41"/>
      <c r="LF18" s="41"/>
      <c r="LG18" s="41"/>
      <c r="LH18" s="41"/>
      <c r="LI18" s="41"/>
      <c r="LJ18" s="234"/>
      <c r="LK18" s="234"/>
      <c r="LL18" s="41"/>
      <c r="LM18" s="41"/>
      <c r="LN18" s="41"/>
      <c r="LO18" s="41"/>
      <c r="LP18" s="41"/>
      <c r="LQ18" s="234"/>
      <c r="LR18" s="234"/>
      <c r="LS18" s="41"/>
      <c r="LT18" s="41"/>
      <c r="LU18" s="41"/>
      <c r="LV18" s="41"/>
      <c r="LW18" s="41"/>
      <c r="LX18" s="234"/>
      <c r="LY18" s="234"/>
      <c r="LZ18" s="41"/>
      <c r="MA18" s="41"/>
      <c r="MB18" s="41"/>
      <c r="MC18" s="41"/>
      <c r="MD18" s="41"/>
      <c r="ME18" s="234"/>
      <c r="MF18" s="234"/>
      <c r="MG18" s="41"/>
      <c r="MH18" s="41"/>
      <c r="MI18" s="41"/>
      <c r="MJ18" s="41"/>
      <c r="MK18" s="41"/>
      <c r="ML18" s="234"/>
      <c r="MM18" s="234"/>
      <c r="MN18" s="41"/>
      <c r="MO18" s="41"/>
      <c r="MP18" s="41"/>
      <c r="MQ18" s="41"/>
      <c r="MR18" s="41"/>
      <c r="MS18" s="234"/>
      <c r="MT18" s="234"/>
      <c r="MU18" s="41"/>
      <c r="MV18" s="41"/>
      <c r="MW18" s="41"/>
      <c r="MX18" s="41"/>
      <c r="MY18" s="41"/>
      <c r="MZ18" s="234"/>
      <c r="NA18" s="234"/>
      <c r="NB18" s="41"/>
      <c r="NC18" s="41"/>
      <c r="ND18" s="41"/>
      <c r="NE18" s="41"/>
      <c r="NF18" s="41"/>
      <c r="NG18" s="234"/>
      <c r="NH18" s="234"/>
      <c r="NI18" s="41"/>
      <c r="NJ18" s="41"/>
      <c r="NK18" s="41"/>
      <c r="NL18" s="41"/>
      <c r="NM18" s="41"/>
      <c r="NN18" s="234"/>
      <c r="NO18" s="234"/>
      <c r="NP18" s="41"/>
      <c r="NQ18" s="41"/>
      <c r="NR18" s="41"/>
      <c r="NS18" s="41"/>
      <c r="NT18" s="41"/>
      <c r="NU18" s="230"/>
      <c r="NV18" s="230"/>
    </row>
    <row r="19" spans="2:386" hidden="1" x14ac:dyDescent="0.3">
      <c r="B19" s="24" t="s">
        <v>18</v>
      </c>
      <c r="C19" s="25">
        <v>35</v>
      </c>
      <c r="D19" s="206" t="s">
        <v>7</v>
      </c>
      <c r="E19" s="190" t="s">
        <v>8</v>
      </c>
      <c r="F19" s="146" t="s">
        <v>44</v>
      </c>
      <c r="G19" s="155" t="s">
        <v>169</v>
      </c>
      <c r="H19" s="156" t="s">
        <v>170</v>
      </c>
      <c r="I19" s="125" t="s">
        <v>44</v>
      </c>
      <c r="J19" s="125" t="s">
        <v>44</v>
      </c>
      <c r="K19" s="125" t="s">
        <v>460</v>
      </c>
      <c r="L19" s="125" t="s">
        <v>44</v>
      </c>
      <c r="M19" s="125" t="s">
        <v>44</v>
      </c>
      <c r="N19" s="230"/>
      <c r="O19" s="230"/>
      <c r="P19" s="41"/>
      <c r="Q19" s="41"/>
      <c r="R19" s="41"/>
      <c r="S19" s="41"/>
      <c r="T19" s="41"/>
      <c r="U19" s="230"/>
      <c r="V19" s="230"/>
      <c r="W19" s="41"/>
      <c r="X19" s="41"/>
      <c r="Y19" s="41"/>
      <c r="Z19" s="41"/>
      <c r="AA19" s="41"/>
      <c r="AB19" s="230"/>
      <c r="AC19" s="230"/>
      <c r="AD19" s="41" t="s">
        <v>460</v>
      </c>
      <c r="AE19" s="41" t="s">
        <v>460</v>
      </c>
      <c r="AF19" s="41" t="s">
        <v>460</v>
      </c>
      <c r="AG19" s="41" t="s">
        <v>460</v>
      </c>
      <c r="AH19" s="41" t="s">
        <v>460</v>
      </c>
      <c r="AI19" s="230"/>
      <c r="AJ19" s="230"/>
      <c r="AK19" s="41" t="s">
        <v>460</v>
      </c>
      <c r="AL19" s="41" t="s">
        <v>460</v>
      </c>
      <c r="AM19" s="41" t="s">
        <v>460</v>
      </c>
      <c r="AN19" s="41" t="s">
        <v>460</v>
      </c>
      <c r="AO19" s="41" t="s">
        <v>460</v>
      </c>
      <c r="AP19" s="41" t="s">
        <v>460</v>
      </c>
      <c r="AQ19" s="41" t="s">
        <v>460</v>
      </c>
      <c r="AR19" s="41" t="s">
        <v>460</v>
      </c>
      <c r="AS19" s="41" t="s">
        <v>460</v>
      </c>
      <c r="AT19" s="41" t="s">
        <v>460</v>
      </c>
      <c r="AU19" s="41" t="s">
        <v>460</v>
      </c>
      <c r="AV19" s="41" t="s">
        <v>460</v>
      </c>
      <c r="AW19" s="41" t="s">
        <v>460</v>
      </c>
      <c r="AX19" s="41" t="s">
        <v>460</v>
      </c>
      <c r="AY19" s="41"/>
      <c r="AZ19" s="41"/>
      <c r="BA19" s="41"/>
      <c r="BB19" s="41"/>
      <c r="BC19" s="41"/>
      <c r="BD19" s="230"/>
      <c r="BE19" s="230"/>
      <c r="BF19" s="41"/>
      <c r="BG19" s="41"/>
      <c r="BH19" s="41"/>
      <c r="BI19" s="41"/>
      <c r="BJ19" s="41"/>
      <c r="BK19" s="230"/>
      <c r="BL19" s="230"/>
      <c r="BM19" s="41"/>
      <c r="BN19" s="41"/>
      <c r="BO19" s="41"/>
      <c r="BP19" s="41"/>
      <c r="BQ19" s="41"/>
      <c r="BR19" s="230"/>
      <c r="BS19" s="230"/>
      <c r="BT19" s="41"/>
      <c r="BU19" s="41"/>
      <c r="BV19" s="41"/>
      <c r="BW19" s="41"/>
      <c r="BX19" s="41"/>
      <c r="BY19" s="230"/>
      <c r="BZ19" s="230"/>
      <c r="CA19" s="41"/>
      <c r="CB19" s="41"/>
      <c r="CC19" s="41"/>
      <c r="CD19" s="41"/>
      <c r="CE19" s="41"/>
      <c r="CF19" s="230"/>
      <c r="CG19" s="230"/>
      <c r="CH19" s="41"/>
      <c r="CI19" s="41"/>
      <c r="CJ19" s="41"/>
      <c r="CK19" s="41"/>
      <c r="CL19" s="41"/>
      <c r="CM19" s="230"/>
      <c r="CN19" s="230"/>
      <c r="CO19" s="41"/>
      <c r="CP19" s="41"/>
      <c r="CQ19" s="41"/>
      <c r="CR19" s="41"/>
      <c r="CS19" s="41"/>
      <c r="CT19" s="230"/>
      <c r="CU19" s="230"/>
      <c r="CV19" s="41"/>
      <c r="CW19" s="41"/>
      <c r="CX19" s="41"/>
      <c r="CY19" s="41"/>
      <c r="CZ19" s="41"/>
      <c r="DA19" s="230"/>
      <c r="DB19" s="230"/>
      <c r="DC19" s="41"/>
      <c r="DD19" s="41"/>
      <c r="DE19" s="41"/>
      <c r="DF19" s="41"/>
      <c r="DG19" s="41"/>
      <c r="DH19" s="230"/>
      <c r="DI19" s="230"/>
      <c r="DJ19" s="41"/>
      <c r="DK19" s="41"/>
      <c r="DL19" s="41"/>
      <c r="DM19" s="41"/>
      <c r="DN19" s="41"/>
      <c r="DO19" s="230"/>
      <c r="DP19" s="230"/>
      <c r="DQ19" s="41"/>
      <c r="DR19" s="41"/>
      <c r="DS19" s="41"/>
      <c r="DT19" s="41"/>
      <c r="DU19" s="41"/>
      <c r="DV19" s="230"/>
      <c r="DW19" s="230"/>
      <c r="DX19" s="41"/>
      <c r="DY19" s="41"/>
      <c r="DZ19" s="41"/>
      <c r="EA19" s="41"/>
      <c r="EB19" s="41"/>
      <c r="EC19" s="230"/>
      <c r="ED19" s="230"/>
      <c r="EE19" s="41"/>
      <c r="EF19" s="41"/>
      <c r="EG19" s="41"/>
      <c r="EH19" s="41"/>
      <c r="EI19" s="41"/>
      <c r="EJ19" s="230"/>
      <c r="EK19" s="230"/>
      <c r="EL19" s="41"/>
      <c r="EM19" s="41"/>
      <c r="EN19" s="41"/>
      <c r="EO19" s="41"/>
      <c r="EP19" s="41"/>
      <c r="EQ19" s="230"/>
      <c r="ER19" s="230"/>
      <c r="ES19" s="41"/>
      <c r="ET19" s="41"/>
      <c r="EU19" s="41"/>
      <c r="EV19" s="41"/>
      <c r="EW19" s="41"/>
      <c r="EX19" s="230"/>
      <c r="EY19" s="230"/>
      <c r="EZ19" s="41"/>
      <c r="FA19" s="41"/>
      <c r="FB19" s="41"/>
      <c r="FC19" s="41"/>
      <c r="FD19" s="41"/>
      <c r="FE19" s="230"/>
      <c r="FF19" s="230"/>
      <c r="FG19" s="41"/>
      <c r="FH19" s="41"/>
      <c r="FI19" s="41"/>
      <c r="FJ19" s="41"/>
      <c r="FK19" s="41"/>
      <c r="FL19" s="230"/>
      <c r="FM19" s="230"/>
      <c r="FN19" s="41"/>
      <c r="FO19" s="41"/>
      <c r="FP19" s="41"/>
      <c r="FQ19" s="41"/>
      <c r="FR19" s="41"/>
      <c r="FS19" s="230"/>
      <c r="FT19" s="230"/>
      <c r="FU19" s="41"/>
      <c r="FV19" s="41"/>
      <c r="FW19" s="41"/>
      <c r="FX19" s="41"/>
      <c r="FY19" s="41"/>
      <c r="FZ19" s="230"/>
      <c r="GA19" s="230"/>
      <c r="GB19" s="41"/>
      <c r="GC19" s="41"/>
      <c r="GD19" s="41"/>
      <c r="GE19" s="41"/>
      <c r="GF19" s="41"/>
      <c r="GG19" s="230"/>
      <c r="GH19" s="230"/>
      <c r="GI19" s="41"/>
      <c r="GJ19" s="41"/>
      <c r="GK19" s="41"/>
      <c r="GL19" s="41"/>
      <c r="GM19" s="41"/>
      <c r="GN19" s="230"/>
      <c r="GO19" s="230"/>
      <c r="GP19" s="41"/>
      <c r="GQ19" s="41"/>
      <c r="GR19" s="41"/>
      <c r="GS19" s="41"/>
      <c r="GT19" s="41"/>
      <c r="GU19" s="230"/>
      <c r="GV19" s="230"/>
      <c r="GW19" s="41" t="s">
        <v>460</v>
      </c>
      <c r="GX19" s="41"/>
      <c r="GY19" s="41"/>
      <c r="GZ19" s="41"/>
      <c r="HA19" s="41"/>
      <c r="HB19" s="230"/>
      <c r="HC19" s="230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234"/>
      <c r="HX19" s="234"/>
      <c r="HY19" s="41"/>
      <c r="HZ19" s="41"/>
      <c r="IA19" s="41"/>
      <c r="IB19" s="41"/>
      <c r="IC19" s="41"/>
      <c r="ID19" s="234"/>
      <c r="IE19" s="234"/>
      <c r="IF19" s="41"/>
      <c r="IG19" s="41"/>
      <c r="IH19" s="41"/>
      <c r="II19" s="41"/>
      <c r="IJ19" s="41"/>
      <c r="IK19" s="234"/>
      <c r="IL19" s="234"/>
      <c r="IM19" s="41"/>
      <c r="IN19" s="41"/>
      <c r="IO19" s="41"/>
      <c r="IP19" s="41"/>
      <c r="IQ19" s="41"/>
      <c r="IR19" s="234"/>
      <c r="IS19" s="234"/>
      <c r="IT19" s="41"/>
      <c r="IU19" s="41"/>
      <c r="IV19" s="41"/>
      <c r="IW19" s="41"/>
      <c r="IX19" s="41"/>
      <c r="IY19" s="234"/>
      <c r="IZ19" s="234"/>
      <c r="JA19" s="41"/>
      <c r="JB19" s="41"/>
      <c r="JC19" s="41"/>
      <c r="JD19" s="41"/>
      <c r="JE19" s="41"/>
      <c r="JF19" s="234"/>
      <c r="JG19" s="234"/>
      <c r="JH19" s="41"/>
      <c r="JI19" s="41"/>
      <c r="JJ19" s="41"/>
      <c r="JK19" s="41"/>
      <c r="JL19" s="41"/>
      <c r="JM19" s="234"/>
      <c r="JN19" s="234"/>
      <c r="JO19" s="41"/>
      <c r="JP19" s="41"/>
      <c r="JQ19" s="41"/>
      <c r="JR19" s="41"/>
      <c r="JS19" s="41"/>
      <c r="JT19" s="234"/>
      <c r="JU19" s="234"/>
      <c r="JV19" s="41"/>
      <c r="JW19" s="41"/>
      <c r="JX19" s="41"/>
      <c r="JY19" s="41"/>
      <c r="JZ19" s="41"/>
      <c r="KA19" s="234"/>
      <c r="KB19" s="234"/>
      <c r="KC19" s="41"/>
      <c r="KD19" s="41"/>
      <c r="KE19" s="41"/>
      <c r="KF19" s="41"/>
      <c r="KG19" s="41"/>
      <c r="KH19" s="234"/>
      <c r="KI19" s="234"/>
      <c r="KJ19" s="41"/>
      <c r="KK19" s="41"/>
      <c r="KL19" s="41"/>
      <c r="KM19" s="41"/>
      <c r="KN19" s="41"/>
      <c r="KO19" s="234"/>
      <c r="KP19" s="234"/>
      <c r="KQ19" s="41"/>
      <c r="KR19" s="41"/>
      <c r="KS19" s="41"/>
      <c r="KT19" s="41"/>
      <c r="KU19" s="41"/>
      <c r="KV19" s="234"/>
      <c r="KW19" s="234"/>
      <c r="KX19" s="41"/>
      <c r="KY19" s="41"/>
      <c r="KZ19" s="41"/>
      <c r="LA19" s="41"/>
      <c r="LB19" s="41"/>
      <c r="LC19" s="234"/>
      <c r="LD19" s="234"/>
      <c r="LE19" s="41"/>
      <c r="LF19" s="41"/>
      <c r="LG19" s="41"/>
      <c r="LH19" s="41"/>
      <c r="LI19" s="41"/>
      <c r="LJ19" s="234"/>
      <c r="LK19" s="234"/>
      <c r="LL19" s="41"/>
      <c r="LM19" s="41"/>
      <c r="LN19" s="41"/>
      <c r="LO19" s="41"/>
      <c r="LP19" s="41"/>
      <c r="LQ19" s="234"/>
      <c r="LR19" s="234"/>
      <c r="LS19" s="41"/>
      <c r="LT19" s="41"/>
      <c r="LU19" s="41"/>
      <c r="LV19" s="41"/>
      <c r="LW19" s="41"/>
      <c r="LX19" s="234"/>
      <c r="LY19" s="234"/>
      <c r="LZ19" s="41"/>
      <c r="MA19" s="41"/>
      <c r="MB19" s="41"/>
      <c r="MC19" s="41"/>
      <c r="MD19" s="41"/>
      <c r="ME19" s="234"/>
      <c r="MF19" s="234"/>
      <c r="MG19" s="41"/>
      <c r="MH19" s="41"/>
      <c r="MI19" s="41"/>
      <c r="MJ19" s="41"/>
      <c r="MK19" s="41"/>
      <c r="ML19" s="234"/>
      <c r="MM19" s="234"/>
      <c r="MN19" s="41"/>
      <c r="MO19" s="41"/>
      <c r="MP19" s="41"/>
      <c r="MQ19" s="41"/>
      <c r="MR19" s="41"/>
      <c r="MS19" s="234"/>
      <c r="MT19" s="234"/>
      <c r="MU19" s="41"/>
      <c r="MV19" s="41"/>
      <c r="MW19" s="41"/>
      <c r="MX19" s="41"/>
      <c r="MY19" s="41"/>
      <c r="MZ19" s="234"/>
      <c r="NA19" s="234"/>
      <c r="NB19" s="41"/>
      <c r="NC19" s="41"/>
      <c r="ND19" s="41"/>
      <c r="NE19" s="41"/>
      <c r="NF19" s="41"/>
      <c r="NG19" s="234"/>
      <c r="NH19" s="234"/>
      <c r="NI19" s="41"/>
      <c r="NJ19" s="41"/>
      <c r="NK19" s="41"/>
      <c r="NL19" s="41"/>
      <c r="NM19" s="41"/>
      <c r="NN19" s="234"/>
      <c r="NO19" s="234"/>
      <c r="NP19" s="41"/>
      <c r="NQ19" s="41"/>
      <c r="NR19" s="41"/>
      <c r="NS19" s="41"/>
      <c r="NT19" s="41"/>
      <c r="NU19" s="230"/>
      <c r="NV19" s="230"/>
    </row>
    <row r="20" spans="2:386" hidden="1" x14ac:dyDescent="0.3">
      <c r="B20" s="24" t="s">
        <v>18</v>
      </c>
      <c r="C20" s="25">
        <v>35</v>
      </c>
      <c r="D20" s="206" t="s">
        <v>7</v>
      </c>
      <c r="E20" s="190" t="s">
        <v>8</v>
      </c>
      <c r="F20" s="146" t="s">
        <v>9</v>
      </c>
      <c r="G20" s="155" t="s">
        <v>177</v>
      </c>
      <c r="H20" s="156" t="s">
        <v>178</v>
      </c>
      <c r="I20" s="125" t="s">
        <v>386</v>
      </c>
      <c r="J20" s="125" t="s">
        <v>386</v>
      </c>
      <c r="K20" s="125" t="s">
        <v>460</v>
      </c>
      <c r="L20" s="125" t="s">
        <v>386</v>
      </c>
      <c r="M20" s="125" t="s">
        <v>386</v>
      </c>
      <c r="N20" s="230"/>
      <c r="O20" s="230"/>
      <c r="P20" s="41"/>
      <c r="Q20" s="41"/>
      <c r="R20" s="41"/>
      <c r="S20" s="41"/>
      <c r="T20" s="41"/>
      <c r="U20" s="230"/>
      <c r="V20" s="230"/>
      <c r="W20" s="41"/>
      <c r="X20" s="41"/>
      <c r="Y20" s="41"/>
      <c r="Z20" s="41"/>
      <c r="AA20" s="41"/>
      <c r="AB20" s="230"/>
      <c r="AC20" s="230"/>
      <c r="AD20" s="41"/>
      <c r="AE20" s="41"/>
      <c r="AF20" s="41"/>
      <c r="AG20" s="41"/>
      <c r="AH20" s="41"/>
      <c r="AI20" s="230"/>
      <c r="AJ20" s="230"/>
      <c r="AK20" s="41"/>
      <c r="AL20" s="41"/>
      <c r="AM20" s="41"/>
      <c r="AN20" s="41"/>
      <c r="AO20" s="41"/>
      <c r="AP20" s="230"/>
      <c r="AQ20" s="230"/>
      <c r="AR20" s="41" t="s">
        <v>460</v>
      </c>
      <c r="AS20" s="41" t="s">
        <v>460</v>
      </c>
      <c r="AT20" s="41" t="s">
        <v>460</v>
      </c>
      <c r="AU20" s="41" t="s">
        <v>460</v>
      </c>
      <c r="AV20" s="41" t="s">
        <v>460</v>
      </c>
      <c r="AW20" s="41" t="s">
        <v>460</v>
      </c>
      <c r="AX20" s="41" t="s">
        <v>460</v>
      </c>
      <c r="AY20" s="41"/>
      <c r="AZ20" s="41"/>
      <c r="BA20" s="41"/>
      <c r="BB20" s="41"/>
      <c r="BC20" s="41"/>
      <c r="BD20" s="230"/>
      <c r="BE20" s="230"/>
      <c r="BF20" s="41"/>
      <c r="BG20" s="41"/>
      <c r="BH20" s="41"/>
      <c r="BI20" s="41"/>
      <c r="BJ20" s="41"/>
      <c r="BK20" s="230"/>
      <c r="BL20" s="230"/>
      <c r="BM20" s="41"/>
      <c r="BN20" s="41"/>
      <c r="BO20" s="41"/>
      <c r="BP20" s="41"/>
      <c r="BQ20" s="41"/>
      <c r="BR20" s="230"/>
      <c r="BS20" s="230"/>
      <c r="BT20" s="41"/>
      <c r="BU20" s="41"/>
      <c r="BV20" s="41"/>
      <c r="BW20" s="41"/>
      <c r="BX20" s="41"/>
      <c r="BY20" s="230"/>
      <c r="BZ20" s="230"/>
      <c r="CA20" s="41"/>
      <c r="CB20" s="41"/>
      <c r="CC20" s="41"/>
      <c r="CD20" s="41"/>
      <c r="CE20" s="41"/>
      <c r="CF20" s="230"/>
      <c r="CG20" s="230"/>
      <c r="CH20" s="41"/>
      <c r="CI20" s="41"/>
      <c r="CJ20" s="41"/>
      <c r="CK20" s="41"/>
      <c r="CL20" s="41"/>
      <c r="CM20" s="230"/>
      <c r="CN20" s="230"/>
      <c r="CO20" s="41"/>
      <c r="CP20" s="41"/>
      <c r="CQ20" s="41"/>
      <c r="CR20" s="41"/>
      <c r="CS20" s="41"/>
      <c r="CT20" s="230"/>
      <c r="CU20" s="230"/>
      <c r="CV20" s="41"/>
      <c r="CW20" s="41"/>
      <c r="CX20" s="41"/>
      <c r="CY20" s="41"/>
      <c r="CZ20" s="41"/>
      <c r="DA20" s="230"/>
      <c r="DB20" s="230"/>
      <c r="DC20" s="41"/>
      <c r="DD20" s="41"/>
      <c r="DE20" s="41"/>
      <c r="DF20" s="41"/>
      <c r="DG20" s="41"/>
      <c r="DH20" s="230"/>
      <c r="DI20" s="230"/>
      <c r="DJ20" s="41"/>
      <c r="DK20" s="41"/>
      <c r="DL20" s="41"/>
      <c r="DM20" s="41"/>
      <c r="DN20" s="41"/>
      <c r="DO20" s="230"/>
      <c r="DP20" s="230"/>
      <c r="DQ20" s="41"/>
      <c r="DR20" s="41"/>
      <c r="DS20" s="41"/>
      <c r="DT20" s="41"/>
      <c r="DU20" s="41"/>
      <c r="DV20" s="230"/>
      <c r="DW20" s="230"/>
      <c r="DX20" s="41"/>
      <c r="DY20" s="41"/>
      <c r="DZ20" s="41"/>
      <c r="EA20" s="41"/>
      <c r="EB20" s="41"/>
      <c r="EC20" s="230"/>
      <c r="ED20" s="230"/>
      <c r="EE20" s="41"/>
      <c r="EF20" s="41"/>
      <c r="EG20" s="41"/>
      <c r="EH20" s="41"/>
      <c r="EI20" s="41"/>
      <c r="EJ20" s="230"/>
      <c r="EK20" s="230"/>
      <c r="EL20" s="41"/>
      <c r="EM20" s="41"/>
      <c r="EN20" s="41"/>
      <c r="EO20" s="41"/>
      <c r="EP20" s="41"/>
      <c r="EQ20" s="230"/>
      <c r="ER20" s="230"/>
      <c r="ES20" s="41"/>
      <c r="ET20" s="41"/>
      <c r="EU20" s="41"/>
      <c r="EV20" s="41"/>
      <c r="EW20" s="41"/>
      <c r="EX20" s="230"/>
      <c r="EY20" s="230"/>
      <c r="EZ20" s="41"/>
      <c r="FA20" s="41"/>
      <c r="FB20" s="41"/>
      <c r="FC20" s="41"/>
      <c r="FD20" s="41"/>
      <c r="FE20" s="230"/>
      <c r="FF20" s="230"/>
      <c r="FG20" s="41"/>
      <c r="FH20" s="41"/>
      <c r="FI20" s="41"/>
      <c r="FJ20" s="41"/>
      <c r="FK20" s="41"/>
      <c r="FL20" s="230"/>
      <c r="FM20" s="230"/>
      <c r="FN20" s="41"/>
      <c r="FO20" s="41"/>
      <c r="FP20" s="41"/>
      <c r="FQ20" s="41"/>
      <c r="FR20" s="41"/>
      <c r="FS20" s="230"/>
      <c r="FT20" s="230"/>
      <c r="FU20" s="41"/>
      <c r="FV20" s="41"/>
      <c r="FW20" s="41"/>
      <c r="FX20" s="41"/>
      <c r="FY20" s="41"/>
      <c r="FZ20" s="230"/>
      <c r="GA20" s="230"/>
      <c r="GB20" s="41"/>
      <c r="GC20" s="41"/>
      <c r="GD20" s="41"/>
      <c r="GE20" s="41"/>
      <c r="GF20" s="41"/>
      <c r="GG20" s="230"/>
      <c r="GH20" s="230"/>
      <c r="GI20" s="41"/>
      <c r="GJ20" s="41"/>
      <c r="GK20" s="41"/>
      <c r="GL20" s="41"/>
      <c r="GM20" s="41"/>
      <c r="GN20" s="230"/>
      <c r="GO20" s="230"/>
      <c r="GP20" s="41"/>
      <c r="GQ20" s="41"/>
      <c r="GR20" s="41"/>
      <c r="GS20" s="41"/>
      <c r="GT20" s="41"/>
      <c r="GU20" s="230"/>
      <c r="GV20" s="230"/>
      <c r="GW20" s="41" t="s">
        <v>460</v>
      </c>
      <c r="GX20" s="41"/>
      <c r="GY20" s="41"/>
      <c r="GZ20" s="41"/>
      <c r="HA20" s="41"/>
      <c r="HB20" s="230"/>
      <c r="HC20" s="230"/>
      <c r="HD20" s="41"/>
      <c r="HE20" s="41"/>
      <c r="HF20" s="41"/>
      <c r="HG20" s="41"/>
      <c r="HH20" s="41"/>
      <c r="HI20" s="234"/>
      <c r="HJ20" s="234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234"/>
      <c r="HX20" s="234"/>
      <c r="HY20" s="41"/>
      <c r="HZ20" s="41"/>
      <c r="IA20" s="41"/>
      <c r="IB20" s="41"/>
      <c r="IC20" s="41"/>
      <c r="ID20" s="234"/>
      <c r="IE20" s="234"/>
      <c r="IF20" s="41"/>
      <c r="IG20" s="41"/>
      <c r="IH20" s="41"/>
      <c r="II20" s="41"/>
      <c r="IJ20" s="41"/>
      <c r="IK20" s="234"/>
      <c r="IL20" s="234"/>
      <c r="IM20" s="41"/>
      <c r="IN20" s="41"/>
      <c r="IO20" s="41"/>
      <c r="IP20" s="41"/>
      <c r="IQ20" s="41"/>
      <c r="IR20" s="234"/>
      <c r="IS20" s="234"/>
      <c r="IT20" s="41"/>
      <c r="IU20" s="41"/>
      <c r="IV20" s="41"/>
      <c r="IW20" s="41"/>
      <c r="IX20" s="41"/>
      <c r="IY20" s="234"/>
      <c r="IZ20" s="234"/>
      <c r="JA20" s="41"/>
      <c r="JB20" s="41"/>
      <c r="JC20" s="41"/>
      <c r="JD20" s="41"/>
      <c r="JE20" s="41"/>
      <c r="JF20" s="234"/>
      <c r="JG20" s="234"/>
      <c r="JH20" s="41"/>
      <c r="JI20" s="41"/>
      <c r="JJ20" s="41"/>
      <c r="JK20" s="41"/>
      <c r="JL20" s="41"/>
      <c r="JM20" s="234"/>
      <c r="JN20" s="234"/>
      <c r="JO20" s="41"/>
      <c r="JP20" s="41"/>
      <c r="JQ20" s="41"/>
      <c r="JR20" s="41"/>
      <c r="JS20" s="41"/>
      <c r="JT20" s="234"/>
      <c r="JU20" s="234"/>
      <c r="JV20" s="41"/>
      <c r="JW20" s="41"/>
      <c r="JX20" s="41"/>
      <c r="JY20" s="41"/>
      <c r="JZ20" s="41"/>
      <c r="KA20" s="234"/>
      <c r="KB20" s="234"/>
      <c r="KC20" s="41"/>
      <c r="KD20" s="41"/>
      <c r="KE20" s="41"/>
      <c r="KF20" s="41"/>
      <c r="KG20" s="41"/>
      <c r="KH20" s="234"/>
      <c r="KI20" s="234"/>
      <c r="KJ20" s="41"/>
      <c r="KK20" s="41"/>
      <c r="KL20" s="41"/>
      <c r="KM20" s="41"/>
      <c r="KN20" s="41"/>
      <c r="KO20" s="234"/>
      <c r="KP20" s="234"/>
      <c r="KQ20" s="41"/>
      <c r="KR20" s="41"/>
      <c r="KS20" s="41"/>
      <c r="KT20" s="41"/>
      <c r="KU20" s="41"/>
      <c r="KV20" s="234"/>
      <c r="KW20" s="234"/>
      <c r="KX20" s="41"/>
      <c r="KY20" s="41"/>
      <c r="KZ20" s="41"/>
      <c r="LA20" s="41"/>
      <c r="LB20" s="41"/>
      <c r="LC20" s="234"/>
      <c r="LD20" s="234"/>
      <c r="LE20" s="41"/>
      <c r="LF20" s="41"/>
      <c r="LG20" s="41"/>
      <c r="LH20" s="41"/>
      <c r="LI20" s="41"/>
      <c r="LJ20" s="234"/>
      <c r="LK20" s="234"/>
      <c r="LL20" s="41"/>
      <c r="LM20" s="41"/>
      <c r="LN20" s="41"/>
      <c r="LO20" s="41"/>
      <c r="LP20" s="41"/>
      <c r="LQ20" s="234"/>
      <c r="LR20" s="234"/>
      <c r="LS20" s="41"/>
      <c r="LT20" s="41"/>
      <c r="LU20" s="41"/>
      <c r="LV20" s="41"/>
      <c r="LW20" s="41"/>
      <c r="LX20" s="234"/>
      <c r="LY20" s="234"/>
      <c r="LZ20" s="41"/>
      <c r="MA20" s="41"/>
      <c r="MB20" s="41"/>
      <c r="MC20" s="41"/>
      <c r="MD20" s="41"/>
      <c r="ME20" s="234"/>
      <c r="MF20" s="234"/>
      <c r="MG20" s="41"/>
      <c r="MH20" s="41"/>
      <c r="MI20" s="41"/>
      <c r="MJ20" s="41"/>
      <c r="MK20" s="41"/>
      <c r="ML20" s="234"/>
      <c r="MM20" s="234"/>
      <c r="MN20" s="41"/>
      <c r="MO20" s="41"/>
      <c r="MP20" s="41"/>
      <c r="MQ20" s="41"/>
      <c r="MR20" s="41"/>
      <c r="MS20" s="234"/>
      <c r="MT20" s="234"/>
      <c r="MU20" s="41"/>
      <c r="MV20" s="41"/>
      <c r="MW20" s="41"/>
      <c r="MX20" s="41"/>
      <c r="MY20" s="41"/>
      <c r="MZ20" s="234"/>
      <c r="NA20" s="234"/>
      <c r="NB20" s="41"/>
      <c r="NC20" s="41"/>
      <c r="ND20" s="41"/>
      <c r="NE20" s="41"/>
      <c r="NF20" s="41"/>
      <c r="NG20" s="234"/>
      <c r="NH20" s="234"/>
      <c r="NI20" s="41"/>
      <c r="NJ20" s="41"/>
      <c r="NK20" s="41"/>
      <c r="NL20" s="41"/>
      <c r="NM20" s="41"/>
      <c r="NN20" s="234"/>
      <c r="NO20" s="234"/>
      <c r="NP20" s="41"/>
      <c r="NQ20" s="41"/>
      <c r="NR20" s="41"/>
      <c r="NS20" s="41"/>
      <c r="NT20" s="41"/>
      <c r="NU20" s="230"/>
      <c r="NV20" s="230"/>
    </row>
    <row r="21" spans="2:386" x14ac:dyDescent="0.3">
      <c r="B21" s="24"/>
      <c r="C21" s="25"/>
      <c r="D21" s="206" t="s">
        <v>7</v>
      </c>
      <c r="E21" s="190" t="s">
        <v>8</v>
      </c>
      <c r="F21" s="146" t="s">
        <v>9</v>
      </c>
      <c r="G21" s="155" t="s">
        <v>303</v>
      </c>
      <c r="H21" s="156" t="s">
        <v>304</v>
      </c>
      <c r="I21" s="125"/>
      <c r="J21" s="125"/>
      <c r="K21" s="125"/>
      <c r="L21" s="125"/>
      <c r="M21" s="125"/>
      <c r="N21" s="230"/>
      <c r="O21" s="230"/>
      <c r="P21" s="41"/>
      <c r="Q21" s="41"/>
      <c r="R21" s="41"/>
      <c r="S21" s="41"/>
      <c r="T21" s="41"/>
      <c r="U21" s="230"/>
      <c r="V21" s="230"/>
      <c r="W21" s="41"/>
      <c r="X21" s="41"/>
      <c r="Y21" s="41"/>
      <c r="Z21" s="41"/>
      <c r="AA21" s="41"/>
      <c r="AB21" s="230"/>
      <c r="AC21" s="230"/>
      <c r="AD21" s="41"/>
      <c r="AE21" s="41"/>
      <c r="AF21" s="41"/>
      <c r="AG21" s="41"/>
      <c r="AH21" s="41"/>
      <c r="AI21" s="230"/>
      <c r="AJ21" s="230"/>
      <c r="AK21" s="41"/>
      <c r="AL21" s="41"/>
      <c r="AM21" s="41"/>
      <c r="AN21" s="41"/>
      <c r="AO21" s="41"/>
      <c r="AP21" s="230"/>
      <c r="AQ21" s="230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230"/>
      <c r="BE21" s="230"/>
      <c r="BF21" s="41"/>
      <c r="BG21" s="41"/>
      <c r="BH21" s="41"/>
      <c r="BI21" s="41"/>
      <c r="BJ21" s="41"/>
      <c r="BK21" s="230"/>
      <c r="BL21" s="230"/>
      <c r="BM21" s="41"/>
      <c r="BN21" s="41"/>
      <c r="BO21" s="41"/>
      <c r="BP21" s="41"/>
      <c r="BQ21" s="41"/>
      <c r="BR21" s="230"/>
      <c r="BS21" s="230"/>
      <c r="BT21" s="41"/>
      <c r="BU21" s="41"/>
      <c r="BV21" s="41"/>
      <c r="BW21" s="41"/>
      <c r="BX21" s="41"/>
      <c r="BY21" s="230"/>
      <c r="BZ21" s="230"/>
      <c r="CA21" s="41"/>
      <c r="CB21" s="41"/>
      <c r="CC21" s="41"/>
      <c r="CD21" s="41"/>
      <c r="CE21" s="41"/>
      <c r="CF21" s="230"/>
      <c r="CG21" s="230"/>
      <c r="CH21" s="41"/>
      <c r="CI21" s="41"/>
      <c r="CJ21" s="41"/>
      <c r="CK21" s="41"/>
      <c r="CL21" s="41"/>
      <c r="CM21" s="230"/>
      <c r="CN21" s="230"/>
      <c r="CO21" s="41"/>
      <c r="CP21" s="41"/>
      <c r="CQ21" s="41"/>
      <c r="CR21" s="41"/>
      <c r="CS21" s="41"/>
      <c r="CT21" s="230"/>
      <c r="CU21" s="230"/>
      <c r="CV21" s="41"/>
      <c r="CW21" s="41"/>
      <c r="CX21" s="41"/>
      <c r="CY21" s="41"/>
      <c r="CZ21" s="41"/>
      <c r="DA21" s="230"/>
      <c r="DB21" s="230"/>
      <c r="DC21" s="41"/>
      <c r="DD21" s="41"/>
      <c r="DE21" s="41"/>
      <c r="DF21" s="41"/>
      <c r="DG21" s="41"/>
      <c r="DH21" s="230"/>
      <c r="DI21" s="230"/>
      <c r="DJ21" s="41"/>
      <c r="DK21" s="41"/>
      <c r="DL21" s="41"/>
      <c r="DM21" s="41"/>
      <c r="DN21" s="41"/>
      <c r="DO21" s="230"/>
      <c r="DP21" s="230"/>
      <c r="DQ21" s="41"/>
      <c r="DR21" s="41"/>
      <c r="DS21" s="41"/>
      <c r="DT21" s="41"/>
      <c r="DU21" s="41"/>
      <c r="DV21" s="230"/>
      <c r="DW21" s="230"/>
      <c r="DX21" s="41"/>
      <c r="DY21" s="41"/>
      <c r="DZ21" s="41"/>
      <c r="EA21" s="41"/>
      <c r="EB21" s="41"/>
      <c r="EC21" s="230"/>
      <c r="ED21" s="230"/>
      <c r="EE21" s="41"/>
      <c r="EF21" s="41"/>
      <c r="EG21" s="41"/>
      <c r="EH21" s="41"/>
      <c r="EI21" s="41"/>
      <c r="EJ21" s="230"/>
      <c r="EK21" s="230"/>
      <c r="EL21" s="41"/>
      <c r="EM21" s="41"/>
      <c r="EN21" s="41"/>
      <c r="EO21" s="41"/>
      <c r="EP21" s="41"/>
      <c r="EQ21" s="230"/>
      <c r="ER21" s="230"/>
      <c r="ES21" s="41"/>
      <c r="ET21" s="41"/>
      <c r="EU21" s="41"/>
      <c r="EV21" s="41"/>
      <c r="EW21" s="41"/>
      <c r="EX21" s="230"/>
      <c r="EY21" s="230"/>
      <c r="EZ21" s="41"/>
      <c r="FA21" s="41"/>
      <c r="FB21" s="41"/>
      <c r="FC21" s="41"/>
      <c r="FD21" s="41"/>
      <c r="FE21" s="230"/>
      <c r="FF21" s="230"/>
      <c r="FG21" s="41"/>
      <c r="FH21" s="41"/>
      <c r="FI21" s="41"/>
      <c r="FJ21" s="41"/>
      <c r="FK21" s="41"/>
      <c r="FL21" s="230"/>
      <c r="FM21" s="230"/>
      <c r="FN21" s="41"/>
      <c r="FO21" s="41"/>
      <c r="FP21" s="41"/>
      <c r="FQ21" s="41"/>
      <c r="FR21" s="41"/>
      <c r="FS21" s="230"/>
      <c r="FT21" s="230"/>
      <c r="FU21" s="41"/>
      <c r="FV21" s="41"/>
      <c r="FW21" s="41"/>
      <c r="FX21" s="41"/>
      <c r="FY21" s="41"/>
      <c r="FZ21" s="230"/>
      <c r="GA21" s="230"/>
      <c r="GB21" s="41"/>
      <c r="GC21" s="41"/>
      <c r="GD21" s="41"/>
      <c r="GE21" s="41"/>
      <c r="GF21" s="41"/>
      <c r="GG21" s="230"/>
      <c r="GH21" s="230"/>
      <c r="GI21" s="41"/>
      <c r="GJ21" s="41"/>
      <c r="GK21" s="41"/>
      <c r="GL21" s="41"/>
      <c r="GM21" s="41"/>
      <c r="GN21" s="230"/>
      <c r="GO21" s="230"/>
      <c r="GP21" s="41"/>
      <c r="GQ21" s="41"/>
      <c r="GR21" s="41"/>
      <c r="GS21" s="41"/>
      <c r="GT21" s="41"/>
      <c r="GU21" s="230"/>
      <c r="GV21" s="230"/>
      <c r="GW21" s="41" t="s">
        <v>460</v>
      </c>
      <c r="GX21" s="41" t="s">
        <v>460</v>
      </c>
      <c r="GY21" s="41" t="s">
        <v>460</v>
      </c>
      <c r="GZ21" s="41" t="s">
        <v>460</v>
      </c>
      <c r="HA21" s="41" t="s">
        <v>460</v>
      </c>
      <c r="HB21" s="230"/>
      <c r="HC21" s="230"/>
      <c r="HD21" s="41"/>
      <c r="HE21" s="41"/>
      <c r="HF21" s="41"/>
      <c r="HG21" s="41"/>
      <c r="HH21" s="41"/>
      <c r="HI21" s="234"/>
      <c r="HJ21" s="234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234"/>
      <c r="HX21" s="234"/>
      <c r="HY21" s="41"/>
      <c r="HZ21" s="41"/>
      <c r="IA21" s="41"/>
      <c r="IB21" s="41"/>
      <c r="IC21" s="41"/>
      <c r="ID21" s="234"/>
      <c r="IE21" s="234"/>
      <c r="IF21" s="41"/>
      <c r="IG21" s="41"/>
      <c r="IH21" s="41"/>
      <c r="II21" s="41"/>
      <c r="IJ21" s="41"/>
      <c r="IK21" s="234"/>
      <c r="IL21" s="234"/>
      <c r="IM21" s="41"/>
      <c r="IN21" s="41"/>
      <c r="IO21" s="41"/>
      <c r="IP21" s="41"/>
      <c r="IQ21" s="41"/>
      <c r="IR21" s="234"/>
      <c r="IS21" s="234"/>
      <c r="IT21" s="41"/>
      <c r="IU21" s="41"/>
      <c r="IV21" s="41"/>
      <c r="IW21" s="41"/>
      <c r="IX21" s="41"/>
      <c r="IY21" s="234"/>
      <c r="IZ21" s="234"/>
      <c r="JA21" s="41"/>
      <c r="JB21" s="41"/>
      <c r="JC21" s="41"/>
      <c r="JD21" s="41"/>
      <c r="JE21" s="41"/>
      <c r="JF21" s="234"/>
      <c r="JG21" s="234"/>
      <c r="JH21" s="41"/>
      <c r="JI21" s="41"/>
      <c r="JJ21" s="41"/>
      <c r="JK21" s="41"/>
      <c r="JL21" s="41"/>
      <c r="JM21" s="234"/>
      <c r="JN21" s="234"/>
      <c r="JO21" s="41"/>
      <c r="JP21" s="41"/>
      <c r="JQ21" s="41"/>
      <c r="JR21" s="41"/>
      <c r="JS21" s="41"/>
      <c r="JT21" s="234"/>
      <c r="JU21" s="234"/>
      <c r="JV21" s="41"/>
      <c r="JW21" s="41"/>
      <c r="JX21" s="41"/>
      <c r="JY21" s="41"/>
      <c r="JZ21" s="41"/>
      <c r="KA21" s="234"/>
      <c r="KB21" s="234"/>
      <c r="KC21" s="41"/>
      <c r="KD21" s="41"/>
      <c r="KE21" s="41"/>
      <c r="KF21" s="41"/>
      <c r="KG21" s="41"/>
      <c r="KH21" s="234"/>
      <c r="KI21" s="234"/>
      <c r="KJ21" s="41"/>
      <c r="KK21" s="41"/>
      <c r="KL21" s="41"/>
      <c r="KM21" s="41"/>
      <c r="KN21" s="41"/>
      <c r="KO21" s="234"/>
      <c r="KP21" s="234"/>
      <c r="KQ21" s="41"/>
      <c r="KR21" s="41"/>
      <c r="KS21" s="41"/>
      <c r="KT21" s="41"/>
      <c r="KU21" s="41"/>
      <c r="KV21" s="234"/>
      <c r="KW21" s="234"/>
      <c r="KX21" s="41"/>
      <c r="KY21" s="41"/>
      <c r="KZ21" s="41"/>
      <c r="LA21" s="41"/>
      <c r="LB21" s="41"/>
      <c r="LC21" s="234"/>
      <c r="LD21" s="234"/>
      <c r="LE21" s="41"/>
      <c r="LF21" s="41"/>
      <c r="LG21" s="41"/>
      <c r="LH21" s="41"/>
      <c r="LI21" s="41"/>
      <c r="LJ21" s="234"/>
      <c r="LK21" s="234"/>
      <c r="LL21" s="41"/>
      <c r="LM21" s="41"/>
      <c r="LN21" s="41"/>
      <c r="LO21" s="41"/>
      <c r="LP21" s="41"/>
      <c r="LQ21" s="234"/>
      <c r="LR21" s="234"/>
      <c r="LS21" s="41"/>
      <c r="LT21" s="41"/>
      <c r="LU21" s="41"/>
      <c r="LV21" s="41"/>
      <c r="LW21" s="41"/>
      <c r="LX21" s="234"/>
      <c r="LY21" s="234"/>
      <c r="LZ21" s="41"/>
      <c r="MA21" s="41"/>
      <c r="MB21" s="41"/>
      <c r="MC21" s="41"/>
      <c r="MD21" s="41"/>
      <c r="ME21" s="234"/>
      <c r="MF21" s="234"/>
      <c r="MG21" s="41"/>
      <c r="MH21" s="41"/>
      <c r="MI21" s="41"/>
      <c r="MJ21" s="41"/>
      <c r="MK21" s="41"/>
      <c r="ML21" s="234"/>
      <c r="MM21" s="234"/>
      <c r="MN21" s="41"/>
      <c r="MO21" s="41"/>
      <c r="MP21" s="41"/>
      <c r="MQ21" s="41"/>
      <c r="MR21" s="41"/>
      <c r="MS21" s="234"/>
      <c r="MT21" s="234"/>
      <c r="MU21" s="41"/>
      <c r="MV21" s="41"/>
      <c r="MW21" s="41"/>
      <c r="MX21" s="41"/>
      <c r="MY21" s="41"/>
      <c r="MZ21" s="234"/>
      <c r="NA21" s="234"/>
      <c r="NB21" s="41"/>
      <c r="NC21" s="41"/>
      <c r="ND21" s="41"/>
      <c r="NE21" s="41"/>
      <c r="NF21" s="41"/>
      <c r="NG21" s="234"/>
      <c r="NH21" s="234"/>
      <c r="NI21" s="41"/>
      <c r="NJ21" s="41"/>
      <c r="NK21" s="41"/>
      <c r="NL21" s="41"/>
      <c r="NM21" s="41"/>
      <c r="NN21" s="234"/>
      <c r="NO21" s="234"/>
      <c r="NP21" s="41"/>
      <c r="NQ21" s="41"/>
      <c r="NR21" s="41"/>
      <c r="NS21" s="41"/>
      <c r="NT21" s="41"/>
      <c r="NU21" s="230"/>
      <c r="NV21" s="230"/>
    </row>
    <row r="22" spans="2:386" x14ac:dyDescent="0.3">
      <c r="B22" s="24"/>
      <c r="C22" s="25"/>
      <c r="D22" s="206" t="s">
        <v>7</v>
      </c>
      <c r="E22" s="190" t="s">
        <v>8</v>
      </c>
      <c r="F22" s="146" t="s">
        <v>9</v>
      </c>
      <c r="G22" s="155" t="s">
        <v>182</v>
      </c>
      <c r="H22" s="156" t="s">
        <v>184</v>
      </c>
      <c r="I22" s="125"/>
      <c r="J22" s="125"/>
      <c r="K22" s="125"/>
      <c r="L22" s="125"/>
      <c r="M22" s="125"/>
      <c r="N22" s="230"/>
      <c r="O22" s="230"/>
      <c r="P22" s="41"/>
      <c r="Q22" s="41"/>
      <c r="R22" s="41"/>
      <c r="S22" s="41"/>
      <c r="T22" s="41"/>
      <c r="U22" s="230"/>
      <c r="V22" s="230"/>
      <c r="W22" s="41"/>
      <c r="X22" s="41"/>
      <c r="Y22" s="41"/>
      <c r="Z22" s="41"/>
      <c r="AA22" s="41"/>
      <c r="AB22" s="230"/>
      <c r="AC22" s="230"/>
      <c r="AD22" s="41"/>
      <c r="AE22" s="41"/>
      <c r="AF22" s="41"/>
      <c r="AG22" s="41"/>
      <c r="AH22" s="41"/>
      <c r="AI22" s="230"/>
      <c r="AJ22" s="230"/>
      <c r="AK22" s="41"/>
      <c r="AL22" s="41"/>
      <c r="AM22" s="41"/>
      <c r="AN22" s="41"/>
      <c r="AO22" s="41"/>
      <c r="AP22" s="230"/>
      <c r="AQ22" s="230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230"/>
      <c r="BE22" s="230"/>
      <c r="BF22" s="41"/>
      <c r="BG22" s="41"/>
      <c r="BH22" s="41"/>
      <c r="BI22" s="41"/>
      <c r="BJ22" s="41"/>
      <c r="BK22" s="230"/>
      <c r="BL22" s="230"/>
      <c r="BM22" s="41"/>
      <c r="BN22" s="41"/>
      <c r="BO22" s="41"/>
      <c r="BP22" s="41"/>
      <c r="BQ22" s="41"/>
      <c r="BR22" s="230"/>
      <c r="BS22" s="230"/>
      <c r="BT22" s="41"/>
      <c r="BU22" s="41"/>
      <c r="BV22" s="41"/>
      <c r="BW22" s="41"/>
      <c r="BX22" s="41"/>
      <c r="BY22" s="230"/>
      <c r="BZ22" s="230"/>
      <c r="CA22" s="41"/>
      <c r="CB22" s="41"/>
      <c r="CC22" s="41"/>
      <c r="CD22" s="41"/>
      <c r="CE22" s="41"/>
      <c r="CF22" s="230"/>
      <c r="CG22" s="230"/>
      <c r="CH22" s="41"/>
      <c r="CI22" s="41"/>
      <c r="CJ22" s="41"/>
      <c r="CK22" s="41"/>
      <c r="CL22" s="41"/>
      <c r="CM22" s="230"/>
      <c r="CN22" s="230"/>
      <c r="CO22" s="41"/>
      <c r="CP22" s="41"/>
      <c r="CQ22" s="41"/>
      <c r="CR22" s="41"/>
      <c r="CS22" s="41"/>
      <c r="CT22" s="230"/>
      <c r="CU22" s="230"/>
      <c r="CV22" s="41"/>
      <c r="CW22" s="41"/>
      <c r="CX22" s="41"/>
      <c r="CY22" s="41"/>
      <c r="CZ22" s="41"/>
      <c r="DA22" s="230"/>
      <c r="DB22" s="230"/>
      <c r="DC22" s="41"/>
      <c r="DD22" s="41"/>
      <c r="DE22" s="41"/>
      <c r="DF22" s="41"/>
      <c r="DG22" s="41"/>
      <c r="DH22" s="230"/>
      <c r="DI22" s="230"/>
      <c r="DJ22" s="41"/>
      <c r="DK22" s="41"/>
      <c r="DL22" s="41"/>
      <c r="DM22" s="41"/>
      <c r="DN22" s="41"/>
      <c r="DO22" s="230"/>
      <c r="DP22" s="230"/>
      <c r="DQ22" s="41"/>
      <c r="DR22" s="41"/>
      <c r="DS22" s="41"/>
      <c r="DT22" s="41"/>
      <c r="DU22" s="41"/>
      <c r="DV22" s="230"/>
      <c r="DW22" s="230"/>
      <c r="DX22" s="41"/>
      <c r="DY22" s="41"/>
      <c r="DZ22" s="41"/>
      <c r="EA22" s="41"/>
      <c r="EB22" s="41"/>
      <c r="EC22" s="230"/>
      <c r="ED22" s="230"/>
      <c r="EE22" s="41"/>
      <c r="EF22" s="41"/>
      <c r="EG22" s="41"/>
      <c r="EH22" s="41"/>
      <c r="EI22" s="41"/>
      <c r="EJ22" s="230"/>
      <c r="EK22" s="230"/>
      <c r="EL22" s="41"/>
      <c r="EM22" s="41"/>
      <c r="EN22" s="41"/>
      <c r="EO22" s="41"/>
      <c r="EP22" s="41"/>
      <c r="EQ22" s="230"/>
      <c r="ER22" s="230"/>
      <c r="ES22" s="41"/>
      <c r="ET22" s="41"/>
      <c r="EU22" s="41"/>
      <c r="EV22" s="41"/>
      <c r="EW22" s="41"/>
      <c r="EX22" s="230"/>
      <c r="EY22" s="230"/>
      <c r="EZ22" s="41"/>
      <c r="FA22" s="41"/>
      <c r="FB22" s="41"/>
      <c r="FC22" s="41"/>
      <c r="FD22" s="41"/>
      <c r="FE22" s="230"/>
      <c r="FF22" s="230"/>
      <c r="FG22" s="41"/>
      <c r="FH22" s="41"/>
      <c r="FI22" s="41"/>
      <c r="FJ22" s="41"/>
      <c r="FK22" s="41"/>
      <c r="FL22" s="230"/>
      <c r="FM22" s="230"/>
      <c r="FN22" s="41"/>
      <c r="FO22" s="41"/>
      <c r="FP22" s="41"/>
      <c r="FQ22" s="41"/>
      <c r="FR22" s="41"/>
      <c r="FS22" s="230"/>
      <c r="FT22" s="230"/>
      <c r="FU22" s="41"/>
      <c r="FV22" s="41"/>
      <c r="FW22" s="41"/>
      <c r="FX22" s="41"/>
      <c r="FY22" s="41"/>
      <c r="FZ22" s="230"/>
      <c r="GA22" s="230"/>
      <c r="GB22" s="41"/>
      <c r="GC22" s="41"/>
      <c r="GD22" s="41"/>
      <c r="GE22" s="41"/>
      <c r="GF22" s="41"/>
      <c r="GG22" s="230"/>
      <c r="GH22" s="230"/>
      <c r="GI22" s="41"/>
      <c r="GJ22" s="41"/>
      <c r="GK22" s="41"/>
      <c r="GL22" s="41"/>
      <c r="GM22" s="41"/>
      <c r="GN22" s="230"/>
      <c r="GO22" s="230"/>
      <c r="GP22" s="41" t="s">
        <v>460</v>
      </c>
      <c r="GQ22" s="41" t="s">
        <v>460</v>
      </c>
      <c r="GR22" s="41" t="s">
        <v>460</v>
      </c>
      <c r="GS22" s="41" t="s">
        <v>460</v>
      </c>
      <c r="GT22" s="41" t="s">
        <v>460</v>
      </c>
      <c r="GU22" s="230"/>
      <c r="GV22" s="230"/>
      <c r="GW22" s="41" t="s">
        <v>460</v>
      </c>
      <c r="GX22" s="41" t="s">
        <v>460</v>
      </c>
      <c r="GY22" s="41" t="s">
        <v>460</v>
      </c>
      <c r="GZ22" s="41" t="s">
        <v>460</v>
      </c>
      <c r="HA22" s="41" t="s">
        <v>460</v>
      </c>
      <c r="HB22" s="230"/>
      <c r="HC22" s="230"/>
      <c r="HD22" s="41" t="s">
        <v>460</v>
      </c>
      <c r="HE22" s="41" t="s">
        <v>460</v>
      </c>
      <c r="HF22" s="41" t="s">
        <v>460</v>
      </c>
      <c r="HG22" s="41" t="s">
        <v>460</v>
      </c>
      <c r="HH22" s="41" t="s">
        <v>460</v>
      </c>
      <c r="HI22" s="234"/>
      <c r="HJ22" s="234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234"/>
      <c r="HX22" s="234"/>
      <c r="HY22" s="41"/>
      <c r="HZ22" s="41"/>
      <c r="IA22" s="41"/>
      <c r="IB22" s="41"/>
      <c r="IC22" s="41"/>
      <c r="ID22" s="234"/>
      <c r="IE22" s="234"/>
      <c r="IF22" s="41"/>
      <c r="IG22" s="41"/>
      <c r="IH22" s="41"/>
      <c r="II22" s="41"/>
      <c r="IJ22" s="41"/>
      <c r="IK22" s="234"/>
      <c r="IL22" s="234"/>
      <c r="IM22" s="41"/>
      <c r="IN22" s="41"/>
      <c r="IO22" s="41"/>
      <c r="IP22" s="41"/>
      <c r="IQ22" s="41"/>
      <c r="IR22" s="234"/>
      <c r="IS22" s="234"/>
      <c r="IT22" s="41"/>
      <c r="IU22" s="41"/>
      <c r="IV22" s="41"/>
      <c r="IW22" s="41"/>
      <c r="IX22" s="41"/>
      <c r="IY22" s="234"/>
      <c r="IZ22" s="234"/>
      <c r="JA22" s="41"/>
      <c r="JB22" s="41"/>
      <c r="JC22" s="41"/>
      <c r="JD22" s="41"/>
      <c r="JE22" s="41"/>
      <c r="JF22" s="234"/>
      <c r="JG22" s="234"/>
      <c r="JH22" s="41"/>
      <c r="JI22" s="41"/>
      <c r="JJ22" s="41"/>
      <c r="JK22" s="41"/>
      <c r="JL22" s="41"/>
      <c r="JM22" s="234"/>
      <c r="JN22" s="234"/>
      <c r="JO22" s="41"/>
      <c r="JP22" s="41"/>
      <c r="JQ22" s="41"/>
      <c r="JR22" s="41"/>
      <c r="JS22" s="41"/>
      <c r="JT22" s="234"/>
      <c r="JU22" s="234"/>
      <c r="JV22" s="41"/>
      <c r="JW22" s="41"/>
      <c r="JX22" s="41"/>
      <c r="JY22" s="41"/>
      <c r="JZ22" s="41"/>
      <c r="KA22" s="234"/>
      <c r="KB22" s="234"/>
      <c r="KC22" s="41"/>
      <c r="KD22" s="41"/>
      <c r="KE22" s="41"/>
      <c r="KF22" s="41"/>
      <c r="KG22" s="41"/>
      <c r="KH22" s="234"/>
      <c r="KI22" s="234"/>
      <c r="KJ22" s="41"/>
      <c r="KK22" s="41"/>
      <c r="KL22" s="41"/>
      <c r="KM22" s="41"/>
      <c r="KN22" s="41"/>
      <c r="KO22" s="234"/>
      <c r="KP22" s="234"/>
      <c r="KQ22" s="41"/>
      <c r="KR22" s="41"/>
      <c r="KS22" s="41"/>
      <c r="KT22" s="41"/>
      <c r="KU22" s="41"/>
      <c r="KV22" s="234"/>
      <c r="KW22" s="234"/>
      <c r="KX22" s="41"/>
      <c r="KY22" s="41"/>
      <c r="KZ22" s="41"/>
      <c r="LA22" s="41"/>
      <c r="LB22" s="41"/>
      <c r="LC22" s="234"/>
      <c r="LD22" s="234"/>
      <c r="LE22" s="41"/>
      <c r="LF22" s="41"/>
      <c r="LG22" s="41"/>
      <c r="LH22" s="41"/>
      <c r="LI22" s="41"/>
      <c r="LJ22" s="234"/>
      <c r="LK22" s="234"/>
      <c r="LL22" s="41"/>
      <c r="LM22" s="41"/>
      <c r="LN22" s="41"/>
      <c r="LO22" s="41"/>
      <c r="LP22" s="41"/>
      <c r="LQ22" s="234"/>
      <c r="LR22" s="234"/>
      <c r="LS22" s="41"/>
      <c r="LT22" s="41"/>
      <c r="LU22" s="41"/>
      <c r="LV22" s="41"/>
      <c r="LW22" s="41"/>
      <c r="LX22" s="234"/>
      <c r="LY22" s="234"/>
      <c r="LZ22" s="41"/>
      <c r="MA22" s="41"/>
      <c r="MB22" s="41"/>
      <c r="MC22" s="41"/>
      <c r="MD22" s="41"/>
      <c r="ME22" s="234"/>
      <c r="MF22" s="234"/>
      <c r="MG22" s="41"/>
      <c r="MH22" s="41"/>
      <c r="MI22" s="41"/>
      <c r="MJ22" s="41"/>
      <c r="MK22" s="41"/>
      <c r="ML22" s="234"/>
      <c r="MM22" s="234"/>
      <c r="MN22" s="41"/>
      <c r="MO22" s="41"/>
      <c r="MP22" s="41"/>
      <c r="MQ22" s="41"/>
      <c r="MR22" s="41"/>
      <c r="MS22" s="234"/>
      <c r="MT22" s="234"/>
      <c r="MU22" s="41"/>
      <c r="MV22" s="41"/>
      <c r="MW22" s="41"/>
      <c r="MX22" s="41"/>
      <c r="MY22" s="41"/>
      <c r="MZ22" s="234"/>
      <c r="NA22" s="234"/>
      <c r="NB22" s="41"/>
      <c r="NC22" s="41"/>
      <c r="ND22" s="41"/>
      <c r="NE22" s="41"/>
      <c r="NF22" s="41"/>
      <c r="NG22" s="234"/>
      <c r="NH22" s="234"/>
      <c r="NI22" s="41"/>
      <c r="NJ22" s="41"/>
      <c r="NK22" s="41"/>
      <c r="NL22" s="41"/>
      <c r="NM22" s="41"/>
      <c r="NN22" s="234"/>
      <c r="NO22" s="234"/>
      <c r="NP22" s="41"/>
      <c r="NQ22" s="41"/>
      <c r="NR22" s="41"/>
      <c r="NS22" s="41"/>
      <c r="NT22" s="41"/>
      <c r="NU22" s="230"/>
      <c r="NV22" s="230"/>
    </row>
    <row r="23" spans="2:386" x14ac:dyDescent="0.3">
      <c r="B23" s="24" t="s">
        <v>18</v>
      </c>
      <c r="C23" s="25">
        <v>35</v>
      </c>
      <c r="D23" s="206" t="s">
        <v>7</v>
      </c>
      <c r="E23" s="190" t="s">
        <v>8</v>
      </c>
      <c r="F23" s="146" t="s">
        <v>9</v>
      </c>
      <c r="G23" s="155" t="s">
        <v>194</v>
      </c>
      <c r="H23" s="156" t="s">
        <v>195</v>
      </c>
      <c r="I23" s="125" t="s">
        <v>429</v>
      </c>
      <c r="J23" s="125" t="s">
        <v>429</v>
      </c>
      <c r="K23" s="125" t="s">
        <v>460</v>
      </c>
      <c r="L23" s="125" t="s">
        <v>429</v>
      </c>
      <c r="M23" s="125" t="s">
        <v>429</v>
      </c>
      <c r="N23" s="230"/>
      <c r="O23" s="230"/>
      <c r="P23" s="41"/>
      <c r="Q23" s="41"/>
      <c r="R23" s="41"/>
      <c r="S23" s="41"/>
      <c r="T23" s="41"/>
      <c r="U23" s="230"/>
      <c r="V23" s="230"/>
      <c r="W23" s="41"/>
      <c r="X23" s="41"/>
      <c r="Y23" s="41"/>
      <c r="Z23" s="41"/>
      <c r="AA23" s="41"/>
      <c r="AB23" s="230"/>
      <c r="AC23" s="230"/>
      <c r="AD23" s="41"/>
      <c r="AE23" s="41"/>
      <c r="AF23" s="41"/>
      <c r="AG23" s="41"/>
      <c r="AH23" s="41"/>
      <c r="AI23" s="230"/>
      <c r="AJ23" s="230"/>
      <c r="AK23" s="41"/>
      <c r="AL23" s="41"/>
      <c r="AM23" s="41"/>
      <c r="AN23" s="41"/>
      <c r="AO23" s="41"/>
      <c r="AP23" s="230"/>
      <c r="AQ23" s="230"/>
      <c r="AR23" s="41"/>
      <c r="AS23" s="41"/>
      <c r="AT23" s="41"/>
      <c r="AU23" s="41"/>
      <c r="AV23" s="41"/>
      <c r="AW23" s="230"/>
      <c r="AX23" s="230"/>
      <c r="AY23" s="41"/>
      <c r="AZ23" s="41"/>
      <c r="BA23" s="41"/>
      <c r="BB23" s="41"/>
      <c r="BC23" s="41"/>
      <c r="BD23" s="230"/>
      <c r="BE23" s="230"/>
      <c r="BF23" s="41"/>
      <c r="BG23" s="41"/>
      <c r="BH23" s="41"/>
      <c r="BI23" s="41"/>
      <c r="BJ23" s="41"/>
      <c r="BK23" s="230"/>
      <c r="BL23" s="230"/>
      <c r="BM23" s="41"/>
      <c r="BN23" s="41"/>
      <c r="BO23" s="41"/>
      <c r="BP23" s="41"/>
      <c r="BQ23" s="41"/>
      <c r="BR23" s="230"/>
      <c r="BS23" s="230"/>
      <c r="BT23" s="41"/>
      <c r="BU23" s="41"/>
      <c r="BV23" s="41"/>
      <c r="BW23" s="41"/>
      <c r="BX23" s="41"/>
      <c r="BY23" s="230"/>
      <c r="BZ23" s="230"/>
      <c r="CA23" s="41"/>
      <c r="CB23" s="41"/>
      <c r="CC23" s="41"/>
      <c r="CD23" s="41"/>
      <c r="CE23" s="41"/>
      <c r="CF23" s="230"/>
      <c r="CG23" s="230"/>
      <c r="CH23" s="41"/>
      <c r="CI23" s="41"/>
      <c r="CJ23" s="41"/>
      <c r="CK23" s="41"/>
      <c r="CL23" s="41"/>
      <c r="CM23" s="230"/>
      <c r="CN23" s="230"/>
      <c r="CO23" s="41"/>
      <c r="CP23" s="41"/>
      <c r="CQ23" s="41"/>
      <c r="CR23" s="41"/>
      <c r="CS23" s="41"/>
      <c r="CT23" s="230"/>
      <c r="CU23" s="230"/>
      <c r="CV23" s="41"/>
      <c r="CW23" s="41"/>
      <c r="CX23" s="41"/>
      <c r="CY23" s="41"/>
      <c r="CZ23" s="41"/>
      <c r="DA23" s="230"/>
      <c r="DB23" s="230"/>
      <c r="DC23" s="41"/>
      <c r="DD23" s="41"/>
      <c r="DE23" s="41"/>
      <c r="DF23" s="41"/>
      <c r="DG23" s="41"/>
      <c r="DH23" s="230"/>
      <c r="DI23" s="230"/>
      <c r="DJ23" s="41"/>
      <c r="DK23" s="41"/>
      <c r="DL23" s="41"/>
      <c r="DM23" s="41"/>
      <c r="DN23" s="41"/>
      <c r="DO23" s="230"/>
      <c r="DP23" s="230"/>
      <c r="DQ23" s="41"/>
      <c r="DR23" s="41"/>
      <c r="DS23" s="41"/>
      <c r="DT23" s="41"/>
      <c r="DU23" s="41"/>
      <c r="DV23" s="230"/>
      <c r="DW23" s="230"/>
      <c r="DX23" s="41"/>
      <c r="DY23" s="41"/>
      <c r="DZ23" s="41"/>
      <c r="EA23" s="41"/>
      <c r="EB23" s="41"/>
      <c r="EC23" s="230"/>
      <c r="ED23" s="230"/>
      <c r="EE23" s="41"/>
      <c r="EF23" s="41"/>
      <c r="EG23" s="41"/>
      <c r="EH23" s="41"/>
      <c r="EI23" s="41"/>
      <c r="EJ23" s="230"/>
      <c r="EK23" s="230"/>
      <c r="EL23" s="41"/>
      <c r="EM23" s="41"/>
      <c r="EN23" s="41"/>
      <c r="EO23" s="41"/>
      <c r="EP23" s="41"/>
      <c r="EQ23" s="230"/>
      <c r="ER23" s="230"/>
      <c r="ES23" s="41"/>
      <c r="ET23" s="41"/>
      <c r="EU23" s="41"/>
      <c r="EV23" s="41"/>
      <c r="EW23" s="41"/>
      <c r="EX23" s="230"/>
      <c r="EY23" s="230"/>
      <c r="EZ23" s="41"/>
      <c r="FA23" s="41"/>
      <c r="FB23" s="41"/>
      <c r="FC23" s="41"/>
      <c r="FD23" s="41"/>
      <c r="FE23" s="230"/>
      <c r="FF23" s="230"/>
      <c r="FG23" s="41"/>
      <c r="FH23" s="41"/>
      <c r="FI23" s="41"/>
      <c r="FJ23" s="41"/>
      <c r="FK23" s="41"/>
      <c r="FL23" s="230"/>
      <c r="FM23" s="230"/>
      <c r="FN23" s="41"/>
      <c r="FO23" s="41"/>
      <c r="FP23" s="41"/>
      <c r="FQ23" s="41"/>
      <c r="FR23" s="41"/>
      <c r="FS23" s="230"/>
      <c r="FT23" s="230"/>
      <c r="FU23" s="41"/>
      <c r="FV23" s="41"/>
      <c r="FW23" s="41"/>
      <c r="FX23" s="41"/>
      <c r="FY23" s="41"/>
      <c r="FZ23" s="230"/>
      <c r="GA23" s="230"/>
      <c r="GB23" s="41"/>
      <c r="GC23" s="41"/>
      <c r="GD23" s="41"/>
      <c r="GE23" s="41"/>
      <c r="GF23" s="41"/>
      <c r="GG23" s="230"/>
      <c r="GH23" s="230"/>
      <c r="GI23" s="41"/>
      <c r="GJ23" s="41"/>
      <c r="GK23" s="41"/>
      <c r="GL23" s="41"/>
      <c r="GM23" s="41"/>
      <c r="GN23" s="230"/>
      <c r="GO23" s="230"/>
      <c r="GP23" s="41"/>
      <c r="GQ23" s="41"/>
      <c r="GR23" s="41"/>
      <c r="GS23" s="41"/>
      <c r="GT23" s="41"/>
      <c r="GU23" s="230"/>
      <c r="GV23" s="230"/>
      <c r="GW23" s="41" t="s">
        <v>460</v>
      </c>
      <c r="GX23" s="41"/>
      <c r="GY23" s="41"/>
      <c r="GZ23" s="41"/>
      <c r="HA23" s="41"/>
      <c r="HB23" s="230"/>
      <c r="HC23" s="230"/>
      <c r="HD23" s="41"/>
      <c r="HE23" s="41"/>
      <c r="HF23" s="41"/>
      <c r="HG23" s="41"/>
      <c r="HH23" s="41"/>
      <c r="HI23" s="234"/>
      <c r="HJ23" s="234"/>
      <c r="HK23" s="41" t="s">
        <v>460</v>
      </c>
      <c r="HL23" s="41" t="s">
        <v>460</v>
      </c>
      <c r="HM23" s="41" t="s">
        <v>460</v>
      </c>
      <c r="HN23" s="41" t="s">
        <v>460</v>
      </c>
      <c r="HO23" s="41" t="s">
        <v>460</v>
      </c>
      <c r="HP23" s="234"/>
      <c r="HQ23" s="234"/>
      <c r="HR23" s="41"/>
      <c r="HS23" s="41"/>
      <c r="HT23" s="41"/>
      <c r="HU23" s="41"/>
      <c r="HV23" s="41"/>
      <c r="HW23" s="234"/>
      <c r="HX23" s="234"/>
      <c r="HY23" s="41"/>
      <c r="HZ23" s="41"/>
      <c r="IA23" s="41"/>
      <c r="IB23" s="41"/>
      <c r="IC23" s="41"/>
      <c r="ID23" s="234"/>
      <c r="IE23" s="234"/>
      <c r="IF23" s="41"/>
      <c r="IG23" s="41"/>
      <c r="IH23" s="41"/>
      <c r="II23" s="41"/>
      <c r="IJ23" s="41"/>
      <c r="IK23" s="234"/>
      <c r="IL23" s="234"/>
      <c r="IM23" s="41"/>
      <c r="IN23" s="41"/>
      <c r="IO23" s="41"/>
      <c r="IP23" s="41"/>
      <c r="IQ23" s="41"/>
      <c r="IR23" s="234"/>
      <c r="IS23" s="234"/>
      <c r="IT23" s="41"/>
      <c r="IU23" s="41"/>
      <c r="IV23" s="41"/>
      <c r="IW23" s="41"/>
      <c r="IX23" s="41"/>
      <c r="IY23" s="234"/>
      <c r="IZ23" s="234"/>
      <c r="JA23" s="41"/>
      <c r="JB23" s="41"/>
      <c r="JC23" s="41"/>
      <c r="JD23" s="41"/>
      <c r="JE23" s="41"/>
      <c r="JF23" s="234"/>
      <c r="JG23" s="234"/>
      <c r="JH23" s="41"/>
      <c r="JI23" s="41"/>
      <c r="JJ23" s="41"/>
      <c r="JK23" s="41"/>
      <c r="JL23" s="41"/>
      <c r="JM23" s="234"/>
      <c r="JN23" s="234"/>
      <c r="JO23" s="41"/>
      <c r="JP23" s="41"/>
      <c r="JQ23" s="41"/>
      <c r="JR23" s="41"/>
      <c r="JS23" s="41"/>
      <c r="JT23" s="234"/>
      <c r="JU23" s="234"/>
      <c r="JV23" s="41"/>
      <c r="JW23" s="41"/>
      <c r="JX23" s="41"/>
      <c r="JY23" s="41"/>
      <c r="JZ23" s="41"/>
      <c r="KA23" s="234"/>
      <c r="KB23" s="234"/>
      <c r="KC23" s="41"/>
      <c r="KD23" s="41"/>
      <c r="KE23" s="41"/>
      <c r="KF23" s="41"/>
      <c r="KG23" s="41"/>
      <c r="KH23" s="234"/>
      <c r="KI23" s="234"/>
      <c r="KJ23" s="41"/>
      <c r="KK23" s="41"/>
      <c r="KL23" s="41"/>
      <c r="KM23" s="41"/>
      <c r="KN23" s="41"/>
      <c r="KO23" s="234"/>
      <c r="KP23" s="234"/>
      <c r="KQ23" s="41"/>
      <c r="KR23" s="41"/>
      <c r="KS23" s="41"/>
      <c r="KT23" s="41"/>
      <c r="KU23" s="41"/>
      <c r="KV23" s="234"/>
      <c r="KW23" s="234"/>
      <c r="KX23" s="41"/>
      <c r="KY23" s="41"/>
      <c r="KZ23" s="41"/>
      <c r="LA23" s="41"/>
      <c r="LB23" s="41"/>
      <c r="LC23" s="234"/>
      <c r="LD23" s="234"/>
      <c r="LE23" s="41"/>
      <c r="LF23" s="41"/>
      <c r="LG23" s="41"/>
      <c r="LH23" s="41"/>
      <c r="LI23" s="41"/>
      <c r="LJ23" s="234"/>
      <c r="LK23" s="234"/>
      <c r="LL23" s="41"/>
      <c r="LM23" s="41"/>
      <c r="LN23" s="41"/>
      <c r="LO23" s="41"/>
      <c r="LP23" s="41"/>
      <c r="LQ23" s="234"/>
      <c r="LR23" s="234"/>
      <c r="LS23" s="41"/>
      <c r="LT23" s="41"/>
      <c r="LU23" s="41"/>
      <c r="LV23" s="41"/>
      <c r="LW23" s="41"/>
      <c r="LX23" s="234"/>
      <c r="LY23" s="234"/>
      <c r="LZ23" s="41"/>
      <c r="MA23" s="41"/>
      <c r="MB23" s="41"/>
      <c r="MC23" s="41"/>
      <c r="MD23" s="41"/>
      <c r="ME23" s="234"/>
      <c r="MF23" s="234"/>
      <c r="MG23" s="41"/>
      <c r="MH23" s="41"/>
      <c r="MI23" s="41"/>
      <c r="MJ23" s="41"/>
      <c r="MK23" s="41"/>
      <c r="ML23" s="234"/>
      <c r="MM23" s="234"/>
      <c r="MN23" s="41"/>
      <c r="MO23" s="41"/>
      <c r="MP23" s="41"/>
      <c r="MQ23" s="41"/>
      <c r="MR23" s="41"/>
      <c r="MS23" s="234"/>
      <c r="MT23" s="234"/>
      <c r="MU23" s="41"/>
      <c r="MV23" s="41"/>
      <c r="MW23" s="41"/>
      <c r="MX23" s="41"/>
      <c r="MY23" s="41"/>
      <c r="MZ23" s="234"/>
      <c r="NA23" s="234"/>
      <c r="NB23" s="41"/>
      <c r="NC23" s="41"/>
      <c r="ND23" s="41"/>
      <c r="NE23" s="41"/>
      <c r="NF23" s="41"/>
      <c r="NG23" s="234"/>
      <c r="NH23" s="234"/>
      <c r="NI23" s="41"/>
      <c r="NJ23" s="41"/>
      <c r="NK23" s="41"/>
      <c r="NL23" s="41"/>
      <c r="NM23" s="41"/>
      <c r="NN23" s="234"/>
      <c r="NO23" s="234"/>
      <c r="NP23" s="41"/>
      <c r="NQ23" s="41"/>
      <c r="NR23" s="41"/>
      <c r="NS23" s="41"/>
      <c r="NT23" s="41"/>
      <c r="NU23" s="230"/>
      <c r="NV23" s="230"/>
    </row>
    <row r="24" spans="2:386" x14ac:dyDescent="0.3">
      <c r="B24" s="65" t="s">
        <v>18</v>
      </c>
      <c r="C24" s="25">
        <v>35</v>
      </c>
      <c r="D24" s="206" t="s">
        <v>7</v>
      </c>
      <c r="E24" s="190" t="s">
        <v>8</v>
      </c>
      <c r="F24" s="146" t="s">
        <v>44</v>
      </c>
      <c r="G24" s="157" t="s">
        <v>197</v>
      </c>
      <c r="H24" s="158" t="s">
        <v>198</v>
      </c>
      <c r="I24" s="125" t="s">
        <v>44</v>
      </c>
      <c r="J24" s="125" t="s">
        <v>44</v>
      </c>
      <c r="K24" s="125" t="s">
        <v>460</v>
      </c>
      <c r="L24" s="125" t="s">
        <v>44</v>
      </c>
      <c r="M24" s="125" t="s">
        <v>44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230"/>
      <c r="AC24" s="230"/>
      <c r="AD24" s="41"/>
      <c r="AE24" s="41"/>
      <c r="AF24" s="41"/>
      <c r="AG24" s="41"/>
      <c r="AH24" s="41"/>
      <c r="AI24" s="230"/>
      <c r="AJ24" s="230"/>
      <c r="AK24" s="41"/>
      <c r="AL24" s="41"/>
      <c r="AM24" s="41"/>
      <c r="AN24" s="41"/>
      <c r="AO24" s="41"/>
      <c r="AP24" s="230"/>
      <c r="AQ24" s="230"/>
      <c r="AR24" s="41" t="s">
        <v>432</v>
      </c>
      <c r="AS24" s="41" t="s">
        <v>432</v>
      </c>
      <c r="AT24" s="41" t="s">
        <v>432</v>
      </c>
      <c r="AU24" s="41" t="s">
        <v>432</v>
      </c>
      <c r="AV24" s="41" t="s">
        <v>432</v>
      </c>
      <c r="AW24" s="230"/>
      <c r="AX24" s="230"/>
      <c r="AY24" s="41"/>
      <c r="AZ24" s="41"/>
      <c r="BA24" s="41"/>
      <c r="BB24" s="41"/>
      <c r="BC24" s="41"/>
      <c r="BD24" s="230"/>
      <c r="BE24" s="230"/>
      <c r="BF24" s="41"/>
      <c r="BG24" s="41"/>
      <c r="BH24" s="41"/>
      <c r="BI24" s="41"/>
      <c r="BJ24" s="41"/>
      <c r="BK24" s="230"/>
      <c r="BL24" s="230"/>
      <c r="BM24" s="41"/>
      <c r="BN24" s="41"/>
      <c r="BO24" s="41"/>
      <c r="BP24" s="41"/>
      <c r="BQ24" s="41"/>
      <c r="BR24" s="41" t="s">
        <v>460</v>
      </c>
      <c r="BS24" s="41" t="s">
        <v>460</v>
      </c>
      <c r="BT24" s="41"/>
      <c r="BU24" s="41"/>
      <c r="BV24" s="41"/>
      <c r="BW24" s="41"/>
      <c r="BX24" s="41"/>
      <c r="BY24" s="41" t="s">
        <v>460</v>
      </c>
      <c r="BZ24" s="41" t="s">
        <v>460</v>
      </c>
      <c r="CA24" s="41"/>
      <c r="CB24" s="41"/>
      <c r="CC24" s="41"/>
      <c r="CD24" s="41"/>
      <c r="CE24" s="41"/>
      <c r="CF24" s="230"/>
      <c r="CG24" s="230"/>
      <c r="CH24" s="41"/>
      <c r="CI24" s="41"/>
      <c r="CJ24" s="41"/>
      <c r="CK24" s="41"/>
      <c r="CL24" s="41"/>
      <c r="CM24" s="230"/>
      <c r="CN24" s="230"/>
      <c r="CO24" s="41"/>
      <c r="CP24" s="41"/>
      <c r="CQ24" s="41"/>
      <c r="CR24" s="41"/>
      <c r="CS24" s="41"/>
      <c r="CT24" s="230"/>
      <c r="CU24" s="230"/>
      <c r="CV24" s="41"/>
      <c r="CW24" s="41"/>
      <c r="CX24" s="41"/>
      <c r="CY24" s="41"/>
      <c r="CZ24" s="41"/>
      <c r="DA24" s="230"/>
      <c r="DB24" s="230"/>
      <c r="DC24" s="41"/>
      <c r="DD24" s="41"/>
      <c r="DE24" s="41"/>
      <c r="DF24" s="41"/>
      <c r="DG24" s="41"/>
      <c r="DH24" s="230"/>
      <c r="DI24" s="230"/>
      <c r="DJ24" s="41"/>
      <c r="DK24" s="41"/>
      <c r="DL24" s="41"/>
      <c r="DM24" s="41"/>
      <c r="DN24" s="41"/>
      <c r="DO24" s="230"/>
      <c r="DP24" s="230"/>
      <c r="DQ24" s="41"/>
      <c r="DR24" s="41"/>
      <c r="DS24" s="41"/>
      <c r="DT24" s="41"/>
      <c r="DU24" s="41"/>
      <c r="DV24" s="230"/>
      <c r="DW24" s="230"/>
      <c r="DX24" s="41"/>
      <c r="DY24" s="41"/>
      <c r="DZ24" s="41"/>
      <c r="EA24" s="41"/>
      <c r="EB24" s="41"/>
      <c r="EC24" s="230"/>
      <c r="ED24" s="230"/>
      <c r="EE24" s="41"/>
      <c r="EF24" s="41"/>
      <c r="EG24" s="41"/>
      <c r="EH24" s="41"/>
      <c r="EI24" s="41"/>
      <c r="EJ24" s="230"/>
      <c r="EK24" s="230"/>
      <c r="EL24" s="41"/>
      <c r="EM24" s="41"/>
      <c r="EN24" s="41"/>
      <c r="EO24" s="41"/>
      <c r="EP24" s="41"/>
      <c r="EQ24" s="230"/>
      <c r="ER24" s="230"/>
      <c r="ES24" s="41"/>
      <c r="ET24" s="41"/>
      <c r="EU24" s="41"/>
      <c r="EV24" s="41"/>
      <c r="EW24" s="41"/>
      <c r="EX24" s="230"/>
      <c r="EY24" s="230"/>
      <c r="EZ24" s="41"/>
      <c r="FA24" s="41"/>
      <c r="FB24" s="41"/>
      <c r="FC24" s="41"/>
      <c r="FD24" s="41"/>
      <c r="FE24" s="230"/>
      <c r="FF24" s="230"/>
      <c r="FG24" s="41"/>
      <c r="FH24" s="41"/>
      <c r="FI24" s="41"/>
      <c r="FJ24" s="41"/>
      <c r="FK24" s="41"/>
      <c r="FL24" s="230"/>
      <c r="FM24" s="230"/>
      <c r="FN24" s="41"/>
      <c r="FO24" s="41"/>
      <c r="FP24" s="41"/>
      <c r="FQ24" s="41"/>
      <c r="FR24" s="41"/>
      <c r="FS24" s="230"/>
      <c r="FT24" s="230"/>
      <c r="FU24" s="41"/>
      <c r="FV24" s="41"/>
      <c r="FW24" s="41"/>
      <c r="FX24" s="41"/>
      <c r="FY24" s="41"/>
      <c r="FZ24" s="230"/>
      <c r="GA24" s="230"/>
      <c r="GB24" s="41"/>
      <c r="GC24" s="41"/>
      <c r="GD24" s="41"/>
      <c r="GE24" s="41"/>
      <c r="GF24" s="41"/>
      <c r="GG24" s="230"/>
      <c r="GH24" s="230"/>
      <c r="GI24" s="41" t="s">
        <v>460</v>
      </c>
      <c r="GJ24" s="41" t="s">
        <v>460</v>
      </c>
      <c r="GK24" s="41" t="s">
        <v>460</v>
      </c>
      <c r="GL24" s="41" t="s">
        <v>460</v>
      </c>
      <c r="GM24" s="41" t="s">
        <v>460</v>
      </c>
      <c r="GN24" s="230"/>
      <c r="GO24" s="230"/>
      <c r="GP24" s="41" t="s">
        <v>460</v>
      </c>
      <c r="GQ24" s="41" t="s">
        <v>460</v>
      </c>
      <c r="GR24" s="41" t="s">
        <v>460</v>
      </c>
      <c r="GS24" s="41" t="s">
        <v>460</v>
      </c>
      <c r="GT24" s="41" t="s">
        <v>460</v>
      </c>
      <c r="GU24" s="230"/>
      <c r="GV24" s="230"/>
      <c r="GW24" s="41" t="s">
        <v>460</v>
      </c>
      <c r="GX24" s="41"/>
      <c r="GY24" s="41"/>
      <c r="GZ24" s="41"/>
      <c r="HA24" s="41"/>
      <c r="HB24" s="230"/>
      <c r="HC24" s="230"/>
      <c r="HD24" s="41"/>
      <c r="HE24" s="41"/>
      <c r="HF24" s="41"/>
      <c r="HG24" s="41"/>
      <c r="HH24" s="41"/>
      <c r="HI24" s="234"/>
      <c r="HJ24" s="234"/>
      <c r="HK24" s="41"/>
      <c r="HL24" s="41"/>
      <c r="HM24" s="41"/>
      <c r="HN24" s="41"/>
      <c r="HO24" s="41"/>
      <c r="HP24" s="234"/>
      <c r="HQ24" s="234"/>
      <c r="HR24" s="41"/>
      <c r="HS24" s="41"/>
      <c r="HT24" s="41"/>
      <c r="HU24" s="41"/>
      <c r="HV24" s="41"/>
      <c r="HW24" s="234"/>
      <c r="HX24" s="234"/>
      <c r="HY24" s="41"/>
      <c r="HZ24" s="41"/>
      <c r="IA24" s="41"/>
      <c r="IB24" s="41"/>
      <c r="IC24" s="41"/>
      <c r="ID24" s="234"/>
      <c r="IE24" s="234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234"/>
      <c r="IZ24" s="234"/>
      <c r="JA24" s="41"/>
      <c r="JB24" s="41"/>
      <c r="JC24" s="41"/>
      <c r="JD24" s="41"/>
      <c r="JE24" s="41"/>
      <c r="JF24" s="234"/>
      <c r="JG24" s="234"/>
      <c r="JH24" s="41"/>
      <c r="JI24" s="41"/>
      <c r="JJ24" s="41"/>
      <c r="JK24" s="41"/>
      <c r="JL24" s="41"/>
      <c r="JM24" s="234"/>
      <c r="JN24" s="234"/>
      <c r="JO24" s="41"/>
      <c r="JP24" s="41"/>
      <c r="JQ24" s="41"/>
      <c r="JR24" s="41"/>
      <c r="JS24" s="41"/>
      <c r="JT24" s="234"/>
      <c r="JU24" s="234"/>
      <c r="JV24" s="41"/>
      <c r="JW24" s="41"/>
      <c r="JX24" s="41"/>
      <c r="JY24" s="41"/>
      <c r="JZ24" s="41"/>
      <c r="KA24" s="234"/>
      <c r="KB24" s="234"/>
      <c r="KC24" s="41"/>
      <c r="KD24" s="41"/>
      <c r="KE24" s="41"/>
      <c r="KF24" s="41"/>
      <c r="KG24" s="41"/>
      <c r="KH24" s="234"/>
      <c r="KI24" s="234"/>
      <c r="KJ24" s="41"/>
      <c r="KK24" s="41"/>
      <c r="KL24" s="41"/>
      <c r="KM24" s="41"/>
      <c r="KN24" s="41"/>
      <c r="KO24" s="234"/>
      <c r="KP24" s="234"/>
      <c r="KQ24" s="41"/>
      <c r="KR24" s="41"/>
      <c r="KS24" s="41"/>
      <c r="KT24" s="41"/>
      <c r="KU24" s="41"/>
      <c r="KV24" s="234"/>
      <c r="KW24" s="234"/>
      <c r="KX24" s="41"/>
      <c r="KY24" s="41"/>
      <c r="KZ24" s="41"/>
      <c r="LA24" s="41"/>
      <c r="LB24" s="41"/>
      <c r="LC24" s="234"/>
      <c r="LD24" s="234"/>
      <c r="LE24" s="41"/>
      <c r="LF24" s="41"/>
      <c r="LG24" s="41"/>
      <c r="LH24" s="41"/>
      <c r="LI24" s="41"/>
      <c r="LJ24" s="234"/>
      <c r="LK24" s="234"/>
      <c r="LL24" s="41"/>
      <c r="LM24" s="41"/>
      <c r="LN24" s="41"/>
      <c r="LO24" s="41"/>
      <c r="LP24" s="41"/>
      <c r="LQ24" s="234"/>
      <c r="LR24" s="234"/>
      <c r="LS24" s="41"/>
      <c r="LT24" s="41"/>
      <c r="LU24" s="41"/>
      <c r="LV24" s="41"/>
      <c r="LW24" s="41"/>
      <c r="LX24" s="234"/>
      <c r="LY24" s="234"/>
      <c r="LZ24" s="41"/>
      <c r="MA24" s="41"/>
      <c r="MB24" s="41"/>
      <c r="MC24" s="41"/>
      <c r="MD24" s="41"/>
      <c r="ME24" s="234"/>
      <c r="MF24" s="234"/>
      <c r="MG24" s="41"/>
      <c r="MH24" s="41"/>
      <c r="MI24" s="41"/>
      <c r="MJ24" s="41"/>
      <c r="MK24" s="41"/>
      <c r="ML24" s="234"/>
      <c r="MM24" s="234"/>
      <c r="MN24" s="41"/>
      <c r="MO24" s="41"/>
      <c r="MP24" s="41"/>
      <c r="MQ24" s="41"/>
      <c r="MR24" s="41"/>
      <c r="MS24" s="234"/>
      <c r="MT24" s="234"/>
      <c r="MU24" s="41"/>
      <c r="MV24" s="41"/>
      <c r="MW24" s="41"/>
      <c r="MX24" s="41"/>
      <c r="MY24" s="41"/>
      <c r="MZ24" s="234"/>
      <c r="NA24" s="234"/>
      <c r="NB24" s="41"/>
      <c r="NC24" s="41"/>
      <c r="ND24" s="41"/>
      <c r="NE24" s="41"/>
      <c r="NF24" s="41"/>
      <c r="NG24" s="234"/>
      <c r="NH24" s="234"/>
      <c r="NI24" s="41"/>
      <c r="NJ24" s="41"/>
      <c r="NK24" s="41"/>
      <c r="NL24" s="41"/>
      <c r="NM24" s="41"/>
      <c r="NN24" s="234"/>
      <c r="NO24" s="234"/>
      <c r="NP24" s="41"/>
      <c r="NQ24" s="41"/>
      <c r="NR24" s="41"/>
      <c r="NS24" s="41"/>
      <c r="NT24" s="41"/>
      <c r="NU24" s="230"/>
      <c r="NV24" s="230"/>
    </row>
    <row r="25" spans="2:386" hidden="1" x14ac:dyDescent="0.3">
      <c r="B25" s="24" t="s">
        <v>18</v>
      </c>
      <c r="C25" s="25">
        <v>35</v>
      </c>
      <c r="D25" s="206" t="s">
        <v>7</v>
      </c>
      <c r="E25" s="190" t="s">
        <v>8</v>
      </c>
      <c r="F25" s="146" t="s">
        <v>9</v>
      </c>
      <c r="G25" s="153" t="s">
        <v>892</v>
      </c>
      <c r="H25" s="154" t="s">
        <v>893</v>
      </c>
      <c r="I25" s="125" t="s">
        <v>386</v>
      </c>
      <c r="J25" s="125" t="s">
        <v>386</v>
      </c>
      <c r="K25" s="125" t="s">
        <v>460</v>
      </c>
      <c r="L25" s="125" t="s">
        <v>386</v>
      </c>
      <c r="M25" s="125" t="s">
        <v>386</v>
      </c>
      <c r="N25" s="230"/>
      <c r="O25" s="230"/>
      <c r="P25" s="41"/>
      <c r="Q25" s="41"/>
      <c r="R25" s="41"/>
      <c r="S25" s="41"/>
      <c r="T25" s="41"/>
      <c r="U25" s="230"/>
      <c r="V25" s="230"/>
      <c r="W25" s="41"/>
      <c r="X25" s="41"/>
      <c r="Y25" s="41"/>
      <c r="Z25" s="41"/>
      <c r="AA25" s="41"/>
      <c r="AB25" s="230"/>
      <c r="AC25" s="230"/>
      <c r="AD25" s="41"/>
      <c r="AE25" s="41"/>
      <c r="AF25" s="41"/>
      <c r="AG25" s="41"/>
      <c r="AH25" s="41"/>
      <c r="AI25" s="230"/>
      <c r="AJ25" s="230"/>
      <c r="AK25" s="41"/>
      <c r="AL25" s="41"/>
      <c r="AM25" s="41"/>
      <c r="AN25" s="41"/>
      <c r="AO25" s="41"/>
      <c r="AP25" s="230"/>
      <c r="AQ25" s="230"/>
      <c r="AR25" s="41"/>
      <c r="AS25" s="41"/>
      <c r="AT25" s="41"/>
      <c r="AU25" s="41"/>
      <c r="AV25" s="41"/>
      <c r="AW25" s="230"/>
      <c r="AX25" s="230"/>
      <c r="AY25" s="41"/>
      <c r="AZ25" s="41"/>
      <c r="BA25" s="41"/>
      <c r="BB25" s="41"/>
      <c r="BC25" s="41"/>
      <c r="BD25" s="230"/>
      <c r="BE25" s="230"/>
      <c r="BF25" s="41"/>
      <c r="BG25" s="41"/>
      <c r="BH25" s="41"/>
      <c r="BI25" s="41"/>
      <c r="BJ25" s="41"/>
      <c r="BK25" s="230"/>
      <c r="BL25" s="230"/>
      <c r="BM25" s="41"/>
      <c r="BN25" s="41"/>
      <c r="BO25" s="41"/>
      <c r="BP25" s="41"/>
      <c r="BQ25" s="41"/>
      <c r="BR25" s="230"/>
      <c r="BS25" s="230"/>
      <c r="BT25" s="41"/>
      <c r="BU25" s="41"/>
      <c r="BV25" s="41"/>
      <c r="BW25" s="41"/>
      <c r="BX25" s="41"/>
      <c r="BY25" s="230"/>
      <c r="BZ25" s="230"/>
      <c r="CA25" s="41"/>
      <c r="CB25" s="41"/>
      <c r="CC25" s="41"/>
      <c r="CD25" s="41"/>
      <c r="CE25" s="41"/>
      <c r="CF25" s="230"/>
      <c r="CG25" s="230"/>
      <c r="CH25" s="41"/>
      <c r="CI25" s="41"/>
      <c r="CJ25" s="41"/>
      <c r="CK25" s="41"/>
      <c r="CL25" s="41"/>
      <c r="CM25" s="230"/>
      <c r="CN25" s="230"/>
      <c r="CO25" s="41"/>
      <c r="CP25" s="41"/>
      <c r="CQ25" s="41"/>
      <c r="CR25" s="41"/>
      <c r="CS25" s="41"/>
      <c r="CT25" s="230"/>
      <c r="CU25" s="230"/>
      <c r="CV25" s="41"/>
      <c r="CW25" s="41"/>
      <c r="CX25" s="41"/>
      <c r="CY25" s="41"/>
      <c r="CZ25" s="41"/>
      <c r="DA25" s="230"/>
      <c r="DB25" s="230"/>
      <c r="DC25" s="41"/>
      <c r="DD25" s="41"/>
      <c r="DE25" s="41"/>
      <c r="DF25" s="41"/>
      <c r="DG25" s="41"/>
      <c r="DH25" s="230"/>
      <c r="DI25" s="230"/>
      <c r="DJ25" s="41"/>
      <c r="DK25" s="41"/>
      <c r="DL25" s="41"/>
      <c r="DM25" s="41"/>
      <c r="DN25" s="41"/>
      <c r="DO25" s="230"/>
      <c r="DP25" s="230"/>
      <c r="DQ25" s="41"/>
      <c r="DR25" s="41"/>
      <c r="DS25" s="41"/>
      <c r="DT25" s="41"/>
      <c r="DU25" s="41"/>
      <c r="DV25" s="230"/>
      <c r="DW25" s="230"/>
      <c r="DX25" s="41"/>
      <c r="DY25" s="41"/>
      <c r="DZ25" s="41"/>
      <c r="EA25" s="41"/>
      <c r="EB25" s="41"/>
      <c r="EC25" s="230"/>
      <c r="ED25" s="230"/>
      <c r="EE25" s="41"/>
      <c r="EF25" s="41"/>
      <c r="EG25" s="41"/>
      <c r="EH25" s="41"/>
      <c r="EI25" s="41"/>
      <c r="EJ25" s="230"/>
      <c r="EK25" s="230"/>
      <c r="EL25" s="41"/>
      <c r="EM25" s="41"/>
      <c r="EN25" s="41"/>
      <c r="EO25" s="41"/>
      <c r="EP25" s="41"/>
      <c r="EQ25" s="230"/>
      <c r="ER25" s="230"/>
      <c r="ES25" s="41"/>
      <c r="ET25" s="41"/>
      <c r="EU25" s="41"/>
      <c r="EV25" s="41"/>
      <c r="EW25" s="41"/>
      <c r="EX25" s="230"/>
      <c r="EY25" s="230"/>
      <c r="EZ25" s="41"/>
      <c r="FA25" s="41"/>
      <c r="FB25" s="41"/>
      <c r="FC25" s="41"/>
      <c r="FD25" s="41"/>
      <c r="FE25" s="230"/>
      <c r="FF25" s="230"/>
      <c r="FG25" s="41"/>
      <c r="FH25" s="41"/>
      <c r="FI25" s="41"/>
      <c r="FJ25" s="41"/>
      <c r="FK25" s="41"/>
      <c r="FL25" s="230"/>
      <c r="FM25" s="230"/>
      <c r="FN25" s="41"/>
      <c r="FO25" s="41"/>
      <c r="FP25" s="41"/>
      <c r="FQ25" s="41"/>
      <c r="FR25" s="41"/>
      <c r="FS25" s="230"/>
      <c r="FT25" s="230"/>
      <c r="FU25" s="41"/>
      <c r="FV25" s="41"/>
      <c r="FW25" s="41"/>
      <c r="FX25" s="41"/>
      <c r="FY25" s="41"/>
      <c r="FZ25" s="230"/>
      <c r="GA25" s="230"/>
      <c r="GB25" s="41"/>
      <c r="GC25" s="41"/>
      <c r="GD25" s="41"/>
      <c r="GE25" s="41"/>
      <c r="GF25" s="41"/>
      <c r="GG25" s="230"/>
      <c r="GH25" s="230"/>
      <c r="GI25" s="41"/>
      <c r="GJ25" s="41"/>
      <c r="GK25" s="41"/>
      <c r="GL25" s="41"/>
      <c r="GM25" s="41"/>
      <c r="GN25" s="230"/>
      <c r="GO25" s="230"/>
      <c r="GP25" s="41"/>
      <c r="GQ25" s="41"/>
      <c r="GR25" s="41"/>
      <c r="GS25" s="41"/>
      <c r="GT25" s="41"/>
      <c r="GU25" s="230"/>
      <c r="GV25" s="230"/>
      <c r="GW25" s="41" t="s">
        <v>460</v>
      </c>
      <c r="GX25" s="41"/>
      <c r="GY25" s="41"/>
      <c r="GZ25" s="41"/>
      <c r="HA25" s="41"/>
      <c r="HB25" s="230"/>
      <c r="HC25" s="230"/>
      <c r="HD25" s="41"/>
      <c r="HE25" s="41"/>
      <c r="HF25" s="41"/>
      <c r="HG25" s="41"/>
      <c r="HH25" s="41"/>
      <c r="HI25" s="234"/>
      <c r="HJ25" s="234"/>
      <c r="HK25" s="41"/>
      <c r="HL25" s="41"/>
      <c r="HM25" s="41"/>
      <c r="HN25" s="41"/>
      <c r="HO25" s="41"/>
      <c r="HP25" s="234"/>
      <c r="HQ25" s="234"/>
      <c r="HR25" s="41"/>
      <c r="HS25" s="41"/>
      <c r="HT25" s="41"/>
      <c r="HU25" s="41"/>
      <c r="HV25" s="41"/>
      <c r="HW25" s="234"/>
      <c r="HX25" s="234"/>
      <c r="HY25" s="41"/>
      <c r="HZ25" s="41"/>
      <c r="IA25" s="41"/>
      <c r="IB25" s="41"/>
      <c r="IC25" s="41"/>
      <c r="ID25" s="234"/>
      <c r="IE25" s="234"/>
      <c r="IF25" s="41"/>
      <c r="IG25" s="41"/>
      <c r="IH25" s="41"/>
      <c r="II25" s="41"/>
      <c r="IJ25" s="41"/>
      <c r="IK25" s="234"/>
      <c r="IL25" s="234"/>
      <c r="IM25" s="41"/>
      <c r="IN25" s="41"/>
      <c r="IO25" s="41"/>
      <c r="IP25" s="41"/>
      <c r="IQ25" s="41"/>
      <c r="IR25" s="234"/>
      <c r="IS25" s="234"/>
      <c r="IT25" s="41"/>
      <c r="IU25" s="41"/>
      <c r="IV25" s="41"/>
      <c r="IW25" s="41"/>
      <c r="IX25" s="41"/>
      <c r="IY25" s="234"/>
      <c r="IZ25" s="234"/>
      <c r="JA25" s="41"/>
      <c r="JB25" s="41"/>
      <c r="JC25" s="41"/>
      <c r="JD25" s="41"/>
      <c r="JE25" s="41"/>
      <c r="JF25" s="234"/>
      <c r="JG25" s="234"/>
      <c r="JH25" s="41"/>
      <c r="JI25" s="41"/>
      <c r="JJ25" s="41"/>
      <c r="JK25" s="41"/>
      <c r="JL25" s="41"/>
      <c r="JM25" s="234"/>
      <c r="JN25" s="234"/>
      <c r="JO25" s="41"/>
      <c r="JP25" s="41"/>
      <c r="JQ25" s="41"/>
      <c r="JR25" s="41"/>
      <c r="JS25" s="41"/>
      <c r="JT25" s="234"/>
      <c r="JU25" s="234"/>
      <c r="JV25" s="41"/>
      <c r="JW25" s="41"/>
      <c r="JX25" s="41"/>
      <c r="JY25" s="41"/>
      <c r="JZ25" s="41"/>
      <c r="KA25" s="234"/>
      <c r="KB25" s="234"/>
      <c r="KC25" s="41"/>
      <c r="KD25" s="41"/>
      <c r="KE25" s="41"/>
      <c r="KF25" s="41"/>
      <c r="KG25" s="41"/>
      <c r="KH25" s="234"/>
      <c r="KI25" s="234"/>
      <c r="KJ25" s="41"/>
      <c r="KK25" s="41"/>
      <c r="KL25" s="41"/>
      <c r="KM25" s="41"/>
      <c r="KN25" s="41"/>
      <c r="KO25" s="234"/>
      <c r="KP25" s="234"/>
      <c r="KQ25" s="41"/>
      <c r="KR25" s="41"/>
      <c r="KS25" s="41"/>
      <c r="KT25" s="41"/>
      <c r="KU25" s="41"/>
      <c r="KV25" s="234"/>
      <c r="KW25" s="234"/>
      <c r="KX25" s="41"/>
      <c r="KY25" s="41"/>
      <c r="KZ25" s="41"/>
      <c r="LA25" s="41"/>
      <c r="LB25" s="41"/>
      <c r="LC25" s="234"/>
      <c r="LD25" s="234"/>
      <c r="LE25" s="41"/>
      <c r="LF25" s="41"/>
      <c r="LG25" s="41"/>
      <c r="LH25" s="41"/>
      <c r="LI25" s="41"/>
      <c r="LJ25" s="234"/>
      <c r="LK25" s="234"/>
      <c r="LL25" s="41"/>
      <c r="LM25" s="41"/>
      <c r="LN25" s="41"/>
      <c r="LO25" s="41"/>
      <c r="LP25" s="41"/>
      <c r="LQ25" s="234"/>
      <c r="LR25" s="234"/>
      <c r="LS25" s="41"/>
      <c r="LT25" s="41"/>
      <c r="LU25" s="41"/>
      <c r="LV25" s="41"/>
      <c r="LW25" s="41"/>
      <c r="LX25" s="234"/>
      <c r="LY25" s="234"/>
      <c r="LZ25" s="41"/>
      <c r="MA25" s="41"/>
      <c r="MB25" s="41"/>
      <c r="MC25" s="41"/>
      <c r="MD25" s="41"/>
      <c r="ME25" s="234"/>
      <c r="MF25" s="234"/>
      <c r="MG25" s="41"/>
      <c r="MH25" s="41"/>
      <c r="MI25" s="41"/>
      <c r="MJ25" s="41"/>
      <c r="MK25" s="41"/>
      <c r="ML25" s="234"/>
      <c r="MM25" s="234"/>
      <c r="MN25" s="41"/>
      <c r="MO25" s="41"/>
      <c r="MP25" s="41"/>
      <c r="MQ25" s="41"/>
      <c r="MR25" s="41"/>
      <c r="MS25" s="234"/>
      <c r="MT25" s="234"/>
      <c r="MU25" s="41"/>
      <c r="MV25" s="41"/>
      <c r="MW25" s="41"/>
      <c r="MX25" s="41"/>
      <c r="MY25" s="41"/>
      <c r="MZ25" s="234"/>
      <c r="NA25" s="234"/>
      <c r="NB25" s="41"/>
      <c r="NC25" s="41"/>
      <c r="ND25" s="41"/>
      <c r="NE25" s="41"/>
      <c r="NF25" s="41"/>
      <c r="NG25" s="234"/>
      <c r="NH25" s="234"/>
      <c r="NI25" s="41"/>
      <c r="NJ25" s="41"/>
      <c r="NK25" s="41"/>
      <c r="NL25" s="41"/>
      <c r="NM25" s="41"/>
      <c r="NN25" s="234"/>
      <c r="NO25" s="234"/>
      <c r="NP25" s="41"/>
      <c r="NQ25" s="41"/>
      <c r="NR25" s="41"/>
      <c r="NS25" s="41"/>
      <c r="NT25" s="41"/>
      <c r="NU25" s="230"/>
      <c r="NV25" s="230"/>
    </row>
    <row r="26" spans="2:386" hidden="1" x14ac:dyDescent="0.3">
      <c r="D26" s="207" t="s">
        <v>7</v>
      </c>
      <c r="E26" s="240" t="s">
        <v>8</v>
      </c>
      <c r="F26" s="165" t="s">
        <v>44</v>
      </c>
      <c r="G26" s="166" t="s">
        <v>237</v>
      </c>
      <c r="H26" s="167" t="s">
        <v>238</v>
      </c>
      <c r="I26" s="125" t="s">
        <v>44</v>
      </c>
      <c r="J26" s="125" t="s">
        <v>44</v>
      </c>
      <c r="K26" s="125" t="s">
        <v>460</v>
      </c>
      <c r="L26" s="125" t="s">
        <v>44</v>
      </c>
      <c r="M26" s="125" t="s">
        <v>44</v>
      </c>
      <c r="N26" s="230"/>
      <c r="O26" s="230"/>
      <c r="P26" s="41"/>
      <c r="Q26" s="41"/>
      <c r="R26" s="41"/>
      <c r="S26" s="41"/>
      <c r="T26" s="41"/>
      <c r="U26" s="230"/>
      <c r="V26" s="230"/>
      <c r="W26" s="41"/>
      <c r="X26" s="41"/>
      <c r="Y26" s="41"/>
      <c r="Z26" s="41"/>
      <c r="AA26" s="41"/>
      <c r="AB26" s="230"/>
      <c r="AC26" s="230"/>
      <c r="AD26" s="41"/>
      <c r="AE26" s="41"/>
      <c r="AF26" s="41"/>
      <c r="AG26" s="41"/>
      <c r="AH26" s="41" t="s">
        <v>460</v>
      </c>
      <c r="AI26" s="230"/>
      <c r="AJ26" s="230"/>
      <c r="AK26" s="41" t="s">
        <v>460</v>
      </c>
      <c r="AL26" s="41" t="s">
        <v>460</v>
      </c>
      <c r="AM26" s="41" t="s">
        <v>460</v>
      </c>
      <c r="AN26" s="41" t="s">
        <v>460</v>
      </c>
      <c r="AO26" s="41" t="s">
        <v>460</v>
      </c>
      <c r="AP26" s="41" t="s">
        <v>460</v>
      </c>
      <c r="AQ26" s="41" t="s">
        <v>460</v>
      </c>
      <c r="AR26" s="41" t="s">
        <v>460</v>
      </c>
      <c r="AS26" s="41" t="s">
        <v>460</v>
      </c>
      <c r="AT26" s="41" t="s">
        <v>460</v>
      </c>
      <c r="AU26" s="41" t="s">
        <v>460</v>
      </c>
      <c r="AV26" s="41" t="s">
        <v>460</v>
      </c>
      <c r="AW26" s="230"/>
      <c r="AX26" s="230"/>
      <c r="AY26" s="41"/>
      <c r="AZ26" s="41"/>
      <c r="BA26" s="41"/>
      <c r="BB26" s="41"/>
      <c r="BC26" s="41"/>
      <c r="BD26" s="230"/>
      <c r="BE26" s="230"/>
      <c r="BF26" s="41"/>
      <c r="BG26" s="41"/>
      <c r="BH26" s="41"/>
      <c r="BI26" s="41"/>
      <c r="BJ26" s="41"/>
      <c r="BK26" s="230"/>
      <c r="BL26" s="230"/>
      <c r="BM26" s="41"/>
      <c r="BN26" s="41"/>
      <c r="BO26" s="41"/>
      <c r="BP26" s="41"/>
      <c r="BQ26" s="41"/>
      <c r="BR26" s="230"/>
      <c r="BS26" s="230"/>
      <c r="BT26" s="41"/>
      <c r="BU26" s="41"/>
      <c r="BV26" s="41"/>
      <c r="BW26" s="41"/>
      <c r="BX26" s="41"/>
      <c r="BY26" s="230"/>
      <c r="BZ26" s="230"/>
      <c r="CA26" s="41"/>
      <c r="CB26" s="41"/>
      <c r="CC26" s="41"/>
      <c r="CD26" s="41"/>
      <c r="CE26" s="41"/>
      <c r="CF26" s="230"/>
      <c r="CG26" s="230"/>
      <c r="CH26" s="41"/>
      <c r="CI26" s="41"/>
      <c r="CJ26" s="41"/>
      <c r="CK26" s="41"/>
      <c r="CL26" s="41"/>
      <c r="CM26" s="230"/>
      <c r="CN26" s="230"/>
      <c r="CO26" s="41"/>
      <c r="CP26" s="41"/>
      <c r="CQ26" s="41"/>
      <c r="CR26" s="41"/>
      <c r="CS26" s="41"/>
      <c r="CT26" s="230"/>
      <c r="CU26" s="230"/>
      <c r="CV26" s="41"/>
      <c r="CW26" s="41"/>
      <c r="CX26" s="41"/>
      <c r="CY26" s="41"/>
      <c r="CZ26" s="41"/>
      <c r="DA26" s="230"/>
      <c r="DB26" s="230"/>
      <c r="DC26" s="41"/>
      <c r="DD26" s="41"/>
      <c r="DE26" s="41"/>
      <c r="DF26" s="41"/>
      <c r="DG26" s="41"/>
      <c r="DH26" s="230"/>
      <c r="DI26" s="230"/>
      <c r="DJ26" s="41"/>
      <c r="DK26" s="41"/>
      <c r="DL26" s="41"/>
      <c r="DM26" s="41"/>
      <c r="DN26" s="41"/>
      <c r="DO26" s="230"/>
      <c r="DP26" s="230"/>
      <c r="DQ26" s="41"/>
      <c r="DR26" s="41"/>
      <c r="DS26" s="41"/>
      <c r="DT26" s="41"/>
      <c r="DU26" s="41"/>
      <c r="DV26" s="230"/>
      <c r="DW26" s="230"/>
      <c r="DX26" s="41"/>
      <c r="DY26" s="41"/>
      <c r="DZ26" s="41"/>
      <c r="EA26" s="41"/>
      <c r="EB26" s="41"/>
      <c r="EC26" s="230"/>
      <c r="ED26" s="230"/>
      <c r="EE26" s="41"/>
      <c r="EF26" s="41"/>
      <c r="EG26" s="41"/>
      <c r="EH26" s="41"/>
      <c r="EI26" s="41"/>
      <c r="EJ26" s="230"/>
      <c r="EK26" s="230"/>
      <c r="EL26" s="41"/>
      <c r="EM26" s="41"/>
      <c r="EN26" s="41"/>
      <c r="EO26" s="41"/>
      <c r="EP26" s="41"/>
      <c r="EQ26" s="230"/>
      <c r="ER26" s="230"/>
      <c r="ES26" s="41"/>
      <c r="ET26" s="41"/>
      <c r="EU26" s="41"/>
      <c r="EV26" s="41"/>
      <c r="EW26" s="41"/>
      <c r="EX26" s="230"/>
      <c r="EY26" s="230"/>
      <c r="EZ26" s="41"/>
      <c r="FA26" s="41"/>
      <c r="FB26" s="41"/>
      <c r="FC26" s="41"/>
      <c r="FD26" s="41"/>
      <c r="FE26" s="230"/>
      <c r="FF26" s="230"/>
      <c r="FG26" s="41"/>
      <c r="FH26" s="41"/>
      <c r="FI26" s="41"/>
      <c r="FJ26" s="41"/>
      <c r="FK26" s="41"/>
      <c r="FL26" s="230"/>
      <c r="FM26" s="230"/>
      <c r="FN26" s="41"/>
      <c r="FO26" s="41"/>
      <c r="FP26" s="41"/>
      <c r="FQ26" s="41"/>
      <c r="FR26" s="41"/>
      <c r="FS26" s="230"/>
      <c r="FT26" s="230"/>
      <c r="FU26" s="41"/>
      <c r="FV26" s="41"/>
      <c r="FW26" s="41"/>
      <c r="FX26" s="41"/>
      <c r="FY26" s="41"/>
      <c r="FZ26" s="230"/>
      <c r="GA26" s="230"/>
      <c r="GB26" s="41"/>
      <c r="GC26" s="41"/>
      <c r="GD26" s="41"/>
      <c r="GE26" s="41"/>
      <c r="GF26" s="41"/>
      <c r="GG26" s="230"/>
      <c r="GH26" s="230"/>
      <c r="GI26" s="41"/>
      <c r="GJ26" s="41"/>
      <c r="GK26" s="41"/>
      <c r="GL26" s="41"/>
      <c r="GM26" s="41"/>
      <c r="GN26" s="230"/>
      <c r="GO26" s="230"/>
      <c r="GP26" s="41"/>
      <c r="GQ26" s="41"/>
      <c r="GR26" s="41"/>
      <c r="GS26" s="41"/>
      <c r="GT26" s="41"/>
      <c r="GU26" s="230"/>
      <c r="GV26" s="230"/>
      <c r="GW26" s="41" t="s">
        <v>460</v>
      </c>
      <c r="GX26" s="41"/>
      <c r="GY26" s="41"/>
      <c r="GZ26" s="41"/>
      <c r="HA26" s="41"/>
      <c r="HB26" s="230"/>
      <c r="HC26" s="230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234"/>
      <c r="HQ26" s="234"/>
      <c r="HR26" s="41"/>
      <c r="HS26" s="41"/>
      <c r="HT26" s="41"/>
      <c r="HU26" s="41"/>
      <c r="HV26" s="41"/>
      <c r="HW26" s="234"/>
      <c r="HX26" s="234"/>
      <c r="HY26" s="41"/>
      <c r="HZ26" s="41"/>
      <c r="IA26" s="41"/>
      <c r="IB26" s="41"/>
      <c r="IC26" s="41"/>
      <c r="ID26" s="234"/>
      <c r="IE26" s="234"/>
      <c r="IF26" s="41"/>
      <c r="IG26" s="41"/>
      <c r="IH26" s="41"/>
      <c r="II26" s="41"/>
      <c r="IJ26" s="41"/>
      <c r="IK26" s="234"/>
      <c r="IL26" s="234"/>
      <c r="IM26" s="41"/>
      <c r="IN26" s="41"/>
      <c r="IO26" s="41"/>
      <c r="IP26" s="41"/>
      <c r="IQ26" s="41"/>
      <c r="IR26" s="234"/>
      <c r="IS26" s="234"/>
      <c r="IT26" s="41"/>
      <c r="IU26" s="41"/>
      <c r="IV26" s="41"/>
      <c r="IW26" s="41"/>
      <c r="IX26" s="41"/>
      <c r="IY26" s="234"/>
      <c r="IZ26" s="234"/>
      <c r="JA26" s="41"/>
      <c r="JB26" s="41"/>
      <c r="JC26" s="41"/>
      <c r="JD26" s="41"/>
      <c r="JE26" s="41"/>
      <c r="JF26" s="234"/>
      <c r="JG26" s="234"/>
      <c r="JH26" s="41"/>
      <c r="JI26" s="41"/>
      <c r="JJ26" s="41"/>
      <c r="JK26" s="41"/>
      <c r="JL26" s="41"/>
      <c r="JM26" s="234"/>
      <c r="JN26" s="234"/>
      <c r="JO26" s="41"/>
      <c r="JP26" s="41"/>
      <c r="JQ26" s="41"/>
      <c r="JR26" s="41"/>
      <c r="JS26" s="41"/>
      <c r="JT26" s="234"/>
      <c r="JU26" s="234"/>
      <c r="JV26" s="41"/>
      <c r="JW26" s="41"/>
      <c r="JX26" s="41"/>
      <c r="JY26" s="41"/>
      <c r="JZ26" s="41"/>
      <c r="KA26" s="234"/>
      <c r="KB26" s="234"/>
      <c r="KC26" s="41"/>
      <c r="KD26" s="41"/>
      <c r="KE26" s="41"/>
      <c r="KF26" s="41"/>
      <c r="KG26" s="41"/>
      <c r="KH26" s="234"/>
      <c r="KI26" s="234"/>
      <c r="KJ26" s="41"/>
      <c r="KK26" s="41"/>
      <c r="KL26" s="41"/>
      <c r="KM26" s="41"/>
      <c r="KN26" s="41"/>
      <c r="KO26" s="234"/>
      <c r="KP26" s="234"/>
      <c r="KQ26" s="41"/>
      <c r="KR26" s="41"/>
      <c r="KS26" s="41"/>
      <c r="KT26" s="41"/>
      <c r="KU26" s="41"/>
      <c r="KV26" s="234"/>
      <c r="KW26" s="234"/>
      <c r="KX26" s="41"/>
      <c r="KY26" s="41"/>
      <c r="KZ26" s="41"/>
      <c r="LA26" s="41"/>
      <c r="LB26" s="41"/>
      <c r="LC26" s="234"/>
      <c r="LD26" s="234"/>
      <c r="LE26" s="41"/>
      <c r="LF26" s="41"/>
      <c r="LG26" s="41"/>
      <c r="LH26" s="41"/>
      <c r="LI26" s="41"/>
      <c r="LJ26" s="234"/>
      <c r="LK26" s="234"/>
      <c r="LL26" s="41"/>
      <c r="LM26" s="41"/>
      <c r="LN26" s="41"/>
      <c r="LO26" s="41"/>
      <c r="LP26" s="41"/>
      <c r="LQ26" s="234"/>
      <c r="LR26" s="234"/>
      <c r="LS26" s="41"/>
      <c r="LT26" s="41"/>
      <c r="LU26" s="41"/>
      <c r="LV26" s="41"/>
      <c r="LW26" s="41"/>
      <c r="LX26" s="234"/>
      <c r="LY26" s="234"/>
      <c r="LZ26" s="41"/>
      <c r="MA26" s="41"/>
      <c r="MB26" s="41"/>
      <c r="MC26" s="41"/>
      <c r="MD26" s="41"/>
      <c r="ME26" s="234"/>
      <c r="MF26" s="234"/>
      <c r="MG26" s="41"/>
      <c r="MH26" s="41"/>
      <c r="MI26" s="41"/>
      <c r="MJ26" s="41"/>
      <c r="MK26" s="41"/>
      <c r="ML26" s="234"/>
      <c r="MM26" s="234"/>
      <c r="MN26" s="41"/>
      <c r="MO26" s="41"/>
      <c r="MP26" s="41"/>
      <c r="MQ26" s="41"/>
      <c r="MR26" s="41"/>
      <c r="MS26" s="234"/>
      <c r="MT26" s="234"/>
      <c r="MU26" s="41"/>
      <c r="MV26" s="41"/>
      <c r="MW26" s="41"/>
      <c r="MX26" s="41"/>
      <c r="MY26" s="41"/>
      <c r="MZ26" s="234"/>
      <c r="NA26" s="234"/>
      <c r="NB26" s="41"/>
      <c r="NC26" s="41"/>
      <c r="ND26" s="41"/>
      <c r="NE26" s="41"/>
      <c r="NF26" s="41"/>
      <c r="NG26" s="234"/>
      <c r="NH26" s="234"/>
      <c r="NI26" s="41"/>
      <c r="NJ26" s="41"/>
      <c r="NK26" s="41"/>
      <c r="NL26" s="41"/>
      <c r="NM26" s="41"/>
      <c r="NN26" s="234"/>
      <c r="NO26" s="234"/>
      <c r="NP26" s="41"/>
      <c r="NQ26" s="41"/>
      <c r="NR26" s="41"/>
      <c r="NS26" s="41"/>
      <c r="NT26" s="41"/>
      <c r="NU26" s="230"/>
      <c r="NV26" s="230"/>
    </row>
    <row r="27" spans="2:386" x14ac:dyDescent="0.3">
      <c r="D27" s="207" t="s">
        <v>7</v>
      </c>
      <c r="E27" s="190" t="s">
        <v>8</v>
      </c>
      <c r="F27" s="146" t="s">
        <v>15</v>
      </c>
      <c r="G27" s="159" t="s">
        <v>243</v>
      </c>
      <c r="H27" s="160" t="s">
        <v>245</v>
      </c>
      <c r="I27" s="125" t="s">
        <v>460</v>
      </c>
      <c r="J27" s="125" t="s">
        <v>460</v>
      </c>
      <c r="K27" s="125" t="s">
        <v>460</v>
      </c>
      <c r="L27" s="125" t="s">
        <v>460</v>
      </c>
      <c r="M27" s="125" t="s">
        <v>460</v>
      </c>
      <c r="N27" s="230"/>
      <c r="O27" s="230"/>
      <c r="P27" s="41"/>
      <c r="Q27" s="41"/>
      <c r="R27" s="41"/>
      <c r="S27" s="41"/>
      <c r="T27" s="41"/>
      <c r="U27" s="230"/>
      <c r="V27" s="230"/>
      <c r="W27" s="41"/>
      <c r="X27" s="41"/>
      <c r="Y27" s="41"/>
      <c r="Z27" s="41"/>
      <c r="AA27" s="41"/>
      <c r="AB27" s="230"/>
      <c r="AC27" s="230"/>
      <c r="AD27" s="41"/>
      <c r="AE27" s="41"/>
      <c r="AF27" s="41"/>
      <c r="AG27" s="41"/>
      <c r="AH27" s="41"/>
      <c r="AI27" s="230"/>
      <c r="AJ27" s="230"/>
      <c r="AK27" s="41"/>
      <c r="AL27" s="41"/>
      <c r="AM27" s="41"/>
      <c r="AN27" s="41"/>
      <c r="AO27" s="41"/>
      <c r="AP27" s="230"/>
      <c r="AQ27" s="230"/>
      <c r="AR27" s="41"/>
      <c r="AS27" s="41"/>
      <c r="AT27" s="41"/>
      <c r="AU27" s="41"/>
      <c r="AV27" s="41"/>
      <c r="AW27" s="230"/>
      <c r="AX27" s="230"/>
      <c r="AY27" s="41"/>
      <c r="AZ27" s="41"/>
      <c r="BA27" s="41"/>
      <c r="BB27" s="41"/>
      <c r="BC27" s="41"/>
      <c r="BD27" s="230"/>
      <c r="BE27" s="230"/>
      <c r="BF27" s="41"/>
      <c r="BG27" s="41"/>
      <c r="BH27" s="41"/>
      <c r="BI27" s="41"/>
      <c r="BJ27" s="41"/>
      <c r="BK27" s="230"/>
      <c r="BL27" s="230"/>
      <c r="BM27" s="41"/>
      <c r="BN27" s="41"/>
      <c r="BO27" s="41"/>
      <c r="BP27" s="41"/>
      <c r="BQ27" s="41"/>
      <c r="BR27" s="230"/>
      <c r="BS27" s="230"/>
      <c r="BT27" s="41"/>
      <c r="BU27" s="41"/>
      <c r="BV27" s="41"/>
      <c r="BW27" s="41"/>
      <c r="BX27" s="41"/>
      <c r="BY27" s="230"/>
      <c r="BZ27" s="230"/>
      <c r="CA27" s="41"/>
      <c r="CB27" s="41"/>
      <c r="CC27" s="41"/>
      <c r="CD27" s="41"/>
      <c r="CE27" s="41"/>
      <c r="CF27" s="230"/>
      <c r="CG27" s="230"/>
      <c r="CH27" s="41"/>
      <c r="CI27" s="41"/>
      <c r="CJ27" s="41"/>
      <c r="CK27" s="41"/>
      <c r="CL27" s="41"/>
      <c r="CM27" s="230"/>
      <c r="CN27" s="230"/>
      <c r="CO27" s="41"/>
      <c r="CP27" s="41"/>
      <c r="CQ27" s="41"/>
      <c r="CR27" s="41"/>
      <c r="CS27" s="41"/>
      <c r="CT27" s="230"/>
      <c r="CU27" s="230"/>
      <c r="CV27" s="41"/>
      <c r="CW27" s="41"/>
      <c r="CX27" s="41"/>
      <c r="CY27" s="41"/>
      <c r="CZ27" s="41"/>
      <c r="DA27" s="230"/>
      <c r="DB27" s="230"/>
      <c r="DC27" s="41"/>
      <c r="DD27" s="41"/>
      <c r="DE27" s="41"/>
      <c r="DF27" s="41"/>
      <c r="DG27" s="41"/>
      <c r="DH27" s="230"/>
      <c r="DI27" s="230"/>
      <c r="DJ27" s="41"/>
      <c r="DK27" s="41"/>
      <c r="DL27" s="41"/>
      <c r="DM27" s="41"/>
      <c r="DN27" s="41"/>
      <c r="DO27" s="230"/>
      <c r="DP27" s="230"/>
      <c r="DQ27" s="41"/>
      <c r="DR27" s="41"/>
      <c r="DS27" s="41"/>
      <c r="DT27" s="41"/>
      <c r="DU27" s="41"/>
      <c r="DV27" s="230"/>
      <c r="DW27" s="230"/>
      <c r="DX27" s="41"/>
      <c r="DY27" s="41"/>
      <c r="DZ27" s="41"/>
      <c r="EA27" s="41"/>
      <c r="EB27" s="41"/>
      <c r="EC27" s="230"/>
      <c r="ED27" s="230"/>
      <c r="EE27" s="41" t="s">
        <v>460</v>
      </c>
      <c r="EF27" s="41" t="s">
        <v>460</v>
      </c>
      <c r="EG27" s="41" t="s">
        <v>460</v>
      </c>
      <c r="EH27" s="41" t="s">
        <v>460</v>
      </c>
      <c r="EI27" s="41" t="s">
        <v>460</v>
      </c>
      <c r="EJ27" s="230"/>
      <c r="EK27" s="230"/>
      <c r="EL27" s="41"/>
      <c r="EM27" s="41"/>
      <c r="EN27" s="41"/>
      <c r="EO27" s="41"/>
      <c r="EP27" s="41"/>
      <c r="EQ27" s="230"/>
      <c r="ER27" s="230"/>
      <c r="ES27" s="41"/>
      <c r="ET27" s="41"/>
      <c r="EU27" s="41"/>
      <c r="EV27" s="41"/>
      <c r="EW27" s="41"/>
      <c r="EX27" s="230"/>
      <c r="EY27" s="230"/>
      <c r="EZ27" s="41"/>
      <c r="FA27" s="41"/>
      <c r="FB27" s="41"/>
      <c r="FC27" s="41" t="s">
        <v>460</v>
      </c>
      <c r="FD27" s="41" t="s">
        <v>460</v>
      </c>
      <c r="FE27" s="230"/>
      <c r="FF27" s="230"/>
      <c r="FG27" s="41"/>
      <c r="FH27" s="41"/>
      <c r="FI27" s="41"/>
      <c r="FJ27" s="41"/>
      <c r="FK27" s="41"/>
      <c r="FL27" s="230"/>
      <c r="FM27" s="230"/>
      <c r="FN27" s="41"/>
      <c r="FO27" s="41"/>
      <c r="FP27" s="41"/>
      <c r="FQ27" s="41"/>
      <c r="FR27" s="41"/>
      <c r="FS27" s="230"/>
      <c r="FT27" s="230"/>
      <c r="FU27" s="41"/>
      <c r="FV27" s="41"/>
      <c r="FW27" s="41"/>
      <c r="FX27" s="41"/>
      <c r="FY27" s="41"/>
      <c r="FZ27" s="230"/>
      <c r="GA27" s="230"/>
      <c r="GB27" s="41"/>
      <c r="GC27" s="41"/>
      <c r="GD27" s="41"/>
      <c r="GE27" s="41"/>
      <c r="GF27" s="41"/>
      <c r="GG27" s="230"/>
      <c r="GH27" s="230"/>
      <c r="GI27" s="41"/>
      <c r="GJ27" s="41"/>
      <c r="GK27" s="41"/>
      <c r="GL27" s="41"/>
      <c r="GM27" s="41"/>
      <c r="GN27" s="230"/>
      <c r="GO27" s="230"/>
      <c r="GP27" s="41"/>
      <c r="GQ27" s="41"/>
      <c r="GR27" s="41"/>
      <c r="GS27" s="41"/>
      <c r="GT27" s="41"/>
      <c r="GU27" s="230"/>
      <c r="GV27" s="230"/>
      <c r="GW27" s="41" t="s">
        <v>460</v>
      </c>
      <c r="GX27" s="41"/>
      <c r="GY27" s="41"/>
      <c r="GZ27" s="41"/>
      <c r="HA27" s="41"/>
      <c r="HB27" s="230"/>
      <c r="HC27" s="230"/>
      <c r="HD27" s="41" t="s">
        <v>460</v>
      </c>
      <c r="HE27" s="41" t="s">
        <v>460</v>
      </c>
      <c r="HF27" s="41" t="s">
        <v>460</v>
      </c>
      <c r="HG27" s="41" t="s">
        <v>460</v>
      </c>
      <c r="HH27" s="41" t="s">
        <v>460</v>
      </c>
      <c r="HI27" s="234"/>
      <c r="HJ27" s="234"/>
      <c r="HK27" s="41" t="s">
        <v>460</v>
      </c>
      <c r="HL27" s="41" t="s">
        <v>460</v>
      </c>
      <c r="HM27" s="41" t="s">
        <v>460</v>
      </c>
      <c r="HN27" s="41" t="s">
        <v>460</v>
      </c>
      <c r="HO27" s="41" t="s">
        <v>460</v>
      </c>
      <c r="HP27" s="234"/>
      <c r="HQ27" s="234"/>
      <c r="HR27" s="41" t="s">
        <v>460</v>
      </c>
      <c r="HS27" s="41" t="s">
        <v>460</v>
      </c>
      <c r="HT27" s="41" t="s">
        <v>460</v>
      </c>
      <c r="HU27" s="41" t="s">
        <v>460</v>
      </c>
      <c r="HV27" s="41" t="s">
        <v>460</v>
      </c>
      <c r="HW27" s="234"/>
      <c r="HX27" s="234"/>
      <c r="HY27" s="41"/>
      <c r="HZ27" s="41"/>
      <c r="IA27" s="41"/>
      <c r="IB27" s="41"/>
      <c r="IC27" s="41"/>
      <c r="ID27" s="234"/>
      <c r="IE27" s="234"/>
      <c r="IF27" s="41"/>
      <c r="IG27" s="41"/>
      <c r="IH27" s="41"/>
      <c r="II27" s="41"/>
      <c r="IJ27" s="41"/>
      <c r="IK27" s="234"/>
      <c r="IL27" s="234"/>
      <c r="IM27" s="41"/>
      <c r="IN27" s="41"/>
      <c r="IO27" s="41"/>
      <c r="IP27" s="41"/>
      <c r="IQ27" s="41"/>
      <c r="IR27" s="234"/>
      <c r="IS27" s="234"/>
      <c r="IT27" s="41"/>
      <c r="IU27" s="41"/>
      <c r="IV27" s="41"/>
      <c r="IW27" s="41"/>
      <c r="IX27" s="41"/>
      <c r="IY27" s="234"/>
      <c r="IZ27" s="234"/>
      <c r="JA27" s="41"/>
      <c r="JB27" s="41"/>
      <c r="JC27" s="41"/>
      <c r="JD27" s="41"/>
      <c r="JE27" s="41"/>
      <c r="JF27" s="234"/>
      <c r="JG27" s="234"/>
      <c r="JH27" s="41"/>
      <c r="JI27" s="41"/>
      <c r="JJ27" s="41"/>
      <c r="JK27" s="41"/>
      <c r="JL27" s="41"/>
      <c r="JM27" s="234"/>
      <c r="JN27" s="234"/>
      <c r="JO27" s="41"/>
      <c r="JP27" s="41"/>
      <c r="JQ27" s="41"/>
      <c r="JR27" s="41"/>
      <c r="JS27" s="41"/>
      <c r="JT27" s="234"/>
      <c r="JU27" s="234"/>
      <c r="JV27" s="41"/>
      <c r="JW27" s="41"/>
      <c r="JX27" s="41"/>
      <c r="JY27" s="41"/>
      <c r="JZ27" s="41"/>
      <c r="KA27" s="234"/>
      <c r="KB27" s="234"/>
      <c r="KC27" s="41"/>
      <c r="KD27" s="41"/>
      <c r="KE27" s="41"/>
      <c r="KF27" s="41"/>
      <c r="KG27" s="41"/>
      <c r="KH27" s="234"/>
      <c r="KI27" s="234"/>
      <c r="KJ27" s="41"/>
      <c r="KK27" s="41"/>
      <c r="KL27" s="41"/>
      <c r="KM27" s="41"/>
      <c r="KN27" s="41"/>
      <c r="KO27" s="234"/>
      <c r="KP27" s="234"/>
      <c r="KQ27" s="41"/>
      <c r="KR27" s="41"/>
      <c r="KS27" s="41"/>
      <c r="KT27" s="41"/>
      <c r="KU27" s="41"/>
      <c r="KV27" s="234"/>
      <c r="KW27" s="234"/>
      <c r="KX27" s="41"/>
      <c r="KY27" s="41"/>
      <c r="KZ27" s="41"/>
      <c r="LA27" s="41"/>
      <c r="LB27" s="41"/>
      <c r="LC27" s="234"/>
      <c r="LD27" s="234"/>
      <c r="LE27" s="41"/>
      <c r="LF27" s="41"/>
      <c r="LG27" s="41"/>
      <c r="LH27" s="41"/>
      <c r="LI27" s="41"/>
      <c r="LJ27" s="234"/>
      <c r="LK27" s="234"/>
      <c r="LL27" s="41"/>
      <c r="LM27" s="41"/>
      <c r="LN27" s="41"/>
      <c r="LO27" s="41"/>
      <c r="LP27" s="41"/>
      <c r="LQ27" s="234"/>
      <c r="LR27" s="234"/>
      <c r="LS27" s="41"/>
      <c r="LT27" s="41"/>
      <c r="LU27" s="41"/>
      <c r="LV27" s="41"/>
      <c r="LW27" s="41"/>
      <c r="LX27" s="234"/>
      <c r="LY27" s="234"/>
      <c r="LZ27" s="41"/>
      <c r="MA27" s="41"/>
      <c r="MB27" s="41"/>
      <c r="MC27" s="41"/>
      <c r="MD27" s="41"/>
      <c r="ME27" s="234"/>
      <c r="MF27" s="234"/>
      <c r="MG27" s="41"/>
      <c r="MH27" s="41"/>
      <c r="MI27" s="41"/>
      <c r="MJ27" s="41"/>
      <c r="MK27" s="41"/>
      <c r="ML27" s="234"/>
      <c r="MM27" s="234"/>
      <c r="MN27" s="41"/>
      <c r="MO27" s="41"/>
      <c r="MP27" s="41"/>
      <c r="MQ27" s="41"/>
      <c r="MR27" s="41"/>
      <c r="MS27" s="234"/>
      <c r="MT27" s="234"/>
      <c r="MU27" s="41"/>
      <c r="MV27" s="41"/>
      <c r="MW27" s="41"/>
      <c r="MX27" s="41"/>
      <c r="MY27" s="41"/>
      <c r="MZ27" s="234"/>
      <c r="NA27" s="234"/>
      <c r="NB27" s="41"/>
      <c r="NC27" s="41"/>
      <c r="ND27" s="41"/>
      <c r="NE27" s="41"/>
      <c r="NF27" s="41"/>
      <c r="NG27" s="234"/>
      <c r="NH27" s="234"/>
      <c r="NI27" s="41"/>
      <c r="NJ27" s="41"/>
      <c r="NK27" s="41"/>
      <c r="NL27" s="41"/>
      <c r="NM27" s="41"/>
      <c r="NN27" s="234"/>
      <c r="NO27" s="234"/>
      <c r="NP27" s="41"/>
      <c r="NQ27" s="41"/>
      <c r="NR27" s="41"/>
      <c r="NS27" s="41"/>
      <c r="NT27" s="41"/>
      <c r="NU27" s="230"/>
      <c r="NV27" s="230"/>
    </row>
    <row r="28" spans="2:386" hidden="1" x14ac:dyDescent="0.3">
      <c r="D28" s="206" t="s">
        <v>7</v>
      </c>
      <c r="E28" s="190" t="s">
        <v>8</v>
      </c>
      <c r="F28" s="146" t="s">
        <v>44</v>
      </c>
      <c r="G28" s="149" t="s">
        <v>246</v>
      </c>
      <c r="H28" s="150" t="s">
        <v>247</v>
      </c>
      <c r="I28" s="125" t="s">
        <v>44</v>
      </c>
      <c r="J28" s="125" t="s">
        <v>44</v>
      </c>
      <c r="K28" s="125" t="s">
        <v>460</v>
      </c>
      <c r="L28" s="125" t="s">
        <v>44</v>
      </c>
      <c r="M28" s="125" t="s">
        <v>44</v>
      </c>
      <c r="N28" s="230"/>
      <c r="O28" s="230"/>
      <c r="P28" s="41"/>
      <c r="Q28" s="41"/>
      <c r="R28" s="41"/>
      <c r="S28" s="41"/>
      <c r="T28" s="41"/>
      <c r="U28" s="230"/>
      <c r="V28" s="230"/>
      <c r="W28" s="41"/>
      <c r="X28" s="41"/>
      <c r="Y28" s="41"/>
      <c r="Z28" s="41"/>
      <c r="AA28" s="41"/>
      <c r="AB28" s="230"/>
      <c r="AC28" s="230"/>
      <c r="AD28" s="41"/>
      <c r="AE28" s="41"/>
      <c r="AF28" s="41"/>
      <c r="AG28" s="41"/>
      <c r="AH28" s="41"/>
      <c r="AI28" s="230"/>
      <c r="AJ28" s="230"/>
      <c r="AK28" s="41"/>
      <c r="AL28" s="41"/>
      <c r="AM28" s="41"/>
      <c r="AN28" s="41"/>
      <c r="AO28" s="41"/>
      <c r="AP28" s="230"/>
      <c r="AQ28" s="230"/>
      <c r="AR28" s="41"/>
      <c r="AS28" s="41"/>
      <c r="AT28" s="41"/>
      <c r="AU28" s="41"/>
      <c r="AV28" s="41"/>
      <c r="AW28" s="230"/>
      <c r="AX28" s="230"/>
      <c r="AY28" s="41"/>
      <c r="AZ28" s="41"/>
      <c r="BA28" s="41"/>
      <c r="BB28" s="41"/>
      <c r="BC28" s="41"/>
      <c r="BD28" s="230"/>
      <c r="BE28" s="230"/>
      <c r="BF28" s="41"/>
      <c r="BG28" s="41"/>
      <c r="BH28" s="41"/>
      <c r="BI28" s="41"/>
      <c r="BJ28" s="41"/>
      <c r="BK28" s="230"/>
      <c r="BL28" s="230"/>
      <c r="BM28" s="41"/>
      <c r="BN28" s="41"/>
      <c r="BO28" s="41"/>
      <c r="BP28" s="41"/>
      <c r="BQ28" s="41"/>
      <c r="BR28" s="230"/>
      <c r="BS28" s="230"/>
      <c r="BT28" s="41"/>
      <c r="BU28" s="41"/>
      <c r="BV28" s="41"/>
      <c r="BW28" s="41"/>
      <c r="BX28" s="41"/>
      <c r="BY28" s="230"/>
      <c r="BZ28" s="230"/>
      <c r="CA28" s="41"/>
      <c r="CB28" s="41"/>
      <c r="CC28" s="41"/>
      <c r="CD28" s="41"/>
      <c r="CE28" s="41"/>
      <c r="CF28" s="230"/>
      <c r="CG28" s="230"/>
      <c r="CH28" s="41"/>
      <c r="CI28" s="41"/>
      <c r="CJ28" s="41"/>
      <c r="CK28" s="41"/>
      <c r="CL28" s="41"/>
      <c r="CM28" s="230"/>
      <c r="CN28" s="230"/>
      <c r="CO28" s="41"/>
      <c r="CP28" s="41"/>
      <c r="CQ28" s="41"/>
      <c r="CR28" s="41"/>
      <c r="CS28" s="41"/>
      <c r="CT28" s="230"/>
      <c r="CU28" s="230"/>
      <c r="CV28" s="41"/>
      <c r="CW28" s="41"/>
      <c r="CX28" s="41"/>
      <c r="CY28" s="41"/>
      <c r="CZ28" s="41"/>
      <c r="DA28" s="230"/>
      <c r="DB28" s="230"/>
      <c r="DC28" s="41"/>
      <c r="DD28" s="41"/>
      <c r="DE28" s="41"/>
      <c r="DF28" s="41"/>
      <c r="DG28" s="41"/>
      <c r="DH28" s="230"/>
      <c r="DI28" s="230"/>
      <c r="DJ28" s="41"/>
      <c r="DK28" s="41"/>
      <c r="DL28" s="41"/>
      <c r="DM28" s="41"/>
      <c r="DN28" s="41"/>
      <c r="DO28" s="230"/>
      <c r="DP28" s="230"/>
      <c r="DQ28" s="41"/>
      <c r="DR28" s="41"/>
      <c r="DS28" s="41"/>
      <c r="DT28" s="41"/>
      <c r="DU28" s="41"/>
      <c r="DV28" s="230"/>
      <c r="DW28" s="234"/>
      <c r="DX28" s="41"/>
      <c r="DY28" s="41"/>
      <c r="DZ28" s="41"/>
      <c r="EA28" s="41"/>
      <c r="EB28" s="41"/>
      <c r="EC28" s="230"/>
      <c r="ED28" s="230"/>
      <c r="EE28" s="41"/>
      <c r="EF28" s="41"/>
      <c r="EG28" s="41"/>
      <c r="EH28" s="41"/>
      <c r="EI28" s="41"/>
      <c r="EJ28" s="230"/>
      <c r="EK28" s="230"/>
      <c r="EL28" s="41"/>
      <c r="EM28" s="41"/>
      <c r="EN28" s="41"/>
      <c r="EO28" s="41"/>
      <c r="EP28" s="41"/>
      <c r="EQ28" s="230"/>
      <c r="ER28" s="230"/>
      <c r="ES28" s="41"/>
      <c r="ET28" s="41"/>
      <c r="EU28" s="41"/>
      <c r="EV28" s="41"/>
      <c r="EW28" s="41"/>
      <c r="EX28" s="230"/>
      <c r="EY28" s="230"/>
      <c r="EZ28" s="41"/>
      <c r="FA28" s="41"/>
      <c r="FB28" s="41"/>
      <c r="FC28" s="41"/>
      <c r="FD28" s="41"/>
      <c r="FE28" s="230"/>
      <c r="FF28" s="230"/>
      <c r="FG28" s="41"/>
      <c r="FH28" s="41"/>
      <c r="FI28" s="41"/>
      <c r="FJ28" s="41"/>
      <c r="FK28" s="41"/>
      <c r="FL28" s="230"/>
      <c r="FM28" s="230"/>
      <c r="FN28" s="41"/>
      <c r="FO28" s="41"/>
      <c r="FP28" s="41"/>
      <c r="FQ28" s="41"/>
      <c r="FR28" s="41"/>
      <c r="FS28" s="230"/>
      <c r="FT28" s="230"/>
      <c r="FU28" s="41"/>
      <c r="FV28" s="41"/>
      <c r="FW28" s="41"/>
      <c r="FX28" s="41"/>
      <c r="FY28" s="41"/>
      <c r="FZ28" s="230"/>
      <c r="GA28" s="230"/>
      <c r="GB28" s="41"/>
      <c r="GC28" s="41"/>
      <c r="GD28" s="41"/>
      <c r="GE28" s="41"/>
      <c r="GF28" s="41"/>
      <c r="GG28" s="230"/>
      <c r="GH28" s="230"/>
      <c r="GI28" s="41"/>
      <c r="GJ28" s="41"/>
      <c r="GK28" s="41"/>
      <c r="GL28" s="41"/>
      <c r="GM28" s="41"/>
      <c r="GN28" s="230"/>
      <c r="GO28" s="230"/>
      <c r="GP28" s="41"/>
      <c r="GQ28" s="41"/>
      <c r="GR28" s="41"/>
      <c r="GS28" s="41"/>
      <c r="GT28" s="41"/>
      <c r="GU28" s="230"/>
      <c r="GV28" s="230"/>
      <c r="GW28" s="41" t="s">
        <v>460</v>
      </c>
      <c r="GX28" s="41"/>
      <c r="GY28" s="41"/>
      <c r="GZ28" s="41"/>
      <c r="HA28" s="41"/>
      <c r="HB28" s="230"/>
      <c r="HC28" s="230"/>
      <c r="HD28" s="41"/>
      <c r="HE28" s="41"/>
      <c r="HF28" s="41"/>
      <c r="HG28" s="41"/>
      <c r="HH28" s="41"/>
      <c r="HI28" s="234"/>
      <c r="HJ28" s="234"/>
      <c r="HK28" s="41"/>
      <c r="HL28" s="41"/>
      <c r="HM28" s="41"/>
      <c r="HN28" s="41"/>
      <c r="HO28" s="41"/>
      <c r="HP28" s="234"/>
      <c r="HQ28" s="234"/>
      <c r="HR28" s="41"/>
      <c r="HS28" s="41"/>
      <c r="HT28" s="41"/>
      <c r="HU28" s="41"/>
      <c r="HV28" s="41"/>
      <c r="HW28" s="234"/>
      <c r="HX28" s="234"/>
      <c r="HY28" s="41"/>
      <c r="HZ28" s="41"/>
      <c r="IA28" s="41"/>
      <c r="IB28" s="41"/>
      <c r="IC28" s="41"/>
      <c r="ID28" s="234"/>
      <c r="IE28" s="234"/>
      <c r="IF28" s="41"/>
      <c r="IG28" s="41"/>
      <c r="IH28" s="41"/>
      <c r="II28" s="41"/>
      <c r="IJ28" s="41"/>
      <c r="IK28" s="234"/>
      <c r="IL28" s="234"/>
      <c r="IM28" s="41"/>
      <c r="IN28" s="41"/>
      <c r="IO28" s="41"/>
      <c r="IP28" s="41"/>
      <c r="IQ28" s="41"/>
      <c r="IR28" s="234"/>
      <c r="IS28" s="234"/>
      <c r="IT28" s="41"/>
      <c r="IU28" s="41"/>
      <c r="IV28" s="41"/>
      <c r="IW28" s="41"/>
      <c r="IX28" s="41"/>
      <c r="IY28" s="234"/>
      <c r="IZ28" s="234"/>
      <c r="JA28" s="41"/>
      <c r="JB28" s="41"/>
      <c r="JC28" s="41"/>
      <c r="JD28" s="41"/>
      <c r="JE28" s="41"/>
      <c r="JF28" s="234"/>
      <c r="JG28" s="234"/>
      <c r="JH28" s="41"/>
      <c r="JI28" s="41"/>
      <c r="JJ28" s="41"/>
      <c r="JK28" s="41"/>
      <c r="JL28" s="41"/>
      <c r="JM28" s="234"/>
      <c r="JN28" s="234"/>
      <c r="JO28" s="41"/>
      <c r="JP28" s="41"/>
      <c r="JQ28" s="41"/>
      <c r="JR28" s="41"/>
      <c r="JS28" s="41"/>
      <c r="JT28" s="234"/>
      <c r="JU28" s="234"/>
      <c r="JV28" s="41"/>
      <c r="JW28" s="41"/>
      <c r="JX28" s="41"/>
      <c r="JY28" s="41"/>
      <c r="JZ28" s="41"/>
      <c r="KA28" s="234"/>
      <c r="KB28" s="234"/>
      <c r="KC28" s="41"/>
      <c r="KD28" s="41"/>
      <c r="KE28" s="41"/>
      <c r="KF28" s="41"/>
      <c r="KG28" s="41"/>
      <c r="KH28" s="234"/>
      <c r="KI28" s="234"/>
      <c r="KJ28" s="41"/>
      <c r="KK28" s="41"/>
      <c r="KL28" s="41"/>
      <c r="KM28" s="41"/>
      <c r="KN28" s="41"/>
      <c r="KO28" s="234"/>
      <c r="KP28" s="234"/>
      <c r="KQ28" s="41"/>
      <c r="KR28" s="41"/>
      <c r="KS28" s="41"/>
      <c r="KT28" s="41"/>
      <c r="KU28" s="41"/>
      <c r="KV28" s="234"/>
      <c r="KW28" s="234"/>
      <c r="KX28" s="41"/>
      <c r="KY28" s="41"/>
      <c r="KZ28" s="41"/>
      <c r="LA28" s="41"/>
      <c r="LB28" s="41"/>
      <c r="LC28" s="234"/>
      <c r="LD28" s="234"/>
      <c r="LE28" s="41"/>
      <c r="LF28" s="41"/>
      <c r="LG28" s="41"/>
      <c r="LH28" s="41"/>
      <c r="LI28" s="41"/>
      <c r="LJ28" s="234"/>
      <c r="LK28" s="234"/>
      <c r="LL28" s="41"/>
      <c r="LM28" s="41"/>
      <c r="LN28" s="41"/>
      <c r="LO28" s="41"/>
      <c r="LP28" s="41"/>
      <c r="LQ28" s="234"/>
      <c r="LR28" s="234"/>
      <c r="LS28" s="41"/>
      <c r="LT28" s="41"/>
      <c r="LU28" s="41"/>
      <c r="LV28" s="41"/>
      <c r="LW28" s="41"/>
      <c r="LX28" s="234"/>
      <c r="LY28" s="234"/>
      <c r="LZ28" s="41"/>
      <c r="MA28" s="41"/>
      <c r="MB28" s="41"/>
      <c r="MC28" s="41"/>
      <c r="MD28" s="41"/>
      <c r="ME28" s="234"/>
      <c r="MF28" s="234"/>
      <c r="MG28" s="41"/>
      <c r="MH28" s="41"/>
      <c r="MI28" s="41"/>
      <c r="MJ28" s="41"/>
      <c r="MK28" s="41"/>
      <c r="ML28" s="234"/>
      <c r="MM28" s="234"/>
      <c r="MN28" s="41"/>
      <c r="MO28" s="41"/>
      <c r="MP28" s="41"/>
      <c r="MQ28" s="41"/>
      <c r="MR28" s="41"/>
      <c r="MS28" s="234"/>
      <c r="MT28" s="234"/>
      <c r="MU28" s="41"/>
      <c r="MV28" s="41"/>
      <c r="MW28" s="41"/>
      <c r="MX28" s="41"/>
      <c r="MY28" s="41"/>
      <c r="MZ28" s="234"/>
      <c r="NA28" s="234"/>
      <c r="NB28" s="41"/>
      <c r="NC28" s="41"/>
      <c r="ND28" s="41"/>
      <c r="NE28" s="41"/>
      <c r="NF28" s="41"/>
      <c r="NG28" s="234"/>
      <c r="NH28" s="234"/>
      <c r="NI28" s="41"/>
      <c r="NJ28" s="41"/>
      <c r="NK28" s="41"/>
      <c r="NL28" s="41"/>
      <c r="NM28" s="41"/>
      <c r="NN28" s="234"/>
      <c r="NO28" s="234"/>
      <c r="NP28" s="41"/>
      <c r="NQ28" s="41"/>
      <c r="NR28" s="41"/>
      <c r="NS28" s="41"/>
      <c r="NT28" s="41"/>
      <c r="NU28" s="230"/>
      <c r="NV28" s="230"/>
    </row>
    <row r="29" spans="2:386" hidden="1" x14ac:dyDescent="0.3">
      <c r="D29" s="206" t="s">
        <v>7</v>
      </c>
      <c r="E29" s="190" t="s">
        <v>8</v>
      </c>
      <c r="F29" s="146" t="s">
        <v>44</v>
      </c>
      <c r="G29" s="149" t="s">
        <v>277</v>
      </c>
      <c r="H29" s="150" t="s">
        <v>278</v>
      </c>
      <c r="I29" s="125" t="s">
        <v>44</v>
      </c>
      <c r="J29" s="125" t="s">
        <v>44</v>
      </c>
      <c r="K29" s="125" t="s">
        <v>460</v>
      </c>
      <c r="L29" s="125" t="s">
        <v>44</v>
      </c>
      <c r="M29" s="125" t="s">
        <v>44</v>
      </c>
      <c r="N29" s="230"/>
      <c r="O29" s="230"/>
      <c r="P29" s="41"/>
      <c r="Q29" s="41"/>
      <c r="R29" s="41"/>
      <c r="S29" s="41"/>
      <c r="T29" s="41"/>
      <c r="U29" s="230"/>
      <c r="V29" s="230"/>
      <c r="W29" s="41"/>
      <c r="X29" s="41"/>
      <c r="Y29" s="41"/>
      <c r="Z29" s="41"/>
      <c r="AA29" s="41"/>
      <c r="AB29" s="230"/>
      <c r="AC29" s="230"/>
      <c r="AD29" s="41"/>
      <c r="AE29" s="41"/>
      <c r="AF29" s="41"/>
      <c r="AG29" s="41"/>
      <c r="AH29" s="41"/>
      <c r="AI29" s="230"/>
      <c r="AJ29" s="230"/>
      <c r="AK29" s="41"/>
      <c r="AL29" s="41"/>
      <c r="AM29" s="41"/>
      <c r="AN29" s="41"/>
      <c r="AO29" s="41"/>
      <c r="AP29" s="230"/>
      <c r="AQ29" s="230"/>
      <c r="AR29" s="41"/>
      <c r="AS29" s="41"/>
      <c r="AT29" s="41"/>
      <c r="AU29" s="41"/>
      <c r="AV29" s="41"/>
      <c r="AW29" s="230"/>
      <c r="AX29" s="230"/>
      <c r="AY29" s="41"/>
      <c r="AZ29" s="41"/>
      <c r="BA29" s="41"/>
      <c r="BB29" s="41"/>
      <c r="BC29" s="41"/>
      <c r="BD29" s="230"/>
      <c r="BE29" s="230"/>
      <c r="BF29" s="41"/>
      <c r="BG29" s="41"/>
      <c r="BH29" s="41"/>
      <c r="BI29" s="41"/>
      <c r="BJ29" s="41"/>
      <c r="BK29" s="230"/>
      <c r="BL29" s="230"/>
      <c r="BM29" s="41"/>
      <c r="BN29" s="41"/>
      <c r="BO29" s="41"/>
      <c r="BP29" s="41"/>
      <c r="BQ29" s="41"/>
      <c r="BR29" s="230"/>
      <c r="BS29" s="230"/>
      <c r="BT29" s="41"/>
      <c r="BU29" s="41"/>
      <c r="BV29" s="41"/>
      <c r="BW29" s="41"/>
      <c r="BX29" s="41"/>
      <c r="BY29" s="230"/>
      <c r="BZ29" s="230"/>
      <c r="CA29" s="41"/>
      <c r="CB29" s="41"/>
      <c r="CC29" s="41"/>
      <c r="CD29" s="41"/>
      <c r="CE29" s="41"/>
      <c r="CF29" s="230"/>
      <c r="CG29" s="230"/>
      <c r="CH29" s="41"/>
      <c r="CI29" s="41"/>
      <c r="CJ29" s="41"/>
      <c r="CK29" s="41"/>
      <c r="CL29" s="41"/>
      <c r="CM29" s="230"/>
      <c r="CN29" s="230"/>
      <c r="CO29" s="41"/>
      <c r="CP29" s="41"/>
      <c r="CQ29" s="41"/>
      <c r="CR29" s="41"/>
      <c r="CS29" s="41"/>
      <c r="CT29" s="230"/>
      <c r="CU29" s="230"/>
      <c r="CV29" s="41"/>
      <c r="CW29" s="41"/>
      <c r="CX29" s="41"/>
      <c r="CY29" s="41"/>
      <c r="CZ29" s="41"/>
      <c r="DA29" s="230"/>
      <c r="DB29" s="230"/>
      <c r="DC29" s="41"/>
      <c r="DD29" s="41"/>
      <c r="DE29" s="41"/>
      <c r="DF29" s="41"/>
      <c r="DG29" s="41"/>
      <c r="DH29" s="230"/>
      <c r="DI29" s="230"/>
      <c r="DJ29" s="41"/>
      <c r="DK29" s="41"/>
      <c r="DL29" s="41"/>
      <c r="DM29" s="41"/>
      <c r="DN29" s="41"/>
      <c r="DO29" s="230"/>
      <c r="DP29" s="230"/>
      <c r="DQ29" s="41"/>
      <c r="DR29" s="41"/>
      <c r="DS29" s="41"/>
      <c r="DT29" s="41"/>
      <c r="DU29" s="41"/>
      <c r="DV29" s="230"/>
      <c r="DW29" s="234"/>
      <c r="DX29" s="41"/>
      <c r="DY29" s="41"/>
      <c r="DZ29" s="41"/>
      <c r="EA29" s="41"/>
      <c r="EB29" s="41"/>
      <c r="EC29" s="230"/>
      <c r="ED29" s="230"/>
      <c r="EE29" s="41"/>
      <c r="EF29" s="41"/>
      <c r="EG29" s="41"/>
      <c r="EH29" s="41"/>
      <c r="EI29" s="41"/>
      <c r="EJ29" s="230"/>
      <c r="EK29" s="230"/>
      <c r="EL29" s="41"/>
      <c r="EM29" s="41"/>
      <c r="EN29" s="41"/>
      <c r="EO29" s="41"/>
      <c r="EP29" s="41"/>
      <c r="EQ29" s="230"/>
      <c r="ER29" s="230"/>
      <c r="ES29" s="41"/>
      <c r="ET29" s="41"/>
      <c r="EU29" s="41"/>
      <c r="EV29" s="41"/>
      <c r="EW29" s="41"/>
      <c r="EX29" s="230"/>
      <c r="EY29" s="230"/>
      <c r="EZ29" s="41"/>
      <c r="FA29" s="41"/>
      <c r="FB29" s="41"/>
      <c r="FC29" s="41"/>
      <c r="FD29" s="41"/>
      <c r="FE29" s="230"/>
      <c r="FF29" s="230"/>
      <c r="FG29" s="41"/>
      <c r="FH29" s="41"/>
      <c r="FI29" s="41"/>
      <c r="FJ29" s="41"/>
      <c r="FK29" s="41"/>
      <c r="FL29" s="230"/>
      <c r="FM29" s="230"/>
      <c r="FN29" s="41"/>
      <c r="FO29" s="41"/>
      <c r="FP29" s="41"/>
      <c r="FQ29" s="41"/>
      <c r="FR29" s="41"/>
      <c r="FS29" s="230"/>
      <c r="FT29" s="230"/>
      <c r="FU29" s="41"/>
      <c r="FV29" s="41"/>
      <c r="FW29" s="41"/>
      <c r="FX29" s="41"/>
      <c r="FY29" s="41"/>
      <c r="FZ29" s="230"/>
      <c r="GA29" s="230"/>
      <c r="GB29" s="41"/>
      <c r="GC29" s="41"/>
      <c r="GD29" s="41"/>
      <c r="GE29" s="41"/>
      <c r="GF29" s="41"/>
      <c r="GG29" s="230"/>
      <c r="GH29" s="230"/>
      <c r="GI29" s="41"/>
      <c r="GJ29" s="41"/>
      <c r="GK29" s="41"/>
      <c r="GL29" s="41"/>
      <c r="GM29" s="41"/>
      <c r="GN29" s="230"/>
      <c r="GO29" s="230"/>
      <c r="GP29" s="41"/>
      <c r="GQ29" s="41"/>
      <c r="GR29" s="41"/>
      <c r="GS29" s="41"/>
      <c r="GT29" s="41"/>
      <c r="GU29" s="230"/>
      <c r="GV29" s="230"/>
      <c r="GW29" s="41" t="s">
        <v>460</v>
      </c>
      <c r="GX29" s="41"/>
      <c r="GY29" s="41"/>
      <c r="GZ29" s="41"/>
      <c r="HA29" s="41"/>
      <c r="HB29" s="230"/>
      <c r="HC29" s="230"/>
      <c r="HD29" s="41"/>
      <c r="HE29" s="41"/>
      <c r="HF29" s="41"/>
      <c r="HG29" s="41"/>
      <c r="HH29" s="41"/>
      <c r="HI29" s="234"/>
      <c r="HJ29" s="234"/>
      <c r="HK29" s="41"/>
      <c r="HL29" s="41"/>
      <c r="HM29" s="41"/>
      <c r="HN29" s="41"/>
      <c r="HO29" s="41"/>
      <c r="HP29" s="234"/>
      <c r="HQ29" s="234"/>
      <c r="HR29" s="41"/>
      <c r="HS29" s="41"/>
      <c r="HT29" s="41"/>
      <c r="HU29" s="41"/>
      <c r="HV29" s="41"/>
      <c r="HW29" s="234"/>
      <c r="HX29" s="234"/>
      <c r="HY29" s="41"/>
      <c r="HZ29" s="41"/>
      <c r="IA29" s="41"/>
      <c r="IB29" s="41"/>
      <c r="IC29" s="41"/>
      <c r="ID29" s="234"/>
      <c r="IE29" s="234"/>
      <c r="IF29" s="41"/>
      <c r="IG29" s="41"/>
      <c r="IH29" s="41"/>
      <c r="II29" s="41"/>
      <c r="IJ29" s="41"/>
      <c r="IK29" s="234"/>
      <c r="IL29" s="234"/>
      <c r="IM29" s="41"/>
      <c r="IN29" s="41"/>
      <c r="IO29" s="41"/>
      <c r="IP29" s="41"/>
      <c r="IQ29" s="41"/>
      <c r="IR29" s="234"/>
      <c r="IS29" s="234"/>
      <c r="IT29" s="41"/>
      <c r="IU29" s="41"/>
      <c r="IV29" s="41"/>
      <c r="IW29" s="41"/>
      <c r="IX29" s="41"/>
      <c r="IY29" s="234"/>
      <c r="IZ29" s="234"/>
      <c r="JA29" s="41"/>
      <c r="JB29" s="41"/>
      <c r="JC29" s="41"/>
      <c r="JD29" s="41"/>
      <c r="JE29" s="41"/>
      <c r="JF29" s="234"/>
      <c r="JG29" s="234"/>
      <c r="JH29" s="41"/>
      <c r="JI29" s="41"/>
      <c r="JJ29" s="41"/>
      <c r="JK29" s="41"/>
      <c r="JL29" s="41"/>
      <c r="JM29" s="234"/>
      <c r="JN29" s="234"/>
      <c r="JO29" s="41"/>
      <c r="JP29" s="41"/>
      <c r="JQ29" s="41"/>
      <c r="JR29" s="41"/>
      <c r="JS29" s="41"/>
      <c r="JT29" s="234"/>
      <c r="JU29" s="234"/>
      <c r="JV29" s="41"/>
      <c r="JW29" s="41"/>
      <c r="JX29" s="41"/>
      <c r="JY29" s="41"/>
      <c r="JZ29" s="41"/>
      <c r="KA29" s="234"/>
      <c r="KB29" s="234"/>
      <c r="KC29" s="41"/>
      <c r="KD29" s="41"/>
      <c r="KE29" s="41"/>
      <c r="KF29" s="41"/>
      <c r="KG29" s="41"/>
      <c r="KH29" s="234"/>
      <c r="KI29" s="234"/>
      <c r="KJ29" s="41"/>
      <c r="KK29" s="41"/>
      <c r="KL29" s="41"/>
      <c r="KM29" s="41"/>
      <c r="KN29" s="41"/>
      <c r="KO29" s="234"/>
      <c r="KP29" s="234"/>
      <c r="KQ29" s="41"/>
      <c r="KR29" s="41"/>
      <c r="KS29" s="41"/>
      <c r="KT29" s="41"/>
      <c r="KU29" s="41"/>
      <c r="KV29" s="234"/>
      <c r="KW29" s="234"/>
      <c r="KX29" s="41"/>
      <c r="KY29" s="41"/>
      <c r="KZ29" s="41"/>
      <c r="LA29" s="41"/>
      <c r="LB29" s="41"/>
      <c r="LC29" s="234"/>
      <c r="LD29" s="234"/>
      <c r="LE29" s="41"/>
      <c r="LF29" s="41"/>
      <c r="LG29" s="41"/>
      <c r="LH29" s="41"/>
      <c r="LI29" s="41"/>
      <c r="LJ29" s="234"/>
      <c r="LK29" s="234"/>
      <c r="LL29" s="41"/>
      <c r="LM29" s="41"/>
      <c r="LN29" s="41"/>
      <c r="LO29" s="41"/>
      <c r="LP29" s="41"/>
      <c r="LQ29" s="234"/>
      <c r="LR29" s="234"/>
      <c r="LS29" s="41"/>
      <c r="LT29" s="41"/>
      <c r="LU29" s="41"/>
      <c r="LV29" s="41"/>
      <c r="LW29" s="41"/>
      <c r="LX29" s="234"/>
      <c r="LY29" s="234"/>
      <c r="LZ29" s="41"/>
      <c r="MA29" s="41"/>
      <c r="MB29" s="41"/>
      <c r="MC29" s="41"/>
      <c r="MD29" s="41"/>
      <c r="ME29" s="234"/>
      <c r="MF29" s="234"/>
      <c r="MG29" s="41"/>
      <c r="MH29" s="41"/>
      <c r="MI29" s="41"/>
      <c r="MJ29" s="41"/>
      <c r="MK29" s="41"/>
      <c r="ML29" s="234"/>
      <c r="MM29" s="234"/>
      <c r="MN29" s="41"/>
      <c r="MO29" s="41"/>
      <c r="MP29" s="41"/>
      <c r="MQ29" s="41"/>
      <c r="MR29" s="41"/>
      <c r="MS29" s="234"/>
      <c r="MT29" s="234"/>
      <c r="MU29" s="41"/>
      <c r="MV29" s="41"/>
      <c r="MW29" s="41"/>
      <c r="MX29" s="41"/>
      <c r="MY29" s="41"/>
      <c r="MZ29" s="234"/>
      <c r="NA29" s="234"/>
      <c r="NB29" s="41"/>
      <c r="NC29" s="41"/>
      <c r="ND29" s="41"/>
      <c r="NE29" s="41"/>
      <c r="NF29" s="41"/>
      <c r="NG29" s="234"/>
      <c r="NH29" s="234"/>
      <c r="NI29" s="41"/>
      <c r="NJ29" s="41"/>
      <c r="NK29" s="41"/>
      <c r="NL29" s="41"/>
      <c r="NM29" s="41"/>
      <c r="NN29" s="234"/>
      <c r="NO29" s="234"/>
      <c r="NP29" s="41"/>
      <c r="NQ29" s="41"/>
      <c r="NR29" s="41"/>
      <c r="NS29" s="41"/>
      <c r="NT29" s="41"/>
      <c r="NU29" s="230"/>
      <c r="NV29" s="230"/>
    </row>
    <row r="30" spans="2:386" hidden="1" x14ac:dyDescent="0.3">
      <c r="D30" s="343" t="s">
        <v>7</v>
      </c>
      <c r="E30" s="190" t="s">
        <v>8</v>
      </c>
      <c r="F30" s="344" t="s">
        <v>9</v>
      </c>
      <c r="G30" s="149" t="s">
        <v>305</v>
      </c>
      <c r="H30" s="150" t="s">
        <v>146</v>
      </c>
      <c r="I30" s="125" t="s">
        <v>386</v>
      </c>
      <c r="J30" s="125" t="s">
        <v>386</v>
      </c>
      <c r="K30" s="125" t="s">
        <v>460</v>
      </c>
      <c r="L30" s="125" t="s">
        <v>386</v>
      </c>
      <c r="M30" s="125" t="s">
        <v>386</v>
      </c>
      <c r="N30" s="230"/>
      <c r="O30" s="230"/>
      <c r="P30" s="41"/>
      <c r="Q30" s="41"/>
      <c r="R30" s="41"/>
      <c r="S30" s="41"/>
      <c r="T30" s="41"/>
      <c r="U30" s="230"/>
      <c r="V30" s="230"/>
      <c r="W30" s="41"/>
      <c r="X30" s="41"/>
      <c r="Y30" s="41"/>
      <c r="Z30" s="41"/>
      <c r="AA30" s="41"/>
      <c r="AB30" s="230"/>
      <c r="AC30" s="230"/>
      <c r="AD30" s="41"/>
      <c r="AE30" s="41"/>
      <c r="AF30" s="41"/>
      <c r="AG30" s="41"/>
      <c r="AH30" s="41"/>
      <c r="AI30" s="230"/>
      <c r="AJ30" s="230"/>
      <c r="AK30" s="41"/>
      <c r="AL30" s="41"/>
      <c r="AM30" s="41"/>
      <c r="AN30" s="41"/>
      <c r="AO30" s="41"/>
      <c r="AP30" s="230"/>
      <c r="AQ30" s="230"/>
      <c r="AR30" s="41"/>
      <c r="AS30" s="41"/>
      <c r="AT30" s="41"/>
      <c r="AU30" s="41"/>
      <c r="AV30" s="41"/>
      <c r="AW30" s="230"/>
      <c r="AX30" s="230"/>
      <c r="AY30" s="41"/>
      <c r="AZ30" s="41"/>
      <c r="BA30" s="41"/>
      <c r="BB30" s="41"/>
      <c r="BC30" s="41"/>
      <c r="BD30" s="230"/>
      <c r="BE30" s="230"/>
      <c r="BF30" s="41"/>
      <c r="BG30" s="41"/>
      <c r="BH30" s="41"/>
      <c r="BI30" s="41"/>
      <c r="BJ30" s="41"/>
      <c r="BK30" s="230"/>
      <c r="BL30" s="230"/>
      <c r="BM30" s="41"/>
      <c r="BN30" s="41"/>
      <c r="BO30" s="41"/>
      <c r="BP30" s="41"/>
      <c r="BQ30" s="41"/>
      <c r="BR30" s="230"/>
      <c r="BS30" s="230"/>
      <c r="BT30" s="41"/>
      <c r="BU30" s="41"/>
      <c r="BV30" s="41"/>
      <c r="BW30" s="41"/>
      <c r="BX30" s="41"/>
      <c r="BY30" s="230"/>
      <c r="BZ30" s="230"/>
      <c r="CA30" s="41"/>
      <c r="CB30" s="41"/>
      <c r="CC30" s="41"/>
      <c r="CD30" s="41"/>
      <c r="CE30" s="41"/>
      <c r="CF30" s="230"/>
      <c r="CG30" s="230"/>
      <c r="CH30" s="41"/>
      <c r="CI30" s="41"/>
      <c r="CJ30" s="41"/>
      <c r="CK30" s="41"/>
      <c r="CL30" s="41"/>
      <c r="CM30" s="230"/>
      <c r="CN30" s="230"/>
      <c r="CO30" s="41"/>
      <c r="CP30" s="41"/>
      <c r="CQ30" s="41"/>
      <c r="CR30" s="41"/>
      <c r="CS30" s="41"/>
      <c r="CT30" s="230"/>
      <c r="CU30" s="230"/>
      <c r="CV30" s="41"/>
      <c r="CW30" s="41"/>
      <c r="CX30" s="41"/>
      <c r="CY30" s="41"/>
      <c r="CZ30" s="41"/>
      <c r="DA30" s="230"/>
      <c r="DB30" s="230"/>
      <c r="DC30" s="41"/>
      <c r="DD30" s="41"/>
      <c r="DE30" s="41"/>
      <c r="DF30" s="41"/>
      <c r="DG30" s="41"/>
      <c r="DH30" s="230"/>
      <c r="DI30" s="230"/>
      <c r="DJ30" s="41"/>
      <c r="DK30" s="41"/>
      <c r="DL30" s="41"/>
      <c r="DM30" s="41"/>
      <c r="DN30" s="41"/>
      <c r="DO30" s="230"/>
      <c r="DP30" s="230"/>
      <c r="DQ30" s="41"/>
      <c r="DR30" s="41"/>
      <c r="DS30" s="41"/>
      <c r="DT30" s="41"/>
      <c r="DU30" s="41"/>
      <c r="DV30" s="230"/>
      <c r="DW30" s="234"/>
      <c r="DX30" s="41"/>
      <c r="DY30" s="41"/>
      <c r="DZ30" s="41"/>
      <c r="EA30" s="41"/>
      <c r="EB30" s="41"/>
      <c r="EC30" s="230"/>
      <c r="ED30" s="230"/>
      <c r="EE30" s="41"/>
      <c r="EF30" s="41"/>
      <c r="EG30" s="41"/>
      <c r="EH30" s="41"/>
      <c r="EI30" s="41"/>
      <c r="EJ30" s="230"/>
      <c r="EK30" s="230"/>
      <c r="EL30" s="41"/>
      <c r="EM30" s="41"/>
      <c r="EN30" s="41"/>
      <c r="EO30" s="41"/>
      <c r="EP30" s="41"/>
      <c r="EQ30" s="230"/>
      <c r="ER30" s="230"/>
      <c r="ES30" s="41"/>
      <c r="ET30" s="41"/>
      <c r="EU30" s="41"/>
      <c r="EV30" s="41"/>
      <c r="EW30" s="41"/>
      <c r="EX30" s="230"/>
      <c r="EY30" s="230"/>
      <c r="EZ30" s="41"/>
      <c r="FA30" s="41"/>
      <c r="FB30" s="41"/>
      <c r="FC30" s="41"/>
      <c r="FD30" s="41"/>
      <c r="FE30" s="230"/>
      <c r="FF30" s="230"/>
      <c r="FG30" s="41"/>
      <c r="FH30" s="41"/>
      <c r="FI30" s="41"/>
      <c r="FJ30" s="41"/>
      <c r="FK30" s="41"/>
      <c r="FL30" s="230"/>
      <c r="FM30" s="230"/>
      <c r="FN30" s="41"/>
      <c r="FO30" s="41"/>
      <c r="FP30" s="41"/>
      <c r="FQ30" s="41"/>
      <c r="FR30" s="41"/>
      <c r="FS30" s="230"/>
      <c r="FT30" s="230"/>
      <c r="FU30" s="41"/>
      <c r="FV30" s="41"/>
      <c r="FW30" s="41"/>
      <c r="FX30" s="41"/>
      <c r="FY30" s="41"/>
      <c r="FZ30" s="230"/>
      <c r="GA30" s="230"/>
      <c r="GB30" s="41"/>
      <c r="GC30" s="41"/>
      <c r="GD30" s="41"/>
      <c r="GE30" s="41"/>
      <c r="GF30" s="41"/>
      <c r="GG30" s="230"/>
      <c r="GH30" s="230"/>
      <c r="GI30" s="41"/>
      <c r="GJ30" s="41"/>
      <c r="GK30" s="41"/>
      <c r="GL30" s="41"/>
      <c r="GM30" s="41"/>
      <c r="GN30" s="230"/>
      <c r="GO30" s="230"/>
      <c r="GP30" s="41"/>
      <c r="GQ30" s="41"/>
      <c r="GR30" s="41"/>
      <c r="GS30" s="41"/>
      <c r="GT30" s="41"/>
      <c r="GU30" s="230"/>
      <c r="GV30" s="230"/>
      <c r="GW30" s="41" t="s">
        <v>460</v>
      </c>
      <c r="GX30" s="41"/>
      <c r="GY30" s="41"/>
      <c r="GZ30" s="41"/>
      <c r="HA30" s="41"/>
      <c r="HB30" s="230"/>
      <c r="HC30" s="230"/>
      <c r="HD30" s="41"/>
      <c r="HE30" s="41"/>
      <c r="HF30" s="41"/>
      <c r="HG30" s="41"/>
      <c r="HH30" s="41"/>
      <c r="HI30" s="234"/>
      <c r="HJ30" s="234"/>
      <c r="HK30" s="41"/>
      <c r="HL30" s="41"/>
      <c r="HM30" s="41"/>
      <c r="HN30" s="41"/>
      <c r="HO30" s="41"/>
      <c r="HP30" s="234"/>
      <c r="HQ30" s="234"/>
      <c r="HR30" s="41"/>
      <c r="HS30" s="41"/>
      <c r="HT30" s="41"/>
      <c r="HU30" s="41"/>
      <c r="HV30" s="41"/>
      <c r="HW30" s="234"/>
      <c r="HX30" s="234"/>
      <c r="HY30" s="41"/>
      <c r="HZ30" s="41"/>
      <c r="IA30" s="41"/>
      <c r="IB30" s="41"/>
      <c r="IC30" s="41"/>
      <c r="ID30" s="234"/>
      <c r="IE30" s="234"/>
      <c r="IF30" s="41"/>
      <c r="IG30" s="41"/>
      <c r="IH30" s="41"/>
      <c r="II30" s="41"/>
      <c r="IJ30" s="41"/>
      <c r="IK30" s="234"/>
      <c r="IL30" s="234"/>
      <c r="IM30" s="41"/>
      <c r="IN30" s="41"/>
      <c r="IO30" s="41"/>
      <c r="IP30" s="41"/>
      <c r="IQ30" s="41"/>
      <c r="IR30" s="234"/>
      <c r="IS30" s="234"/>
      <c r="IT30" s="41"/>
      <c r="IU30" s="41"/>
      <c r="IV30" s="41"/>
      <c r="IW30" s="41"/>
      <c r="IX30" s="41"/>
      <c r="IY30" s="234"/>
      <c r="IZ30" s="234"/>
      <c r="JA30" s="41"/>
      <c r="JB30" s="41"/>
      <c r="JC30" s="41"/>
      <c r="JD30" s="41"/>
      <c r="JE30" s="41"/>
      <c r="JF30" s="234"/>
      <c r="JG30" s="234"/>
      <c r="JH30" s="41"/>
      <c r="JI30" s="41"/>
      <c r="JJ30" s="41"/>
      <c r="JK30" s="41"/>
      <c r="JL30" s="41"/>
      <c r="JM30" s="234"/>
      <c r="JN30" s="234"/>
      <c r="JO30" s="41"/>
      <c r="JP30" s="41"/>
      <c r="JQ30" s="41"/>
      <c r="JR30" s="41"/>
      <c r="JS30" s="41"/>
      <c r="JT30" s="234"/>
      <c r="JU30" s="234"/>
      <c r="JV30" s="41"/>
      <c r="JW30" s="41"/>
      <c r="JX30" s="41"/>
      <c r="JY30" s="41"/>
      <c r="JZ30" s="41"/>
      <c r="KA30" s="234"/>
      <c r="KB30" s="234"/>
      <c r="KC30" s="41"/>
      <c r="KD30" s="41"/>
      <c r="KE30" s="41"/>
      <c r="KF30" s="41"/>
      <c r="KG30" s="41"/>
      <c r="KH30" s="234"/>
      <c r="KI30" s="234"/>
      <c r="KJ30" s="41"/>
      <c r="KK30" s="41"/>
      <c r="KL30" s="41"/>
      <c r="KM30" s="41"/>
      <c r="KN30" s="41"/>
      <c r="KO30" s="234"/>
      <c r="KP30" s="234"/>
      <c r="KQ30" s="41"/>
      <c r="KR30" s="41"/>
      <c r="KS30" s="41"/>
      <c r="KT30" s="41"/>
      <c r="KU30" s="41"/>
      <c r="KV30" s="234"/>
      <c r="KW30" s="234"/>
      <c r="KX30" s="41"/>
      <c r="KY30" s="41"/>
      <c r="KZ30" s="41"/>
      <c r="LA30" s="41"/>
      <c r="LB30" s="41"/>
      <c r="LC30" s="234"/>
      <c r="LD30" s="234"/>
      <c r="LE30" s="41"/>
      <c r="LF30" s="41"/>
      <c r="LG30" s="41"/>
      <c r="LH30" s="41"/>
      <c r="LI30" s="41"/>
      <c r="LJ30" s="234"/>
      <c r="LK30" s="234"/>
      <c r="LL30" s="41"/>
      <c r="LM30" s="41"/>
      <c r="LN30" s="41"/>
      <c r="LO30" s="41"/>
      <c r="LP30" s="41"/>
      <c r="LQ30" s="234"/>
      <c r="LR30" s="234"/>
      <c r="LS30" s="41"/>
      <c r="LT30" s="41"/>
      <c r="LU30" s="41"/>
      <c r="LV30" s="41"/>
      <c r="LW30" s="41"/>
      <c r="LX30" s="234"/>
      <c r="LY30" s="234"/>
      <c r="LZ30" s="41"/>
      <c r="MA30" s="41"/>
      <c r="MB30" s="41"/>
      <c r="MC30" s="41"/>
      <c r="MD30" s="41"/>
      <c r="ME30" s="234"/>
      <c r="MF30" s="234"/>
      <c r="MG30" s="41"/>
      <c r="MH30" s="41"/>
      <c r="MI30" s="41"/>
      <c r="MJ30" s="41"/>
      <c r="MK30" s="41"/>
      <c r="ML30" s="234"/>
      <c r="MM30" s="234"/>
      <c r="MN30" s="41"/>
      <c r="MO30" s="41"/>
      <c r="MP30" s="41"/>
      <c r="MQ30" s="41"/>
      <c r="MR30" s="41"/>
      <c r="MS30" s="234"/>
      <c r="MT30" s="234"/>
      <c r="MU30" s="41"/>
      <c r="MV30" s="41"/>
      <c r="MW30" s="41"/>
      <c r="MX30" s="41"/>
      <c r="MY30" s="41"/>
      <c r="MZ30" s="234"/>
      <c r="NA30" s="234"/>
      <c r="NB30" s="41"/>
      <c r="NC30" s="41"/>
      <c r="ND30" s="41"/>
      <c r="NE30" s="41"/>
      <c r="NF30" s="41"/>
      <c r="NG30" s="234"/>
      <c r="NH30" s="234"/>
      <c r="NI30" s="41"/>
      <c r="NJ30" s="41"/>
      <c r="NK30" s="41"/>
      <c r="NL30" s="41"/>
      <c r="NM30" s="41"/>
      <c r="NN30" s="234"/>
      <c r="NO30" s="234"/>
      <c r="NP30" s="41"/>
      <c r="NQ30" s="41"/>
      <c r="NR30" s="41"/>
      <c r="NS30" s="41"/>
      <c r="NT30" s="41"/>
      <c r="NU30" s="230"/>
      <c r="NV30" s="230"/>
    </row>
    <row r="31" spans="2:386" hidden="1" x14ac:dyDescent="0.3">
      <c r="D31" s="343" t="s">
        <v>7</v>
      </c>
      <c r="E31" s="190" t="s">
        <v>8</v>
      </c>
      <c r="F31" s="344" t="s">
        <v>9</v>
      </c>
      <c r="G31" s="149" t="s">
        <v>306</v>
      </c>
      <c r="H31" s="150" t="s">
        <v>232</v>
      </c>
      <c r="I31" s="125" t="s">
        <v>460</v>
      </c>
      <c r="J31" s="125" t="s">
        <v>460</v>
      </c>
      <c r="K31" s="125" t="s">
        <v>460</v>
      </c>
      <c r="L31" s="125" t="s">
        <v>460</v>
      </c>
      <c r="M31" s="125" t="s">
        <v>460</v>
      </c>
      <c r="N31" s="230"/>
      <c r="O31" s="230"/>
      <c r="P31" s="41"/>
      <c r="Q31" s="41"/>
      <c r="R31" s="41"/>
      <c r="S31" s="41"/>
      <c r="T31" s="41"/>
      <c r="U31" s="230"/>
      <c r="V31" s="230"/>
      <c r="W31" s="41"/>
      <c r="X31" s="41"/>
      <c r="Y31" s="41"/>
      <c r="Z31" s="41"/>
      <c r="AA31" s="41"/>
      <c r="AB31" s="230"/>
      <c r="AC31" s="230"/>
      <c r="AD31" s="41"/>
      <c r="AE31" s="41"/>
      <c r="AF31" s="41"/>
      <c r="AG31" s="41"/>
      <c r="AH31" s="41"/>
      <c r="AI31" s="230"/>
      <c r="AJ31" s="230"/>
      <c r="AK31" s="41"/>
      <c r="AL31" s="41"/>
      <c r="AM31" s="41"/>
      <c r="AN31" s="41"/>
      <c r="AO31" s="41"/>
      <c r="AP31" s="230"/>
      <c r="AQ31" s="230"/>
      <c r="AR31" s="41"/>
      <c r="AS31" s="41"/>
      <c r="AT31" s="41"/>
      <c r="AU31" s="41"/>
      <c r="AV31" s="41"/>
      <c r="AW31" s="230"/>
      <c r="AX31" s="230"/>
      <c r="AY31" s="41"/>
      <c r="AZ31" s="41"/>
      <c r="BA31" s="41"/>
      <c r="BB31" s="41"/>
      <c r="BC31" s="41"/>
      <c r="BD31" s="230"/>
      <c r="BE31" s="230"/>
      <c r="BF31" s="41"/>
      <c r="BG31" s="41"/>
      <c r="BH31" s="41"/>
      <c r="BI31" s="41"/>
      <c r="BJ31" s="41"/>
      <c r="BK31" s="230"/>
      <c r="BL31" s="230"/>
      <c r="BM31" s="41"/>
      <c r="BN31" s="41"/>
      <c r="BO31" s="41"/>
      <c r="BP31" s="41"/>
      <c r="BQ31" s="41"/>
      <c r="BR31" s="230"/>
      <c r="BS31" s="230"/>
      <c r="BT31" s="41"/>
      <c r="BU31" s="41"/>
      <c r="BV31" s="41"/>
      <c r="BW31" s="41"/>
      <c r="BX31" s="41"/>
      <c r="BY31" s="230"/>
      <c r="BZ31" s="230"/>
      <c r="CA31" s="41"/>
      <c r="CB31" s="41"/>
      <c r="CC31" s="41"/>
      <c r="CD31" s="41"/>
      <c r="CE31" s="41"/>
      <c r="CF31" s="230"/>
      <c r="CG31" s="230"/>
      <c r="CH31" s="41"/>
      <c r="CI31" s="41"/>
      <c r="CJ31" s="41"/>
      <c r="CK31" s="41"/>
      <c r="CL31" s="41"/>
      <c r="CM31" s="230"/>
      <c r="CN31" s="230"/>
      <c r="CO31" s="41"/>
      <c r="CP31" s="41"/>
      <c r="CQ31" s="41"/>
      <c r="CR31" s="41"/>
      <c r="CS31" s="41"/>
      <c r="CT31" s="230"/>
      <c r="CU31" s="230"/>
      <c r="CV31" s="41"/>
      <c r="CW31" s="41"/>
      <c r="CX31" s="41"/>
      <c r="CY31" s="41"/>
      <c r="CZ31" s="41"/>
      <c r="DA31" s="230"/>
      <c r="DB31" s="230"/>
      <c r="DC31" s="41"/>
      <c r="DD31" s="41"/>
      <c r="DE31" s="41"/>
      <c r="DF31" s="41"/>
      <c r="DG31" s="41"/>
      <c r="DH31" s="230"/>
      <c r="DI31" s="230"/>
      <c r="DJ31" s="41" t="s">
        <v>460</v>
      </c>
      <c r="DK31" s="41" t="s">
        <v>460</v>
      </c>
      <c r="DL31" s="41" t="s">
        <v>460</v>
      </c>
      <c r="DM31" s="41" t="s">
        <v>460</v>
      </c>
      <c r="DN31" s="41" t="s">
        <v>460</v>
      </c>
      <c r="DO31" s="230"/>
      <c r="DP31" s="230"/>
      <c r="DQ31" s="41"/>
      <c r="DR31" s="41"/>
      <c r="DS31" s="41"/>
      <c r="DT31" s="41"/>
      <c r="DU31" s="41"/>
      <c r="DV31" s="230"/>
      <c r="DW31" s="234"/>
      <c r="DX31" s="41"/>
      <c r="DY31" s="41"/>
      <c r="DZ31" s="41"/>
      <c r="EA31" s="41"/>
      <c r="EB31" s="41"/>
      <c r="EC31" s="230"/>
      <c r="ED31" s="230"/>
      <c r="EE31" s="41"/>
      <c r="EF31" s="41"/>
      <c r="EG31" s="41"/>
      <c r="EH31" s="41"/>
      <c r="EI31" s="41"/>
      <c r="EJ31" s="230"/>
      <c r="EK31" s="230"/>
      <c r="EL31" s="41"/>
      <c r="EM31" s="41"/>
      <c r="EN31" s="41"/>
      <c r="EO31" s="41"/>
      <c r="EP31" s="41"/>
      <c r="EQ31" s="230"/>
      <c r="ER31" s="230"/>
      <c r="ES31" s="41"/>
      <c r="ET31" s="41"/>
      <c r="EU31" s="41"/>
      <c r="EV31" s="41"/>
      <c r="EW31" s="41"/>
      <c r="EX31" s="230"/>
      <c r="EY31" s="230"/>
      <c r="EZ31" s="41"/>
      <c r="FA31" s="41"/>
      <c r="FB31" s="41"/>
      <c r="FC31" s="41"/>
      <c r="FD31" s="41"/>
      <c r="FE31" s="230"/>
      <c r="FF31" s="230"/>
      <c r="FG31" s="41"/>
      <c r="FH31" s="41"/>
      <c r="FI31" s="41"/>
      <c r="FJ31" s="41"/>
      <c r="FK31" s="41"/>
      <c r="FL31" s="230"/>
      <c r="FM31" s="230"/>
      <c r="FN31" s="41"/>
      <c r="FO31" s="41"/>
      <c r="FP31" s="41"/>
      <c r="FQ31" s="41"/>
      <c r="FR31" s="41"/>
      <c r="FS31" s="230"/>
      <c r="FT31" s="230"/>
      <c r="FU31" s="41"/>
      <c r="FV31" s="41"/>
      <c r="FW31" s="41"/>
      <c r="FX31" s="41"/>
      <c r="FY31" s="41"/>
      <c r="FZ31" s="230"/>
      <c r="GA31" s="230"/>
      <c r="GB31" s="41"/>
      <c r="GC31" s="41"/>
      <c r="GD31" s="41"/>
      <c r="GE31" s="41"/>
      <c r="GF31" s="41"/>
      <c r="GG31" s="230"/>
      <c r="GH31" s="230"/>
      <c r="GI31" s="41"/>
      <c r="GJ31" s="41"/>
      <c r="GK31" s="41"/>
      <c r="GL31" s="41"/>
      <c r="GM31" s="41"/>
      <c r="GN31" s="230"/>
      <c r="GO31" s="230"/>
      <c r="GP31" s="41"/>
      <c r="GQ31" s="41"/>
      <c r="GR31" s="41"/>
      <c r="GS31" s="41"/>
      <c r="GT31" s="41"/>
      <c r="GU31" s="230"/>
      <c r="GV31" s="230"/>
      <c r="GW31" s="41" t="s">
        <v>460</v>
      </c>
      <c r="GX31" s="41"/>
      <c r="GY31" s="41"/>
      <c r="GZ31" s="41"/>
      <c r="HA31" s="41"/>
      <c r="HB31" s="230"/>
      <c r="HC31" s="230"/>
      <c r="HD31" s="41"/>
      <c r="HE31" s="41"/>
      <c r="HF31" s="41"/>
      <c r="HG31" s="41"/>
      <c r="HH31" s="41"/>
      <c r="HI31" s="234"/>
      <c r="HJ31" s="234"/>
      <c r="HK31" s="41"/>
      <c r="HL31" s="41"/>
      <c r="HM31" s="41"/>
      <c r="HN31" s="41"/>
      <c r="HO31" s="41"/>
      <c r="HP31" s="234"/>
      <c r="HQ31" s="234"/>
      <c r="HR31" s="41"/>
      <c r="HS31" s="41"/>
      <c r="HT31" s="41"/>
      <c r="HU31" s="41"/>
      <c r="HV31" s="41"/>
      <c r="HW31" s="234"/>
      <c r="HX31" s="234"/>
      <c r="HY31" s="41"/>
      <c r="HZ31" s="41"/>
      <c r="IA31" s="41"/>
      <c r="IB31" s="41"/>
      <c r="IC31" s="41"/>
      <c r="ID31" s="234"/>
      <c r="IE31" s="234"/>
      <c r="IF31" s="41" t="s">
        <v>460</v>
      </c>
      <c r="IG31" s="41" t="s">
        <v>460</v>
      </c>
      <c r="IH31" s="41" t="s">
        <v>460</v>
      </c>
      <c r="II31" s="41" t="s">
        <v>460</v>
      </c>
      <c r="IJ31" s="41" t="s">
        <v>460</v>
      </c>
      <c r="IK31" s="234"/>
      <c r="IL31" s="234"/>
      <c r="IM31" s="41" t="s">
        <v>460</v>
      </c>
      <c r="IN31" s="41" t="s">
        <v>460</v>
      </c>
      <c r="IO31" s="41" t="s">
        <v>460</v>
      </c>
      <c r="IP31" s="41" t="s">
        <v>460</v>
      </c>
      <c r="IQ31" s="41" t="s">
        <v>460</v>
      </c>
      <c r="IR31" s="234"/>
      <c r="IS31" s="234"/>
      <c r="IT31" s="41"/>
      <c r="IU31" s="41"/>
      <c r="IV31" s="41"/>
      <c r="IW31" s="41"/>
      <c r="IX31" s="41"/>
      <c r="IY31" s="234"/>
      <c r="IZ31" s="234"/>
      <c r="JA31" s="41"/>
      <c r="JB31" s="41"/>
      <c r="JC31" s="41"/>
      <c r="JD31" s="41"/>
      <c r="JE31" s="41"/>
      <c r="JF31" s="234"/>
      <c r="JG31" s="234"/>
      <c r="JH31" s="41"/>
      <c r="JI31" s="41"/>
      <c r="JJ31" s="41"/>
      <c r="JK31" s="41"/>
      <c r="JL31" s="41"/>
      <c r="JM31" s="234"/>
      <c r="JN31" s="234"/>
      <c r="JO31" s="41"/>
      <c r="JP31" s="41"/>
      <c r="JQ31" s="41"/>
      <c r="JR31" s="41"/>
      <c r="JS31" s="41"/>
      <c r="JT31" s="234"/>
      <c r="JU31" s="234"/>
      <c r="JV31" s="41"/>
      <c r="JW31" s="41"/>
      <c r="JX31" s="41"/>
      <c r="JY31" s="41"/>
      <c r="JZ31" s="41"/>
      <c r="KA31" s="234"/>
      <c r="KB31" s="234"/>
      <c r="KC31" s="41"/>
      <c r="KD31" s="41"/>
      <c r="KE31" s="41"/>
      <c r="KF31" s="41"/>
      <c r="KG31" s="41"/>
      <c r="KH31" s="234"/>
      <c r="KI31" s="234"/>
      <c r="KJ31" s="41"/>
      <c r="KK31" s="41"/>
      <c r="KL31" s="41"/>
      <c r="KM31" s="41"/>
      <c r="KN31" s="41"/>
      <c r="KO31" s="234"/>
      <c r="KP31" s="234"/>
      <c r="KQ31" s="41"/>
      <c r="KR31" s="41"/>
      <c r="KS31" s="41"/>
      <c r="KT31" s="41"/>
      <c r="KU31" s="41"/>
      <c r="KV31" s="234"/>
      <c r="KW31" s="234"/>
      <c r="KX31" s="41"/>
      <c r="KY31" s="41"/>
      <c r="KZ31" s="41"/>
      <c r="LA31" s="41"/>
      <c r="LB31" s="41"/>
      <c r="LC31" s="234"/>
      <c r="LD31" s="234"/>
      <c r="LE31" s="41"/>
      <c r="LF31" s="41"/>
      <c r="LG31" s="41"/>
      <c r="LH31" s="41"/>
      <c r="LI31" s="41"/>
      <c r="LJ31" s="234"/>
      <c r="LK31" s="234"/>
      <c r="LL31" s="41"/>
      <c r="LM31" s="41"/>
      <c r="LN31" s="41"/>
      <c r="LO31" s="41"/>
      <c r="LP31" s="41"/>
      <c r="LQ31" s="234"/>
      <c r="LR31" s="234"/>
      <c r="LS31" s="41"/>
      <c r="LT31" s="41"/>
      <c r="LU31" s="41"/>
      <c r="LV31" s="41"/>
      <c r="LW31" s="41"/>
      <c r="LX31" s="234"/>
      <c r="LY31" s="234"/>
      <c r="LZ31" s="41"/>
      <c r="MA31" s="41"/>
      <c r="MB31" s="41"/>
      <c r="MC31" s="41"/>
      <c r="MD31" s="41"/>
      <c r="ME31" s="234"/>
      <c r="MF31" s="234"/>
      <c r="MG31" s="41"/>
      <c r="MH31" s="41"/>
      <c r="MI31" s="41"/>
      <c r="MJ31" s="41"/>
      <c r="MK31" s="41"/>
      <c r="ML31" s="234"/>
      <c r="MM31" s="234"/>
      <c r="MN31" s="41"/>
      <c r="MO31" s="41"/>
      <c r="MP31" s="41"/>
      <c r="MQ31" s="41"/>
      <c r="MR31" s="41"/>
      <c r="MS31" s="234"/>
      <c r="MT31" s="234"/>
      <c r="MU31" s="41"/>
      <c r="MV31" s="41"/>
      <c r="MW31" s="41"/>
      <c r="MX31" s="41"/>
      <c r="MY31" s="41"/>
      <c r="MZ31" s="234"/>
      <c r="NA31" s="234"/>
      <c r="NB31" s="41"/>
      <c r="NC31" s="41"/>
      <c r="ND31" s="41"/>
      <c r="NE31" s="41"/>
      <c r="NF31" s="41"/>
      <c r="NG31" s="234"/>
      <c r="NH31" s="234"/>
      <c r="NI31" s="41"/>
      <c r="NJ31" s="41"/>
      <c r="NK31" s="41"/>
      <c r="NL31" s="41"/>
      <c r="NM31" s="41"/>
      <c r="NN31" s="234"/>
      <c r="NO31" s="234"/>
      <c r="NP31" s="41"/>
      <c r="NQ31" s="41"/>
      <c r="NR31" s="41"/>
      <c r="NS31" s="41"/>
      <c r="NT31" s="41"/>
      <c r="NU31" s="230"/>
      <c r="NV31" s="230"/>
    </row>
    <row r="32" spans="2:386" hidden="1" x14ac:dyDescent="0.3">
      <c r="D32" s="343" t="s">
        <v>7</v>
      </c>
      <c r="E32" s="190" t="s">
        <v>8</v>
      </c>
      <c r="F32" s="344" t="s">
        <v>44</v>
      </c>
      <c r="G32" s="149" t="s">
        <v>311</v>
      </c>
      <c r="H32" s="150" t="s">
        <v>202</v>
      </c>
      <c r="I32" s="125"/>
      <c r="J32" s="41"/>
      <c r="K32" s="125" t="s">
        <v>460</v>
      </c>
      <c r="L32" s="41"/>
      <c r="M32" s="41"/>
      <c r="N32" s="230"/>
      <c r="O32" s="230"/>
      <c r="P32" s="41"/>
      <c r="Q32" s="41"/>
      <c r="R32" s="41"/>
      <c r="S32" s="41"/>
      <c r="T32" s="41"/>
      <c r="U32" s="230"/>
      <c r="V32" s="230"/>
      <c r="W32" s="41"/>
      <c r="X32" s="41"/>
      <c r="Y32" s="41"/>
      <c r="Z32" s="41"/>
      <c r="AA32" s="41"/>
      <c r="AB32" s="230"/>
      <c r="AC32" s="230"/>
      <c r="AD32" s="41"/>
      <c r="AE32" s="41"/>
      <c r="AF32" s="41"/>
      <c r="AG32" s="41"/>
      <c r="AH32" s="41"/>
      <c r="AI32" s="230"/>
      <c r="AJ32" s="230"/>
      <c r="AK32" s="41"/>
      <c r="AL32" s="41"/>
      <c r="AM32" s="41"/>
      <c r="AN32" s="41"/>
      <c r="AO32" s="41"/>
      <c r="AP32" s="230"/>
      <c r="AQ32" s="230"/>
      <c r="AR32" s="41"/>
      <c r="AS32" s="41"/>
      <c r="AT32" s="41"/>
      <c r="AU32" s="41"/>
      <c r="AV32" s="41"/>
      <c r="AW32" s="230"/>
      <c r="AX32" s="230"/>
      <c r="AY32" s="41"/>
      <c r="AZ32" s="41"/>
      <c r="BA32" s="41"/>
      <c r="BB32" s="41"/>
      <c r="BC32" s="41"/>
      <c r="BD32" s="230"/>
      <c r="BE32" s="230"/>
      <c r="BF32" s="41"/>
      <c r="BG32" s="41"/>
      <c r="BH32" s="41"/>
      <c r="BI32" s="41"/>
      <c r="BJ32" s="41"/>
      <c r="BK32" s="230"/>
      <c r="BL32" s="230"/>
      <c r="BM32" s="41"/>
      <c r="BN32" s="41"/>
      <c r="BO32" s="41"/>
      <c r="BP32" s="41"/>
      <c r="BQ32" s="41"/>
      <c r="BR32" s="230"/>
      <c r="BS32" s="230"/>
      <c r="BT32" s="41"/>
      <c r="BU32" s="41"/>
      <c r="BV32" s="41"/>
      <c r="BW32" s="41"/>
      <c r="BX32" s="41"/>
      <c r="BY32" s="230"/>
      <c r="BZ32" s="230"/>
      <c r="CA32" s="41"/>
      <c r="CB32" s="41"/>
      <c r="CC32" s="41"/>
      <c r="CD32" s="41"/>
      <c r="CE32" s="41"/>
      <c r="CF32" s="230"/>
      <c r="CG32" s="230"/>
      <c r="CH32" s="41"/>
      <c r="CI32" s="41"/>
      <c r="CJ32" s="41"/>
      <c r="CK32" s="41"/>
      <c r="CL32" s="41"/>
      <c r="CM32" s="230"/>
      <c r="CN32" s="230"/>
      <c r="CO32" s="41"/>
      <c r="CP32" s="41"/>
      <c r="CQ32" s="41"/>
      <c r="CR32" s="41"/>
      <c r="CS32" s="41"/>
      <c r="CT32" s="230"/>
      <c r="CU32" s="230"/>
      <c r="CV32" s="41"/>
      <c r="CW32" s="41"/>
      <c r="CX32" s="41"/>
      <c r="CY32" s="41"/>
      <c r="CZ32" s="41"/>
      <c r="DA32" s="230"/>
      <c r="DB32" s="230"/>
      <c r="DC32" s="41"/>
      <c r="DD32" s="41"/>
      <c r="DE32" s="41"/>
      <c r="DF32" s="41"/>
      <c r="DG32" s="41"/>
      <c r="DH32" s="230"/>
      <c r="DI32" s="230"/>
      <c r="DJ32" s="41"/>
      <c r="DK32" s="41"/>
      <c r="DL32" s="41"/>
      <c r="DM32" s="41"/>
      <c r="DN32" s="41"/>
      <c r="DO32" s="230"/>
      <c r="DP32" s="230"/>
      <c r="DQ32" s="41"/>
      <c r="DR32" s="41"/>
      <c r="DS32" s="41"/>
      <c r="DT32" s="41"/>
      <c r="DU32" s="41"/>
      <c r="DV32" s="230"/>
      <c r="DW32" s="234"/>
      <c r="DX32" s="41"/>
      <c r="DY32" s="41"/>
      <c r="DZ32" s="41"/>
      <c r="EA32" s="41"/>
      <c r="EB32" s="41"/>
      <c r="EC32" s="230"/>
      <c r="ED32" s="230"/>
      <c r="EE32" s="41"/>
      <c r="EF32" s="41"/>
      <c r="EG32" s="41"/>
      <c r="EH32" s="41"/>
      <c r="EI32" s="41"/>
      <c r="EJ32" s="230"/>
      <c r="EK32" s="230"/>
      <c r="EL32" s="41"/>
      <c r="EM32" s="41"/>
      <c r="EN32" s="41"/>
      <c r="EO32" s="41"/>
      <c r="EP32" s="41"/>
      <c r="EQ32" s="230"/>
      <c r="ER32" s="230"/>
      <c r="ES32" s="41"/>
      <c r="ET32" s="41"/>
      <c r="EU32" s="41"/>
      <c r="EV32" s="41"/>
      <c r="EW32" s="41"/>
      <c r="EX32" s="230"/>
      <c r="EY32" s="230"/>
      <c r="EZ32" s="41"/>
      <c r="FA32" s="41"/>
      <c r="FB32" s="41"/>
      <c r="FC32" s="41"/>
      <c r="FD32" s="41"/>
      <c r="FE32" s="230"/>
      <c r="FF32" s="230"/>
      <c r="FG32" s="41"/>
      <c r="FH32" s="41"/>
      <c r="FI32" s="41"/>
      <c r="FJ32" s="41"/>
      <c r="FK32" s="41"/>
      <c r="FL32" s="230"/>
      <c r="FM32" s="230"/>
      <c r="FN32" s="41"/>
      <c r="FO32" s="41"/>
      <c r="FP32" s="41"/>
      <c r="FQ32" s="41"/>
      <c r="FR32" s="41"/>
      <c r="FS32" s="230"/>
      <c r="FT32" s="230"/>
      <c r="FU32" s="41"/>
      <c r="FV32" s="41"/>
      <c r="FW32" s="41"/>
      <c r="FX32" s="41"/>
      <c r="FY32" s="41"/>
      <c r="FZ32" s="230"/>
      <c r="GA32" s="230"/>
      <c r="GB32" s="41"/>
      <c r="GC32" s="41"/>
      <c r="GD32" s="41"/>
      <c r="GE32" s="41"/>
      <c r="GF32" s="41"/>
      <c r="GG32" s="230"/>
      <c r="GH32" s="230"/>
      <c r="GI32" s="41"/>
      <c r="GJ32" s="41"/>
      <c r="GK32" s="41"/>
      <c r="GL32" s="41"/>
      <c r="GM32" s="41"/>
      <c r="GN32" s="230"/>
      <c r="GO32" s="230"/>
      <c r="GP32" s="41"/>
      <c r="GQ32" s="41"/>
      <c r="GR32" s="41"/>
      <c r="GS32" s="41"/>
      <c r="GT32" s="41"/>
      <c r="GU32" s="230"/>
      <c r="GV32" s="230"/>
      <c r="GW32" s="41" t="s">
        <v>460</v>
      </c>
      <c r="GX32" s="41"/>
      <c r="GY32" s="41"/>
      <c r="GZ32" s="41"/>
      <c r="HA32" s="41"/>
      <c r="HB32" s="230"/>
      <c r="HC32" s="230"/>
      <c r="HD32" s="41"/>
      <c r="HE32" s="41"/>
      <c r="HF32" s="41"/>
      <c r="HG32" s="41"/>
      <c r="HH32" s="41"/>
      <c r="HI32" s="234"/>
      <c r="HJ32" s="234"/>
      <c r="HK32" s="41"/>
      <c r="HL32" s="41"/>
      <c r="HM32" s="41"/>
      <c r="HN32" s="41"/>
      <c r="HO32" s="41"/>
      <c r="HP32" s="234"/>
      <c r="HQ32" s="234"/>
      <c r="HR32" s="41"/>
      <c r="HS32" s="41"/>
      <c r="HT32" s="41"/>
      <c r="HU32" s="41"/>
      <c r="HV32" s="41"/>
      <c r="HW32" s="234"/>
      <c r="HX32" s="234"/>
      <c r="HY32" s="41"/>
      <c r="HZ32" s="41"/>
      <c r="IA32" s="41"/>
      <c r="IB32" s="41"/>
      <c r="IC32" s="41"/>
      <c r="ID32" s="234"/>
      <c r="IE32" s="234"/>
      <c r="IF32" s="41"/>
      <c r="IG32" s="41"/>
      <c r="IH32" s="41"/>
      <c r="II32" s="41"/>
      <c r="IJ32" s="41"/>
      <c r="IK32" s="234"/>
      <c r="IL32" s="234"/>
      <c r="IM32" s="41"/>
      <c r="IN32" s="41"/>
      <c r="IO32" s="41"/>
      <c r="IP32" s="41"/>
      <c r="IQ32" s="41"/>
      <c r="IR32" s="234"/>
      <c r="IS32" s="234"/>
      <c r="IT32" s="41"/>
      <c r="IU32" s="41"/>
      <c r="IV32" s="41"/>
      <c r="IW32" s="41"/>
      <c r="IX32" s="41"/>
      <c r="IY32" s="234"/>
      <c r="IZ32" s="234"/>
      <c r="JA32" s="41"/>
      <c r="JB32" s="41"/>
      <c r="JC32" s="41"/>
      <c r="JD32" s="41"/>
      <c r="JE32" s="41"/>
      <c r="JF32" s="234"/>
      <c r="JG32" s="234"/>
      <c r="JH32" s="41"/>
      <c r="JI32" s="41"/>
      <c r="JJ32" s="41"/>
      <c r="JK32" s="41"/>
      <c r="JL32" s="41"/>
      <c r="JM32" s="234"/>
      <c r="JN32" s="234"/>
      <c r="JO32" s="41"/>
      <c r="JP32" s="41"/>
      <c r="JQ32" s="41"/>
      <c r="JR32" s="41"/>
      <c r="JS32" s="41"/>
      <c r="JT32" s="234"/>
      <c r="JU32" s="234"/>
      <c r="JV32" s="41"/>
      <c r="JW32" s="41"/>
      <c r="JX32" s="41"/>
      <c r="JY32" s="41"/>
      <c r="JZ32" s="41"/>
      <c r="KA32" s="234"/>
      <c r="KB32" s="234"/>
      <c r="KC32" s="41"/>
      <c r="KD32" s="41"/>
      <c r="KE32" s="41"/>
      <c r="KF32" s="41"/>
      <c r="KG32" s="41"/>
      <c r="KH32" s="234"/>
      <c r="KI32" s="234"/>
      <c r="KJ32" s="41"/>
      <c r="KK32" s="41"/>
      <c r="KL32" s="41"/>
      <c r="KM32" s="41"/>
      <c r="KN32" s="41"/>
      <c r="KO32" s="234"/>
      <c r="KP32" s="234"/>
      <c r="KQ32" s="41"/>
      <c r="KR32" s="41"/>
      <c r="KS32" s="41"/>
      <c r="KT32" s="41"/>
      <c r="KU32" s="41"/>
      <c r="KV32" s="234"/>
      <c r="KW32" s="234"/>
      <c r="KX32" s="41"/>
      <c r="KY32" s="41"/>
      <c r="KZ32" s="41"/>
      <c r="LA32" s="41"/>
      <c r="LB32" s="41"/>
      <c r="LC32" s="234"/>
      <c r="LD32" s="234"/>
      <c r="LE32" s="41"/>
      <c r="LF32" s="41"/>
      <c r="LG32" s="41"/>
      <c r="LH32" s="41"/>
      <c r="LI32" s="41"/>
      <c r="LJ32" s="234"/>
      <c r="LK32" s="234"/>
      <c r="LL32" s="41"/>
      <c r="LM32" s="41"/>
      <c r="LN32" s="41"/>
      <c r="LO32" s="41"/>
      <c r="LP32" s="41"/>
      <c r="LQ32" s="234"/>
      <c r="LR32" s="234"/>
      <c r="LS32" s="41"/>
      <c r="LT32" s="41"/>
      <c r="LU32" s="41"/>
      <c r="LV32" s="41"/>
      <c r="LW32" s="41"/>
      <c r="LX32" s="234"/>
      <c r="LY32" s="234"/>
      <c r="LZ32" s="41"/>
      <c r="MA32" s="41"/>
      <c r="MB32" s="41"/>
      <c r="MC32" s="41"/>
      <c r="MD32" s="41"/>
      <c r="ME32" s="234"/>
      <c r="MF32" s="234"/>
      <c r="MG32" s="41"/>
      <c r="MH32" s="41"/>
      <c r="MI32" s="41"/>
      <c r="MJ32" s="41"/>
      <c r="MK32" s="41"/>
      <c r="ML32" s="234"/>
      <c r="MM32" s="234"/>
      <c r="MN32" s="41"/>
      <c r="MO32" s="41"/>
      <c r="MP32" s="41"/>
      <c r="MQ32" s="41"/>
      <c r="MR32" s="41"/>
      <c r="MS32" s="234"/>
      <c r="MT32" s="234"/>
      <c r="MU32" s="41"/>
      <c r="MV32" s="41"/>
      <c r="MW32" s="41"/>
      <c r="MX32" s="41"/>
      <c r="MY32" s="41"/>
      <c r="MZ32" s="234"/>
      <c r="NA32" s="234"/>
      <c r="NB32" s="41"/>
      <c r="NC32" s="41"/>
      <c r="ND32" s="41"/>
      <c r="NE32" s="41"/>
      <c r="NF32" s="41"/>
      <c r="NG32" s="234"/>
      <c r="NH32" s="234"/>
      <c r="NI32" s="41"/>
      <c r="NJ32" s="41"/>
      <c r="NK32" s="41"/>
      <c r="NL32" s="41"/>
      <c r="NM32" s="41"/>
      <c r="NN32" s="234"/>
      <c r="NO32" s="234"/>
      <c r="NP32" s="41"/>
      <c r="NQ32" s="41"/>
      <c r="NR32" s="41"/>
      <c r="NS32" s="41"/>
      <c r="NT32" s="41"/>
      <c r="NU32" s="230"/>
      <c r="NV32" s="230"/>
    </row>
    <row r="33" spans="4:386" x14ac:dyDescent="0.3">
      <c r="D33" s="343" t="s">
        <v>7</v>
      </c>
      <c r="E33" s="190" t="s">
        <v>8</v>
      </c>
      <c r="F33" s="344" t="s">
        <v>15</v>
      </c>
      <c r="G33" s="149" t="s">
        <v>317</v>
      </c>
      <c r="H33" s="150" t="s">
        <v>716</v>
      </c>
      <c r="I33" s="125" t="s">
        <v>460</v>
      </c>
      <c r="J33" s="125" t="s">
        <v>460</v>
      </c>
      <c r="K33" s="125" t="s">
        <v>460</v>
      </c>
      <c r="L33" s="125" t="s">
        <v>460</v>
      </c>
      <c r="M33" s="125" t="s">
        <v>460</v>
      </c>
      <c r="N33" s="230"/>
      <c r="O33" s="230"/>
      <c r="P33" s="41"/>
      <c r="Q33" s="41"/>
      <c r="R33" s="41"/>
      <c r="S33" s="41"/>
      <c r="T33" s="41"/>
      <c r="U33" s="230"/>
      <c r="V33" s="230"/>
      <c r="W33" s="41"/>
      <c r="X33" s="41"/>
      <c r="Y33" s="41"/>
      <c r="Z33" s="41"/>
      <c r="AA33" s="41"/>
      <c r="AB33" s="230"/>
      <c r="AC33" s="230"/>
      <c r="AD33" s="41"/>
      <c r="AE33" s="41"/>
      <c r="AF33" s="41"/>
      <c r="AG33" s="41"/>
      <c r="AH33" s="41"/>
      <c r="AI33" s="230"/>
      <c r="AJ33" s="230"/>
      <c r="AK33" s="41"/>
      <c r="AL33" s="41"/>
      <c r="AM33" s="41"/>
      <c r="AN33" s="41"/>
      <c r="AO33" s="41"/>
      <c r="AP33" s="230"/>
      <c r="AQ33" s="230"/>
      <c r="AR33" s="41"/>
      <c r="AS33" s="41"/>
      <c r="AT33" s="41"/>
      <c r="AU33" s="41"/>
      <c r="AV33" s="41"/>
      <c r="AW33" s="230"/>
      <c r="AX33" s="230"/>
      <c r="AY33" s="41"/>
      <c r="AZ33" s="41"/>
      <c r="BA33" s="41"/>
      <c r="BB33" s="41"/>
      <c r="BC33" s="41"/>
      <c r="BD33" s="230"/>
      <c r="BE33" s="230"/>
      <c r="BF33" s="41"/>
      <c r="BG33" s="41"/>
      <c r="BH33" s="41"/>
      <c r="BI33" s="41"/>
      <c r="BJ33" s="41"/>
      <c r="BK33" s="230"/>
      <c r="BL33" s="230"/>
      <c r="BM33" s="41"/>
      <c r="BN33" s="41"/>
      <c r="BO33" s="41"/>
      <c r="BP33" s="41"/>
      <c r="BQ33" s="41"/>
      <c r="BR33" s="230"/>
      <c r="BS33" s="230"/>
      <c r="BT33" s="41"/>
      <c r="BU33" s="41"/>
      <c r="BV33" s="41"/>
      <c r="BW33" s="41"/>
      <c r="BX33" s="41"/>
      <c r="BY33" s="230"/>
      <c r="BZ33" s="230"/>
      <c r="CA33" s="41"/>
      <c r="CB33" s="41"/>
      <c r="CC33" s="41"/>
      <c r="CD33" s="41"/>
      <c r="CE33" s="41"/>
      <c r="CF33" s="230"/>
      <c r="CG33" s="230"/>
      <c r="CH33" s="41"/>
      <c r="CI33" s="41"/>
      <c r="CJ33" s="41"/>
      <c r="CK33" s="41"/>
      <c r="CL33" s="41"/>
      <c r="CM33" s="230"/>
      <c r="CN33" s="230"/>
      <c r="CO33" s="41"/>
      <c r="CP33" s="41"/>
      <c r="CQ33" s="41"/>
      <c r="CR33" s="41"/>
      <c r="CS33" s="41"/>
      <c r="CT33" s="230"/>
      <c r="CU33" s="230"/>
      <c r="CV33" s="41"/>
      <c r="CW33" s="41"/>
      <c r="CX33" s="41"/>
      <c r="CY33" s="41"/>
      <c r="CZ33" s="41"/>
      <c r="DA33" s="230"/>
      <c r="DB33" s="230"/>
      <c r="DC33" s="41"/>
      <c r="DD33" s="41"/>
      <c r="DE33" s="41"/>
      <c r="DF33" s="41"/>
      <c r="DG33" s="41"/>
      <c r="DH33" s="230"/>
      <c r="DI33" s="230"/>
      <c r="DJ33" s="41"/>
      <c r="DK33" s="41"/>
      <c r="DL33" s="41"/>
      <c r="DM33" s="41"/>
      <c r="DN33" s="41"/>
      <c r="DO33" s="230"/>
      <c r="DP33" s="230"/>
      <c r="DQ33" s="41"/>
      <c r="DR33" s="41"/>
      <c r="DS33" s="41"/>
      <c r="DT33" s="41"/>
      <c r="DU33" s="41"/>
      <c r="DV33" s="230"/>
      <c r="DW33" s="234"/>
      <c r="DX33" s="41"/>
      <c r="DY33" s="41"/>
      <c r="DZ33" s="41"/>
      <c r="EA33" s="41"/>
      <c r="EB33" s="41"/>
      <c r="EC33" s="230"/>
      <c r="ED33" s="230"/>
      <c r="EE33" s="41"/>
      <c r="EF33" s="41"/>
      <c r="EG33" s="41"/>
      <c r="EH33" s="41"/>
      <c r="EI33" s="41"/>
      <c r="EJ33" s="230"/>
      <c r="EK33" s="230"/>
      <c r="EL33" s="41"/>
      <c r="EM33" s="41"/>
      <c r="EN33" s="41"/>
      <c r="EO33" s="41"/>
      <c r="EP33" s="41"/>
      <c r="EQ33" s="230"/>
      <c r="ER33" s="230"/>
      <c r="ES33" s="41"/>
      <c r="ET33" s="41"/>
      <c r="EU33" s="41"/>
      <c r="EV33" s="41"/>
      <c r="EW33" s="41"/>
      <c r="EX33" s="230"/>
      <c r="EY33" s="230"/>
      <c r="EZ33" s="41"/>
      <c r="FA33" s="41"/>
      <c r="FB33" s="41"/>
      <c r="FC33" s="41"/>
      <c r="FD33" s="41"/>
      <c r="FE33" s="230"/>
      <c r="FF33" s="230"/>
      <c r="FG33" s="41"/>
      <c r="FH33" s="41"/>
      <c r="FI33" s="41"/>
      <c r="FJ33" s="41"/>
      <c r="FK33" s="41"/>
      <c r="FL33" s="230"/>
      <c r="FM33" s="230"/>
      <c r="FN33" s="41"/>
      <c r="FO33" s="41"/>
      <c r="FP33" s="41"/>
      <c r="FQ33" s="41"/>
      <c r="FR33" s="41"/>
      <c r="FS33" s="230"/>
      <c r="FT33" s="230"/>
      <c r="FU33" s="41"/>
      <c r="FV33" s="41"/>
      <c r="FW33" s="41"/>
      <c r="FX33" s="41"/>
      <c r="FY33" s="41"/>
      <c r="FZ33" s="230"/>
      <c r="GA33" s="230"/>
      <c r="GB33" s="41"/>
      <c r="GC33" s="41"/>
      <c r="GD33" s="41"/>
      <c r="GE33" s="41"/>
      <c r="GF33" s="41"/>
      <c r="GG33" s="230"/>
      <c r="GH33" s="230"/>
      <c r="GI33" s="41" t="s">
        <v>460</v>
      </c>
      <c r="GJ33" s="41" t="s">
        <v>460</v>
      </c>
      <c r="GK33" s="41" t="s">
        <v>460</v>
      </c>
      <c r="GL33" s="41" t="s">
        <v>460</v>
      </c>
      <c r="GM33" s="41" t="s">
        <v>460</v>
      </c>
      <c r="GN33" s="230"/>
      <c r="GO33" s="230"/>
      <c r="GP33" s="41" t="s">
        <v>460</v>
      </c>
      <c r="GQ33" s="41" t="s">
        <v>460</v>
      </c>
      <c r="GR33" s="41"/>
      <c r="GS33" s="41"/>
      <c r="GT33" s="41"/>
      <c r="GU33" s="230"/>
      <c r="GV33" s="230"/>
      <c r="GW33" s="41" t="s">
        <v>460</v>
      </c>
      <c r="GX33" s="41"/>
      <c r="GY33" s="41"/>
      <c r="GZ33" s="41"/>
      <c r="HA33" s="41"/>
      <c r="HB33" s="230"/>
      <c r="HC33" s="230"/>
      <c r="HD33" s="41"/>
      <c r="HE33" s="41"/>
      <c r="HF33" s="41"/>
      <c r="HG33" s="41"/>
      <c r="HH33" s="41"/>
      <c r="HI33" s="234"/>
      <c r="HJ33" s="234"/>
      <c r="HK33" s="41"/>
      <c r="HL33" s="41"/>
      <c r="HM33" s="41"/>
      <c r="HN33" s="41"/>
      <c r="HO33" s="41"/>
      <c r="HP33" s="234"/>
      <c r="HQ33" s="234"/>
      <c r="HR33" s="41"/>
      <c r="HS33" s="41"/>
      <c r="HT33" s="41"/>
      <c r="HU33" s="41"/>
      <c r="HV33" s="41"/>
      <c r="HW33" s="234"/>
      <c r="HX33" s="234"/>
      <c r="HY33" s="41"/>
      <c r="HZ33" s="41"/>
      <c r="IA33" s="41"/>
      <c r="IB33" s="41"/>
      <c r="IC33" s="41"/>
      <c r="ID33" s="234"/>
      <c r="IE33" s="234"/>
      <c r="IF33" s="41"/>
      <c r="IG33" s="41"/>
      <c r="IH33" s="41"/>
      <c r="II33" s="41"/>
      <c r="IJ33" s="41"/>
      <c r="IK33" s="234"/>
      <c r="IL33" s="234"/>
      <c r="IM33" s="41"/>
      <c r="IN33" s="41"/>
      <c r="IO33" s="41"/>
      <c r="IP33" s="41"/>
      <c r="IQ33" s="41"/>
      <c r="IR33" s="234"/>
      <c r="IS33" s="234"/>
      <c r="IT33" s="41"/>
      <c r="IU33" s="41"/>
      <c r="IV33" s="41"/>
      <c r="IW33" s="41"/>
      <c r="IX33" s="41"/>
      <c r="IY33" s="234"/>
      <c r="IZ33" s="234"/>
      <c r="JA33" s="41"/>
      <c r="JB33" s="41"/>
      <c r="JC33" s="41"/>
      <c r="JD33" s="41"/>
      <c r="JE33" s="41"/>
      <c r="JF33" s="234"/>
      <c r="JG33" s="234"/>
      <c r="JH33" s="41"/>
      <c r="JI33" s="41"/>
      <c r="JJ33" s="41"/>
      <c r="JK33" s="41"/>
      <c r="JL33" s="41"/>
      <c r="JM33" s="234"/>
      <c r="JN33" s="234"/>
      <c r="JO33" s="41"/>
      <c r="JP33" s="41"/>
      <c r="JQ33" s="41"/>
      <c r="JR33" s="41"/>
      <c r="JS33" s="41"/>
      <c r="JT33" s="234"/>
      <c r="JU33" s="234"/>
      <c r="JV33" s="41"/>
      <c r="JW33" s="41"/>
      <c r="JX33" s="41"/>
      <c r="JY33" s="41"/>
      <c r="JZ33" s="41"/>
      <c r="KA33" s="234"/>
      <c r="KB33" s="234"/>
      <c r="KC33" s="41"/>
      <c r="KD33" s="41"/>
      <c r="KE33" s="41"/>
      <c r="KF33" s="41"/>
      <c r="KG33" s="41"/>
      <c r="KH33" s="234"/>
      <c r="KI33" s="234"/>
      <c r="KJ33" s="41"/>
      <c r="KK33" s="41"/>
      <c r="KL33" s="41"/>
      <c r="KM33" s="41"/>
      <c r="KN33" s="41"/>
      <c r="KO33" s="234"/>
      <c r="KP33" s="234"/>
      <c r="KQ33" s="41"/>
      <c r="KR33" s="41"/>
      <c r="KS33" s="41"/>
      <c r="KT33" s="41"/>
      <c r="KU33" s="41"/>
      <c r="KV33" s="234"/>
      <c r="KW33" s="234"/>
      <c r="KX33" s="41"/>
      <c r="KY33" s="41"/>
      <c r="KZ33" s="41"/>
      <c r="LA33" s="41"/>
      <c r="LB33" s="41"/>
      <c r="LC33" s="234"/>
      <c r="LD33" s="234"/>
      <c r="LE33" s="41"/>
      <c r="LF33" s="41"/>
      <c r="LG33" s="41"/>
      <c r="LH33" s="41"/>
      <c r="LI33" s="41"/>
      <c r="LJ33" s="234"/>
      <c r="LK33" s="234"/>
      <c r="LL33" s="41"/>
      <c r="LM33" s="41"/>
      <c r="LN33" s="41"/>
      <c r="LO33" s="41"/>
      <c r="LP33" s="41"/>
      <c r="LQ33" s="234"/>
      <c r="LR33" s="234"/>
      <c r="LS33" s="41"/>
      <c r="LT33" s="41"/>
      <c r="LU33" s="41"/>
      <c r="LV33" s="41"/>
      <c r="LW33" s="41"/>
      <c r="LX33" s="234"/>
      <c r="LY33" s="234"/>
      <c r="LZ33" s="41"/>
      <c r="MA33" s="41"/>
      <c r="MB33" s="41"/>
      <c r="MC33" s="41"/>
      <c r="MD33" s="41"/>
      <c r="ME33" s="234"/>
      <c r="MF33" s="234"/>
      <c r="MG33" s="41"/>
      <c r="MH33" s="41"/>
      <c r="MI33" s="41"/>
      <c r="MJ33" s="41"/>
      <c r="MK33" s="41"/>
      <c r="ML33" s="234"/>
      <c r="MM33" s="234"/>
      <c r="MN33" s="41"/>
      <c r="MO33" s="41"/>
      <c r="MP33" s="41"/>
      <c r="MQ33" s="41"/>
      <c r="MR33" s="41"/>
      <c r="MS33" s="234"/>
      <c r="MT33" s="234"/>
      <c r="MU33" s="41"/>
      <c r="MV33" s="41"/>
      <c r="MW33" s="41"/>
      <c r="MX33" s="41"/>
      <c r="MY33" s="41"/>
      <c r="MZ33" s="234"/>
      <c r="NA33" s="234"/>
      <c r="NB33" s="41"/>
      <c r="NC33" s="41"/>
      <c r="ND33" s="41"/>
      <c r="NE33" s="41"/>
      <c r="NF33" s="41"/>
      <c r="NG33" s="234"/>
      <c r="NH33" s="234"/>
      <c r="NI33" s="41"/>
      <c r="NJ33" s="41"/>
      <c r="NK33" s="41"/>
      <c r="NL33" s="41"/>
      <c r="NM33" s="41"/>
      <c r="NN33" s="234"/>
      <c r="NO33" s="234"/>
      <c r="NP33" s="41"/>
      <c r="NQ33" s="41"/>
      <c r="NR33" s="41"/>
      <c r="NS33" s="41"/>
      <c r="NT33" s="41"/>
      <c r="NU33" s="230"/>
      <c r="NV33" s="230"/>
    </row>
    <row r="34" spans="4:386" hidden="1" x14ac:dyDescent="0.3">
      <c r="D34" s="343" t="s">
        <v>7</v>
      </c>
      <c r="E34" s="190" t="s">
        <v>8</v>
      </c>
      <c r="F34" s="344" t="s">
        <v>44</v>
      </c>
      <c r="G34" s="149" t="s">
        <v>321</v>
      </c>
      <c r="H34" s="150" t="s">
        <v>322</v>
      </c>
      <c r="I34" s="125" t="s">
        <v>44</v>
      </c>
      <c r="J34" s="125" t="s">
        <v>44</v>
      </c>
      <c r="K34" s="125" t="s">
        <v>460</v>
      </c>
      <c r="L34" s="125" t="s">
        <v>44</v>
      </c>
      <c r="M34" s="125" t="s">
        <v>44</v>
      </c>
      <c r="N34" s="230"/>
      <c r="O34" s="230"/>
      <c r="P34" s="41"/>
      <c r="Q34" s="41"/>
      <c r="R34" s="41"/>
      <c r="S34" s="41"/>
      <c r="T34" s="41"/>
      <c r="U34" s="230"/>
      <c r="V34" s="230"/>
      <c r="W34" s="41"/>
      <c r="X34" s="41"/>
      <c r="Y34" s="41"/>
      <c r="Z34" s="41"/>
      <c r="AA34" s="41"/>
      <c r="AB34" s="230"/>
      <c r="AC34" s="230"/>
      <c r="AD34" s="41"/>
      <c r="AE34" s="41"/>
      <c r="AF34" s="41"/>
      <c r="AG34" s="41"/>
      <c r="AH34" s="41"/>
      <c r="AI34" s="230"/>
      <c r="AJ34" s="230"/>
      <c r="AK34" s="41"/>
      <c r="AL34" s="41"/>
      <c r="AM34" s="41"/>
      <c r="AN34" s="41"/>
      <c r="AO34" s="41"/>
      <c r="AP34" s="230"/>
      <c r="AQ34" s="230"/>
      <c r="AR34" s="41"/>
      <c r="AS34" s="41"/>
      <c r="AT34" s="41"/>
      <c r="AU34" s="41"/>
      <c r="AV34" s="41"/>
      <c r="AW34" s="230"/>
      <c r="AX34" s="230"/>
      <c r="AY34" s="41"/>
      <c r="AZ34" s="41"/>
      <c r="BA34" s="41"/>
      <c r="BB34" s="41"/>
      <c r="BC34" s="41"/>
      <c r="BD34" s="230"/>
      <c r="BE34" s="230"/>
      <c r="BF34" s="41"/>
      <c r="BG34" s="41"/>
      <c r="BH34" s="41"/>
      <c r="BI34" s="41"/>
      <c r="BJ34" s="41"/>
      <c r="BK34" s="230"/>
      <c r="BL34" s="230"/>
      <c r="BM34" s="41"/>
      <c r="BN34" s="41"/>
      <c r="BO34" s="41"/>
      <c r="BP34" s="41"/>
      <c r="BQ34" s="41"/>
      <c r="BR34" s="230"/>
      <c r="BS34" s="230"/>
      <c r="BT34" s="41"/>
      <c r="BU34" s="41"/>
      <c r="BV34" s="41"/>
      <c r="BW34" s="41"/>
      <c r="BX34" s="41"/>
      <c r="BY34" s="230"/>
      <c r="BZ34" s="230"/>
      <c r="CA34" s="41"/>
      <c r="CB34" s="41"/>
      <c r="CC34" s="41"/>
      <c r="CD34" s="41"/>
      <c r="CE34" s="41"/>
      <c r="CF34" s="230"/>
      <c r="CG34" s="230"/>
      <c r="CH34" s="41"/>
      <c r="CI34" s="41"/>
      <c r="CJ34" s="41"/>
      <c r="CK34" s="41"/>
      <c r="CL34" s="41"/>
      <c r="CM34" s="230"/>
      <c r="CN34" s="230"/>
      <c r="CO34" s="41"/>
      <c r="CP34" s="41"/>
      <c r="CQ34" s="41"/>
      <c r="CR34" s="41"/>
      <c r="CS34" s="41"/>
      <c r="CT34" s="230"/>
      <c r="CU34" s="230"/>
      <c r="CV34" s="41"/>
      <c r="CW34" s="41"/>
      <c r="CX34" s="41"/>
      <c r="CY34" s="41"/>
      <c r="CZ34" s="41"/>
      <c r="DA34" s="230"/>
      <c r="DB34" s="230"/>
      <c r="DC34" s="41"/>
      <c r="DD34" s="41"/>
      <c r="DE34" s="41"/>
      <c r="DF34" s="41"/>
      <c r="DG34" s="41"/>
      <c r="DH34" s="230"/>
      <c r="DI34" s="230"/>
      <c r="DJ34" s="41"/>
      <c r="DK34" s="41"/>
      <c r="DL34" s="41"/>
      <c r="DM34" s="41"/>
      <c r="DN34" s="41"/>
      <c r="DO34" s="230"/>
      <c r="DP34" s="230"/>
      <c r="DQ34" s="41"/>
      <c r="DR34" s="41"/>
      <c r="DS34" s="41"/>
      <c r="DT34" s="41"/>
      <c r="DU34" s="41"/>
      <c r="DV34" s="230"/>
      <c r="DW34" s="234"/>
      <c r="DX34" s="41"/>
      <c r="DY34" s="41"/>
      <c r="DZ34" s="41"/>
      <c r="EA34" s="41"/>
      <c r="EB34" s="41"/>
      <c r="EC34" s="230"/>
      <c r="ED34" s="230"/>
      <c r="EE34" s="41"/>
      <c r="EF34" s="41"/>
      <c r="EG34" s="41"/>
      <c r="EH34" s="41"/>
      <c r="EI34" s="41"/>
      <c r="EJ34" s="230"/>
      <c r="EK34" s="230"/>
      <c r="EL34" s="41"/>
      <c r="EM34" s="41"/>
      <c r="EN34" s="41"/>
      <c r="EO34" s="41"/>
      <c r="EP34" s="41"/>
      <c r="EQ34" s="230"/>
      <c r="ER34" s="230"/>
      <c r="ES34" s="41"/>
      <c r="ET34" s="41"/>
      <c r="EU34" s="41"/>
      <c r="EV34" s="41"/>
      <c r="EW34" s="41"/>
      <c r="EX34" s="230"/>
      <c r="EY34" s="230"/>
      <c r="EZ34" s="41"/>
      <c r="FA34" s="41"/>
      <c r="FB34" s="41"/>
      <c r="FC34" s="41"/>
      <c r="FD34" s="41"/>
      <c r="FE34" s="230"/>
      <c r="FF34" s="230"/>
      <c r="FG34" s="41"/>
      <c r="FH34" s="41"/>
      <c r="FI34" s="41"/>
      <c r="FJ34" s="41"/>
      <c r="FK34" s="41"/>
      <c r="FL34" s="230"/>
      <c r="FM34" s="230"/>
      <c r="FN34" s="41"/>
      <c r="FO34" s="41"/>
      <c r="FP34" s="41"/>
      <c r="FQ34" s="41"/>
      <c r="FR34" s="41"/>
      <c r="FS34" s="230"/>
      <c r="FT34" s="230"/>
      <c r="FU34" s="41"/>
      <c r="FV34" s="41"/>
      <c r="FW34" s="41"/>
      <c r="FX34" s="41"/>
      <c r="FY34" s="41"/>
      <c r="FZ34" s="230"/>
      <c r="GA34" s="230"/>
      <c r="GB34" s="41"/>
      <c r="GC34" s="41"/>
      <c r="GD34" s="41"/>
      <c r="GE34" s="41"/>
      <c r="GF34" s="41"/>
      <c r="GG34" s="230"/>
      <c r="GH34" s="230"/>
      <c r="GI34" s="41"/>
      <c r="GJ34" s="41"/>
      <c r="GK34" s="41"/>
      <c r="GL34" s="41"/>
      <c r="GM34" s="41"/>
      <c r="GN34" s="230"/>
      <c r="GO34" s="230"/>
      <c r="GP34" s="41"/>
      <c r="GQ34" s="41"/>
      <c r="GR34" s="41"/>
      <c r="GS34" s="41"/>
      <c r="GT34" s="41"/>
      <c r="GU34" s="230"/>
      <c r="GV34" s="230"/>
      <c r="GW34" s="41" t="s">
        <v>460</v>
      </c>
      <c r="GX34" s="41"/>
      <c r="GY34" s="41"/>
      <c r="GZ34" s="41"/>
      <c r="HA34" s="41"/>
      <c r="HB34" s="230"/>
      <c r="HC34" s="230"/>
      <c r="HD34" s="41"/>
      <c r="HE34" s="41"/>
      <c r="HF34" s="41"/>
      <c r="HG34" s="41"/>
      <c r="HH34" s="41"/>
      <c r="HI34" s="234"/>
      <c r="HJ34" s="234"/>
      <c r="HK34" s="41"/>
      <c r="HL34" s="41"/>
      <c r="HM34" s="41"/>
      <c r="HN34" s="41"/>
      <c r="HO34" s="41"/>
      <c r="HP34" s="234"/>
      <c r="HQ34" s="234"/>
      <c r="HR34" s="41"/>
      <c r="HS34" s="41"/>
      <c r="HT34" s="41"/>
      <c r="HU34" s="41"/>
      <c r="HV34" s="41"/>
      <c r="HW34" s="234"/>
      <c r="HX34" s="234"/>
      <c r="HY34" s="41"/>
      <c r="HZ34" s="41"/>
      <c r="IA34" s="41"/>
      <c r="IB34" s="41"/>
      <c r="IC34" s="41"/>
      <c r="ID34" s="234"/>
      <c r="IE34" s="234"/>
      <c r="IF34" s="41"/>
      <c r="IG34" s="41"/>
      <c r="IH34" s="41"/>
      <c r="II34" s="41"/>
      <c r="IJ34" s="41"/>
      <c r="IK34" s="234"/>
      <c r="IL34" s="234"/>
      <c r="IM34" s="41"/>
      <c r="IN34" s="41"/>
      <c r="IO34" s="41"/>
      <c r="IP34" s="41"/>
      <c r="IQ34" s="41"/>
      <c r="IR34" s="234"/>
      <c r="IS34" s="234"/>
      <c r="IT34" s="41"/>
      <c r="IU34" s="41"/>
      <c r="IV34" s="41"/>
      <c r="IW34" s="41"/>
      <c r="IX34" s="41"/>
      <c r="IY34" s="234"/>
      <c r="IZ34" s="234"/>
      <c r="JA34" s="41"/>
      <c r="JB34" s="41"/>
      <c r="JC34" s="41"/>
      <c r="JD34" s="41"/>
      <c r="JE34" s="41"/>
      <c r="JF34" s="234"/>
      <c r="JG34" s="234"/>
      <c r="JH34" s="41"/>
      <c r="JI34" s="41"/>
      <c r="JJ34" s="41"/>
      <c r="JK34" s="41"/>
      <c r="JL34" s="41"/>
      <c r="JM34" s="234"/>
      <c r="JN34" s="234"/>
      <c r="JO34" s="41"/>
      <c r="JP34" s="41"/>
      <c r="JQ34" s="41"/>
      <c r="JR34" s="41"/>
      <c r="JS34" s="41"/>
      <c r="JT34" s="234"/>
      <c r="JU34" s="234"/>
      <c r="JV34" s="41"/>
      <c r="JW34" s="41"/>
      <c r="JX34" s="41"/>
      <c r="JY34" s="41"/>
      <c r="JZ34" s="41"/>
      <c r="KA34" s="234"/>
      <c r="KB34" s="234"/>
      <c r="KC34" s="41"/>
      <c r="KD34" s="41"/>
      <c r="KE34" s="41"/>
      <c r="KF34" s="41"/>
      <c r="KG34" s="41"/>
      <c r="KH34" s="234"/>
      <c r="KI34" s="234"/>
      <c r="KJ34" s="41"/>
      <c r="KK34" s="41"/>
      <c r="KL34" s="41"/>
      <c r="KM34" s="41"/>
      <c r="KN34" s="41"/>
      <c r="KO34" s="234"/>
      <c r="KP34" s="234"/>
      <c r="KQ34" s="41"/>
      <c r="KR34" s="41"/>
      <c r="KS34" s="41"/>
      <c r="KT34" s="41"/>
      <c r="KU34" s="41"/>
      <c r="KV34" s="234"/>
      <c r="KW34" s="234"/>
      <c r="KX34" s="41"/>
      <c r="KY34" s="41"/>
      <c r="KZ34" s="41"/>
      <c r="LA34" s="41"/>
      <c r="LB34" s="41"/>
      <c r="LC34" s="234"/>
      <c r="LD34" s="234"/>
      <c r="LE34" s="41"/>
      <c r="LF34" s="41"/>
      <c r="LG34" s="41"/>
      <c r="LH34" s="41"/>
      <c r="LI34" s="41"/>
      <c r="LJ34" s="234"/>
      <c r="LK34" s="234"/>
      <c r="LL34" s="41"/>
      <c r="LM34" s="41"/>
      <c r="LN34" s="41"/>
      <c r="LO34" s="41"/>
      <c r="LP34" s="41"/>
      <c r="LQ34" s="234"/>
      <c r="LR34" s="234"/>
      <c r="LS34" s="41"/>
      <c r="LT34" s="41"/>
      <c r="LU34" s="41"/>
      <c r="LV34" s="41"/>
      <c r="LW34" s="41"/>
      <c r="LX34" s="234"/>
      <c r="LY34" s="234"/>
      <c r="LZ34" s="41"/>
      <c r="MA34" s="41"/>
      <c r="MB34" s="41"/>
      <c r="MC34" s="41"/>
      <c r="MD34" s="41"/>
      <c r="ME34" s="234"/>
      <c r="MF34" s="234"/>
      <c r="MG34" s="41"/>
      <c r="MH34" s="41"/>
      <c r="MI34" s="41"/>
      <c r="MJ34" s="41"/>
      <c r="MK34" s="41"/>
      <c r="ML34" s="234"/>
      <c r="MM34" s="234"/>
      <c r="MN34" s="41"/>
      <c r="MO34" s="41"/>
      <c r="MP34" s="41"/>
      <c r="MQ34" s="41"/>
      <c r="MR34" s="41"/>
      <c r="MS34" s="234"/>
      <c r="MT34" s="234"/>
      <c r="MU34" s="41"/>
      <c r="MV34" s="41"/>
      <c r="MW34" s="41"/>
      <c r="MX34" s="41"/>
      <c r="MY34" s="41"/>
      <c r="MZ34" s="234"/>
      <c r="NA34" s="234"/>
      <c r="NB34" s="41"/>
      <c r="NC34" s="41"/>
      <c r="ND34" s="41"/>
      <c r="NE34" s="41"/>
      <c r="NF34" s="41"/>
      <c r="NG34" s="234"/>
      <c r="NH34" s="234"/>
      <c r="NI34" s="41"/>
      <c r="NJ34" s="41"/>
      <c r="NK34" s="41"/>
      <c r="NL34" s="41"/>
      <c r="NM34" s="41"/>
      <c r="NN34" s="234"/>
      <c r="NO34" s="234"/>
      <c r="NP34" s="41"/>
      <c r="NQ34" s="41"/>
      <c r="NR34" s="41"/>
      <c r="NS34" s="41"/>
      <c r="NT34" s="41"/>
      <c r="NU34" s="230"/>
      <c r="NV34" s="230"/>
    </row>
    <row r="35" spans="4:386" hidden="1" x14ac:dyDescent="0.3">
      <c r="D35" s="343" t="s">
        <v>7</v>
      </c>
      <c r="E35" s="190" t="s">
        <v>8</v>
      </c>
      <c r="F35" s="344" t="s">
        <v>44</v>
      </c>
      <c r="G35" s="149" t="s">
        <v>329</v>
      </c>
      <c r="H35" s="150" t="s">
        <v>330</v>
      </c>
      <c r="I35" s="125" t="s">
        <v>460</v>
      </c>
      <c r="J35" s="125" t="s">
        <v>460</v>
      </c>
      <c r="K35" s="125" t="s">
        <v>460</v>
      </c>
      <c r="L35" s="125" t="s">
        <v>460</v>
      </c>
      <c r="M35" s="125" t="s">
        <v>460</v>
      </c>
      <c r="N35" s="230"/>
      <c r="O35" s="230"/>
      <c r="P35" s="41"/>
      <c r="Q35" s="41"/>
      <c r="R35" s="41"/>
      <c r="S35" s="41"/>
      <c r="T35" s="41"/>
      <c r="U35" s="230"/>
      <c r="V35" s="230"/>
      <c r="W35" s="41"/>
      <c r="X35" s="41"/>
      <c r="Y35" s="41"/>
      <c r="Z35" s="41"/>
      <c r="AA35" s="41"/>
      <c r="AB35" s="230"/>
      <c r="AC35" s="230"/>
      <c r="AD35" s="41"/>
      <c r="AE35" s="41"/>
      <c r="AF35" s="41"/>
      <c r="AG35" s="41"/>
      <c r="AH35" s="41"/>
      <c r="AI35" s="230"/>
      <c r="AJ35" s="230"/>
      <c r="AK35" s="41"/>
      <c r="AL35" s="41"/>
      <c r="AM35" s="41"/>
      <c r="AN35" s="41"/>
      <c r="AO35" s="41"/>
      <c r="AP35" s="230"/>
      <c r="AQ35" s="230"/>
      <c r="AR35" s="41"/>
      <c r="AS35" s="41"/>
      <c r="AT35" s="41"/>
      <c r="AU35" s="41"/>
      <c r="AV35" s="41"/>
      <c r="AW35" s="230"/>
      <c r="AX35" s="230"/>
      <c r="AY35" s="41"/>
      <c r="AZ35" s="41"/>
      <c r="BA35" s="41"/>
      <c r="BB35" s="41"/>
      <c r="BC35" s="41"/>
      <c r="BD35" s="230"/>
      <c r="BE35" s="230"/>
      <c r="BF35" s="41"/>
      <c r="BG35" s="41"/>
      <c r="BH35" s="41"/>
      <c r="BI35" s="41"/>
      <c r="BJ35" s="41"/>
      <c r="BK35" s="230"/>
      <c r="BL35" s="230"/>
      <c r="BM35" s="41"/>
      <c r="BN35" s="41"/>
      <c r="BO35" s="41"/>
      <c r="BP35" s="41"/>
      <c r="BQ35" s="41"/>
      <c r="BR35" s="230"/>
      <c r="BS35" s="230"/>
      <c r="BT35" s="41"/>
      <c r="BU35" s="41"/>
      <c r="BV35" s="41"/>
      <c r="BW35" s="41"/>
      <c r="BX35" s="41"/>
      <c r="BY35" s="230"/>
      <c r="BZ35" s="230"/>
      <c r="CA35" s="41"/>
      <c r="CB35" s="41"/>
      <c r="CC35" s="41"/>
      <c r="CD35" s="41"/>
      <c r="CE35" s="41"/>
      <c r="CF35" s="230"/>
      <c r="CG35" s="230"/>
      <c r="CH35" s="41"/>
      <c r="CI35" s="41"/>
      <c r="CJ35" s="41"/>
      <c r="CK35" s="41"/>
      <c r="CL35" s="41"/>
      <c r="CM35" s="230"/>
      <c r="CN35" s="230"/>
      <c r="CO35" s="41"/>
      <c r="CP35" s="41"/>
      <c r="CQ35" s="41"/>
      <c r="CR35" s="41"/>
      <c r="CS35" s="41"/>
      <c r="CT35" s="230"/>
      <c r="CU35" s="230"/>
      <c r="CV35" s="41"/>
      <c r="CW35" s="41"/>
      <c r="CX35" s="41"/>
      <c r="CY35" s="41"/>
      <c r="CZ35" s="41"/>
      <c r="DA35" s="230"/>
      <c r="DB35" s="230"/>
      <c r="DC35" s="41"/>
      <c r="DD35" s="41"/>
      <c r="DE35" s="41"/>
      <c r="DF35" s="41"/>
      <c r="DG35" s="41"/>
      <c r="DH35" s="230"/>
      <c r="DI35" s="230"/>
      <c r="DJ35" s="41"/>
      <c r="DK35" s="41"/>
      <c r="DL35" s="41"/>
      <c r="DM35" s="41"/>
      <c r="DN35" s="41"/>
      <c r="DO35" s="230"/>
      <c r="DP35" s="230"/>
      <c r="DQ35" s="41"/>
      <c r="DR35" s="41"/>
      <c r="DS35" s="41"/>
      <c r="DT35" s="41"/>
      <c r="DU35" s="41"/>
      <c r="DV35" s="230"/>
      <c r="DW35" s="234"/>
      <c r="DX35" s="41"/>
      <c r="DY35" s="41"/>
      <c r="DZ35" s="41"/>
      <c r="EA35" s="41"/>
      <c r="EB35" s="41"/>
      <c r="EC35" s="230"/>
      <c r="ED35" s="230"/>
      <c r="EE35" s="41"/>
      <c r="EF35" s="41"/>
      <c r="EG35" s="41"/>
      <c r="EH35" s="41"/>
      <c r="EI35" s="41"/>
      <c r="EJ35" s="230"/>
      <c r="EK35" s="230"/>
      <c r="EL35" s="41"/>
      <c r="EM35" s="41"/>
      <c r="EN35" s="41"/>
      <c r="EO35" s="41"/>
      <c r="EP35" s="41"/>
      <c r="EQ35" s="230"/>
      <c r="ER35" s="230"/>
      <c r="ES35" s="41"/>
      <c r="ET35" s="41"/>
      <c r="EU35" s="41"/>
      <c r="EV35" s="41"/>
      <c r="EW35" s="41"/>
      <c r="EX35" s="230"/>
      <c r="EY35" s="230"/>
      <c r="EZ35" s="41"/>
      <c r="FA35" s="41"/>
      <c r="FB35" s="41"/>
      <c r="FC35" s="41"/>
      <c r="FD35" s="41"/>
      <c r="FE35" s="230"/>
      <c r="FF35" s="230"/>
      <c r="FG35" s="41"/>
      <c r="FH35" s="41"/>
      <c r="FI35" s="41"/>
      <c r="FJ35" s="41"/>
      <c r="FK35" s="41"/>
      <c r="FL35" s="230"/>
      <c r="FM35" s="230"/>
      <c r="FN35" s="41"/>
      <c r="FO35" s="41"/>
      <c r="FP35" s="41"/>
      <c r="FQ35" s="41"/>
      <c r="FR35" s="41"/>
      <c r="FS35" s="230"/>
      <c r="FT35" s="230"/>
      <c r="FU35" s="41"/>
      <c r="FV35" s="41"/>
      <c r="FW35" s="41"/>
      <c r="FX35" s="41"/>
      <c r="FY35" s="41"/>
      <c r="FZ35" s="230"/>
      <c r="GA35" s="230"/>
      <c r="GB35" s="41"/>
      <c r="GC35" s="41"/>
      <c r="GD35" s="41"/>
      <c r="GE35" s="41"/>
      <c r="GF35" s="41"/>
      <c r="GG35" s="230"/>
      <c r="GH35" s="230"/>
      <c r="GI35" s="41"/>
      <c r="GJ35" s="41"/>
      <c r="GK35" s="41"/>
      <c r="GL35" s="41"/>
      <c r="GM35" s="41"/>
      <c r="GN35" s="230"/>
      <c r="GO35" s="230"/>
      <c r="GP35" s="41"/>
      <c r="GQ35" s="41"/>
      <c r="GR35" s="41"/>
      <c r="GS35" s="41"/>
      <c r="GT35" s="41"/>
      <c r="GU35" s="230"/>
      <c r="GV35" s="230"/>
      <c r="GW35" s="41" t="s">
        <v>460</v>
      </c>
      <c r="GX35" s="41"/>
      <c r="GY35" s="41"/>
      <c r="GZ35" s="41"/>
      <c r="HA35" s="41"/>
      <c r="HB35" s="230"/>
      <c r="HC35" s="230"/>
      <c r="HD35" s="41"/>
      <c r="HE35" s="41"/>
      <c r="HF35" s="41"/>
      <c r="HG35" s="41"/>
      <c r="HH35" s="41"/>
      <c r="HI35" s="234"/>
      <c r="HJ35" s="234"/>
      <c r="HK35" s="41"/>
      <c r="HL35" s="41"/>
      <c r="HM35" s="41"/>
      <c r="HN35" s="41"/>
      <c r="HO35" s="41"/>
      <c r="HP35" s="234"/>
      <c r="HQ35" s="234"/>
      <c r="HR35" s="41"/>
      <c r="HS35" s="41"/>
      <c r="HT35" s="41"/>
      <c r="HU35" s="41"/>
      <c r="HV35" s="41"/>
      <c r="HW35" s="234"/>
      <c r="HX35" s="234"/>
      <c r="HY35" s="41"/>
      <c r="HZ35" s="41"/>
      <c r="IA35" s="41"/>
      <c r="IB35" s="41"/>
      <c r="IC35" s="41"/>
      <c r="ID35" s="234"/>
      <c r="IE35" s="234"/>
      <c r="IF35" s="41"/>
      <c r="IG35" s="41"/>
      <c r="IH35" s="41"/>
      <c r="II35" s="41"/>
      <c r="IJ35" s="41"/>
      <c r="IK35" s="234"/>
      <c r="IL35" s="234"/>
      <c r="IM35" s="41"/>
      <c r="IN35" s="41"/>
      <c r="IO35" s="41"/>
      <c r="IP35" s="41"/>
      <c r="IQ35" s="41"/>
      <c r="IR35" s="234"/>
      <c r="IS35" s="234"/>
      <c r="IT35" s="41"/>
      <c r="IU35" s="41"/>
      <c r="IV35" s="41"/>
      <c r="IW35" s="41"/>
      <c r="IX35" s="41"/>
      <c r="IY35" s="234"/>
      <c r="IZ35" s="234"/>
      <c r="JA35" s="41"/>
      <c r="JB35" s="41"/>
      <c r="JC35" s="41"/>
      <c r="JD35" s="41"/>
      <c r="JE35" s="41"/>
      <c r="JF35" s="234"/>
      <c r="JG35" s="234"/>
      <c r="JH35" s="41"/>
      <c r="JI35" s="41"/>
      <c r="JJ35" s="41"/>
      <c r="JK35" s="41"/>
      <c r="JL35" s="41"/>
      <c r="JM35" s="234"/>
      <c r="JN35" s="234"/>
      <c r="JO35" s="41"/>
      <c r="JP35" s="41"/>
      <c r="JQ35" s="41"/>
      <c r="JR35" s="41"/>
      <c r="JS35" s="41"/>
      <c r="JT35" s="234"/>
      <c r="JU35" s="234"/>
      <c r="JV35" s="41"/>
      <c r="JW35" s="41"/>
      <c r="JX35" s="41"/>
      <c r="JY35" s="41"/>
      <c r="JZ35" s="41"/>
      <c r="KA35" s="234"/>
      <c r="KB35" s="234"/>
      <c r="KC35" s="41"/>
      <c r="KD35" s="41"/>
      <c r="KE35" s="41"/>
      <c r="KF35" s="41"/>
      <c r="KG35" s="41"/>
      <c r="KH35" s="234"/>
      <c r="KI35" s="234"/>
      <c r="KJ35" s="41"/>
      <c r="KK35" s="41"/>
      <c r="KL35" s="41"/>
      <c r="KM35" s="41"/>
      <c r="KN35" s="41"/>
      <c r="KO35" s="234"/>
      <c r="KP35" s="234"/>
      <c r="KQ35" s="41"/>
      <c r="KR35" s="41"/>
      <c r="KS35" s="41"/>
      <c r="KT35" s="41"/>
      <c r="KU35" s="41"/>
      <c r="KV35" s="234"/>
      <c r="KW35" s="234"/>
      <c r="KX35" s="41"/>
      <c r="KY35" s="41"/>
      <c r="KZ35" s="41"/>
      <c r="LA35" s="41"/>
      <c r="LB35" s="41"/>
      <c r="LC35" s="234"/>
      <c r="LD35" s="234"/>
      <c r="LE35" s="41"/>
      <c r="LF35" s="41"/>
      <c r="LG35" s="41"/>
      <c r="LH35" s="41"/>
      <c r="LI35" s="41"/>
      <c r="LJ35" s="234"/>
      <c r="LK35" s="234"/>
      <c r="LL35" s="41"/>
      <c r="LM35" s="41"/>
      <c r="LN35" s="41"/>
      <c r="LO35" s="41"/>
      <c r="LP35" s="41"/>
      <c r="LQ35" s="234"/>
      <c r="LR35" s="234"/>
      <c r="LS35" s="41"/>
      <c r="LT35" s="41"/>
      <c r="LU35" s="41"/>
      <c r="LV35" s="41"/>
      <c r="LW35" s="41"/>
      <c r="LX35" s="234"/>
      <c r="LY35" s="234"/>
      <c r="LZ35" s="41"/>
      <c r="MA35" s="41"/>
      <c r="MB35" s="41"/>
      <c r="MC35" s="41"/>
      <c r="MD35" s="41"/>
      <c r="ME35" s="234"/>
      <c r="MF35" s="234"/>
      <c r="MG35" s="41"/>
      <c r="MH35" s="41"/>
      <c r="MI35" s="41"/>
      <c r="MJ35" s="41"/>
      <c r="MK35" s="41"/>
      <c r="ML35" s="234"/>
      <c r="MM35" s="234"/>
      <c r="MN35" s="41"/>
      <c r="MO35" s="41"/>
      <c r="MP35" s="41"/>
      <c r="MQ35" s="41"/>
      <c r="MR35" s="41"/>
      <c r="MS35" s="234"/>
      <c r="MT35" s="234"/>
      <c r="MU35" s="41"/>
      <c r="MV35" s="41"/>
      <c r="MW35" s="41"/>
      <c r="MX35" s="41"/>
      <c r="MY35" s="41"/>
      <c r="MZ35" s="234"/>
      <c r="NA35" s="234"/>
      <c r="NB35" s="41"/>
      <c r="NC35" s="41"/>
      <c r="ND35" s="41"/>
      <c r="NE35" s="41"/>
      <c r="NF35" s="41"/>
      <c r="NG35" s="234"/>
      <c r="NH35" s="234"/>
      <c r="NI35" s="41"/>
      <c r="NJ35" s="41"/>
      <c r="NK35" s="41"/>
      <c r="NL35" s="41"/>
      <c r="NM35" s="41"/>
      <c r="NN35" s="234"/>
      <c r="NO35" s="234"/>
      <c r="NP35" s="41"/>
      <c r="NQ35" s="41"/>
      <c r="NR35" s="41"/>
      <c r="NS35" s="41"/>
      <c r="NT35" s="41"/>
      <c r="NU35" s="230"/>
      <c r="NV35" s="230"/>
    </row>
    <row r="36" spans="4:386" hidden="1" x14ac:dyDescent="0.3">
      <c r="D36" s="343" t="s">
        <v>7</v>
      </c>
      <c r="E36" s="190" t="s">
        <v>8</v>
      </c>
      <c r="F36" s="344" t="s">
        <v>44</v>
      </c>
      <c r="G36" s="149" t="s">
        <v>336</v>
      </c>
      <c r="H36" s="150" t="s">
        <v>337</v>
      </c>
      <c r="I36" s="125" t="s">
        <v>44</v>
      </c>
      <c r="J36" s="125" t="s">
        <v>44</v>
      </c>
      <c r="K36" s="125" t="s">
        <v>460</v>
      </c>
      <c r="L36" s="125" t="s">
        <v>44</v>
      </c>
      <c r="M36" s="125" t="s">
        <v>44</v>
      </c>
      <c r="N36" s="230"/>
      <c r="O36" s="230"/>
      <c r="P36" s="41"/>
      <c r="Q36" s="41"/>
      <c r="R36" s="41"/>
      <c r="S36" s="41"/>
      <c r="T36" s="41"/>
      <c r="U36" s="230"/>
      <c r="V36" s="230"/>
      <c r="W36" s="41"/>
      <c r="X36" s="41"/>
      <c r="Y36" s="41"/>
      <c r="Z36" s="41"/>
      <c r="AA36" s="41"/>
      <c r="AB36" s="230"/>
      <c r="AC36" s="230"/>
      <c r="AD36" s="41"/>
      <c r="AE36" s="41"/>
      <c r="AF36" s="41"/>
      <c r="AG36" s="41"/>
      <c r="AH36" s="41"/>
      <c r="AI36" s="230"/>
      <c r="AJ36" s="230"/>
      <c r="AK36" s="41"/>
      <c r="AL36" s="41"/>
      <c r="AM36" s="41"/>
      <c r="AN36" s="41"/>
      <c r="AO36" s="41"/>
      <c r="AP36" s="230"/>
      <c r="AQ36" s="230"/>
      <c r="AR36" s="41"/>
      <c r="AS36" s="41"/>
      <c r="AT36" s="41"/>
      <c r="AU36" s="41"/>
      <c r="AV36" s="41"/>
      <c r="AW36" s="230"/>
      <c r="AX36" s="230"/>
      <c r="AY36" s="41"/>
      <c r="AZ36" s="41"/>
      <c r="BA36" s="41"/>
      <c r="BB36" s="41"/>
      <c r="BC36" s="41"/>
      <c r="BD36" s="230"/>
      <c r="BE36" s="230"/>
      <c r="BF36" s="41"/>
      <c r="BG36" s="41"/>
      <c r="BH36" s="41"/>
      <c r="BI36" s="41"/>
      <c r="BJ36" s="41"/>
      <c r="BK36" s="230"/>
      <c r="BL36" s="230"/>
      <c r="BM36" s="41"/>
      <c r="BN36" s="41"/>
      <c r="BO36" s="41"/>
      <c r="BP36" s="41"/>
      <c r="BQ36" s="41"/>
      <c r="BR36" s="230"/>
      <c r="BS36" s="230"/>
      <c r="BT36" s="41"/>
      <c r="BU36" s="41"/>
      <c r="BV36" s="41"/>
      <c r="BW36" s="41"/>
      <c r="BX36" s="41"/>
      <c r="BY36" s="230"/>
      <c r="BZ36" s="230"/>
      <c r="CA36" s="41"/>
      <c r="CB36" s="41"/>
      <c r="CC36" s="41"/>
      <c r="CD36" s="41"/>
      <c r="CE36" s="41"/>
      <c r="CF36" s="230"/>
      <c r="CG36" s="230"/>
      <c r="CH36" s="41"/>
      <c r="CI36" s="41"/>
      <c r="CJ36" s="41"/>
      <c r="CK36" s="41"/>
      <c r="CL36" s="41"/>
      <c r="CM36" s="230"/>
      <c r="CN36" s="230"/>
      <c r="CO36" s="41"/>
      <c r="CP36" s="41"/>
      <c r="CQ36" s="41"/>
      <c r="CR36" s="41"/>
      <c r="CS36" s="41"/>
      <c r="CT36" s="230"/>
      <c r="CU36" s="230"/>
      <c r="CV36" s="41"/>
      <c r="CW36" s="41"/>
      <c r="CX36" s="41"/>
      <c r="CY36" s="41"/>
      <c r="CZ36" s="41"/>
      <c r="DA36" s="230"/>
      <c r="DB36" s="230"/>
      <c r="DC36" s="41"/>
      <c r="DD36" s="41"/>
      <c r="DE36" s="41"/>
      <c r="DF36" s="41"/>
      <c r="DG36" s="41"/>
      <c r="DH36" s="230"/>
      <c r="DI36" s="230"/>
      <c r="DJ36" s="41"/>
      <c r="DK36" s="41"/>
      <c r="DL36" s="41"/>
      <c r="DM36" s="41"/>
      <c r="DN36" s="41"/>
      <c r="DO36" s="230"/>
      <c r="DP36" s="230"/>
      <c r="DQ36" s="41"/>
      <c r="DR36" s="41"/>
      <c r="DS36" s="41"/>
      <c r="DT36" s="41"/>
      <c r="DU36" s="41"/>
      <c r="DV36" s="230"/>
      <c r="DW36" s="234"/>
      <c r="DX36" s="41"/>
      <c r="DY36" s="41"/>
      <c r="DZ36" s="41"/>
      <c r="EA36" s="41"/>
      <c r="EB36" s="41"/>
      <c r="EC36" s="230"/>
      <c r="ED36" s="230"/>
      <c r="EE36" s="41"/>
      <c r="EF36" s="41"/>
      <c r="EG36" s="41"/>
      <c r="EH36" s="41"/>
      <c r="EI36" s="41"/>
      <c r="EJ36" s="230"/>
      <c r="EK36" s="230"/>
      <c r="EL36" s="41"/>
      <c r="EM36" s="41"/>
      <c r="EN36" s="41"/>
      <c r="EO36" s="41"/>
      <c r="EP36" s="41"/>
      <c r="EQ36" s="230"/>
      <c r="ER36" s="230"/>
      <c r="ES36" s="41"/>
      <c r="ET36" s="41"/>
      <c r="EU36" s="41"/>
      <c r="EV36" s="41"/>
      <c r="EW36" s="41"/>
      <c r="EX36" s="230"/>
      <c r="EY36" s="230"/>
      <c r="EZ36" s="41"/>
      <c r="FA36" s="41"/>
      <c r="FB36" s="41"/>
      <c r="FC36" s="41"/>
      <c r="FD36" s="41"/>
      <c r="FE36" s="230"/>
      <c r="FF36" s="230"/>
      <c r="FG36" s="41"/>
      <c r="FH36" s="41"/>
      <c r="FI36" s="41"/>
      <c r="FJ36" s="41"/>
      <c r="FK36" s="41"/>
      <c r="FL36" s="230"/>
      <c r="FM36" s="230"/>
      <c r="FN36" s="41"/>
      <c r="FO36" s="41"/>
      <c r="FP36" s="41"/>
      <c r="FQ36" s="41"/>
      <c r="FR36" s="41"/>
      <c r="FS36" s="230"/>
      <c r="FT36" s="230"/>
      <c r="FU36" s="41"/>
      <c r="FV36" s="41"/>
      <c r="FW36" s="41"/>
      <c r="FX36" s="41"/>
      <c r="FY36" s="41"/>
      <c r="FZ36" s="230"/>
      <c r="GA36" s="230"/>
      <c r="GB36" s="41"/>
      <c r="GC36" s="41"/>
      <c r="GD36" s="41"/>
      <c r="GE36" s="41"/>
      <c r="GF36" s="41"/>
      <c r="GG36" s="230"/>
      <c r="GH36" s="230"/>
      <c r="GI36" s="41"/>
      <c r="GJ36" s="41"/>
      <c r="GK36" s="41"/>
      <c r="GL36" s="41"/>
      <c r="GM36" s="41"/>
      <c r="GN36" s="230"/>
      <c r="GO36" s="230"/>
      <c r="GP36" s="41"/>
      <c r="GQ36" s="41"/>
      <c r="GR36" s="41"/>
      <c r="GS36" s="41"/>
      <c r="GT36" s="41"/>
      <c r="GU36" s="230"/>
      <c r="GV36" s="230"/>
      <c r="GW36" s="41" t="s">
        <v>460</v>
      </c>
      <c r="GX36" s="41"/>
      <c r="GY36" s="41"/>
      <c r="GZ36" s="41"/>
      <c r="HA36" s="41"/>
      <c r="HB36" s="230"/>
      <c r="HC36" s="230"/>
      <c r="HD36" s="41"/>
      <c r="HE36" s="41"/>
      <c r="HF36" s="41"/>
      <c r="HG36" s="41"/>
      <c r="HH36" s="41"/>
      <c r="HI36" s="234"/>
      <c r="HJ36" s="234"/>
      <c r="HK36" s="41"/>
      <c r="HL36" s="41"/>
      <c r="HM36" s="41"/>
      <c r="HN36" s="41"/>
      <c r="HO36" s="41"/>
      <c r="HP36" s="234"/>
      <c r="HQ36" s="234"/>
      <c r="HR36" s="41"/>
      <c r="HS36" s="41"/>
      <c r="HT36" s="41"/>
      <c r="HU36" s="41"/>
      <c r="HV36" s="41"/>
      <c r="HW36" s="234"/>
      <c r="HX36" s="234"/>
      <c r="HY36" s="41"/>
      <c r="HZ36" s="41"/>
      <c r="IA36" s="41"/>
      <c r="IB36" s="41"/>
      <c r="IC36" s="41"/>
      <c r="ID36" s="234"/>
      <c r="IE36" s="234"/>
      <c r="IF36" s="41"/>
      <c r="IG36" s="41"/>
      <c r="IH36" s="41"/>
      <c r="II36" s="41"/>
      <c r="IJ36" s="41"/>
      <c r="IK36" s="234"/>
      <c r="IL36" s="234"/>
      <c r="IM36" s="41"/>
      <c r="IN36" s="41"/>
      <c r="IO36" s="41"/>
      <c r="IP36" s="41"/>
      <c r="IQ36" s="41"/>
      <c r="IR36" s="234"/>
      <c r="IS36" s="234"/>
      <c r="IT36" s="41"/>
      <c r="IU36" s="41"/>
      <c r="IV36" s="41"/>
      <c r="IW36" s="41"/>
      <c r="IX36" s="41"/>
      <c r="IY36" s="234"/>
      <c r="IZ36" s="234"/>
      <c r="JA36" s="41"/>
      <c r="JB36" s="41"/>
      <c r="JC36" s="41"/>
      <c r="JD36" s="41"/>
      <c r="JE36" s="41"/>
      <c r="JF36" s="234"/>
      <c r="JG36" s="234"/>
      <c r="JH36" s="41"/>
      <c r="JI36" s="41"/>
      <c r="JJ36" s="41"/>
      <c r="JK36" s="41"/>
      <c r="JL36" s="41"/>
      <c r="JM36" s="234"/>
      <c r="JN36" s="234"/>
      <c r="JO36" s="41"/>
      <c r="JP36" s="41"/>
      <c r="JQ36" s="41"/>
      <c r="JR36" s="41"/>
      <c r="JS36" s="41"/>
      <c r="JT36" s="234"/>
      <c r="JU36" s="234"/>
      <c r="JV36" s="41"/>
      <c r="JW36" s="41"/>
      <c r="JX36" s="41"/>
      <c r="JY36" s="41"/>
      <c r="JZ36" s="41"/>
      <c r="KA36" s="234"/>
      <c r="KB36" s="234"/>
      <c r="KC36" s="41"/>
      <c r="KD36" s="41"/>
      <c r="KE36" s="41"/>
      <c r="KF36" s="41"/>
      <c r="KG36" s="41"/>
      <c r="KH36" s="234"/>
      <c r="KI36" s="234"/>
      <c r="KJ36" s="41"/>
      <c r="KK36" s="41"/>
      <c r="KL36" s="41"/>
      <c r="KM36" s="41"/>
      <c r="KN36" s="41"/>
      <c r="KO36" s="234"/>
      <c r="KP36" s="234"/>
      <c r="KQ36" s="41"/>
      <c r="KR36" s="41"/>
      <c r="KS36" s="41"/>
      <c r="KT36" s="41"/>
      <c r="KU36" s="41"/>
      <c r="KV36" s="234"/>
      <c r="KW36" s="234"/>
      <c r="KX36" s="41"/>
      <c r="KY36" s="41"/>
      <c r="KZ36" s="41"/>
      <c r="LA36" s="41"/>
      <c r="LB36" s="41"/>
      <c r="LC36" s="234"/>
      <c r="LD36" s="234"/>
      <c r="LE36" s="41"/>
      <c r="LF36" s="41"/>
      <c r="LG36" s="41"/>
      <c r="LH36" s="41"/>
      <c r="LI36" s="41"/>
      <c r="LJ36" s="234"/>
      <c r="LK36" s="234"/>
      <c r="LL36" s="41"/>
      <c r="LM36" s="41"/>
      <c r="LN36" s="41"/>
      <c r="LO36" s="41"/>
      <c r="LP36" s="41"/>
      <c r="LQ36" s="234"/>
      <c r="LR36" s="234"/>
      <c r="LS36" s="41"/>
      <c r="LT36" s="41"/>
      <c r="LU36" s="41"/>
      <c r="LV36" s="41"/>
      <c r="LW36" s="41"/>
      <c r="LX36" s="234"/>
      <c r="LY36" s="234"/>
      <c r="LZ36" s="41"/>
      <c r="MA36" s="41"/>
      <c r="MB36" s="41"/>
      <c r="MC36" s="41"/>
      <c r="MD36" s="41"/>
      <c r="ME36" s="234"/>
      <c r="MF36" s="234"/>
      <c r="MG36" s="41"/>
      <c r="MH36" s="41"/>
      <c r="MI36" s="41"/>
      <c r="MJ36" s="41"/>
      <c r="MK36" s="41"/>
      <c r="ML36" s="234"/>
      <c r="MM36" s="234"/>
      <c r="MN36" s="41"/>
      <c r="MO36" s="41"/>
      <c r="MP36" s="41"/>
      <c r="MQ36" s="41"/>
      <c r="MR36" s="41"/>
      <c r="MS36" s="234"/>
      <c r="MT36" s="234"/>
      <c r="MU36" s="41"/>
      <c r="MV36" s="41"/>
      <c r="MW36" s="41"/>
      <c r="MX36" s="41"/>
      <c r="MY36" s="41"/>
      <c r="MZ36" s="234"/>
      <c r="NA36" s="234"/>
      <c r="NB36" s="41"/>
      <c r="NC36" s="41"/>
      <c r="ND36" s="41"/>
      <c r="NE36" s="41"/>
      <c r="NF36" s="41"/>
      <c r="NG36" s="234"/>
      <c r="NH36" s="234"/>
      <c r="NI36" s="41"/>
      <c r="NJ36" s="41"/>
      <c r="NK36" s="41"/>
      <c r="NL36" s="41"/>
      <c r="NM36" s="41"/>
      <c r="NN36" s="234"/>
      <c r="NO36" s="234"/>
      <c r="NP36" s="41"/>
      <c r="NQ36" s="41"/>
      <c r="NR36" s="41"/>
      <c r="NS36" s="41"/>
      <c r="NT36" s="41"/>
      <c r="NU36" s="230"/>
      <c r="NV36" s="230"/>
    </row>
    <row r="37" spans="4:386" hidden="1" x14ac:dyDescent="0.3">
      <c r="D37" s="343" t="s">
        <v>7</v>
      </c>
      <c r="E37" s="190" t="s">
        <v>8</v>
      </c>
      <c r="F37" s="344" t="s">
        <v>9</v>
      </c>
      <c r="G37" s="149" t="s">
        <v>303</v>
      </c>
      <c r="H37" s="150" t="s">
        <v>304</v>
      </c>
      <c r="I37" s="125" t="s">
        <v>386</v>
      </c>
      <c r="J37" s="125" t="s">
        <v>386</v>
      </c>
      <c r="K37" s="125" t="s">
        <v>460</v>
      </c>
      <c r="L37" s="125" t="s">
        <v>386</v>
      </c>
      <c r="M37" s="125" t="s">
        <v>386</v>
      </c>
      <c r="N37" s="230"/>
      <c r="O37" s="230"/>
      <c r="P37" s="41"/>
      <c r="Q37" s="41"/>
      <c r="R37" s="41"/>
      <c r="S37" s="41"/>
      <c r="T37" s="41"/>
      <c r="U37" s="230"/>
      <c r="V37" s="230"/>
      <c r="W37" s="41"/>
      <c r="X37" s="41"/>
      <c r="Y37" s="41"/>
      <c r="Z37" s="41"/>
      <c r="AA37" s="41"/>
      <c r="AB37" s="230"/>
      <c r="AC37" s="230"/>
      <c r="AD37" s="41"/>
      <c r="AE37" s="41"/>
      <c r="AF37" s="41"/>
      <c r="AG37" s="41"/>
      <c r="AH37" s="41"/>
      <c r="AI37" s="230"/>
      <c r="AJ37" s="230"/>
      <c r="AK37" s="41"/>
      <c r="AL37" s="41"/>
      <c r="AM37" s="41"/>
      <c r="AN37" s="41"/>
      <c r="AO37" s="41"/>
      <c r="AP37" s="230"/>
      <c r="AQ37" s="230"/>
      <c r="AR37" s="41"/>
      <c r="AS37" s="41"/>
      <c r="AT37" s="41"/>
      <c r="AU37" s="41"/>
      <c r="AV37" s="41"/>
      <c r="AW37" s="230"/>
      <c r="AX37" s="230"/>
      <c r="AY37" s="41"/>
      <c r="AZ37" s="41"/>
      <c r="BA37" s="41"/>
      <c r="BB37" s="41"/>
      <c r="BC37" s="41"/>
      <c r="BD37" s="230"/>
      <c r="BE37" s="230"/>
      <c r="BF37" s="41"/>
      <c r="BG37" s="41"/>
      <c r="BH37" s="41"/>
      <c r="BI37" s="41"/>
      <c r="BJ37" s="41"/>
      <c r="BK37" s="230"/>
      <c r="BL37" s="230"/>
      <c r="BM37" s="41"/>
      <c r="BN37" s="41"/>
      <c r="BO37" s="41"/>
      <c r="BP37" s="41"/>
      <c r="BQ37" s="41"/>
      <c r="BR37" s="230"/>
      <c r="BS37" s="230"/>
      <c r="BT37" s="41"/>
      <c r="BU37" s="41"/>
      <c r="BV37" s="41"/>
      <c r="BW37" s="41"/>
      <c r="BX37" s="41"/>
      <c r="BY37" s="230"/>
      <c r="BZ37" s="230"/>
      <c r="CA37" s="41"/>
      <c r="CB37" s="41"/>
      <c r="CC37" s="41"/>
      <c r="CD37" s="41"/>
      <c r="CE37" s="41"/>
      <c r="CF37" s="230"/>
      <c r="CG37" s="230"/>
      <c r="CH37" s="41"/>
      <c r="CI37" s="41"/>
      <c r="CJ37" s="41"/>
      <c r="CK37" s="41"/>
      <c r="CL37" s="41"/>
      <c r="CM37" s="230"/>
      <c r="CN37" s="230"/>
      <c r="CO37" s="41"/>
      <c r="CP37" s="41"/>
      <c r="CQ37" s="41"/>
      <c r="CR37" s="41"/>
      <c r="CS37" s="41"/>
      <c r="CT37" s="230"/>
      <c r="CU37" s="230"/>
      <c r="CV37" s="41"/>
      <c r="CW37" s="41"/>
      <c r="CX37" s="41"/>
      <c r="CY37" s="41"/>
      <c r="CZ37" s="41"/>
      <c r="DA37" s="230"/>
      <c r="DB37" s="230"/>
      <c r="DC37" s="41"/>
      <c r="DD37" s="41"/>
      <c r="DE37" s="41"/>
      <c r="DF37" s="41"/>
      <c r="DG37" s="41"/>
      <c r="DH37" s="230"/>
      <c r="DI37" s="230"/>
      <c r="DJ37" s="41"/>
      <c r="DK37" s="41"/>
      <c r="DL37" s="41"/>
      <c r="DM37" s="41"/>
      <c r="DN37" s="41"/>
      <c r="DO37" s="230"/>
      <c r="DP37" s="230"/>
      <c r="DQ37" s="41"/>
      <c r="DR37" s="41"/>
      <c r="DS37" s="41"/>
      <c r="DT37" s="41"/>
      <c r="DU37" s="41"/>
      <c r="DV37" s="230"/>
      <c r="DW37" s="234"/>
      <c r="DX37" s="41"/>
      <c r="DY37" s="41"/>
      <c r="DZ37" s="41"/>
      <c r="EA37" s="41"/>
      <c r="EB37" s="41"/>
      <c r="EC37" s="230"/>
      <c r="ED37" s="230"/>
      <c r="EE37" s="41"/>
      <c r="EF37" s="41"/>
      <c r="EG37" s="41"/>
      <c r="EH37" s="41"/>
      <c r="EI37" s="41"/>
      <c r="EJ37" s="230"/>
      <c r="EK37" s="230"/>
      <c r="EL37" s="41"/>
      <c r="EM37" s="41"/>
      <c r="EN37" s="41"/>
      <c r="EO37" s="41"/>
      <c r="EP37" s="41"/>
      <c r="EQ37" s="230"/>
      <c r="ER37" s="230"/>
      <c r="ES37" s="41"/>
      <c r="ET37" s="41"/>
      <c r="EU37" s="41"/>
      <c r="EV37" s="41"/>
      <c r="EW37" s="41"/>
      <c r="EX37" s="230"/>
      <c r="EY37" s="230"/>
      <c r="EZ37" s="41"/>
      <c r="FA37" s="41"/>
      <c r="FB37" s="41"/>
      <c r="FC37" s="41"/>
      <c r="FD37" s="41"/>
      <c r="FE37" s="230"/>
      <c r="FF37" s="230"/>
      <c r="FG37" s="41"/>
      <c r="FH37" s="41"/>
      <c r="FI37" s="41"/>
      <c r="FJ37" s="41"/>
      <c r="FK37" s="41"/>
      <c r="FL37" s="230"/>
      <c r="FM37" s="230"/>
      <c r="FN37" s="41"/>
      <c r="FO37" s="41"/>
      <c r="FP37" s="41"/>
      <c r="FQ37" s="41"/>
      <c r="FR37" s="41"/>
      <c r="FS37" s="230"/>
      <c r="FT37" s="230"/>
      <c r="FU37" s="41"/>
      <c r="FV37" s="41"/>
      <c r="FW37" s="41"/>
      <c r="FX37" s="41"/>
      <c r="FY37" s="41"/>
      <c r="FZ37" s="230"/>
      <c r="GA37" s="230"/>
      <c r="GB37" s="41"/>
      <c r="GC37" s="41"/>
      <c r="GD37" s="41"/>
      <c r="GE37" s="41"/>
      <c r="GF37" s="41"/>
      <c r="GG37" s="230"/>
      <c r="GH37" s="230"/>
      <c r="GI37" s="41"/>
      <c r="GJ37" s="41"/>
      <c r="GK37" s="41"/>
      <c r="GL37" s="41"/>
      <c r="GM37" s="41"/>
      <c r="GN37" s="230"/>
      <c r="GO37" s="230"/>
      <c r="GP37" s="41"/>
      <c r="GQ37" s="41"/>
      <c r="GR37" s="41"/>
      <c r="GS37" s="41"/>
      <c r="GT37" s="41"/>
      <c r="GU37" s="230"/>
      <c r="GV37" s="230"/>
      <c r="GW37" s="41" t="s">
        <v>460</v>
      </c>
      <c r="GX37" s="41"/>
      <c r="GY37" s="41"/>
      <c r="GZ37" s="41"/>
      <c r="HA37" s="41"/>
      <c r="HB37" s="230"/>
      <c r="HC37" s="230"/>
      <c r="HD37" s="41"/>
      <c r="HE37" s="41"/>
      <c r="HF37" s="41"/>
      <c r="HG37" s="41"/>
      <c r="HH37" s="41"/>
      <c r="HI37" s="234"/>
      <c r="HJ37" s="234"/>
      <c r="HK37" s="41"/>
      <c r="HL37" s="41"/>
      <c r="HM37" s="41"/>
      <c r="HN37" s="41"/>
      <c r="HO37" s="41"/>
      <c r="HP37" s="234"/>
      <c r="HQ37" s="234"/>
      <c r="HR37" s="41"/>
      <c r="HS37" s="41"/>
      <c r="HT37" s="41"/>
      <c r="HU37" s="41"/>
      <c r="HV37" s="41"/>
      <c r="HW37" s="234"/>
      <c r="HX37" s="234"/>
      <c r="HY37" s="41" t="s">
        <v>460</v>
      </c>
      <c r="HZ37" s="41" t="s">
        <v>460</v>
      </c>
      <c r="IA37" s="41" t="s">
        <v>460</v>
      </c>
      <c r="IB37" s="41" t="s">
        <v>460</v>
      </c>
      <c r="IC37" s="41" t="s">
        <v>460</v>
      </c>
      <c r="ID37" s="234"/>
      <c r="IE37" s="234"/>
      <c r="IF37" s="41"/>
      <c r="IG37" s="41"/>
      <c r="IH37" s="41"/>
      <c r="II37" s="41"/>
      <c r="IJ37" s="41"/>
      <c r="IK37" s="234"/>
      <c r="IL37" s="234"/>
      <c r="IM37" s="41"/>
      <c r="IN37" s="41"/>
      <c r="IO37" s="41"/>
      <c r="IP37" s="41"/>
      <c r="IQ37" s="41"/>
      <c r="IR37" s="234"/>
      <c r="IS37" s="234"/>
      <c r="IT37" s="41"/>
      <c r="IU37" s="41"/>
      <c r="IV37" s="41"/>
      <c r="IW37" s="41"/>
      <c r="IX37" s="41"/>
      <c r="IY37" s="234"/>
      <c r="IZ37" s="234"/>
      <c r="JA37" s="41"/>
      <c r="JB37" s="41"/>
      <c r="JC37" s="41"/>
      <c r="JD37" s="41"/>
      <c r="JE37" s="41"/>
      <c r="JF37" s="234"/>
      <c r="JG37" s="234"/>
      <c r="JH37" s="41"/>
      <c r="JI37" s="41"/>
      <c r="JJ37" s="41"/>
      <c r="JK37" s="41"/>
      <c r="JL37" s="41"/>
      <c r="JM37" s="234"/>
      <c r="JN37" s="234"/>
      <c r="JO37" s="41"/>
      <c r="JP37" s="41"/>
      <c r="JQ37" s="41"/>
      <c r="JR37" s="41"/>
      <c r="JS37" s="41"/>
      <c r="JT37" s="234"/>
      <c r="JU37" s="234"/>
      <c r="JV37" s="41"/>
      <c r="JW37" s="41"/>
      <c r="JX37" s="41"/>
      <c r="JY37" s="41"/>
      <c r="JZ37" s="41"/>
      <c r="KA37" s="234"/>
      <c r="KB37" s="234"/>
      <c r="KC37" s="41"/>
      <c r="KD37" s="41"/>
      <c r="KE37" s="41"/>
      <c r="KF37" s="41"/>
      <c r="KG37" s="41"/>
      <c r="KH37" s="234"/>
      <c r="KI37" s="234"/>
      <c r="KJ37" s="41"/>
      <c r="KK37" s="41"/>
      <c r="KL37" s="41"/>
      <c r="KM37" s="41"/>
      <c r="KN37" s="41"/>
      <c r="KO37" s="234"/>
      <c r="KP37" s="234"/>
      <c r="KQ37" s="41"/>
      <c r="KR37" s="41"/>
      <c r="KS37" s="41"/>
      <c r="KT37" s="41"/>
      <c r="KU37" s="41"/>
      <c r="KV37" s="234"/>
      <c r="KW37" s="234"/>
      <c r="KX37" s="41"/>
      <c r="KY37" s="41"/>
      <c r="KZ37" s="41"/>
      <c r="LA37" s="41"/>
      <c r="LB37" s="41"/>
      <c r="LC37" s="234"/>
      <c r="LD37" s="234"/>
      <c r="LE37" s="41"/>
      <c r="LF37" s="41"/>
      <c r="LG37" s="41"/>
      <c r="LH37" s="41"/>
      <c r="LI37" s="41"/>
      <c r="LJ37" s="234"/>
      <c r="LK37" s="234"/>
      <c r="LL37" s="41"/>
      <c r="LM37" s="41"/>
      <c r="LN37" s="41"/>
      <c r="LO37" s="41"/>
      <c r="LP37" s="41"/>
      <c r="LQ37" s="234"/>
      <c r="LR37" s="234"/>
      <c r="LS37" s="41"/>
      <c r="LT37" s="41"/>
      <c r="LU37" s="41"/>
      <c r="LV37" s="41"/>
      <c r="LW37" s="41"/>
      <c r="LX37" s="234"/>
      <c r="LY37" s="234"/>
      <c r="LZ37" s="41"/>
      <c r="MA37" s="41"/>
      <c r="MB37" s="41"/>
      <c r="MC37" s="41"/>
      <c r="MD37" s="41"/>
      <c r="ME37" s="234"/>
      <c r="MF37" s="234"/>
      <c r="MG37" s="41"/>
      <c r="MH37" s="41"/>
      <c r="MI37" s="41"/>
      <c r="MJ37" s="41"/>
      <c r="MK37" s="41"/>
      <c r="ML37" s="234"/>
      <c r="MM37" s="234"/>
      <c r="MN37" s="41"/>
      <c r="MO37" s="41"/>
      <c r="MP37" s="41"/>
      <c r="MQ37" s="41"/>
      <c r="MR37" s="41"/>
      <c r="MS37" s="234"/>
      <c r="MT37" s="234"/>
      <c r="MU37" s="41"/>
      <c r="MV37" s="41"/>
      <c r="MW37" s="41"/>
      <c r="MX37" s="41"/>
      <c r="MY37" s="41"/>
      <c r="MZ37" s="234"/>
      <c r="NA37" s="234"/>
      <c r="NB37" s="41"/>
      <c r="NC37" s="41"/>
      <c r="ND37" s="41"/>
      <c r="NE37" s="41"/>
      <c r="NF37" s="41"/>
      <c r="NG37" s="234"/>
      <c r="NH37" s="234"/>
      <c r="NI37" s="41"/>
      <c r="NJ37" s="41"/>
      <c r="NK37" s="41"/>
      <c r="NL37" s="41"/>
      <c r="NM37" s="41"/>
      <c r="NN37" s="234"/>
      <c r="NO37" s="234"/>
      <c r="NP37" s="41"/>
      <c r="NQ37" s="41"/>
      <c r="NR37" s="41"/>
      <c r="NS37" s="41"/>
      <c r="NT37" s="41"/>
      <c r="NU37" s="230"/>
      <c r="NV37" s="230"/>
    </row>
    <row r="38" spans="4:386" x14ac:dyDescent="0.3">
      <c r="D38" s="206" t="s">
        <v>7</v>
      </c>
      <c r="E38" s="190" t="s">
        <v>8</v>
      </c>
      <c r="F38" s="146" t="s">
        <v>9</v>
      </c>
      <c r="G38" s="149" t="s">
        <v>359</v>
      </c>
      <c r="H38" s="150" t="s">
        <v>360</v>
      </c>
      <c r="I38" s="125" t="s">
        <v>429</v>
      </c>
      <c r="J38" s="125" t="s">
        <v>429</v>
      </c>
      <c r="K38" s="125" t="s">
        <v>460</v>
      </c>
      <c r="L38" s="125" t="s">
        <v>429</v>
      </c>
      <c r="M38" s="125" t="s">
        <v>429</v>
      </c>
      <c r="N38" s="230"/>
      <c r="O38" s="230"/>
      <c r="P38" s="41"/>
      <c r="Q38" s="41"/>
      <c r="R38" s="41"/>
      <c r="S38" s="41"/>
      <c r="T38" s="41"/>
      <c r="U38" s="230"/>
      <c r="V38" s="230"/>
      <c r="W38" s="41"/>
      <c r="X38" s="41"/>
      <c r="Y38" s="41"/>
      <c r="Z38" s="41"/>
      <c r="AA38" s="41"/>
      <c r="AB38" s="230"/>
      <c r="AC38" s="230"/>
      <c r="AD38" s="41"/>
      <c r="AE38" s="41"/>
      <c r="AF38" s="41"/>
      <c r="AG38" s="41"/>
      <c r="AH38" s="41"/>
      <c r="AI38" s="230"/>
      <c r="AJ38" s="230"/>
      <c r="AK38" s="41"/>
      <c r="AL38" s="41"/>
      <c r="AM38" s="41"/>
      <c r="AN38" s="41"/>
      <c r="AO38" s="41"/>
      <c r="AP38" s="230"/>
      <c r="AQ38" s="230"/>
      <c r="AR38" s="41"/>
      <c r="AS38" s="41"/>
      <c r="AT38" s="41"/>
      <c r="AU38" s="41"/>
      <c r="AV38" s="41"/>
      <c r="AW38" s="230"/>
      <c r="AX38" s="230"/>
      <c r="AY38" s="41"/>
      <c r="AZ38" s="41"/>
      <c r="BA38" s="41"/>
      <c r="BB38" s="41"/>
      <c r="BC38" s="41"/>
      <c r="BD38" s="230"/>
      <c r="BE38" s="230"/>
      <c r="BF38" s="41"/>
      <c r="BG38" s="41"/>
      <c r="BH38" s="41"/>
      <c r="BI38" s="41"/>
      <c r="BJ38" s="41"/>
      <c r="BK38" s="230"/>
      <c r="BL38" s="230"/>
      <c r="BM38" s="41"/>
      <c r="BN38" s="41"/>
      <c r="BO38" s="41"/>
      <c r="BP38" s="41"/>
      <c r="BQ38" s="41"/>
      <c r="BR38" s="230"/>
      <c r="BS38" s="230"/>
      <c r="BT38" s="41"/>
      <c r="BU38" s="41"/>
      <c r="BV38" s="41"/>
      <c r="BW38" s="41"/>
      <c r="BX38" s="41"/>
      <c r="BY38" s="230"/>
      <c r="BZ38" s="230"/>
      <c r="CA38" s="41"/>
      <c r="CB38" s="41"/>
      <c r="CC38" s="41"/>
      <c r="CD38" s="41"/>
      <c r="CE38" s="41"/>
      <c r="CF38" s="230"/>
      <c r="CG38" s="230"/>
      <c r="CH38" s="41"/>
      <c r="CI38" s="41"/>
      <c r="CJ38" s="41"/>
      <c r="CK38" s="41"/>
      <c r="CL38" s="41"/>
      <c r="CM38" s="230"/>
      <c r="CN38" s="230"/>
      <c r="CO38" s="41"/>
      <c r="CP38" s="41"/>
      <c r="CQ38" s="41"/>
      <c r="CR38" s="41"/>
      <c r="CS38" s="41"/>
      <c r="CT38" s="230"/>
      <c r="CU38" s="230"/>
      <c r="CV38" s="41"/>
      <c r="CW38" s="41"/>
      <c r="CX38" s="41"/>
      <c r="CY38" s="41"/>
      <c r="CZ38" s="41"/>
      <c r="DA38" s="230"/>
      <c r="DB38" s="230"/>
      <c r="DC38" s="41"/>
      <c r="DD38" s="41"/>
      <c r="DE38" s="41"/>
      <c r="DF38" s="41"/>
      <c r="DG38" s="41"/>
      <c r="DH38" s="230"/>
      <c r="DI38" s="230"/>
      <c r="DJ38" s="41"/>
      <c r="DK38" s="41"/>
      <c r="DL38" s="41"/>
      <c r="DM38" s="41"/>
      <c r="DN38" s="41"/>
      <c r="DO38" s="230"/>
      <c r="DP38" s="230"/>
      <c r="DQ38" s="41"/>
      <c r="DR38" s="41"/>
      <c r="DS38" s="41"/>
      <c r="DT38" s="41"/>
      <c r="DU38" s="41"/>
      <c r="DV38" s="230"/>
      <c r="DW38" s="234"/>
      <c r="DX38" s="41"/>
      <c r="DY38" s="41"/>
      <c r="DZ38" s="41"/>
      <c r="EA38" s="41"/>
      <c r="EB38" s="41"/>
      <c r="EC38" s="230"/>
      <c r="ED38" s="230"/>
      <c r="EE38" s="41"/>
      <c r="EF38" s="41"/>
      <c r="EG38" s="41"/>
      <c r="EH38" s="41"/>
      <c r="EI38" s="41"/>
      <c r="EJ38" s="230"/>
      <c r="EK38" s="230"/>
      <c r="EL38" s="41"/>
      <c r="EM38" s="41"/>
      <c r="EN38" s="41"/>
      <c r="EO38" s="41"/>
      <c r="EP38" s="41"/>
      <c r="EQ38" s="230"/>
      <c r="ER38" s="230"/>
      <c r="ES38" s="41"/>
      <c r="ET38" s="41"/>
      <c r="EU38" s="41"/>
      <c r="EV38" s="41"/>
      <c r="EW38" s="41"/>
      <c r="EX38" s="230"/>
      <c r="EY38" s="230"/>
      <c r="EZ38" s="41"/>
      <c r="FA38" s="41"/>
      <c r="FB38" s="41"/>
      <c r="FC38" s="41"/>
      <c r="FD38" s="41"/>
      <c r="FE38" s="230"/>
      <c r="FF38" s="230"/>
      <c r="FG38" s="41"/>
      <c r="FH38" s="41"/>
      <c r="FI38" s="41"/>
      <c r="FJ38" s="41"/>
      <c r="FK38" s="41"/>
      <c r="FL38" s="230"/>
      <c r="FM38" s="230"/>
      <c r="FN38" s="41"/>
      <c r="FO38" s="41"/>
      <c r="FP38" s="41"/>
      <c r="FQ38" s="41"/>
      <c r="FR38" s="41"/>
      <c r="FS38" s="230"/>
      <c r="FT38" s="230"/>
      <c r="FU38" s="41"/>
      <c r="FV38" s="41"/>
      <c r="FW38" s="41"/>
      <c r="FX38" s="41"/>
      <c r="FY38" s="41"/>
      <c r="FZ38" s="230"/>
      <c r="GA38" s="230"/>
      <c r="GB38" s="41"/>
      <c r="GC38" s="41"/>
      <c r="GD38" s="41"/>
      <c r="GE38" s="41"/>
      <c r="GF38" s="41"/>
      <c r="GG38" s="230"/>
      <c r="GH38" s="230"/>
      <c r="GI38" s="41"/>
      <c r="GJ38" s="41"/>
      <c r="GK38" s="41"/>
      <c r="GL38" s="41"/>
      <c r="GM38" s="41"/>
      <c r="GN38" s="230"/>
      <c r="GO38" s="230"/>
      <c r="GP38" s="41"/>
      <c r="GQ38" s="41"/>
      <c r="GR38" s="41"/>
      <c r="GS38" s="41"/>
      <c r="GT38" s="41"/>
      <c r="GU38" s="230"/>
      <c r="GV38" s="230"/>
      <c r="GW38" s="41" t="s">
        <v>460</v>
      </c>
      <c r="GX38" s="41"/>
      <c r="GY38" s="41"/>
      <c r="GZ38" s="41"/>
      <c r="HA38" s="41"/>
      <c r="HB38" s="230"/>
      <c r="HC38" s="230"/>
      <c r="HD38" s="41"/>
      <c r="HE38" s="41"/>
      <c r="HF38" s="41"/>
      <c r="HG38" s="41"/>
      <c r="HH38" s="41"/>
      <c r="HI38" s="234"/>
      <c r="HJ38" s="234"/>
      <c r="HK38" s="41"/>
      <c r="HL38" s="41"/>
      <c r="HM38" s="41"/>
      <c r="HN38" s="41"/>
      <c r="HO38" s="41"/>
      <c r="HP38" s="234"/>
      <c r="HQ38" s="234"/>
      <c r="HR38" s="41"/>
      <c r="HS38" s="41"/>
      <c r="HT38" s="41"/>
      <c r="HU38" s="41"/>
      <c r="HV38" s="41"/>
      <c r="HW38" s="234"/>
      <c r="HX38" s="234"/>
      <c r="HY38" s="41"/>
      <c r="HZ38" s="41"/>
      <c r="IA38" s="41"/>
      <c r="IB38" s="41"/>
      <c r="IC38" s="41"/>
      <c r="ID38" s="234"/>
      <c r="IE38" s="234"/>
      <c r="IF38" s="41" t="s">
        <v>460</v>
      </c>
      <c r="IG38" s="41" t="s">
        <v>460</v>
      </c>
      <c r="IH38" s="41" t="s">
        <v>460</v>
      </c>
      <c r="II38" s="41" t="s">
        <v>460</v>
      </c>
      <c r="IJ38" s="41" t="s">
        <v>460</v>
      </c>
      <c r="IK38" s="234"/>
      <c r="IL38" s="234"/>
      <c r="IM38" s="41" t="s">
        <v>460</v>
      </c>
      <c r="IN38" s="41" t="s">
        <v>460</v>
      </c>
      <c r="IO38" s="41" t="s">
        <v>460</v>
      </c>
      <c r="IP38" s="41" t="s">
        <v>460</v>
      </c>
      <c r="IQ38" s="41" t="s">
        <v>460</v>
      </c>
      <c r="IR38" s="234"/>
      <c r="IS38" s="234"/>
      <c r="IT38" s="41"/>
      <c r="IU38" s="41"/>
      <c r="IV38" s="41"/>
      <c r="IW38" s="41"/>
      <c r="IX38" s="41"/>
      <c r="IY38" s="234"/>
      <c r="IZ38" s="234"/>
      <c r="JA38" s="41"/>
      <c r="JB38" s="41"/>
      <c r="JC38" s="41"/>
      <c r="JD38" s="41"/>
      <c r="JE38" s="41"/>
      <c r="JF38" s="234"/>
      <c r="JG38" s="234"/>
      <c r="JH38" s="41"/>
      <c r="JI38" s="41"/>
      <c r="JJ38" s="41"/>
      <c r="JK38" s="41"/>
      <c r="JL38" s="41"/>
      <c r="JM38" s="234"/>
      <c r="JN38" s="234"/>
      <c r="JO38" s="41"/>
      <c r="JP38" s="41"/>
      <c r="JQ38" s="41"/>
      <c r="JR38" s="41"/>
      <c r="JS38" s="41"/>
      <c r="JT38" s="234"/>
      <c r="JU38" s="234"/>
      <c r="JV38" s="41"/>
      <c r="JW38" s="41"/>
      <c r="JX38" s="41"/>
      <c r="JY38" s="41"/>
      <c r="JZ38" s="41"/>
      <c r="KA38" s="234"/>
      <c r="KB38" s="234"/>
      <c r="KC38" s="41"/>
      <c r="KD38" s="41"/>
      <c r="KE38" s="41"/>
      <c r="KF38" s="41"/>
      <c r="KG38" s="41"/>
      <c r="KH38" s="234"/>
      <c r="KI38" s="234"/>
      <c r="KJ38" s="41"/>
      <c r="KK38" s="41"/>
      <c r="KL38" s="41"/>
      <c r="KM38" s="41"/>
      <c r="KN38" s="41"/>
      <c r="KO38" s="234"/>
      <c r="KP38" s="234"/>
      <c r="KQ38" s="41"/>
      <c r="KR38" s="41"/>
      <c r="KS38" s="41"/>
      <c r="KT38" s="41"/>
      <c r="KU38" s="41"/>
      <c r="KV38" s="234"/>
      <c r="KW38" s="234"/>
      <c r="KX38" s="41"/>
      <c r="KY38" s="41"/>
      <c r="KZ38" s="41"/>
      <c r="LA38" s="41"/>
      <c r="LB38" s="41"/>
      <c r="LC38" s="234"/>
      <c r="LD38" s="234"/>
      <c r="LE38" s="41"/>
      <c r="LF38" s="41"/>
      <c r="LG38" s="41"/>
      <c r="LH38" s="41"/>
      <c r="LI38" s="41"/>
      <c r="LJ38" s="234"/>
      <c r="LK38" s="234"/>
      <c r="LL38" s="41"/>
      <c r="LM38" s="41"/>
      <c r="LN38" s="41"/>
      <c r="LO38" s="41"/>
      <c r="LP38" s="41"/>
      <c r="LQ38" s="234"/>
      <c r="LR38" s="234"/>
      <c r="LS38" s="41"/>
      <c r="LT38" s="41"/>
      <c r="LU38" s="41"/>
      <c r="LV38" s="41"/>
      <c r="LW38" s="41"/>
      <c r="LX38" s="234"/>
      <c r="LY38" s="234"/>
      <c r="LZ38" s="41"/>
      <c r="MA38" s="41"/>
      <c r="MB38" s="41"/>
      <c r="MC38" s="41"/>
      <c r="MD38" s="41"/>
      <c r="ME38" s="234"/>
      <c r="MF38" s="234"/>
      <c r="MG38" s="41"/>
      <c r="MH38" s="41"/>
      <c r="MI38" s="41"/>
      <c r="MJ38" s="41"/>
      <c r="MK38" s="41"/>
      <c r="ML38" s="234"/>
      <c r="MM38" s="234"/>
      <c r="MN38" s="41"/>
      <c r="MO38" s="41"/>
      <c r="MP38" s="41"/>
      <c r="MQ38" s="41"/>
      <c r="MR38" s="41"/>
      <c r="MS38" s="234"/>
      <c r="MT38" s="234"/>
      <c r="MU38" s="41"/>
      <c r="MV38" s="41"/>
      <c r="MW38" s="41"/>
      <c r="MX38" s="41"/>
      <c r="MY38" s="41"/>
      <c r="MZ38" s="234"/>
      <c r="NA38" s="234"/>
      <c r="NB38" s="41"/>
      <c r="NC38" s="41"/>
      <c r="ND38" s="41"/>
      <c r="NE38" s="41"/>
      <c r="NF38" s="41"/>
      <c r="NG38" s="234"/>
      <c r="NH38" s="234"/>
      <c r="NI38" s="41"/>
      <c r="NJ38" s="41"/>
      <c r="NK38" s="41"/>
      <c r="NL38" s="41"/>
      <c r="NM38" s="41"/>
      <c r="NN38" s="234"/>
      <c r="NO38" s="234"/>
      <c r="NP38" s="41"/>
      <c r="NQ38" s="41"/>
      <c r="NR38" s="41"/>
      <c r="NS38" s="41"/>
      <c r="NT38" s="41"/>
      <c r="NU38" s="230"/>
      <c r="NV38" s="230"/>
    </row>
    <row r="39" spans="4:386" hidden="1" x14ac:dyDescent="0.3">
      <c r="D39" s="206" t="s">
        <v>7</v>
      </c>
      <c r="E39" s="190" t="s">
        <v>8</v>
      </c>
      <c r="F39" s="146" t="s">
        <v>9</v>
      </c>
      <c r="G39" s="159" t="s">
        <v>376</v>
      </c>
      <c r="H39" s="160" t="s">
        <v>272</v>
      </c>
      <c r="I39" s="125" t="s">
        <v>460</v>
      </c>
      <c r="J39" s="125" t="s">
        <v>460</v>
      </c>
      <c r="K39" s="125" t="s">
        <v>460</v>
      </c>
      <c r="L39" s="125" t="s">
        <v>460</v>
      </c>
      <c r="M39" s="125" t="s">
        <v>460</v>
      </c>
      <c r="N39" s="230"/>
      <c r="O39" s="230"/>
      <c r="P39" s="41"/>
      <c r="Q39" s="41"/>
      <c r="R39" s="41"/>
      <c r="S39" s="41"/>
      <c r="T39" s="41"/>
      <c r="U39" s="230"/>
      <c r="V39" s="230"/>
      <c r="W39" s="41"/>
      <c r="X39" s="41"/>
      <c r="Y39" s="41"/>
      <c r="Z39" s="41"/>
      <c r="AA39" s="41"/>
      <c r="AB39" s="230"/>
      <c r="AC39" s="230"/>
      <c r="AD39" s="41"/>
      <c r="AE39" s="41"/>
      <c r="AF39" s="41"/>
      <c r="AG39" s="41"/>
      <c r="AH39" s="41"/>
      <c r="AI39" s="230"/>
      <c r="AJ39" s="230"/>
      <c r="AK39" s="41"/>
      <c r="AL39" s="41"/>
      <c r="AM39" s="41"/>
      <c r="AN39" s="41"/>
      <c r="AO39" s="41"/>
      <c r="AP39" s="230"/>
      <c r="AQ39" s="230"/>
      <c r="AR39" s="41"/>
      <c r="AS39" s="41"/>
      <c r="AT39" s="41"/>
      <c r="AU39" s="41"/>
      <c r="AV39" s="41"/>
      <c r="AW39" s="230"/>
      <c r="AX39" s="230"/>
      <c r="AY39" s="41"/>
      <c r="AZ39" s="41"/>
      <c r="BA39" s="41"/>
      <c r="BB39" s="41"/>
      <c r="BC39" s="41"/>
      <c r="BD39" s="230"/>
      <c r="BE39" s="230"/>
      <c r="BF39" s="41"/>
      <c r="BG39" s="41"/>
      <c r="BH39" s="41"/>
      <c r="BI39" s="41"/>
      <c r="BJ39" s="41"/>
      <c r="BK39" s="230"/>
      <c r="BL39" s="230"/>
      <c r="BM39" s="41"/>
      <c r="BN39" s="41"/>
      <c r="BO39" s="41"/>
      <c r="BP39" s="41"/>
      <c r="BQ39" s="41"/>
      <c r="BR39" s="230"/>
      <c r="BS39" s="230"/>
      <c r="BT39" s="41"/>
      <c r="BU39" s="41"/>
      <c r="BV39" s="41"/>
      <c r="BW39" s="41"/>
      <c r="BX39" s="41"/>
      <c r="BY39" s="230"/>
      <c r="BZ39" s="230"/>
      <c r="CA39" s="41"/>
      <c r="CB39" s="41"/>
      <c r="CC39" s="41"/>
      <c r="CD39" s="41"/>
      <c r="CE39" s="41"/>
      <c r="CF39" s="230"/>
      <c r="CG39" s="230"/>
      <c r="CH39" s="41"/>
      <c r="CI39" s="41"/>
      <c r="CJ39" s="41"/>
      <c r="CK39" s="41"/>
      <c r="CL39" s="41"/>
      <c r="CM39" s="230"/>
      <c r="CN39" s="230"/>
      <c r="CO39" s="41"/>
      <c r="CP39" s="41"/>
      <c r="CQ39" s="41"/>
      <c r="CR39" s="41"/>
      <c r="CS39" s="41"/>
      <c r="CT39" s="230"/>
      <c r="CU39" s="230"/>
      <c r="CV39" s="41"/>
      <c r="CW39" s="41"/>
      <c r="CX39" s="41"/>
      <c r="CY39" s="41"/>
      <c r="CZ39" s="41"/>
      <c r="DA39" s="230"/>
      <c r="DB39" s="230"/>
      <c r="DC39" s="41"/>
      <c r="DD39" s="41"/>
      <c r="DE39" s="41"/>
      <c r="DF39" s="41"/>
      <c r="DG39" s="41"/>
      <c r="DH39" s="230"/>
      <c r="DI39" s="230"/>
      <c r="DJ39" s="41"/>
      <c r="DK39" s="41"/>
      <c r="DL39" s="41"/>
      <c r="DM39" s="41"/>
      <c r="DN39" s="41"/>
      <c r="DO39" s="230"/>
      <c r="DP39" s="230"/>
      <c r="DQ39" s="41"/>
      <c r="DR39" s="41"/>
      <c r="DS39" s="41"/>
      <c r="DT39" s="41"/>
      <c r="DU39" s="41"/>
      <c r="DV39" s="230"/>
      <c r="DW39" s="234"/>
      <c r="DX39" s="41"/>
      <c r="DY39" s="41"/>
      <c r="DZ39" s="41"/>
      <c r="EA39" s="41"/>
      <c r="EB39" s="41"/>
      <c r="EC39" s="230"/>
      <c r="ED39" s="230"/>
      <c r="EE39" s="41"/>
      <c r="EF39" s="41"/>
      <c r="EG39" s="41"/>
      <c r="EH39" s="41"/>
      <c r="EI39" s="41"/>
      <c r="EJ39" s="230"/>
      <c r="EK39" s="230"/>
      <c r="EL39" s="41"/>
      <c r="EM39" s="41"/>
      <c r="EN39" s="41"/>
      <c r="EO39" s="41"/>
      <c r="EP39" s="41"/>
      <c r="EQ39" s="230"/>
      <c r="ER39" s="230"/>
      <c r="ES39" s="41"/>
      <c r="ET39" s="41"/>
      <c r="EU39" s="41"/>
      <c r="EV39" s="41"/>
      <c r="EW39" s="41"/>
      <c r="EX39" s="230"/>
      <c r="EY39" s="230"/>
      <c r="EZ39" s="41"/>
      <c r="FA39" s="41"/>
      <c r="FB39" s="41"/>
      <c r="FC39" s="41"/>
      <c r="FD39" s="41"/>
      <c r="FE39" s="230"/>
      <c r="FF39" s="230"/>
      <c r="FG39" s="41"/>
      <c r="FH39" s="41"/>
      <c r="FI39" s="41"/>
      <c r="FJ39" s="41"/>
      <c r="FK39" s="41"/>
      <c r="FL39" s="230"/>
      <c r="FM39" s="230"/>
      <c r="FN39" s="41"/>
      <c r="FO39" s="41"/>
      <c r="FP39" s="41"/>
      <c r="FQ39" s="41"/>
      <c r="FR39" s="41"/>
      <c r="FS39" s="230"/>
      <c r="FT39" s="230"/>
      <c r="FU39" s="41"/>
      <c r="FV39" s="41"/>
      <c r="FW39" s="41"/>
      <c r="FX39" s="41"/>
      <c r="FY39" s="41"/>
      <c r="FZ39" s="230"/>
      <c r="GA39" s="230"/>
      <c r="GB39" s="41"/>
      <c r="GC39" s="41"/>
      <c r="GD39" s="41"/>
      <c r="GE39" s="41"/>
      <c r="GF39" s="41"/>
      <c r="GG39" s="230"/>
      <c r="GH39" s="230"/>
      <c r="GI39" s="41"/>
      <c r="GJ39" s="41"/>
      <c r="GK39" s="41"/>
      <c r="GL39" s="41"/>
      <c r="GM39" s="41"/>
      <c r="GN39" s="230"/>
      <c r="GO39" s="230"/>
      <c r="GP39" s="41"/>
      <c r="GQ39" s="41"/>
      <c r="GR39" s="41"/>
      <c r="GS39" s="41"/>
      <c r="GT39" s="41"/>
      <c r="GU39" s="230"/>
      <c r="GV39" s="230"/>
      <c r="GW39" s="41" t="s">
        <v>460</v>
      </c>
      <c r="GX39" s="41"/>
      <c r="GY39" s="41"/>
      <c r="GZ39" s="41"/>
      <c r="HA39" s="41"/>
      <c r="HB39" s="230"/>
      <c r="HC39" s="230"/>
      <c r="HD39" s="374"/>
      <c r="HE39" s="374"/>
      <c r="HF39" s="374"/>
      <c r="HG39" s="374"/>
      <c r="HH39" s="374"/>
      <c r="HI39" s="375"/>
      <c r="HJ39" s="375"/>
      <c r="HK39" s="374"/>
      <c r="HL39" s="374"/>
      <c r="HM39" s="374"/>
      <c r="HN39" s="374"/>
      <c r="HO39" s="374"/>
      <c r="HP39" s="375"/>
      <c r="HQ39" s="375"/>
      <c r="HR39" s="374"/>
      <c r="HS39" s="374"/>
      <c r="HT39" s="374"/>
      <c r="HU39" s="374"/>
      <c r="HV39" s="374"/>
      <c r="HW39" s="375"/>
      <c r="HX39" s="375"/>
      <c r="HY39" s="374"/>
      <c r="HZ39" s="374"/>
      <c r="IA39" s="374"/>
      <c r="IB39" s="374"/>
      <c r="IC39" s="374"/>
      <c r="ID39" s="375"/>
      <c r="IE39" s="375"/>
      <c r="IF39" s="374"/>
      <c r="IG39" s="374"/>
      <c r="IH39" s="374"/>
      <c r="II39" s="374"/>
      <c r="IJ39" s="374"/>
      <c r="IK39" s="375"/>
      <c r="IL39" s="375"/>
      <c r="IM39" s="374"/>
      <c r="IN39" s="374"/>
      <c r="IO39" s="374"/>
      <c r="IP39" s="374"/>
      <c r="IQ39" s="374"/>
      <c r="IR39" s="375"/>
      <c r="IS39" s="375"/>
      <c r="IT39" s="374"/>
      <c r="IU39" s="374"/>
      <c r="IV39" s="374"/>
      <c r="IW39" s="374"/>
      <c r="IX39" s="374"/>
      <c r="IY39" s="375"/>
      <c r="IZ39" s="375"/>
      <c r="JA39" s="374"/>
      <c r="JB39" s="374"/>
      <c r="JC39" s="374"/>
      <c r="JD39" s="374"/>
      <c r="JE39" s="374"/>
      <c r="JF39" s="375"/>
      <c r="JG39" s="375"/>
      <c r="JH39" s="374"/>
      <c r="JI39" s="374"/>
      <c r="JJ39" s="374"/>
      <c r="JK39" s="374"/>
      <c r="JL39" s="374"/>
      <c r="JM39" s="375"/>
      <c r="JN39" s="375"/>
      <c r="JO39" s="374"/>
      <c r="JP39" s="374"/>
      <c r="JQ39" s="374"/>
      <c r="JR39" s="374"/>
      <c r="JS39" s="374"/>
      <c r="JT39" s="375"/>
      <c r="JU39" s="375"/>
      <c r="JV39" s="374"/>
      <c r="JW39" s="374"/>
      <c r="JX39" s="374"/>
      <c r="JY39" s="374"/>
      <c r="JZ39" s="374"/>
      <c r="KA39" s="375"/>
      <c r="KB39" s="375"/>
      <c r="KC39" s="374"/>
      <c r="KD39" s="374"/>
      <c r="KE39" s="374"/>
      <c r="KF39" s="374"/>
      <c r="KG39" s="374"/>
      <c r="KH39" s="375"/>
      <c r="KI39" s="375"/>
      <c r="KJ39" s="374"/>
      <c r="KK39" s="374"/>
      <c r="KL39" s="374"/>
      <c r="KM39" s="374"/>
      <c r="KN39" s="374"/>
      <c r="KO39" s="375"/>
      <c r="KP39" s="375"/>
      <c r="KQ39" s="374"/>
      <c r="KR39" s="374"/>
      <c r="KS39" s="374"/>
      <c r="KT39" s="374"/>
      <c r="KU39" s="374"/>
      <c r="KV39" s="375"/>
      <c r="KW39" s="375"/>
      <c r="KX39" s="374"/>
      <c r="KY39" s="374"/>
      <c r="KZ39" s="374"/>
      <c r="LA39" s="374"/>
      <c r="LB39" s="374"/>
      <c r="LC39" s="375"/>
      <c r="LD39" s="375"/>
      <c r="LE39" s="374"/>
      <c r="LF39" s="374"/>
      <c r="LG39" s="374"/>
      <c r="LH39" s="374"/>
      <c r="LI39" s="374"/>
      <c r="LJ39" s="375"/>
      <c r="LK39" s="375"/>
      <c r="LL39" s="374"/>
      <c r="LM39" s="374"/>
      <c r="LN39" s="374"/>
      <c r="LO39" s="374"/>
      <c r="LP39" s="374"/>
      <c r="LQ39" s="375"/>
      <c r="LR39" s="375"/>
      <c r="LS39" s="374"/>
      <c r="LT39" s="374"/>
      <c r="LU39" s="374"/>
      <c r="LV39" s="374"/>
      <c r="LW39" s="374"/>
      <c r="LX39" s="375"/>
      <c r="LY39" s="375"/>
      <c r="LZ39" s="374"/>
      <c r="MA39" s="374"/>
      <c r="MB39" s="374"/>
      <c r="MC39" s="374"/>
      <c r="MD39" s="374"/>
      <c r="ME39" s="375"/>
      <c r="MF39" s="375"/>
      <c r="MG39" s="374"/>
      <c r="MH39" s="374"/>
      <c r="MI39" s="374"/>
      <c r="MJ39" s="374"/>
      <c r="MK39" s="374"/>
      <c r="ML39" s="375"/>
      <c r="MM39" s="375"/>
      <c r="MN39" s="374"/>
      <c r="MO39" s="374"/>
      <c r="MP39" s="374"/>
      <c r="MQ39" s="374"/>
      <c r="MR39" s="374"/>
      <c r="MS39" s="375"/>
      <c r="MT39" s="375"/>
      <c r="MU39" s="374"/>
      <c r="MV39" s="374"/>
      <c r="MW39" s="374"/>
      <c r="MX39" s="374"/>
      <c r="MY39" s="374"/>
      <c r="MZ39" s="375"/>
      <c r="NA39" s="375"/>
      <c r="NB39" s="374"/>
      <c r="NC39" s="374"/>
      <c r="ND39" s="374"/>
      <c r="NE39" s="374"/>
      <c r="NF39" s="374"/>
      <c r="NG39" s="375"/>
      <c r="NH39" s="375"/>
      <c r="NI39" s="374"/>
      <c r="NJ39" s="374"/>
      <c r="NK39" s="374"/>
      <c r="NL39" s="374"/>
      <c r="NM39" s="374"/>
      <c r="NN39" s="375"/>
      <c r="NO39" s="375"/>
      <c r="NP39" s="374"/>
      <c r="NQ39" s="374"/>
      <c r="NR39" s="374"/>
      <c r="NS39" s="374"/>
      <c r="NT39" s="374"/>
      <c r="NU39" s="230"/>
      <c r="NV39" s="230"/>
    </row>
    <row r="40" spans="4:386" ht="15" thickBot="1" x14ac:dyDescent="0.35"/>
    <row r="41" spans="4:386" ht="15" thickBot="1" x14ac:dyDescent="0.35">
      <c r="N41" s="221" t="str">
        <f>I2</f>
        <v>S53</v>
      </c>
      <c r="O41" s="218"/>
      <c r="U41" s="221" t="str">
        <f>P2</f>
        <v>S2</v>
      </c>
      <c r="V41" s="218"/>
      <c r="AB41" s="221" t="str">
        <f>W2</f>
        <v>S3</v>
      </c>
      <c r="AC41" s="218"/>
      <c r="AI41" s="221" t="str">
        <f>AD2</f>
        <v>S4</v>
      </c>
      <c r="AJ41" s="218"/>
      <c r="AP41" s="221" t="str">
        <f>AK2</f>
        <v>S5</v>
      </c>
      <c r="AQ41" s="218"/>
      <c r="AW41" s="221" t="str">
        <f>AR2</f>
        <v>S6</v>
      </c>
      <c r="AX41" s="218"/>
      <c r="BD41" s="221" t="str">
        <f>AY2</f>
        <v>S7</v>
      </c>
      <c r="BE41" s="218"/>
      <c r="BK41" s="221" t="str">
        <f>BF2</f>
        <v>S8</v>
      </c>
      <c r="BL41" s="218"/>
      <c r="BR41" s="221" t="str">
        <f>BM2</f>
        <v>S9</v>
      </c>
      <c r="BS41" s="218"/>
      <c r="BY41" s="221" t="str">
        <f>BT2</f>
        <v>S10</v>
      </c>
      <c r="BZ41" s="218"/>
      <c r="CF41" s="221" t="str">
        <f>CA2</f>
        <v>S11</v>
      </c>
      <c r="CG41" s="218"/>
      <c r="CM41" s="221" t="str">
        <f>CH2</f>
        <v>S12</v>
      </c>
      <c r="CN41" s="218"/>
      <c r="CT41" s="221" t="str">
        <f>CO2</f>
        <v>S13</v>
      </c>
      <c r="CU41" s="218"/>
      <c r="DA41" s="221" t="str">
        <f>CV2</f>
        <v>S14</v>
      </c>
      <c r="DB41" s="218"/>
      <c r="DH41" s="221" t="str">
        <f>DC2</f>
        <v>S15</v>
      </c>
      <c r="DI41" s="218"/>
      <c r="DO41" s="221" t="str">
        <f>DJ2</f>
        <v>S16</v>
      </c>
      <c r="DP41" s="218"/>
      <c r="DV41" s="221" t="str">
        <f>DQ2</f>
        <v>S17</v>
      </c>
      <c r="DW41" s="218"/>
      <c r="EC41" s="221" t="str">
        <f>DX2</f>
        <v>S18</v>
      </c>
      <c r="ED41" s="218"/>
      <c r="EJ41" s="221" t="str">
        <f>EE2</f>
        <v>S19</v>
      </c>
      <c r="EK41" s="218"/>
      <c r="EQ41" s="221" t="str">
        <f>EL2</f>
        <v>S20</v>
      </c>
      <c r="ER41" s="218"/>
      <c r="EX41" s="221" t="str">
        <f>ES2</f>
        <v>S21</v>
      </c>
      <c r="EY41" s="218"/>
      <c r="FE41" s="221" t="str">
        <f>EZ2</f>
        <v>S22</v>
      </c>
      <c r="FF41" s="218"/>
      <c r="FL41" s="221" t="str">
        <f>FG2</f>
        <v>S23</v>
      </c>
      <c r="FM41" s="218"/>
      <c r="FS41" s="221" t="str">
        <f>FN2</f>
        <v>S24</v>
      </c>
      <c r="FT41" s="218"/>
      <c r="FZ41" s="221" t="str">
        <f>FU2</f>
        <v>S25</v>
      </c>
      <c r="GA41" s="218"/>
      <c r="GG41" s="221" t="str">
        <f>GB2</f>
        <v>S26</v>
      </c>
      <c r="GH41" s="218"/>
      <c r="GN41" s="221" t="str">
        <f>GI2</f>
        <v>S27</v>
      </c>
      <c r="GO41" s="218"/>
      <c r="GU41" s="221" t="str">
        <f>GP2</f>
        <v>S28</v>
      </c>
      <c r="GV41" s="218"/>
      <c r="HB41" s="221" t="str">
        <f>GW2</f>
        <v>S29</v>
      </c>
      <c r="HC41" s="218"/>
      <c r="HI41" s="221" t="str">
        <f>HD2</f>
        <v>S30</v>
      </c>
      <c r="HJ41" s="218"/>
      <c r="HP41" s="221" t="str">
        <f>HK2</f>
        <v>S31</v>
      </c>
      <c r="HQ41" s="218"/>
      <c r="HW41" s="221" t="str">
        <f>HR2</f>
        <v>S32</v>
      </c>
      <c r="HX41" s="218"/>
      <c r="ID41" s="221" t="str">
        <f>HY2</f>
        <v>S33</v>
      </c>
      <c r="IE41" s="218"/>
      <c r="IK41" s="221" t="str">
        <f>IF2</f>
        <v>S34</v>
      </c>
      <c r="IL41" s="218"/>
      <c r="IR41" s="221" t="str">
        <f>IM2</f>
        <v>S35</v>
      </c>
      <c r="IS41" s="218"/>
      <c r="IY41" s="221" t="str">
        <f>IT2</f>
        <v>S36</v>
      </c>
      <c r="IZ41" s="218"/>
      <c r="JF41" s="221" t="str">
        <f>JA2</f>
        <v>S37</v>
      </c>
      <c r="JG41" s="218"/>
      <c r="JM41" s="221" t="str">
        <f>JH2</f>
        <v>S38</v>
      </c>
      <c r="JN41" s="218"/>
      <c r="JT41" s="221" t="str">
        <f>JO2</f>
        <v>S39</v>
      </c>
      <c r="JU41" s="218"/>
      <c r="KA41" s="221" t="str">
        <f>JV2</f>
        <v>S40</v>
      </c>
      <c r="KB41" s="218"/>
      <c r="KH41" s="221" t="str">
        <f>KC2</f>
        <v>S41</v>
      </c>
      <c r="KI41" s="218"/>
      <c r="KO41" s="221" t="str">
        <f>KJ2</f>
        <v>S42</v>
      </c>
      <c r="KP41" s="218"/>
      <c r="KV41" s="221" t="str">
        <f>KQ2</f>
        <v>S43</v>
      </c>
      <c r="KW41" s="218"/>
      <c r="LC41" s="221" t="str">
        <f>KX2</f>
        <v>S44</v>
      </c>
      <c r="LD41" s="218"/>
      <c r="LJ41" s="221" t="str">
        <f>LE2</f>
        <v>S45</v>
      </c>
      <c r="LK41" s="218"/>
      <c r="LQ41" s="221" t="str">
        <f>LL2</f>
        <v>S46</v>
      </c>
      <c r="LR41" s="218"/>
      <c r="LX41" s="221" t="str">
        <f>LS2</f>
        <v>S47</v>
      </c>
      <c r="LY41" s="218"/>
      <c r="ME41" s="221" t="str">
        <f>LZ2</f>
        <v>S48</v>
      </c>
      <c r="MF41" s="218"/>
      <c r="ML41" s="221" t="str">
        <f>MG2</f>
        <v>S49</v>
      </c>
      <c r="MM41" s="218"/>
      <c r="MS41" s="221" t="str">
        <f>MN2</f>
        <v>S50</v>
      </c>
      <c r="MT41" s="218"/>
      <c r="MZ41" s="221" t="str">
        <f>MU2</f>
        <v>S51</v>
      </c>
      <c r="NA41" s="218"/>
      <c r="NG41" s="221" t="str">
        <f>NB2</f>
        <v>S52</v>
      </c>
      <c r="NH41" s="218"/>
      <c r="NN41" s="221" t="str">
        <f>NI2</f>
        <v>S53</v>
      </c>
      <c r="NO41" s="218"/>
      <c r="NU41" s="221" t="str">
        <f>NP2</f>
        <v>S2</v>
      </c>
      <c r="NV41" s="218"/>
    </row>
    <row r="42" spans="4:386" x14ac:dyDescent="0.3">
      <c r="H42" s="241" t="s">
        <v>497</v>
      </c>
      <c r="I42" s="209">
        <f>COUNTIF(Tableau15[lun.10],"&lt;&gt;"&amp;"A.")</f>
        <v>28</v>
      </c>
      <c r="J42" s="209">
        <f>COUNTIF(Tableau15[mar.11],"&lt;&gt;"&amp;"A.")</f>
        <v>28</v>
      </c>
      <c r="K42" s="209">
        <f>COUNTIF(Tableau15[mer.12],"&lt;&gt;"&amp;"A.")</f>
        <v>2</v>
      </c>
      <c r="L42" s="209">
        <f>COUNTIF(Tableau15[jeu.13],"&lt;&gt;"&amp;"A.")</f>
        <v>28</v>
      </c>
      <c r="M42" s="209">
        <f>COUNTIF(Tableau15[ven.14],"&lt;&gt;"&amp;"A.")</f>
        <v>28</v>
      </c>
      <c r="N42" s="231">
        <f>SUM(I42:M42)</f>
        <v>114</v>
      </c>
      <c r="O42" s="209">
        <f>COUNTIF(Tableau15[dim.16],"&lt;&gt;"&amp;"A.")</f>
        <v>35</v>
      </c>
      <c r="P42" s="209">
        <f>COUNTIF(Tableau15[lun.17],"&lt;&gt;"&amp;"A.")</f>
        <v>35</v>
      </c>
      <c r="Q42" s="209">
        <f>COUNTIF(Tableau15[mar.18],"&lt;&gt;"&amp;"A.")</f>
        <v>35</v>
      </c>
      <c r="R42" s="209">
        <f>COUNTIF(Tableau15[mer.19],"&lt;&gt;"&amp;"A.")</f>
        <v>35</v>
      </c>
      <c r="S42" s="209">
        <f>COUNTIF(Tableau15[jeu.20],"&lt;&gt;"&amp;"A.")</f>
        <v>35</v>
      </c>
      <c r="T42" s="209">
        <f>COUNTIF(Tableau15[ven.21],"&lt;&gt;"&amp;"A.")</f>
        <v>35</v>
      </c>
      <c r="U42" s="231">
        <f>SUM(P42:T42)</f>
        <v>175</v>
      </c>
      <c r="V42" s="209">
        <f>COUNTIF(Tableau15[dim.23],"&lt;&gt;"&amp;"A.")</f>
        <v>35</v>
      </c>
      <c r="W42" s="209">
        <f>COUNTIF(Tableau15[lun.24],"&lt;&gt;"&amp;"A.")</f>
        <v>34</v>
      </c>
      <c r="X42" s="209">
        <f>COUNTIF(Tableau15[mar.25],"&lt;&gt;"&amp;"A.")</f>
        <v>34</v>
      </c>
      <c r="Y42" s="209">
        <f>COUNTIF(Tableau15[mer.26],"&lt;&gt;"&amp;"A.")</f>
        <v>34</v>
      </c>
      <c r="Z42" s="209">
        <f>COUNTIF(Tableau15[jeu.27],"&lt;&gt;"&amp;"A.")</f>
        <v>34</v>
      </c>
      <c r="AA42" s="209">
        <f>COUNTIF(Tableau15[ven.28],"&lt;&gt;"&amp;"A.")</f>
        <v>34</v>
      </c>
      <c r="AB42" s="231">
        <f>SUM(W42:AA42)</f>
        <v>170</v>
      </c>
      <c r="AC42" s="209">
        <f>COUNTIF(Tableau15[dim.30],"&lt;&gt;"&amp;"A.")</f>
        <v>34</v>
      </c>
      <c r="AD42" s="209">
        <f>COUNTIF(Tableau15[lun.01],"&lt;&gt;"&amp;"A.")</f>
        <v>32</v>
      </c>
      <c r="AE42" s="209">
        <f>COUNTIF(Tableau15[mar.02],"&lt;&gt;"&amp;"A.")</f>
        <v>33</v>
      </c>
      <c r="AF42" s="209">
        <f>COUNTIF(Tableau15[mer.03],"&lt;&gt;"&amp;"A.")</f>
        <v>33</v>
      </c>
      <c r="AG42" s="209">
        <f>COUNTIF(Tableau15[jeu.04],"&lt;&gt;"&amp;"A.")</f>
        <v>33</v>
      </c>
      <c r="AH42" s="209">
        <f>COUNTIF(Tableau15[ven.05],"&lt;&gt;"&amp;"A.")</f>
        <v>32</v>
      </c>
      <c r="AI42" s="231">
        <f>SUM(AD42:AH42)</f>
        <v>163</v>
      </c>
      <c r="AJ42" s="209">
        <f>COUNTIF(Tableau15[dim.07],"&lt;&gt;"&amp;"A.")</f>
        <v>34</v>
      </c>
      <c r="AK42" s="209">
        <f>COUNTIF(Tableau15[lun.08],"&lt;&gt;"&amp;"A.")</f>
        <v>32</v>
      </c>
      <c r="AL42" s="209">
        <f>COUNTIF(Tableau15[mar.09],"&lt;&gt;"&amp;"A.")</f>
        <v>32</v>
      </c>
      <c r="AM42" s="209">
        <f>COUNTIF(Tableau15[mer.10],"&lt;&gt;"&amp;"A.")</f>
        <v>32</v>
      </c>
      <c r="AN42" s="209">
        <f>COUNTIF(Tableau15[jeu.11],"&lt;&gt;"&amp;"A.")</f>
        <v>32</v>
      </c>
      <c r="AO42" s="209">
        <f>COUNTIF(Tableau15[ven.12],"&lt;&gt;"&amp;"A.")</f>
        <v>32</v>
      </c>
      <c r="AP42" s="231">
        <f>SUM(AK42:AO42)</f>
        <v>160</v>
      </c>
      <c r="AQ42" s="209">
        <f>COUNTIF(Tableau15[dim.14],"&lt;&gt;"&amp;"A.")</f>
        <v>32</v>
      </c>
      <c r="AR42" s="209">
        <f>COUNTIF(Tableau15[lun.15],"&lt;&gt;"&amp;"A.")</f>
        <v>30</v>
      </c>
      <c r="AS42" s="209">
        <f>COUNTIF(Tableau15[mar.16],"&lt;&gt;"&amp;"A.")</f>
        <v>30</v>
      </c>
      <c r="AT42" s="209">
        <f>COUNTIF(Tableau15[mer.17],"&lt;&gt;"&amp;"A.")</f>
        <v>30</v>
      </c>
      <c r="AU42" s="209">
        <f>COUNTIF(Tableau15[jeu.18],"&lt;&gt;"&amp;"A.")</f>
        <v>30</v>
      </c>
      <c r="AV42" s="209">
        <f>COUNTIF(Tableau15[ven.19],"&lt;&gt;"&amp;"A.")</f>
        <v>30</v>
      </c>
      <c r="AW42" s="231">
        <f>SUM(AR42:AV42)</f>
        <v>150</v>
      </c>
      <c r="AX42" s="209">
        <f>COUNTIF(Tableau15[dim.21],"&lt;&gt;"&amp;"A.")</f>
        <v>33</v>
      </c>
      <c r="AY42" s="209">
        <f>COUNTIF(Tableau15[lun.22],"&lt;&gt;"&amp;"A.")</f>
        <v>35</v>
      </c>
      <c r="AZ42" s="209">
        <f>COUNTIF(Tableau15[mar.23],"&lt;&gt;"&amp;"A.")</f>
        <v>35</v>
      </c>
      <c r="BA42" s="209">
        <f>COUNTIF(Tableau15[mer.24],"&lt;&gt;"&amp;"A.")</f>
        <v>35</v>
      </c>
      <c r="BB42" s="209">
        <f>COUNTIF(Tableau15[jeu.25],"&lt;&gt;"&amp;"A.")</f>
        <v>35</v>
      </c>
      <c r="BC42" s="209">
        <f>COUNTIF(Tableau15[ven.26],"&lt;&gt;"&amp;"A.")</f>
        <v>35</v>
      </c>
      <c r="BD42" s="231">
        <f>SUM(AY42:BC42)</f>
        <v>175</v>
      </c>
      <c r="BE42" s="209">
        <f>COUNTIF(Tableau15[dim.28],"&lt;&gt;"&amp;"A.")</f>
        <v>33</v>
      </c>
      <c r="BF42" s="209">
        <f>COUNTIF(Tableau15[lun.29],"&lt;&gt;"&amp;"A.")</f>
        <v>35</v>
      </c>
      <c r="BG42" s="209">
        <f>COUNTIF(Tableau15[mar.30],"&lt;&gt;"&amp;"A.")</f>
        <v>35</v>
      </c>
      <c r="BH42" s="209">
        <f>COUNTIF(Tableau15[mer.31],"&lt;&gt;"&amp;"A.")</f>
        <v>35</v>
      </c>
      <c r="BI42" s="209">
        <f>COUNTIF(Tableau15[jeu.01],"&lt;&gt;"&amp;"A.")</f>
        <v>35</v>
      </c>
      <c r="BJ42" s="209">
        <f>COUNTIF(Tableau15[ven.02],"&lt;&gt;"&amp;"A.")</f>
        <v>35</v>
      </c>
      <c r="BK42" s="231">
        <f>SUM(BF42:BJ42)</f>
        <v>175</v>
      </c>
      <c r="BL42" s="209">
        <f>COUNTIF(Tableau15[dim.04],"&lt;&gt;"&amp;"A.")</f>
        <v>34</v>
      </c>
      <c r="BM42" s="209">
        <f>COUNTIF(Tableau15[lun.05],"&lt;&gt;"&amp;"A.")</f>
        <v>35</v>
      </c>
      <c r="BN42" s="209">
        <f>COUNTIF(Tableau15[mar.06],"&lt;&gt;"&amp;"A.")</f>
        <v>35</v>
      </c>
      <c r="BO42" s="209">
        <f>COUNTIF(Tableau15[mer.07],"&lt;&gt;"&amp;"A.")</f>
        <v>35</v>
      </c>
      <c r="BP42" s="209">
        <f>COUNTIF(Tableau15[jeu.08],"&lt;&gt;"&amp;"A.")</f>
        <v>35</v>
      </c>
      <c r="BQ42" s="209">
        <f>COUNTIF(Tableau15[ven.09],"&lt;&gt;"&amp;"A.")</f>
        <v>35</v>
      </c>
      <c r="BR42" s="231">
        <f>SUM(BM42:BQ42)</f>
        <v>175</v>
      </c>
      <c r="BS42" s="209">
        <f>COUNTIF(Tableau15[dim.11],"&lt;&gt;"&amp;"A.")</f>
        <v>33</v>
      </c>
      <c r="BT42" s="209">
        <f>COUNTIF(Tableau15[lun.12],"&lt;&gt;"&amp;"A.")</f>
        <v>35</v>
      </c>
      <c r="BU42" s="209">
        <f>COUNTIF(Tableau15[mar.13],"&lt;&gt;"&amp;"A.")</f>
        <v>35</v>
      </c>
      <c r="BV42" s="209">
        <f>COUNTIF(Tableau15[mer.14],"&lt;&gt;"&amp;"A.")</f>
        <v>35</v>
      </c>
      <c r="BW42" s="209">
        <f>COUNTIF(Tableau15[jeu.15],"&lt;&gt;"&amp;"A.")</f>
        <v>35</v>
      </c>
      <c r="BX42" s="209">
        <f>COUNTIF(Tableau15[ven.16],"&lt;&gt;"&amp;"A.")</f>
        <v>35</v>
      </c>
      <c r="BY42" s="231">
        <f>SUM(BT42:BX42)</f>
        <v>175</v>
      </c>
      <c r="BZ42" s="209">
        <f>COUNTIF(Tableau15[dim.18],"&lt;&gt;"&amp;"A.")</f>
        <v>33</v>
      </c>
      <c r="CA42" s="209">
        <f>COUNTIF(Tableau15[lun.19],"&lt;&gt;"&amp;"A.")</f>
        <v>35</v>
      </c>
      <c r="CB42" s="209">
        <f>COUNTIF(Tableau15[mar.20],"&lt;&gt;"&amp;"A.")</f>
        <v>35</v>
      </c>
      <c r="CC42" s="209">
        <f>COUNTIF(Tableau15[mer.21],"&lt;&gt;"&amp;"A.")</f>
        <v>35</v>
      </c>
      <c r="CD42" s="209">
        <f>COUNTIF(Tableau15[jeu.22],"&lt;&gt;"&amp;"A.")</f>
        <v>35</v>
      </c>
      <c r="CE42" s="209">
        <f>COUNTIF(Tableau15[ven.23],"&lt;&gt;"&amp;"A.")</f>
        <v>35</v>
      </c>
      <c r="CF42" s="231">
        <f>SUM(CA42:CE42)</f>
        <v>175</v>
      </c>
      <c r="CG42" s="209">
        <f>COUNTIF(Tableau15[dim.25],"&lt;&gt;"&amp;"A.")</f>
        <v>34</v>
      </c>
      <c r="CH42" s="209">
        <f>COUNTIF(Tableau15[lun.26],"&lt;&gt;"&amp;"A.")</f>
        <v>35</v>
      </c>
      <c r="CI42" s="209">
        <f>COUNTIF(Tableau15[mar.27],"&lt;&gt;"&amp;"A.")</f>
        <v>35</v>
      </c>
      <c r="CJ42" s="209">
        <f>COUNTIF(Tableau15[mer.28],"&lt;&gt;"&amp;"A.")</f>
        <v>35</v>
      </c>
      <c r="CK42" s="209">
        <f>COUNTIF(Tableau15[jeu.29],"&lt;&gt;"&amp;"A.")</f>
        <v>35</v>
      </c>
      <c r="CL42" s="209">
        <f>COUNTIF(Tableau15[ven.30],"&lt;&gt;"&amp;"A.")</f>
        <v>35</v>
      </c>
      <c r="CM42" s="231">
        <f>SUM(CH42:CL42)</f>
        <v>175</v>
      </c>
      <c r="CN42" s="209">
        <f>COUNTIF(Tableau15[dim.01],"&lt;&gt;"&amp;"A.")</f>
        <v>35</v>
      </c>
      <c r="CO42" s="209">
        <f>COUNTIF(Tableau15[lun.02],"&lt;&gt;"&amp;"A.")</f>
        <v>35</v>
      </c>
      <c r="CP42" s="209">
        <f>COUNTIF(Tableau15[mar.03],"&lt;&gt;"&amp;"A.")</f>
        <v>35</v>
      </c>
      <c r="CQ42" s="209">
        <f>COUNTIF(Tableau15[mer.04],"&lt;&gt;"&amp;"A.")</f>
        <v>35</v>
      </c>
      <c r="CR42" s="209">
        <f>COUNTIF(Tableau15[jeu.05],"&lt;&gt;"&amp;"A.")</f>
        <v>35</v>
      </c>
      <c r="CS42" s="209">
        <f>COUNTIF(Tableau15[ven.06],"&lt;&gt;"&amp;"A.")</f>
        <v>35</v>
      </c>
      <c r="CT42" s="231">
        <f>SUM(CO42:CS42)</f>
        <v>175</v>
      </c>
      <c r="CU42" s="209">
        <f>COUNTIF(Tableau15[dim.08],"&lt;&gt;"&amp;"A.")</f>
        <v>35</v>
      </c>
      <c r="CV42" s="209">
        <f>COUNTIF(Tableau15[lun.09],"&lt;&gt;"&amp;"A.")</f>
        <v>35</v>
      </c>
      <c r="CW42" s="209">
        <f>COUNTIF(Tableau15[mar.10],"&lt;&gt;"&amp;"A.")</f>
        <v>35</v>
      </c>
      <c r="CX42" s="209">
        <f>COUNTIF(Tableau15[mer.11],"&lt;&gt;"&amp;"A.")</f>
        <v>35</v>
      </c>
      <c r="CY42" s="209">
        <f>COUNTIF(Tableau15[jeu.12],"&lt;&gt;"&amp;"A.")</f>
        <v>35</v>
      </c>
      <c r="CZ42" s="209">
        <f>COUNTIF(Tableau15[ven.13],"&lt;&gt;"&amp;"A.")</f>
        <v>35</v>
      </c>
      <c r="DA42" s="231">
        <f>SUM(CV42:CZ42)</f>
        <v>175</v>
      </c>
      <c r="DB42" s="209">
        <f>COUNTIF(Tableau15[dim.15],"&lt;&gt;"&amp;"A.")</f>
        <v>34</v>
      </c>
      <c r="DC42" s="209">
        <f>COUNTIF(Tableau15[lun.16],"&lt;&gt;"&amp;"A.")</f>
        <v>35</v>
      </c>
      <c r="DD42" s="209">
        <f>COUNTIF(Tableau15[mar.17],"&lt;&gt;"&amp;"A.")</f>
        <v>35</v>
      </c>
      <c r="DE42" s="209">
        <f>COUNTIF(Tableau15[mer.18],"&lt;&gt;"&amp;"A.")</f>
        <v>35</v>
      </c>
      <c r="DF42" s="209">
        <f>COUNTIF(Tableau15[jeu.19],"&lt;&gt;"&amp;"A.")</f>
        <v>35</v>
      </c>
      <c r="DG42" s="209">
        <f>COUNTIF(Tableau15[ven.20],"&lt;&gt;"&amp;"A.")</f>
        <v>35</v>
      </c>
      <c r="DH42" s="231">
        <f>SUM(DC42:DG42)</f>
        <v>175</v>
      </c>
      <c r="DI42" s="209">
        <f>COUNTIF(Tableau15[dim.22],"&lt;&gt;"&amp;"A.")</f>
        <v>35</v>
      </c>
      <c r="DJ42" s="209">
        <f>COUNTIF(Tableau15[lun.23],"&lt;&gt;"&amp;"A.")</f>
        <v>34</v>
      </c>
      <c r="DK42" s="209">
        <f>COUNTIF(Tableau15[mar.24],"&lt;&gt;"&amp;"A.")</f>
        <v>34</v>
      </c>
      <c r="DL42" s="209">
        <f>COUNTIF(Tableau15[mer.25],"&lt;&gt;"&amp;"A.")</f>
        <v>34</v>
      </c>
      <c r="DM42" s="209">
        <f>COUNTIF(Tableau15[jeu.26],"&lt;&gt;"&amp;"A.")</f>
        <v>34</v>
      </c>
      <c r="DN42" s="209">
        <f>COUNTIF(Tableau15[ven.27],"&lt;&gt;"&amp;"A.")</f>
        <v>34</v>
      </c>
      <c r="DO42" s="231">
        <f>SUM(DJ42:DN42)</f>
        <v>170</v>
      </c>
      <c r="DP42" s="209">
        <f>COUNTIF(Tableau15[dim.29],"&lt;&gt;"&amp;"A.")</f>
        <v>35</v>
      </c>
      <c r="DQ42" s="209">
        <f>COUNTIF(Tableau15[lun.30],"&lt;&gt;"&amp;"A.")</f>
        <v>35</v>
      </c>
      <c r="DR42" s="209">
        <f>COUNTIF(Tableau15[mar.01],"&lt;&gt;"&amp;"A.")</f>
        <v>34</v>
      </c>
      <c r="DS42" s="209">
        <f>COUNTIF(Tableau15[mer.02],"&lt;&gt;"&amp;"A.")</f>
        <v>34</v>
      </c>
      <c r="DT42" s="209">
        <f>COUNTIF(Tableau15[jeu.03],"&lt;&gt;"&amp;"A.")</f>
        <v>34</v>
      </c>
      <c r="DU42" s="209">
        <f>COUNTIF(Tableau15[ven.04],"&lt;&gt;"&amp;"A.")</f>
        <v>34</v>
      </c>
      <c r="DV42" s="231">
        <f>SUM(DQ42:DU42)</f>
        <v>171</v>
      </c>
      <c r="DW42" s="209">
        <f>COUNTIF(Tableau15[dim.06],"&lt;&gt;"&amp;"A.")</f>
        <v>35</v>
      </c>
      <c r="DX42" s="209">
        <f>COUNTIF(Tableau15[lun.07],"&lt;&gt;"&amp;"A.")</f>
        <v>35</v>
      </c>
      <c r="DY42" s="209">
        <f>COUNTIF(Tableau15[mar.08],"&lt;&gt;"&amp;"A.")</f>
        <v>35</v>
      </c>
      <c r="DZ42" s="209">
        <f>COUNTIF(Tableau15[mer.09],"&lt;&gt;"&amp;"A.")</f>
        <v>35</v>
      </c>
      <c r="EA42" s="209">
        <f>COUNTIF(Tableau15[jeu.10],"&lt;&gt;"&amp;"A.")</f>
        <v>35</v>
      </c>
      <c r="EB42" s="209">
        <f>COUNTIF(Tableau15[ven.11],"&lt;&gt;"&amp;"A.")</f>
        <v>35</v>
      </c>
      <c r="EC42" s="231">
        <f>SUM(DX42:EB42)</f>
        <v>175</v>
      </c>
      <c r="ED42" s="209">
        <f>COUNTIF(Tableau15[dim.13],"&lt;&gt;"&amp;"A.")</f>
        <v>35</v>
      </c>
      <c r="EE42" s="209">
        <f>COUNTIF(Tableau15[lun.14],"&lt;&gt;"&amp;"A.")</f>
        <v>32</v>
      </c>
      <c r="EF42" s="209">
        <f>COUNTIF(Tableau15[mar.15],"&lt;&gt;"&amp;"A.")</f>
        <v>32</v>
      </c>
      <c r="EG42" s="209">
        <f>COUNTIF(Tableau15[mer.16],"&lt;&gt;"&amp;"A.")</f>
        <v>33</v>
      </c>
      <c r="EH42" s="209">
        <f>COUNTIF(Tableau15[jeu.17],"&lt;&gt;"&amp;"A.")</f>
        <v>33</v>
      </c>
      <c r="EI42" s="209">
        <f>COUNTIF(Tableau15[ven.18],"&lt;&gt;"&amp;"A.")</f>
        <v>33</v>
      </c>
      <c r="EJ42" s="231">
        <f>SUM(EE42:EI42)</f>
        <v>163</v>
      </c>
      <c r="EK42" s="209">
        <f>COUNTIF(Tableau15[dim.20],"&lt;&gt;"&amp;"A.")</f>
        <v>35</v>
      </c>
      <c r="EL42" s="209">
        <f>COUNTIF(Tableau15[lun.21],"&lt;&gt;"&amp;"A.")</f>
        <v>35</v>
      </c>
      <c r="EM42" s="209">
        <f>COUNTIF(Tableau15[mar.22],"&lt;&gt;"&amp;"A.")</f>
        <v>35</v>
      </c>
      <c r="EN42" s="209">
        <f>COUNTIF(Tableau15[mer.23],"&lt;&gt;"&amp;"A.")</f>
        <v>35</v>
      </c>
      <c r="EO42" s="209">
        <f>COUNTIF(Tableau15[jeu.24],"&lt;&gt;"&amp;"A.")</f>
        <v>35</v>
      </c>
      <c r="EP42" s="209">
        <f>COUNTIF(Tableau15[ven.25],"&lt;&gt;"&amp;"A.")</f>
        <v>35</v>
      </c>
      <c r="EQ42" s="231">
        <f>SUM(EL42:EP42)</f>
        <v>175</v>
      </c>
      <c r="ER42" s="209">
        <f>COUNTIF(Tableau15[dim.27],"&lt;&gt;"&amp;"A.")</f>
        <v>35</v>
      </c>
      <c r="ES42" s="209">
        <f>COUNTIF(Tableau15[lun.28],"&lt;&gt;"&amp;"A.")</f>
        <v>35</v>
      </c>
      <c r="ET42" s="209">
        <f>COUNTIF(Tableau15[mar.29],"&lt;&gt;"&amp;"A.")</f>
        <v>35</v>
      </c>
      <c r="EU42" s="209">
        <f>COUNTIF(Tableau15[mer.30],"&lt;&gt;"&amp;"A.")</f>
        <v>35</v>
      </c>
      <c r="EV42" s="209">
        <f>COUNTIF(Tableau15[jeu.31],"&lt;&gt;"&amp;"A.")</f>
        <v>35</v>
      </c>
      <c r="EW42" s="209">
        <f>COUNTIF(Tableau15[ven.01],"&lt;&gt;"&amp;"A.")</f>
        <v>35</v>
      </c>
      <c r="EX42" s="231">
        <f>SUM(ES42:EW42)</f>
        <v>175</v>
      </c>
      <c r="EY42" s="209">
        <f>COUNTIF(Tableau15[dim.03],"&lt;&gt;"&amp;"A.")</f>
        <v>35</v>
      </c>
      <c r="EZ42" s="209">
        <f>COUNTIF(Tableau15[lun.04],"&lt;&gt;"&amp;"A.")</f>
        <v>35</v>
      </c>
      <c r="FA42" s="209">
        <f>COUNTIF(Tableau15[mar.05],"&lt;&gt;"&amp;"A.")</f>
        <v>35</v>
      </c>
      <c r="FB42" s="209">
        <f>COUNTIF(Tableau15[mer.06],"&lt;&gt;"&amp;"A.")</f>
        <v>35</v>
      </c>
      <c r="FC42" s="209">
        <f>COUNTIF(Tableau15[jeu.07],"&lt;&gt;"&amp;"A.")</f>
        <v>34</v>
      </c>
      <c r="FD42" s="209">
        <f>COUNTIF(Tableau15[ven.08],"&lt;&gt;"&amp;"A.")</f>
        <v>34</v>
      </c>
      <c r="FE42" s="231">
        <f>SUM(EZ42:FD42)</f>
        <v>173</v>
      </c>
      <c r="FF42" s="209">
        <f>COUNTIF(Tableau15[dim.10],"&lt;&gt;"&amp;"A.")</f>
        <v>35</v>
      </c>
      <c r="FG42" s="209">
        <f>COUNTIF(Tableau15[lun.11],"&lt;&gt;"&amp;"A.")</f>
        <v>35</v>
      </c>
      <c r="FH42" s="209">
        <f>COUNTIF(Tableau15[mar.12],"&lt;&gt;"&amp;"A.")</f>
        <v>35</v>
      </c>
      <c r="FI42" s="209">
        <f>COUNTIF(Tableau15[mer.13],"&lt;&gt;"&amp;"A.")</f>
        <v>35</v>
      </c>
      <c r="FJ42" s="209">
        <f>COUNTIF(Tableau15[jeu.14],"&lt;&gt;"&amp;"A.")</f>
        <v>35</v>
      </c>
      <c r="FK42" s="209">
        <f>COUNTIF(Tableau15[ven.15],"&lt;&gt;"&amp;"A.")</f>
        <v>35</v>
      </c>
      <c r="FL42" s="231">
        <f>SUM(FG42:FK42)</f>
        <v>175</v>
      </c>
      <c r="FM42" s="209">
        <f>COUNTIF(Tableau15[dim.17],"&lt;&gt;"&amp;"A.")</f>
        <v>35</v>
      </c>
      <c r="FN42" s="209">
        <f>COUNTIF(Tableau15[lun.18],"&lt;&gt;"&amp;"A.")</f>
        <v>35</v>
      </c>
      <c r="FO42" s="209">
        <f>COUNTIF(Tableau15[mar.19],"&lt;&gt;"&amp;"A.")</f>
        <v>35</v>
      </c>
      <c r="FP42" s="209">
        <f>COUNTIF(Tableau15[mer.20],"&lt;&gt;"&amp;"A.")</f>
        <v>35</v>
      </c>
      <c r="FQ42" s="209">
        <f>COUNTIF(Tableau15[jeu.21],"&lt;&gt;"&amp;"A.")</f>
        <v>35</v>
      </c>
      <c r="FR42" s="209">
        <f>COUNTIF(Tableau15[ven.22],"&lt;&gt;"&amp;"A.")</f>
        <v>35</v>
      </c>
      <c r="FS42" s="231">
        <f>SUM(FN42:FR42)</f>
        <v>175</v>
      </c>
      <c r="FT42" s="209">
        <f>COUNTIF(Tableau15[dim.24],"&lt;&gt;"&amp;"A.")</f>
        <v>35</v>
      </c>
      <c r="FU42" s="209">
        <f>COUNTIF(Tableau15[lun.25],"&lt;&gt;"&amp;"A.")</f>
        <v>35</v>
      </c>
      <c r="FV42" s="209">
        <f>COUNTIF(Tableau15[mar.26],"&lt;&gt;"&amp;"A.")</f>
        <v>35</v>
      </c>
      <c r="FW42" s="209">
        <f>COUNTIF(Tableau15[mer.27],"&lt;&gt;"&amp;"A.")</f>
        <v>35</v>
      </c>
      <c r="FX42" s="209">
        <f>COUNTIF(Tableau15[jeu.28],"&lt;&gt;"&amp;"A.")</f>
        <v>35</v>
      </c>
      <c r="FY42" s="209">
        <f>COUNTIF(Tableau15[ven.29],"&lt;&gt;"&amp;"A.")</f>
        <v>35</v>
      </c>
      <c r="FZ42" s="231">
        <f>SUM(FU42:FY42)</f>
        <v>175</v>
      </c>
      <c r="GA42" s="209">
        <f>COUNTIF(Tableau15[dim.012],"&lt;&gt;"&amp;"A.")</f>
        <v>35</v>
      </c>
      <c r="GB42" s="209">
        <f>COUNTIF(Tableau15[lun.023],"&lt;&gt;"&amp;"A.")</f>
        <v>35</v>
      </c>
      <c r="GC42" s="209">
        <f>COUNTIF(Tableau15[mar.034],"&lt;&gt;"&amp;"A.")</f>
        <v>35</v>
      </c>
      <c r="GD42" s="209">
        <f>COUNTIF(Tableau15[mer.045],"&lt;&gt;"&amp;"A.")</f>
        <v>35</v>
      </c>
      <c r="GE42" s="209">
        <f>COUNTIF(Tableau15[jeu.056],"&lt;&gt;"&amp;"A.")</f>
        <v>35</v>
      </c>
      <c r="GF42" s="209">
        <f>COUNTIF(Tableau15[ven.067],"&lt;&gt;"&amp;"A.")</f>
        <v>35</v>
      </c>
      <c r="GG42" s="231">
        <f>SUM(GB42:GF42)</f>
        <v>175</v>
      </c>
      <c r="GH42" s="209">
        <f>COUNTIF(Tableau15[dim.089],"&lt;&gt;"&amp;"A.")</f>
        <v>35</v>
      </c>
      <c r="GI42" s="209">
        <f>COUNTIF(Tableau15[lun.0910],"&lt;&gt;"&amp;"A.")</f>
        <v>33</v>
      </c>
      <c r="GJ42" s="209">
        <f>COUNTIF(Tableau15[mar.1011],"&lt;&gt;"&amp;"A.")</f>
        <v>33</v>
      </c>
      <c r="GK42" s="209">
        <f>COUNTIF(Tableau15[mer.1112],"&lt;&gt;"&amp;"A.")</f>
        <v>33</v>
      </c>
      <c r="GL42" s="209">
        <f>COUNTIF(Tableau15[jeu.1213],"&lt;&gt;"&amp;"A.")</f>
        <v>33</v>
      </c>
      <c r="GM42" s="209">
        <f>COUNTIF(Tableau15[ven.1314],"&lt;&gt;"&amp;"A.")</f>
        <v>33</v>
      </c>
      <c r="GN42" s="231">
        <f>SUM(GI42:GM42)</f>
        <v>165</v>
      </c>
      <c r="GO42" s="209">
        <f>COUNTIF(Tableau15[dim.1516],"&lt;&gt;"&amp;"A.")</f>
        <v>35</v>
      </c>
      <c r="GP42" s="209">
        <f>COUNTIF(Tableau15[lun.1617],"&lt;&gt;"&amp;"A.")</f>
        <v>31</v>
      </c>
      <c r="GQ42" s="209">
        <f>COUNTIF(Tableau15[mar.1718],"&lt;&gt;"&amp;"A.")</f>
        <v>31</v>
      </c>
      <c r="GR42" s="209">
        <f>COUNTIF(Tableau15[mer.1819],"&lt;&gt;"&amp;"A.")</f>
        <v>32</v>
      </c>
      <c r="GS42" s="209">
        <f>COUNTIF(Tableau15[jeu.1920],"&lt;&gt;"&amp;"A.")</f>
        <v>32</v>
      </c>
      <c r="GT42" s="209">
        <f>COUNTIF(Tableau15[ven.2021],"&lt;&gt;"&amp;"A.")</f>
        <v>32</v>
      </c>
      <c r="GU42" s="231">
        <f>SUM(GP42:GT42)</f>
        <v>158</v>
      </c>
      <c r="GV42" s="209">
        <f>COUNTIF(Tableau15[dim.2223],"&lt;&gt;"&amp;"A.")</f>
        <v>35</v>
      </c>
      <c r="GW42" s="209">
        <f>COUNTIF(Tableau15[lun.2324],"&lt;&gt;"&amp;"A.")</f>
        <v>0</v>
      </c>
      <c r="GX42" s="209">
        <f>COUNTIF(Tableau15[mar.2425],"&lt;&gt;"&amp;"A.")</f>
        <v>32</v>
      </c>
      <c r="GY42" s="209">
        <f>COUNTIF(Tableau15[mer.2526],"&lt;&gt;"&amp;"A.")</f>
        <v>32</v>
      </c>
      <c r="GZ42" s="209">
        <f>COUNTIF(Tableau15[jeu.2627],"&lt;&gt;"&amp;"A.")</f>
        <v>32</v>
      </c>
      <c r="HA42" s="209">
        <f>COUNTIF(Tableau15[ven.2728],"&lt;&gt;"&amp;"A.")</f>
        <v>32</v>
      </c>
      <c r="HB42" s="242">
        <f>SUM(GW42:HA42)</f>
        <v>128</v>
      </c>
      <c r="HC42" s="219"/>
      <c r="HD42" s="209">
        <f>COUNTIF(Tableau15[lun.08],"&lt;&gt;"&amp;"A.")</f>
        <v>32</v>
      </c>
      <c r="HE42" s="209">
        <f>COUNTIF(Tableau15[mar.09],"&lt;&gt;"&amp;"A.")</f>
        <v>32</v>
      </c>
      <c r="HF42" s="209">
        <f>COUNTIF(Tableau15[mer.10],"&lt;&gt;"&amp;"A.")</f>
        <v>32</v>
      </c>
      <c r="HG42" s="209">
        <f>COUNTIF(Tableau15[jeu.11],"&lt;&gt;"&amp;"A.")</f>
        <v>32</v>
      </c>
      <c r="HH42" s="209">
        <f>COUNTIF(Tableau15[ven.12],"&lt;&gt;"&amp;"A.")</f>
        <v>32</v>
      </c>
      <c r="HI42" s="231">
        <f>SUM(HD42:HH42)</f>
        <v>160</v>
      </c>
      <c r="HJ42" s="209">
        <f>COUNTIF(Tableau15[dim.14],"&lt;&gt;"&amp;"A.")</f>
        <v>32</v>
      </c>
      <c r="HK42" s="209">
        <f>COUNTIF(Tableau15[lun.15],"&lt;&gt;"&amp;"A.")</f>
        <v>30</v>
      </c>
      <c r="HL42" s="209">
        <f>COUNTIF(Tableau15[mar.16],"&lt;&gt;"&amp;"A.")</f>
        <v>30</v>
      </c>
      <c r="HM42" s="209">
        <f>COUNTIF(Tableau15[mer.17],"&lt;&gt;"&amp;"A.")</f>
        <v>30</v>
      </c>
      <c r="HN42" s="209">
        <f>COUNTIF(Tableau15[jeu.18],"&lt;&gt;"&amp;"A.")</f>
        <v>30</v>
      </c>
      <c r="HO42" s="209">
        <f>COUNTIF(Tableau15[ven.19],"&lt;&gt;"&amp;"A.")</f>
        <v>30</v>
      </c>
      <c r="HP42" s="231">
        <f>SUM(HK42:HO42)</f>
        <v>150</v>
      </c>
      <c r="HQ42" s="209">
        <f>COUNTIF(Tableau15[dim.21],"&lt;&gt;"&amp;"A.")</f>
        <v>33</v>
      </c>
      <c r="HR42" s="209">
        <f>COUNTIF(Tableau15[lun.22],"&lt;&gt;"&amp;"A.")</f>
        <v>35</v>
      </c>
      <c r="HS42" s="209">
        <f>COUNTIF(Tableau15[mar.23],"&lt;&gt;"&amp;"A.")</f>
        <v>35</v>
      </c>
      <c r="HT42" s="209">
        <f>COUNTIF(Tableau15[mer.24],"&lt;&gt;"&amp;"A.")</f>
        <v>35</v>
      </c>
      <c r="HU42" s="209">
        <f>COUNTIF(Tableau15[jeu.25],"&lt;&gt;"&amp;"A.")</f>
        <v>35</v>
      </c>
      <c r="HV42" s="209">
        <f>COUNTIF(Tableau15[ven.26],"&lt;&gt;"&amp;"A.")</f>
        <v>35</v>
      </c>
      <c r="HW42" s="231">
        <f>SUM(HR42:HV42)</f>
        <v>175</v>
      </c>
      <c r="HX42" s="209">
        <f>COUNTIF(Tableau15[dim.28],"&lt;&gt;"&amp;"A.")</f>
        <v>33</v>
      </c>
      <c r="HY42" s="209">
        <f>COUNTIF(Tableau15[lun.29],"&lt;&gt;"&amp;"A.")</f>
        <v>35</v>
      </c>
      <c r="HZ42" s="209">
        <f>COUNTIF(Tableau15[mar.30],"&lt;&gt;"&amp;"A.")</f>
        <v>35</v>
      </c>
      <c r="IA42" s="209">
        <f>COUNTIF(Tableau15[mer.31],"&lt;&gt;"&amp;"A.")</f>
        <v>35</v>
      </c>
      <c r="IB42" s="209">
        <f>COUNTIF(Tableau15[jeu.01],"&lt;&gt;"&amp;"A.")</f>
        <v>35</v>
      </c>
      <c r="IC42" s="209">
        <f>COUNTIF(Tableau15[ven.02],"&lt;&gt;"&amp;"A.")</f>
        <v>35</v>
      </c>
      <c r="ID42" s="231">
        <f>SUM(HY42:IC42)</f>
        <v>175</v>
      </c>
      <c r="IE42" s="209">
        <f>COUNTIF(Tableau15[dim.04],"&lt;&gt;"&amp;"A.")</f>
        <v>34</v>
      </c>
      <c r="IF42" s="209">
        <f>COUNTIF(Tableau15[lun.05],"&lt;&gt;"&amp;"A.")</f>
        <v>35</v>
      </c>
      <c r="IG42" s="209">
        <f>COUNTIF(Tableau15[mar.06],"&lt;&gt;"&amp;"A.")</f>
        <v>35</v>
      </c>
      <c r="IH42" s="209">
        <f>COUNTIF(Tableau15[mer.07],"&lt;&gt;"&amp;"A.")</f>
        <v>35</v>
      </c>
      <c r="II42" s="209">
        <f>COUNTIF(Tableau15[jeu.08],"&lt;&gt;"&amp;"A.")</f>
        <v>35</v>
      </c>
      <c r="IJ42" s="209">
        <f>COUNTIF(Tableau15[ven.09],"&lt;&gt;"&amp;"A.")</f>
        <v>35</v>
      </c>
      <c r="IK42" s="231">
        <f>SUM(IF42:IJ42)</f>
        <v>175</v>
      </c>
      <c r="IL42" s="209">
        <f>COUNTIF(Tableau15[dim.11],"&lt;&gt;"&amp;"A.")</f>
        <v>33</v>
      </c>
      <c r="IM42" s="209">
        <f>COUNTIF(Tableau15[lun.12],"&lt;&gt;"&amp;"A.")</f>
        <v>35</v>
      </c>
      <c r="IN42" s="209">
        <f>COUNTIF(Tableau15[mar.13],"&lt;&gt;"&amp;"A.")</f>
        <v>35</v>
      </c>
      <c r="IO42" s="209">
        <f>COUNTIF(Tableau15[mer.14],"&lt;&gt;"&amp;"A.")</f>
        <v>35</v>
      </c>
      <c r="IP42" s="209">
        <f>COUNTIF(Tableau15[jeu.15],"&lt;&gt;"&amp;"A.")</f>
        <v>35</v>
      </c>
      <c r="IQ42" s="209">
        <f>COUNTIF(Tableau15[ven.16],"&lt;&gt;"&amp;"A.")</f>
        <v>35</v>
      </c>
      <c r="IR42" s="231">
        <f>SUM(IM42:IQ42)</f>
        <v>175</v>
      </c>
      <c r="IS42" s="209">
        <f>COUNTIF(Tableau15[dim.18],"&lt;&gt;"&amp;"A.")</f>
        <v>33</v>
      </c>
      <c r="IT42" s="209">
        <f>COUNTIF(Tableau15[lun.19],"&lt;&gt;"&amp;"A.")</f>
        <v>35</v>
      </c>
      <c r="IU42" s="209">
        <f>COUNTIF(Tableau15[mar.20],"&lt;&gt;"&amp;"A.")</f>
        <v>35</v>
      </c>
      <c r="IV42" s="209">
        <f>COUNTIF(Tableau15[mer.21],"&lt;&gt;"&amp;"A.")</f>
        <v>35</v>
      </c>
      <c r="IW42" s="209">
        <f>COUNTIF(Tableau15[jeu.22],"&lt;&gt;"&amp;"A.")</f>
        <v>35</v>
      </c>
      <c r="IX42" s="209">
        <f>COUNTIF(Tableau15[ven.23],"&lt;&gt;"&amp;"A.")</f>
        <v>35</v>
      </c>
      <c r="IY42" s="231">
        <f>SUM(IT42:IX42)</f>
        <v>175</v>
      </c>
      <c r="IZ42" s="209">
        <f>COUNTIF(Tableau15[dim.25],"&lt;&gt;"&amp;"A.")</f>
        <v>34</v>
      </c>
      <c r="JA42" s="209">
        <f>COUNTIF(Tableau15[lun.26],"&lt;&gt;"&amp;"A.")</f>
        <v>35</v>
      </c>
      <c r="JB42" s="209">
        <f>COUNTIF(Tableau15[mar.27],"&lt;&gt;"&amp;"A.")</f>
        <v>35</v>
      </c>
      <c r="JC42" s="209">
        <f>COUNTIF(Tableau15[mer.28],"&lt;&gt;"&amp;"A.")</f>
        <v>35</v>
      </c>
      <c r="JD42" s="209">
        <f>COUNTIF(Tableau15[jeu.29],"&lt;&gt;"&amp;"A.")</f>
        <v>35</v>
      </c>
      <c r="JE42" s="209">
        <f>COUNTIF(Tableau15[ven.30],"&lt;&gt;"&amp;"A.")</f>
        <v>35</v>
      </c>
      <c r="JF42" s="231">
        <f>SUM(JA42:JE42)</f>
        <v>175</v>
      </c>
      <c r="JG42" s="209">
        <f>COUNTIF(Tableau15[dim.01],"&lt;&gt;"&amp;"A.")</f>
        <v>35</v>
      </c>
      <c r="JH42" s="209">
        <f>COUNTIF(Tableau15[lun.02],"&lt;&gt;"&amp;"A.")</f>
        <v>35</v>
      </c>
      <c r="JI42" s="209">
        <f>COUNTIF(Tableau15[mar.03],"&lt;&gt;"&amp;"A.")</f>
        <v>35</v>
      </c>
      <c r="JJ42" s="209">
        <f>COUNTIF(Tableau15[mer.04],"&lt;&gt;"&amp;"A.")</f>
        <v>35</v>
      </c>
      <c r="JK42" s="209">
        <f>COUNTIF(Tableau15[jeu.05],"&lt;&gt;"&amp;"A.")</f>
        <v>35</v>
      </c>
      <c r="JL42" s="209">
        <f>COUNTIF(Tableau15[ven.06],"&lt;&gt;"&amp;"A.")</f>
        <v>35</v>
      </c>
      <c r="JM42" s="231">
        <f>SUM(JH42:JL42)</f>
        <v>175</v>
      </c>
      <c r="JN42" s="209">
        <f>COUNTIF(Tableau15[dim.08],"&lt;&gt;"&amp;"A.")</f>
        <v>35</v>
      </c>
      <c r="JO42" s="209">
        <f>COUNTIF(Tableau15[lun.09],"&lt;&gt;"&amp;"A.")</f>
        <v>35</v>
      </c>
      <c r="JP42" s="209">
        <f>COUNTIF(Tableau15[mar.10],"&lt;&gt;"&amp;"A.")</f>
        <v>35</v>
      </c>
      <c r="JQ42" s="209">
        <f>COUNTIF(Tableau15[mer.11],"&lt;&gt;"&amp;"A.")</f>
        <v>35</v>
      </c>
      <c r="JR42" s="209">
        <f>COUNTIF(Tableau15[jeu.12],"&lt;&gt;"&amp;"A.")</f>
        <v>35</v>
      </c>
      <c r="JS42" s="209">
        <f>COUNTIF(Tableau15[ven.13],"&lt;&gt;"&amp;"A.")</f>
        <v>35</v>
      </c>
      <c r="JT42" s="231">
        <f>SUM(JO42:JS42)</f>
        <v>175</v>
      </c>
      <c r="JU42" s="209">
        <f>COUNTIF(Tableau15[dim.15],"&lt;&gt;"&amp;"A.")</f>
        <v>34</v>
      </c>
      <c r="JV42" s="209">
        <f>COUNTIF(Tableau15[lun.16],"&lt;&gt;"&amp;"A.")</f>
        <v>35</v>
      </c>
      <c r="JW42" s="209">
        <f>COUNTIF(Tableau15[mar.17],"&lt;&gt;"&amp;"A.")</f>
        <v>35</v>
      </c>
      <c r="JX42" s="209">
        <f>COUNTIF(Tableau15[mer.18],"&lt;&gt;"&amp;"A.")</f>
        <v>35</v>
      </c>
      <c r="JY42" s="209">
        <f>COUNTIF(Tableau15[jeu.19],"&lt;&gt;"&amp;"A.")</f>
        <v>35</v>
      </c>
      <c r="JZ42" s="209">
        <f>COUNTIF(Tableau15[ven.20],"&lt;&gt;"&amp;"A.")</f>
        <v>35</v>
      </c>
      <c r="KA42" s="231">
        <f>SUM(JV42:JZ42)</f>
        <v>175</v>
      </c>
      <c r="KB42" s="209">
        <f>COUNTIF(Tableau15[dim.22],"&lt;&gt;"&amp;"A.")</f>
        <v>35</v>
      </c>
      <c r="KC42" s="209">
        <f>COUNTIF(Tableau15[lun.23],"&lt;&gt;"&amp;"A.")</f>
        <v>34</v>
      </c>
      <c r="KD42" s="209">
        <f>COUNTIF(Tableau15[mar.24],"&lt;&gt;"&amp;"A.")</f>
        <v>34</v>
      </c>
      <c r="KE42" s="209">
        <f>COUNTIF(Tableau15[mer.25],"&lt;&gt;"&amp;"A.")</f>
        <v>34</v>
      </c>
      <c r="KF42" s="209">
        <f>COUNTIF(Tableau15[jeu.26],"&lt;&gt;"&amp;"A.")</f>
        <v>34</v>
      </c>
      <c r="KG42" s="209">
        <f>COUNTIF(Tableau15[ven.27],"&lt;&gt;"&amp;"A.")</f>
        <v>34</v>
      </c>
      <c r="KH42" s="231">
        <f>SUM(KC42:KG42)</f>
        <v>170</v>
      </c>
      <c r="KI42" s="209">
        <f>COUNTIF(Tableau15[dim.29],"&lt;&gt;"&amp;"A.")</f>
        <v>35</v>
      </c>
      <c r="KJ42" s="209">
        <f>COUNTIF(Tableau15[lun.30],"&lt;&gt;"&amp;"A.")</f>
        <v>35</v>
      </c>
      <c r="KK42" s="209">
        <f>COUNTIF(Tableau15[mar.01],"&lt;&gt;"&amp;"A.")</f>
        <v>34</v>
      </c>
      <c r="KL42" s="209">
        <f>COUNTIF(Tableau15[mer.02],"&lt;&gt;"&amp;"A.")</f>
        <v>34</v>
      </c>
      <c r="KM42" s="209">
        <f>COUNTIF(Tableau15[jeu.03],"&lt;&gt;"&amp;"A.")</f>
        <v>34</v>
      </c>
      <c r="KN42" s="209">
        <f>COUNTIF(Tableau15[ven.04],"&lt;&gt;"&amp;"A.")</f>
        <v>34</v>
      </c>
      <c r="KO42" s="231">
        <f>SUM(KJ42:KN42)</f>
        <v>171</v>
      </c>
      <c r="KP42" s="209">
        <f>COUNTIF(Tableau15[dim.06],"&lt;&gt;"&amp;"A.")</f>
        <v>35</v>
      </c>
      <c r="KQ42" s="209">
        <f>COUNTIF(Tableau15[lun.07],"&lt;&gt;"&amp;"A.")</f>
        <v>35</v>
      </c>
      <c r="KR42" s="209">
        <f>COUNTIF(Tableau15[mar.08],"&lt;&gt;"&amp;"A.")</f>
        <v>35</v>
      </c>
      <c r="KS42" s="209">
        <f>COUNTIF(Tableau15[mer.09],"&lt;&gt;"&amp;"A.")</f>
        <v>35</v>
      </c>
      <c r="KT42" s="209">
        <f>COUNTIF(Tableau15[jeu.10],"&lt;&gt;"&amp;"A.")</f>
        <v>35</v>
      </c>
      <c r="KU42" s="209">
        <f>COUNTIF(Tableau15[ven.11],"&lt;&gt;"&amp;"A.")</f>
        <v>35</v>
      </c>
      <c r="KV42" s="231">
        <f>SUM(KQ42:KU42)</f>
        <v>175</v>
      </c>
      <c r="KW42" s="209">
        <f>COUNTIF(Tableau15[dim.13],"&lt;&gt;"&amp;"A.")</f>
        <v>35</v>
      </c>
      <c r="KX42" s="209">
        <f>COUNTIF(Tableau15[lun.14],"&lt;&gt;"&amp;"A.")</f>
        <v>32</v>
      </c>
      <c r="KY42" s="209">
        <f>COUNTIF(Tableau15[mar.15],"&lt;&gt;"&amp;"A.")</f>
        <v>32</v>
      </c>
      <c r="KZ42" s="209">
        <f>COUNTIF(Tableau15[mer.16],"&lt;&gt;"&amp;"A.")</f>
        <v>33</v>
      </c>
      <c r="LA42" s="209">
        <f>COUNTIF(Tableau15[jeu.17],"&lt;&gt;"&amp;"A.")</f>
        <v>33</v>
      </c>
      <c r="LB42" s="209">
        <f>COUNTIF(Tableau15[ven.18],"&lt;&gt;"&amp;"A.")</f>
        <v>33</v>
      </c>
      <c r="LC42" s="231">
        <f>SUM(KX42:LB42)</f>
        <v>163</v>
      </c>
      <c r="LD42" s="209">
        <f>COUNTIF(Tableau15[dim.20],"&lt;&gt;"&amp;"A.")</f>
        <v>35</v>
      </c>
      <c r="LE42" s="209">
        <f>COUNTIF(Tableau15[lun.21],"&lt;&gt;"&amp;"A.")</f>
        <v>35</v>
      </c>
      <c r="LF42" s="209">
        <f>COUNTIF(Tableau15[mar.22],"&lt;&gt;"&amp;"A.")</f>
        <v>35</v>
      </c>
      <c r="LG42" s="209">
        <f>COUNTIF(Tableau15[mer.23],"&lt;&gt;"&amp;"A.")</f>
        <v>35</v>
      </c>
      <c r="LH42" s="209">
        <f>COUNTIF(Tableau15[jeu.24],"&lt;&gt;"&amp;"A.")</f>
        <v>35</v>
      </c>
      <c r="LI42" s="209">
        <f>COUNTIF(Tableau15[ven.25],"&lt;&gt;"&amp;"A.")</f>
        <v>35</v>
      </c>
      <c r="LJ42" s="231">
        <f>SUM(LE42:LI42)</f>
        <v>175</v>
      </c>
      <c r="LK42" s="209">
        <f>COUNTIF(Tableau15[dim.27],"&lt;&gt;"&amp;"A.")</f>
        <v>35</v>
      </c>
      <c r="LL42" s="209">
        <f>COUNTIF(Tableau15[lun.28],"&lt;&gt;"&amp;"A.")</f>
        <v>35</v>
      </c>
      <c r="LM42" s="209">
        <f>COUNTIF(Tableau15[mar.29],"&lt;&gt;"&amp;"A.")</f>
        <v>35</v>
      </c>
      <c r="LN42" s="209">
        <f>COUNTIF(Tableau15[mer.30],"&lt;&gt;"&amp;"A.")</f>
        <v>35</v>
      </c>
      <c r="LO42" s="209">
        <f>COUNTIF(Tableau15[jeu.31],"&lt;&gt;"&amp;"A.")</f>
        <v>35</v>
      </c>
      <c r="LP42" s="209">
        <f>COUNTIF(Tableau15[ven.01],"&lt;&gt;"&amp;"A.")</f>
        <v>35</v>
      </c>
      <c r="LQ42" s="231">
        <f>SUM(LL42:LP42)</f>
        <v>175</v>
      </c>
      <c r="LR42" s="209">
        <f>COUNTIF(Tableau15[dim.03],"&lt;&gt;"&amp;"A.")</f>
        <v>35</v>
      </c>
      <c r="LS42" s="209">
        <f>COUNTIF(Tableau15[lun.04],"&lt;&gt;"&amp;"A.")</f>
        <v>35</v>
      </c>
      <c r="LT42" s="209">
        <f>COUNTIF(Tableau15[mar.05],"&lt;&gt;"&amp;"A.")</f>
        <v>35</v>
      </c>
      <c r="LU42" s="209">
        <f>COUNTIF(Tableau15[mer.06],"&lt;&gt;"&amp;"A.")</f>
        <v>35</v>
      </c>
      <c r="LV42" s="209">
        <f>COUNTIF(Tableau15[jeu.07],"&lt;&gt;"&amp;"A.")</f>
        <v>34</v>
      </c>
      <c r="LW42" s="209">
        <f>COUNTIF(Tableau15[ven.08],"&lt;&gt;"&amp;"A.")</f>
        <v>34</v>
      </c>
      <c r="LX42" s="231">
        <f>SUM(LS42:LW42)</f>
        <v>173</v>
      </c>
      <c r="LY42" s="209">
        <f>COUNTIF(Tableau15[dim.10],"&lt;&gt;"&amp;"A.")</f>
        <v>35</v>
      </c>
      <c r="LZ42" s="209">
        <f>COUNTIF(Tableau15[lun.11],"&lt;&gt;"&amp;"A.")</f>
        <v>35</v>
      </c>
      <c r="MA42" s="209">
        <f>COUNTIF(Tableau15[mar.12],"&lt;&gt;"&amp;"A.")</f>
        <v>35</v>
      </c>
      <c r="MB42" s="209">
        <f>COUNTIF(Tableau15[mer.13],"&lt;&gt;"&amp;"A.")</f>
        <v>35</v>
      </c>
      <c r="MC42" s="209">
        <f>COUNTIF(Tableau15[jeu.14],"&lt;&gt;"&amp;"A.")</f>
        <v>35</v>
      </c>
      <c r="MD42" s="209">
        <f>COUNTIF(Tableau15[ven.15],"&lt;&gt;"&amp;"A.")</f>
        <v>35</v>
      </c>
      <c r="ME42" s="231">
        <f>SUM(LZ42:MD42)</f>
        <v>175</v>
      </c>
      <c r="MF42" s="209">
        <f>COUNTIF(Tableau15[dim.17],"&lt;&gt;"&amp;"A.")</f>
        <v>35</v>
      </c>
      <c r="MG42" s="209">
        <f>COUNTIF(Tableau15[lun.18],"&lt;&gt;"&amp;"A.")</f>
        <v>35</v>
      </c>
      <c r="MH42" s="209">
        <f>COUNTIF(Tableau15[mar.19],"&lt;&gt;"&amp;"A.")</f>
        <v>35</v>
      </c>
      <c r="MI42" s="209">
        <f>COUNTIF(Tableau15[mer.20],"&lt;&gt;"&amp;"A.")</f>
        <v>35</v>
      </c>
      <c r="MJ42" s="209">
        <f>COUNTIF(Tableau15[jeu.21],"&lt;&gt;"&amp;"A.")</f>
        <v>35</v>
      </c>
      <c r="MK42" s="209">
        <f>COUNTIF(Tableau15[ven.22],"&lt;&gt;"&amp;"A.")</f>
        <v>35</v>
      </c>
      <c r="ML42" s="231">
        <f>SUM(MG42:MK42)</f>
        <v>175</v>
      </c>
      <c r="MM42" s="209">
        <f>COUNTIF(Tableau15[dim.24],"&lt;&gt;"&amp;"A.")</f>
        <v>35</v>
      </c>
      <c r="MN42" s="209">
        <f>COUNTIF(Tableau15[lun.25],"&lt;&gt;"&amp;"A.")</f>
        <v>35</v>
      </c>
      <c r="MO42" s="209">
        <f>COUNTIF(Tableau15[mar.26],"&lt;&gt;"&amp;"A.")</f>
        <v>35</v>
      </c>
      <c r="MP42" s="209">
        <f>COUNTIF(Tableau15[mer.27],"&lt;&gt;"&amp;"A.")</f>
        <v>35</v>
      </c>
      <c r="MQ42" s="209">
        <f>COUNTIF(Tableau15[jeu.28],"&lt;&gt;"&amp;"A.")</f>
        <v>35</v>
      </c>
      <c r="MR42" s="209">
        <f>COUNTIF(Tableau15[ven.29],"&lt;&gt;"&amp;"A.")</f>
        <v>35</v>
      </c>
      <c r="MS42" s="231">
        <f>SUM(MN42:MR42)</f>
        <v>175</v>
      </c>
      <c r="MT42" s="209">
        <f>COUNTIF(Tableau15[dim.012],"&lt;&gt;"&amp;"A.")</f>
        <v>35</v>
      </c>
      <c r="MU42" s="209">
        <f>COUNTIF(Tableau15[lun.023],"&lt;&gt;"&amp;"A.")</f>
        <v>35</v>
      </c>
      <c r="MV42" s="209">
        <f>COUNTIF(Tableau15[mar.034],"&lt;&gt;"&amp;"A.")</f>
        <v>35</v>
      </c>
      <c r="MW42" s="209">
        <f>COUNTIF(Tableau15[mer.045],"&lt;&gt;"&amp;"A.")</f>
        <v>35</v>
      </c>
      <c r="MX42" s="209">
        <f>COUNTIF(Tableau15[jeu.056],"&lt;&gt;"&amp;"A.")</f>
        <v>35</v>
      </c>
      <c r="MY42" s="209">
        <f>COUNTIF(Tableau15[ven.067],"&lt;&gt;"&amp;"A.")</f>
        <v>35</v>
      </c>
      <c r="MZ42" s="231">
        <f>SUM(MU42:MY42)</f>
        <v>175</v>
      </c>
      <c r="NA42" s="209">
        <f>COUNTIF(Tableau15[dim.089],"&lt;&gt;"&amp;"A.")</f>
        <v>35</v>
      </c>
      <c r="NB42" s="209">
        <f>COUNTIF(Tableau15[lun.0910],"&lt;&gt;"&amp;"A.")</f>
        <v>33</v>
      </c>
      <c r="NC42" s="209">
        <f>COUNTIF(Tableau15[mar.1011],"&lt;&gt;"&amp;"A.")</f>
        <v>33</v>
      </c>
      <c r="ND42" s="209">
        <f>COUNTIF(Tableau15[mer.1112],"&lt;&gt;"&amp;"A.")</f>
        <v>33</v>
      </c>
      <c r="NE42" s="209">
        <f>COUNTIF(Tableau15[jeu.1213],"&lt;&gt;"&amp;"A.")</f>
        <v>33</v>
      </c>
      <c r="NF42" s="209">
        <f>COUNTIF(Tableau15[ven.1314],"&lt;&gt;"&amp;"A.")</f>
        <v>33</v>
      </c>
      <c r="NG42" s="231">
        <f>SUM(NB42:NF42)</f>
        <v>165</v>
      </c>
      <c r="NH42" s="209">
        <f>COUNTIF(Tableau15[dim.1516],"&lt;&gt;"&amp;"A.")</f>
        <v>35</v>
      </c>
      <c r="NI42" s="209">
        <f>COUNTIF(Tableau15[lun.1617],"&lt;&gt;"&amp;"A.")</f>
        <v>31</v>
      </c>
      <c r="NJ42" s="209">
        <f>COUNTIF(Tableau15[mar.1718],"&lt;&gt;"&amp;"A.")</f>
        <v>31</v>
      </c>
      <c r="NK42" s="209">
        <f>COUNTIF(Tableau15[mer.1819],"&lt;&gt;"&amp;"A.")</f>
        <v>32</v>
      </c>
      <c r="NL42" s="209">
        <f>COUNTIF(Tableau15[jeu.1920],"&lt;&gt;"&amp;"A.")</f>
        <v>32</v>
      </c>
      <c r="NM42" s="209">
        <f>COUNTIF(Tableau15[ven.2021],"&lt;&gt;"&amp;"A.")</f>
        <v>32</v>
      </c>
      <c r="NN42" s="231">
        <f>SUM(NI42:NM42)</f>
        <v>158</v>
      </c>
      <c r="NO42" s="209">
        <f>COUNTIF(Tableau15[dim.2223],"&lt;&gt;"&amp;"A.")</f>
        <v>35</v>
      </c>
      <c r="NP42" s="209">
        <f>COUNTIF(Tableau15[lun.2324],"&lt;&gt;"&amp;"A.")</f>
        <v>0</v>
      </c>
      <c r="NQ42" s="209">
        <f>COUNTIF(Tableau15[mar.2425],"&lt;&gt;"&amp;"A.")</f>
        <v>32</v>
      </c>
      <c r="NR42" s="209">
        <f>COUNTIF(Tableau15[mer.2526],"&lt;&gt;"&amp;"A.")</f>
        <v>32</v>
      </c>
      <c r="NS42" s="209">
        <f>COUNTIF(Tableau15[jeu.2627],"&lt;&gt;"&amp;"A.")</f>
        <v>32</v>
      </c>
      <c r="NT42" s="209">
        <f>COUNTIF(Tableau15[ven.2728],"&lt;&gt;"&amp;"A.")</f>
        <v>32</v>
      </c>
      <c r="NU42" s="242">
        <f>SUM(NP42:NT42)</f>
        <v>128</v>
      </c>
      <c r="NV42" s="219"/>
    </row>
    <row r="43" spans="4:386" x14ac:dyDescent="0.3">
      <c r="H43" s="243" t="s">
        <v>686</v>
      </c>
      <c r="I43" s="210">
        <f>COUNTIF(Tableau15[lun.10],"="&amp;"P.")</f>
        <v>0</v>
      </c>
      <c r="J43" s="210">
        <f>COUNTIF(Tableau15[mar.11],"="&amp;"P.")</f>
        <v>0</v>
      </c>
      <c r="K43" s="210">
        <f>COUNTIF(Tableau15[mer.12],"="&amp;"P.")</f>
        <v>0</v>
      </c>
      <c r="L43" s="210">
        <f>COUNTIF(Tableau15[jeu.13],"="&amp;"P.")</f>
        <v>0</v>
      </c>
      <c r="M43" s="210">
        <f>COUNTIF(Tableau15[ven.14],"="&amp;"P.")</f>
        <v>0</v>
      </c>
      <c r="N43" s="232">
        <f>SUM(I43:M43)</f>
        <v>0</v>
      </c>
      <c r="O43" s="210">
        <f>COUNTIF(Tableau15[dim.16],"="&amp;"P.")</f>
        <v>0</v>
      </c>
      <c r="P43" s="210">
        <f>COUNTIF(Tableau15[lun.17],"="&amp;"P.")</f>
        <v>0</v>
      </c>
      <c r="Q43" s="210">
        <f>COUNTIF(Tableau15[mar.18],"="&amp;"P.")</f>
        <v>0</v>
      </c>
      <c r="R43" s="210">
        <f>COUNTIF(Tableau15[mer.19],"="&amp;"P.")</f>
        <v>0</v>
      </c>
      <c r="S43" s="210">
        <f>COUNTIF(Tableau15[jeu.20],"="&amp;"P.")</f>
        <v>0</v>
      </c>
      <c r="T43" s="210">
        <f>COUNTIF(Tableau15[ven.21],"="&amp;"P.")</f>
        <v>0</v>
      </c>
      <c r="U43" s="232">
        <f>SUM(P43:T43)</f>
        <v>0</v>
      </c>
      <c r="V43" s="210">
        <f>COUNTIF(Tableau15[dim.23],"="&amp;"P.")</f>
        <v>0</v>
      </c>
      <c r="W43" s="210">
        <f>COUNTIF(Tableau15[lun.24],"="&amp;"P.")</f>
        <v>0</v>
      </c>
      <c r="X43" s="210">
        <f>COUNTIF(Tableau15[mar.25],"="&amp;"P.")</f>
        <v>0</v>
      </c>
      <c r="Y43" s="210">
        <f>COUNTIF(Tableau15[mer.26],"="&amp;"P.")</f>
        <v>0</v>
      </c>
      <c r="Z43" s="210">
        <f>COUNTIF(Tableau15[jeu.27],"="&amp;"P.")</f>
        <v>0</v>
      </c>
      <c r="AA43" s="210">
        <f>COUNTIF(Tableau15[ven.28],"="&amp;"P.")</f>
        <v>0</v>
      </c>
      <c r="AB43" s="232">
        <f>SUM(W43:AA43)</f>
        <v>0</v>
      </c>
      <c r="AC43" s="210">
        <f>COUNTIF(Tableau15[dim.30],"="&amp;"P.")</f>
        <v>0</v>
      </c>
      <c r="AD43" s="210">
        <f>COUNTIF(Tableau15[lun.01],"="&amp;"P.")</f>
        <v>0</v>
      </c>
      <c r="AE43" s="210">
        <f>COUNTIF(Tableau15[mar.02],"="&amp;"P.")</f>
        <v>0</v>
      </c>
      <c r="AF43" s="210">
        <f>COUNTIF(Tableau15[mer.03],"="&amp;"P.")</f>
        <v>0</v>
      </c>
      <c r="AG43" s="210">
        <f>COUNTIF(Tableau15[jeu.04],"="&amp;"P.")</f>
        <v>0</v>
      </c>
      <c r="AH43" s="210">
        <f>COUNTIF(Tableau15[ven.05],"="&amp;"P.")</f>
        <v>0</v>
      </c>
      <c r="AI43" s="232">
        <f>SUM(AD43:AH43)</f>
        <v>0</v>
      </c>
      <c r="AJ43" s="210">
        <f>COUNTIF(Tableau15[dim.07],"="&amp;"P.")</f>
        <v>0</v>
      </c>
      <c r="AK43" s="210">
        <f>COUNTIF(Tableau15[lun.08],"="&amp;"P.")</f>
        <v>0</v>
      </c>
      <c r="AL43" s="210">
        <f>COUNTIF(Tableau15[mar.09],"="&amp;"P.")</f>
        <v>0</v>
      </c>
      <c r="AM43" s="210">
        <f>COUNTIF(Tableau15[mer.10],"="&amp;"P.")</f>
        <v>0</v>
      </c>
      <c r="AN43" s="210">
        <f>COUNTIF(Tableau15[jeu.11],"="&amp;"P.")</f>
        <v>0</v>
      </c>
      <c r="AO43" s="210">
        <f>COUNTIF(Tableau15[ven.12],"="&amp;"P.")</f>
        <v>0</v>
      </c>
      <c r="AP43" s="232">
        <f>SUM(AK43:AO43)</f>
        <v>0</v>
      </c>
      <c r="AQ43" s="210">
        <f>COUNTIF(Tableau15[dim.14],"="&amp;"P.")</f>
        <v>0</v>
      </c>
      <c r="AR43" s="210">
        <f>COUNTIF(Tableau15[lun.15],"="&amp;"P.")</f>
        <v>0</v>
      </c>
      <c r="AS43" s="210">
        <f>COUNTIF(Tableau15[mar.16],"="&amp;"P.")</f>
        <v>0</v>
      </c>
      <c r="AT43" s="210">
        <f>COUNTIF(Tableau15[mer.17],"="&amp;"P.")</f>
        <v>0</v>
      </c>
      <c r="AU43" s="210">
        <f>COUNTIF(Tableau15[jeu.18],"="&amp;"P.")</f>
        <v>0</v>
      </c>
      <c r="AV43" s="210">
        <f>COUNTIF(Tableau15[ven.19],"="&amp;"P.")</f>
        <v>0</v>
      </c>
      <c r="AW43" s="232">
        <f>SUM(AR43:AV43)</f>
        <v>0</v>
      </c>
      <c r="AX43" s="210">
        <f>COUNTIF(Tableau15[dim.21],"="&amp;"P.")</f>
        <v>0</v>
      </c>
      <c r="AY43" s="210">
        <f>COUNTIF(Tableau15[lun.22],"="&amp;"P.")</f>
        <v>0</v>
      </c>
      <c r="AZ43" s="210">
        <f>COUNTIF(Tableau15[mar.23],"="&amp;"P.")</f>
        <v>0</v>
      </c>
      <c r="BA43" s="210">
        <f>COUNTIF(Tableau15[mer.24],"="&amp;"P.")</f>
        <v>0</v>
      </c>
      <c r="BB43" s="210">
        <f>COUNTIF(Tableau15[jeu.25],"="&amp;"P.")</f>
        <v>0</v>
      </c>
      <c r="BC43" s="210">
        <f>COUNTIF(Tableau15[ven.26],"="&amp;"P.")</f>
        <v>0</v>
      </c>
      <c r="BD43" s="232">
        <f>SUM(AY43:BC43)</f>
        <v>0</v>
      </c>
      <c r="BE43" s="210">
        <f>COUNTIF(Tableau15[dim.28],"="&amp;"P.")</f>
        <v>0</v>
      </c>
      <c r="BF43" s="210">
        <f>COUNTIF(Tableau15[lun.29],"="&amp;"P.")</f>
        <v>0</v>
      </c>
      <c r="BG43" s="210">
        <f>COUNTIF(Tableau15[mar.30],"="&amp;"P.")</f>
        <v>0</v>
      </c>
      <c r="BH43" s="210">
        <f>COUNTIF(Tableau15[mer.31],"="&amp;"P.")</f>
        <v>0</v>
      </c>
      <c r="BI43" s="210">
        <f>COUNTIF(Tableau15[jeu.01],"="&amp;"P.")</f>
        <v>0</v>
      </c>
      <c r="BJ43" s="210">
        <f>COUNTIF(Tableau15[ven.02],"="&amp;"P.")</f>
        <v>0</v>
      </c>
      <c r="BK43" s="232">
        <f>SUM(BF43:BJ43)</f>
        <v>0</v>
      </c>
      <c r="BL43" s="210">
        <f>COUNTIF(Tableau15[dim.04],"="&amp;"P.")</f>
        <v>0</v>
      </c>
      <c r="BM43" s="210">
        <f>COUNTIF(Tableau15[lun.05],"="&amp;"P.")</f>
        <v>0</v>
      </c>
      <c r="BN43" s="210">
        <f>COUNTIF(Tableau15[mar.06],"="&amp;"P.")</f>
        <v>0</v>
      </c>
      <c r="BO43" s="210">
        <f>COUNTIF(Tableau15[mer.07],"="&amp;"P.")</f>
        <v>0</v>
      </c>
      <c r="BP43" s="210">
        <f>COUNTIF(Tableau15[jeu.08],"="&amp;"P.")</f>
        <v>0</v>
      </c>
      <c r="BQ43" s="210">
        <f>COUNTIF(Tableau15[ven.09],"="&amp;"P.")</f>
        <v>0</v>
      </c>
      <c r="BR43" s="232">
        <f>SUM(BM43:BQ43)</f>
        <v>0</v>
      </c>
      <c r="BS43" s="210">
        <f>COUNTIF(Tableau15[dim.11],"="&amp;"P.")</f>
        <v>0</v>
      </c>
      <c r="BT43" s="210">
        <f>COUNTIF(Tableau15[lun.12],"="&amp;"P.")</f>
        <v>0</v>
      </c>
      <c r="BU43" s="210">
        <f>COUNTIF(Tableau15[mar.13],"="&amp;"P.")</f>
        <v>0</v>
      </c>
      <c r="BV43" s="210">
        <f>COUNTIF(Tableau15[mer.14],"="&amp;"P.")</f>
        <v>0</v>
      </c>
      <c r="BW43" s="210">
        <f>COUNTIF(Tableau15[jeu.15],"="&amp;"P.")</f>
        <v>0</v>
      </c>
      <c r="BX43" s="210">
        <f>COUNTIF(Tableau15[ven.16],"="&amp;"P.")</f>
        <v>0</v>
      </c>
      <c r="BY43" s="232">
        <f>SUM(BT43:BX43)</f>
        <v>0</v>
      </c>
      <c r="BZ43" s="210">
        <f>COUNTIF(Tableau15[dim.18],"="&amp;"P.")</f>
        <v>0</v>
      </c>
      <c r="CA43" s="210">
        <f>COUNTIF(Tableau15[lun.19],"="&amp;"P.")</f>
        <v>0</v>
      </c>
      <c r="CB43" s="210">
        <f>COUNTIF(Tableau15[mar.20],"="&amp;"P.")</f>
        <v>0</v>
      </c>
      <c r="CC43" s="210">
        <f>COUNTIF(Tableau15[mer.21],"="&amp;"P.")</f>
        <v>0</v>
      </c>
      <c r="CD43" s="210">
        <f>COUNTIF(Tableau15[jeu.22],"="&amp;"P.")</f>
        <v>0</v>
      </c>
      <c r="CE43" s="210">
        <f>COUNTIF(Tableau15[ven.23],"="&amp;"P.")</f>
        <v>0</v>
      </c>
      <c r="CF43" s="232">
        <f>SUM(CA43:CE43)</f>
        <v>0</v>
      </c>
      <c r="CG43" s="210">
        <f>COUNTIF(Tableau15[dim.25],"="&amp;"P.")</f>
        <v>0</v>
      </c>
      <c r="CH43" s="210">
        <f>COUNTIF(Tableau15[lun.26],"="&amp;"P.")</f>
        <v>0</v>
      </c>
      <c r="CI43" s="210">
        <f>COUNTIF(Tableau15[mar.27],"="&amp;"P.")</f>
        <v>0</v>
      </c>
      <c r="CJ43" s="210">
        <f>COUNTIF(Tableau15[mer.28],"="&amp;"P.")</f>
        <v>0</v>
      </c>
      <c r="CK43" s="210">
        <f>COUNTIF(Tableau15[jeu.29],"="&amp;"P.")</f>
        <v>0</v>
      </c>
      <c r="CL43" s="210">
        <f>COUNTIF(Tableau15[ven.30],"="&amp;"P.")</f>
        <v>0</v>
      </c>
      <c r="CM43" s="232">
        <f>SUM(CH43:CL43)</f>
        <v>0</v>
      </c>
      <c r="CN43" s="210">
        <f>COUNTIF(Tableau15[dim.01],"="&amp;"P.")</f>
        <v>0</v>
      </c>
      <c r="CO43" s="210">
        <f>COUNTIF(Tableau15[lun.02],"="&amp;"P.")</f>
        <v>0</v>
      </c>
      <c r="CP43" s="210">
        <f>COUNTIF(Tableau15[mar.03],"="&amp;"P.")</f>
        <v>0</v>
      </c>
      <c r="CQ43" s="210">
        <f>COUNTIF(Tableau15[mer.04],"="&amp;"P.")</f>
        <v>0</v>
      </c>
      <c r="CR43" s="210">
        <f>COUNTIF(Tableau15[jeu.05],"="&amp;"P.")</f>
        <v>0</v>
      </c>
      <c r="CS43" s="210">
        <f>COUNTIF(Tableau15[ven.06],"="&amp;"P.")</f>
        <v>0</v>
      </c>
      <c r="CT43" s="232">
        <f>SUM(CO43:CS43)</f>
        <v>0</v>
      </c>
      <c r="CU43" s="210">
        <f>COUNTIF(Tableau15[dim.08],"="&amp;"P.")</f>
        <v>0</v>
      </c>
      <c r="CV43" s="210">
        <f>COUNTIF(Tableau15[lun.09],"="&amp;"P.")</f>
        <v>0</v>
      </c>
      <c r="CW43" s="210">
        <f>COUNTIF(Tableau15[mar.10],"="&amp;"P.")</f>
        <v>0</v>
      </c>
      <c r="CX43" s="210">
        <f>COUNTIF(Tableau15[mer.11],"="&amp;"P.")</f>
        <v>0</v>
      </c>
      <c r="CY43" s="210">
        <f>COUNTIF(Tableau15[jeu.12],"="&amp;"P.")</f>
        <v>0</v>
      </c>
      <c r="CZ43" s="210">
        <f>COUNTIF(Tableau15[ven.13],"="&amp;"P.")</f>
        <v>0</v>
      </c>
      <c r="DA43" s="232">
        <f>SUM(CV43:CZ43)</f>
        <v>0</v>
      </c>
      <c r="DB43" s="210">
        <f>COUNTIF(Tableau15[dim.15],"="&amp;"P.")</f>
        <v>0</v>
      </c>
      <c r="DC43" s="210">
        <f>COUNTIF(Tableau15[lun.16],"="&amp;"P.")</f>
        <v>0</v>
      </c>
      <c r="DD43" s="210">
        <f>COUNTIF(Tableau15[mar.17],"="&amp;"P.")</f>
        <v>0</v>
      </c>
      <c r="DE43" s="210">
        <f>COUNTIF(Tableau15[mer.18],"="&amp;"P.")</f>
        <v>0</v>
      </c>
      <c r="DF43" s="210">
        <f>COUNTIF(Tableau15[jeu.19],"="&amp;"P.")</f>
        <v>0</v>
      </c>
      <c r="DG43" s="210">
        <f>COUNTIF(Tableau15[ven.20],"="&amp;"P.")</f>
        <v>0</v>
      </c>
      <c r="DH43" s="232">
        <f>SUM(DC43:DG43)</f>
        <v>0</v>
      </c>
      <c r="DI43" s="210">
        <f>COUNTIF(Tableau15[dim.22],"="&amp;"P.")</f>
        <v>0</v>
      </c>
      <c r="DJ43" s="210">
        <f>COUNTIF(Tableau15[lun.23],"="&amp;"P.")</f>
        <v>0</v>
      </c>
      <c r="DK43" s="210">
        <f>COUNTIF(Tableau15[mar.24],"="&amp;"P.")</f>
        <v>0</v>
      </c>
      <c r="DL43" s="210">
        <f>COUNTIF(Tableau15[mer.25],"="&amp;"P.")</f>
        <v>0</v>
      </c>
      <c r="DM43" s="210">
        <f>COUNTIF(Tableau15[jeu.26],"="&amp;"P.")</f>
        <v>0</v>
      </c>
      <c r="DN43" s="210">
        <f>COUNTIF(Tableau15[ven.27],"="&amp;"P.")</f>
        <v>0</v>
      </c>
      <c r="DO43" s="232">
        <f>SUM(DJ43:DN43)</f>
        <v>0</v>
      </c>
      <c r="DP43" s="210">
        <f>COUNTIF(Tableau15[dim.29],"="&amp;"P.")</f>
        <v>0</v>
      </c>
      <c r="DQ43" s="210">
        <f>COUNTIF(Tableau15[lun.30],"="&amp;"P.")</f>
        <v>0</v>
      </c>
      <c r="DR43" s="210">
        <f>COUNTIF(Tableau15[mar.01],"="&amp;"P.")</f>
        <v>0</v>
      </c>
      <c r="DS43" s="210">
        <f>COUNTIF(Tableau15[mer.02],"="&amp;"P.")</f>
        <v>0</v>
      </c>
      <c r="DT43" s="210">
        <f>COUNTIF(Tableau15[jeu.03],"="&amp;"P.")</f>
        <v>0</v>
      </c>
      <c r="DU43" s="210">
        <f>COUNTIF(Tableau15[ven.04],"="&amp;"P.")</f>
        <v>0</v>
      </c>
      <c r="DV43" s="232">
        <f>SUM(DQ43:DU43)</f>
        <v>0</v>
      </c>
      <c r="DW43" s="210">
        <f>COUNTIF(Tableau15[dim.06],"="&amp;"P.")</f>
        <v>0</v>
      </c>
      <c r="DX43" s="210">
        <f>COUNTIF(Tableau15[lun.07],"="&amp;"P.")</f>
        <v>0</v>
      </c>
      <c r="DY43" s="210">
        <f>COUNTIF(Tableau15[mar.08],"="&amp;"P.")</f>
        <v>0</v>
      </c>
      <c r="DZ43" s="210">
        <f>COUNTIF(Tableau15[mer.09],"="&amp;"P.")</f>
        <v>0</v>
      </c>
      <c r="EA43" s="210">
        <f>COUNTIF(Tableau15[jeu.10],"="&amp;"P.")</f>
        <v>0</v>
      </c>
      <c r="EB43" s="210">
        <f>COUNTIF(Tableau15[ven.11],"="&amp;"P.")</f>
        <v>0</v>
      </c>
      <c r="EC43" s="232">
        <f>SUM(DX43:EB43)</f>
        <v>0</v>
      </c>
      <c r="ED43" s="210">
        <f>COUNTIF(Tableau15[dim.13],"="&amp;"P.")</f>
        <v>0</v>
      </c>
      <c r="EE43" s="210">
        <f>COUNTIF(Tableau15[lun.14],"="&amp;"P.")</f>
        <v>0</v>
      </c>
      <c r="EF43" s="210">
        <f>COUNTIF(Tableau15[mar.15],"="&amp;"P.")</f>
        <v>0</v>
      </c>
      <c r="EG43" s="210">
        <f>COUNTIF(Tableau15[mer.16],"="&amp;"P.")</f>
        <v>0</v>
      </c>
      <c r="EH43" s="210">
        <f>COUNTIF(Tableau15[jeu.17],"="&amp;"P.")</f>
        <v>0</v>
      </c>
      <c r="EI43" s="210">
        <f>COUNTIF(Tableau15[ven.18],"="&amp;"P.")</f>
        <v>0</v>
      </c>
      <c r="EJ43" s="232">
        <f>SUM(EE43:EI43)</f>
        <v>0</v>
      </c>
      <c r="EK43" s="210">
        <f>COUNTIF(Tableau15[dim.20],"="&amp;"P.")</f>
        <v>0</v>
      </c>
      <c r="EL43" s="210">
        <f>COUNTIF(Tableau15[lun.21],"="&amp;"P.")</f>
        <v>0</v>
      </c>
      <c r="EM43" s="210">
        <f>COUNTIF(Tableau15[mar.22],"="&amp;"P.")</f>
        <v>0</v>
      </c>
      <c r="EN43" s="210">
        <f>COUNTIF(Tableau15[mer.23],"="&amp;"P.")</f>
        <v>0</v>
      </c>
      <c r="EO43" s="210">
        <f>COUNTIF(Tableau15[jeu.24],"="&amp;"P.")</f>
        <v>0</v>
      </c>
      <c r="EP43" s="210">
        <f>COUNTIF(Tableau15[ven.25],"="&amp;"P.")</f>
        <v>0</v>
      </c>
      <c r="EQ43" s="232">
        <f>SUM(EL43:EP43)</f>
        <v>0</v>
      </c>
      <c r="ER43" s="210">
        <f>COUNTIF(Tableau15[dim.27],"="&amp;"P.")</f>
        <v>0</v>
      </c>
      <c r="ES43" s="210">
        <f>COUNTIF(Tableau15[lun.28],"="&amp;"P.")</f>
        <v>0</v>
      </c>
      <c r="ET43" s="210">
        <f>COUNTIF(Tableau15[mar.29],"="&amp;"P.")</f>
        <v>0</v>
      </c>
      <c r="EU43" s="210">
        <f>COUNTIF(Tableau15[mer.30],"="&amp;"P.")</f>
        <v>0</v>
      </c>
      <c r="EV43" s="210">
        <f>COUNTIF(Tableau15[jeu.31],"="&amp;"P.")</f>
        <v>0</v>
      </c>
      <c r="EW43" s="210">
        <f>COUNTIF(Tableau15[ven.01],"="&amp;"P.")</f>
        <v>0</v>
      </c>
      <c r="EX43" s="232">
        <f>SUM(ES43:EW43)</f>
        <v>0</v>
      </c>
      <c r="EY43" s="210">
        <f>COUNTIF(Tableau15[dim.03],"="&amp;"P.")</f>
        <v>0</v>
      </c>
      <c r="EZ43" s="210">
        <f>COUNTIF(Tableau15[lun.04],"="&amp;"P.")</f>
        <v>0</v>
      </c>
      <c r="FA43" s="210">
        <f>COUNTIF(Tableau15[mar.05],"="&amp;"P.")</f>
        <v>0</v>
      </c>
      <c r="FB43" s="210">
        <f>COUNTIF(Tableau15[mer.06],"="&amp;"P.")</f>
        <v>0</v>
      </c>
      <c r="FC43" s="210">
        <f>COUNTIF(Tableau15[jeu.07],"="&amp;"P.")</f>
        <v>0</v>
      </c>
      <c r="FD43" s="210">
        <f>COUNTIF(Tableau15[ven.08],"="&amp;"P.")</f>
        <v>0</v>
      </c>
      <c r="FE43" s="232">
        <f>SUM(EZ43:FD43)</f>
        <v>0</v>
      </c>
      <c r="FF43" s="210">
        <f>COUNTIF(Tableau15[dim.10],"="&amp;"P.")</f>
        <v>0</v>
      </c>
      <c r="FG43" s="210">
        <f>COUNTIF(Tableau15[lun.11],"="&amp;"P.")</f>
        <v>0</v>
      </c>
      <c r="FH43" s="210">
        <f>COUNTIF(Tableau15[mar.12],"="&amp;"P.")</f>
        <v>0</v>
      </c>
      <c r="FI43" s="210">
        <f>COUNTIF(Tableau15[mer.13],"="&amp;"P.")</f>
        <v>0</v>
      </c>
      <c r="FJ43" s="210">
        <f>COUNTIF(Tableau15[jeu.14],"="&amp;"P.")</f>
        <v>0</v>
      </c>
      <c r="FK43" s="210">
        <f>COUNTIF(Tableau15[ven.15],"="&amp;"P.")</f>
        <v>0</v>
      </c>
      <c r="FL43" s="232">
        <f>SUM(FG43:FK43)</f>
        <v>0</v>
      </c>
      <c r="FM43" s="210">
        <f>COUNTIF(Tableau15[dim.17],"="&amp;"P.")</f>
        <v>0</v>
      </c>
      <c r="FN43" s="210">
        <f>COUNTIF(Tableau15[lun.18],"="&amp;"P.")</f>
        <v>0</v>
      </c>
      <c r="FO43" s="210">
        <f>COUNTIF(Tableau15[mar.19],"="&amp;"P.")</f>
        <v>0</v>
      </c>
      <c r="FP43" s="210">
        <f>COUNTIF(Tableau15[mer.20],"="&amp;"P.")</f>
        <v>0</v>
      </c>
      <c r="FQ43" s="210">
        <f>COUNTIF(Tableau15[jeu.21],"="&amp;"P.")</f>
        <v>0</v>
      </c>
      <c r="FR43" s="210">
        <f>COUNTIF(Tableau15[ven.22],"="&amp;"P.")</f>
        <v>0</v>
      </c>
      <c r="FS43" s="232">
        <f>SUM(FN43:FR43)</f>
        <v>0</v>
      </c>
      <c r="FT43" s="210">
        <f>COUNTIF(Tableau15[dim.24],"="&amp;"P.")</f>
        <v>0</v>
      </c>
      <c r="FU43" s="210">
        <f>COUNTIF(Tableau15[lun.25],"="&amp;"P.")</f>
        <v>0</v>
      </c>
      <c r="FV43" s="210">
        <f>COUNTIF(Tableau15[mar.26],"="&amp;"P.")</f>
        <v>0</v>
      </c>
      <c r="FW43" s="210">
        <f>COUNTIF(Tableau15[mer.27],"="&amp;"P.")</f>
        <v>0</v>
      </c>
      <c r="FX43" s="210">
        <f>COUNTIF(Tableau15[jeu.28],"="&amp;"P.")</f>
        <v>0</v>
      </c>
      <c r="FY43" s="210">
        <f>COUNTIF(Tableau15[ven.29],"="&amp;"P.")</f>
        <v>0</v>
      </c>
      <c r="FZ43" s="232">
        <f>SUM(FU43:FY43)</f>
        <v>0</v>
      </c>
      <c r="GA43" s="210">
        <f>COUNTIF(Tableau15[dim.012],"="&amp;"P.")</f>
        <v>0</v>
      </c>
      <c r="GB43" s="210">
        <f>COUNTIF(Tableau15[lun.023],"="&amp;"P.")</f>
        <v>0</v>
      </c>
      <c r="GC43" s="210">
        <f>COUNTIF(Tableau15[mar.034],"="&amp;"P.")</f>
        <v>0</v>
      </c>
      <c r="GD43" s="210">
        <f>COUNTIF(Tableau15[mer.045],"="&amp;"P.")</f>
        <v>0</v>
      </c>
      <c r="GE43" s="210">
        <f>COUNTIF(Tableau15[jeu.056],"="&amp;"P.")</f>
        <v>0</v>
      </c>
      <c r="GF43" s="210">
        <f>COUNTIF(Tableau15[ven.067],"="&amp;"P.")</f>
        <v>0</v>
      </c>
      <c r="GG43" s="232">
        <f>SUM(GB43:GF43)</f>
        <v>0</v>
      </c>
      <c r="GH43" s="210">
        <f>COUNTIF(Tableau15[dim.089],"="&amp;"P.")</f>
        <v>0</v>
      </c>
      <c r="GI43" s="210">
        <f>COUNTIF(Tableau15[lun.0910],"="&amp;"P.")</f>
        <v>0</v>
      </c>
      <c r="GJ43" s="210">
        <f>COUNTIF(Tableau15[mar.1011],"="&amp;"P.")</f>
        <v>0</v>
      </c>
      <c r="GK43" s="210">
        <f>COUNTIF(Tableau15[mer.1112],"="&amp;"P.")</f>
        <v>0</v>
      </c>
      <c r="GL43" s="210">
        <f>COUNTIF(Tableau15[jeu.1213],"="&amp;"P.")</f>
        <v>0</v>
      </c>
      <c r="GM43" s="210">
        <f>COUNTIF(Tableau15[ven.1314],"="&amp;"P.")</f>
        <v>0</v>
      </c>
      <c r="GN43" s="232">
        <f>SUM(GI43:GM43)</f>
        <v>0</v>
      </c>
      <c r="GO43" s="210">
        <f>COUNTIF(Tableau15[dim.1516],"="&amp;"P.")</f>
        <v>0</v>
      </c>
      <c r="GP43" s="210">
        <f>COUNTIF(Tableau15[lun.1617],"="&amp;"P.")</f>
        <v>0</v>
      </c>
      <c r="GQ43" s="210">
        <f>COUNTIF(Tableau15[mar.1718],"="&amp;"P.")</f>
        <v>0</v>
      </c>
      <c r="GR43" s="210">
        <f>COUNTIF(Tableau15[mer.1819],"="&amp;"P.")</f>
        <v>0</v>
      </c>
      <c r="GS43" s="210">
        <f>COUNTIF(Tableau15[jeu.1920],"="&amp;"P.")</f>
        <v>0</v>
      </c>
      <c r="GT43" s="210">
        <f>COUNTIF(Tableau15[ven.2021],"="&amp;"P.")</f>
        <v>0</v>
      </c>
      <c r="GU43" s="232">
        <f>SUM(GP43:GT43)</f>
        <v>0</v>
      </c>
      <c r="GV43" s="246">
        <f>COUNTIF(Tableau15[dim.2223],"="&amp;"P.")</f>
        <v>0</v>
      </c>
      <c r="GW43" s="210">
        <f>COUNTIF(Tableau15[lun.2324],"="&amp;"P.")</f>
        <v>0</v>
      </c>
      <c r="GX43" s="210">
        <f>COUNTIF(Tableau15[mar.2425],"="&amp;"P.")</f>
        <v>0</v>
      </c>
      <c r="GY43" s="210">
        <f>COUNTIF(Tableau15[mer.2526],"="&amp;"P.")</f>
        <v>0</v>
      </c>
      <c r="GZ43" s="210">
        <f>COUNTIF(Tableau15[jeu.2627],"="&amp;"P.")</f>
        <v>0</v>
      </c>
      <c r="HA43" s="210">
        <f>COUNTIF(Tableau15[ven.2728],"="&amp;"P.")</f>
        <v>0</v>
      </c>
      <c r="HB43" s="244">
        <f>SUM(GW43:HA43)</f>
        <v>0</v>
      </c>
      <c r="HC43" s="220"/>
      <c r="HD43" s="210">
        <f>COUNTIF(Tableau15[lun.08],"="&amp;"P.")</f>
        <v>0</v>
      </c>
      <c r="HE43" s="210">
        <f>COUNTIF(Tableau15[mar.09],"="&amp;"P.")</f>
        <v>0</v>
      </c>
      <c r="HF43" s="210">
        <f>COUNTIF(Tableau15[mer.10],"="&amp;"P.")</f>
        <v>0</v>
      </c>
      <c r="HG43" s="210">
        <f>COUNTIF(Tableau15[jeu.11],"="&amp;"P.")</f>
        <v>0</v>
      </c>
      <c r="HH43" s="210">
        <f>COUNTIF(Tableau15[ven.12],"="&amp;"P.")</f>
        <v>0</v>
      </c>
      <c r="HI43" s="232">
        <f>SUM(HD43:HH43)</f>
        <v>0</v>
      </c>
      <c r="HJ43" s="210">
        <f>COUNTIF(Tableau15[dim.14],"="&amp;"P.")</f>
        <v>0</v>
      </c>
      <c r="HK43" s="210">
        <f>COUNTIF(Tableau15[lun.15],"="&amp;"P.")</f>
        <v>0</v>
      </c>
      <c r="HL43" s="210">
        <f>COUNTIF(Tableau15[mar.16],"="&amp;"P.")</f>
        <v>0</v>
      </c>
      <c r="HM43" s="210">
        <f>COUNTIF(Tableau15[mer.17],"="&amp;"P.")</f>
        <v>0</v>
      </c>
      <c r="HN43" s="210">
        <f>COUNTIF(Tableau15[jeu.18],"="&amp;"P.")</f>
        <v>0</v>
      </c>
      <c r="HO43" s="210">
        <f>COUNTIF(Tableau15[ven.19],"="&amp;"P.")</f>
        <v>0</v>
      </c>
      <c r="HP43" s="232">
        <f>SUM(HK43:HO43)</f>
        <v>0</v>
      </c>
      <c r="HQ43" s="210">
        <f>COUNTIF(Tableau15[dim.21],"="&amp;"P.")</f>
        <v>0</v>
      </c>
      <c r="HR43" s="210">
        <f>COUNTIF(Tableau15[lun.22],"="&amp;"P.")</f>
        <v>0</v>
      </c>
      <c r="HS43" s="210">
        <f>COUNTIF(Tableau15[mar.23],"="&amp;"P.")</f>
        <v>0</v>
      </c>
      <c r="HT43" s="210">
        <f>COUNTIF(Tableau15[mer.24],"="&amp;"P.")</f>
        <v>0</v>
      </c>
      <c r="HU43" s="210">
        <f>COUNTIF(Tableau15[jeu.25],"="&amp;"P.")</f>
        <v>0</v>
      </c>
      <c r="HV43" s="210">
        <f>COUNTIF(Tableau15[ven.26],"="&amp;"P.")</f>
        <v>0</v>
      </c>
      <c r="HW43" s="232">
        <f>SUM(HR43:HV43)</f>
        <v>0</v>
      </c>
      <c r="HX43" s="210">
        <f>COUNTIF(Tableau15[dim.28],"="&amp;"P.")</f>
        <v>0</v>
      </c>
      <c r="HY43" s="210">
        <f>COUNTIF(Tableau15[lun.29],"="&amp;"P.")</f>
        <v>0</v>
      </c>
      <c r="HZ43" s="210">
        <f>COUNTIF(Tableau15[mar.30],"="&amp;"P.")</f>
        <v>0</v>
      </c>
      <c r="IA43" s="210">
        <f>COUNTIF(Tableau15[mer.31],"="&amp;"P.")</f>
        <v>0</v>
      </c>
      <c r="IB43" s="210">
        <f>COUNTIF(Tableau15[jeu.01],"="&amp;"P.")</f>
        <v>0</v>
      </c>
      <c r="IC43" s="210">
        <f>COUNTIF(Tableau15[ven.02],"="&amp;"P.")</f>
        <v>0</v>
      </c>
      <c r="ID43" s="232">
        <f>SUM(HY43:IC43)</f>
        <v>0</v>
      </c>
      <c r="IE43" s="210">
        <f>COUNTIF(Tableau15[dim.04],"="&amp;"P.")</f>
        <v>0</v>
      </c>
      <c r="IF43" s="210">
        <f>COUNTIF(Tableau15[lun.05],"="&amp;"P.")</f>
        <v>0</v>
      </c>
      <c r="IG43" s="210">
        <f>COUNTIF(Tableau15[mar.06],"="&amp;"P.")</f>
        <v>0</v>
      </c>
      <c r="IH43" s="210">
        <f>COUNTIF(Tableau15[mer.07],"="&amp;"P.")</f>
        <v>0</v>
      </c>
      <c r="II43" s="210">
        <f>COUNTIF(Tableau15[jeu.08],"="&amp;"P.")</f>
        <v>0</v>
      </c>
      <c r="IJ43" s="210">
        <f>COUNTIF(Tableau15[ven.09],"="&amp;"P.")</f>
        <v>0</v>
      </c>
      <c r="IK43" s="232">
        <f>SUM(IF43:IJ43)</f>
        <v>0</v>
      </c>
      <c r="IL43" s="210">
        <f>COUNTIF(Tableau15[dim.11],"="&amp;"P.")</f>
        <v>0</v>
      </c>
      <c r="IM43" s="210">
        <f>COUNTIF(Tableau15[lun.12],"="&amp;"P.")</f>
        <v>0</v>
      </c>
      <c r="IN43" s="210">
        <f>COUNTIF(Tableau15[mar.13],"="&amp;"P.")</f>
        <v>0</v>
      </c>
      <c r="IO43" s="210">
        <f>COUNTIF(Tableau15[mer.14],"="&amp;"P.")</f>
        <v>0</v>
      </c>
      <c r="IP43" s="210">
        <f>COUNTIF(Tableau15[jeu.15],"="&amp;"P.")</f>
        <v>0</v>
      </c>
      <c r="IQ43" s="210">
        <f>COUNTIF(Tableau15[ven.16],"="&amp;"P.")</f>
        <v>0</v>
      </c>
      <c r="IR43" s="232">
        <f>SUM(IM43:IQ43)</f>
        <v>0</v>
      </c>
      <c r="IS43" s="210">
        <f>COUNTIF(Tableau15[dim.18],"="&amp;"P.")</f>
        <v>0</v>
      </c>
      <c r="IT43" s="210">
        <f>COUNTIF(Tableau15[lun.19],"="&amp;"P.")</f>
        <v>0</v>
      </c>
      <c r="IU43" s="210">
        <f>COUNTIF(Tableau15[mar.20],"="&amp;"P.")</f>
        <v>0</v>
      </c>
      <c r="IV43" s="210">
        <f>COUNTIF(Tableau15[mer.21],"="&amp;"P.")</f>
        <v>0</v>
      </c>
      <c r="IW43" s="210">
        <f>COUNTIF(Tableau15[jeu.22],"="&amp;"P.")</f>
        <v>0</v>
      </c>
      <c r="IX43" s="210">
        <f>COUNTIF(Tableau15[ven.23],"="&amp;"P.")</f>
        <v>0</v>
      </c>
      <c r="IY43" s="232">
        <f>SUM(IT43:IX43)</f>
        <v>0</v>
      </c>
      <c r="IZ43" s="210">
        <f>COUNTIF(Tableau15[dim.25],"="&amp;"P.")</f>
        <v>0</v>
      </c>
      <c r="JA43" s="210">
        <f>COUNTIF(Tableau15[lun.26],"="&amp;"P.")</f>
        <v>0</v>
      </c>
      <c r="JB43" s="210">
        <f>COUNTIF(Tableau15[mar.27],"="&amp;"P.")</f>
        <v>0</v>
      </c>
      <c r="JC43" s="210">
        <f>COUNTIF(Tableau15[mer.28],"="&amp;"P.")</f>
        <v>0</v>
      </c>
      <c r="JD43" s="210">
        <f>COUNTIF(Tableau15[jeu.29],"="&amp;"P.")</f>
        <v>0</v>
      </c>
      <c r="JE43" s="210">
        <f>COUNTIF(Tableau15[ven.30],"="&amp;"P.")</f>
        <v>0</v>
      </c>
      <c r="JF43" s="232">
        <f>SUM(JA43:JE43)</f>
        <v>0</v>
      </c>
      <c r="JG43" s="210">
        <f>COUNTIF(Tableau15[dim.01],"="&amp;"P.")</f>
        <v>0</v>
      </c>
      <c r="JH43" s="210">
        <f>COUNTIF(Tableau15[lun.02],"="&amp;"P.")</f>
        <v>0</v>
      </c>
      <c r="JI43" s="210">
        <f>COUNTIF(Tableau15[mar.03],"="&amp;"P.")</f>
        <v>0</v>
      </c>
      <c r="JJ43" s="210">
        <f>COUNTIF(Tableau15[mer.04],"="&amp;"P.")</f>
        <v>0</v>
      </c>
      <c r="JK43" s="210">
        <f>COUNTIF(Tableau15[jeu.05],"="&amp;"P.")</f>
        <v>0</v>
      </c>
      <c r="JL43" s="210">
        <f>COUNTIF(Tableau15[ven.06],"="&amp;"P.")</f>
        <v>0</v>
      </c>
      <c r="JM43" s="232">
        <f>SUM(JH43:JL43)</f>
        <v>0</v>
      </c>
      <c r="JN43" s="210">
        <f>COUNTIF(Tableau15[dim.08],"="&amp;"P.")</f>
        <v>0</v>
      </c>
      <c r="JO43" s="210">
        <f>COUNTIF(Tableau15[lun.09],"="&amp;"P.")</f>
        <v>0</v>
      </c>
      <c r="JP43" s="210">
        <f>COUNTIF(Tableau15[mar.10],"="&amp;"P.")</f>
        <v>0</v>
      </c>
      <c r="JQ43" s="210">
        <f>COUNTIF(Tableau15[mer.11],"="&amp;"P.")</f>
        <v>0</v>
      </c>
      <c r="JR43" s="210">
        <f>COUNTIF(Tableau15[jeu.12],"="&amp;"P.")</f>
        <v>0</v>
      </c>
      <c r="JS43" s="210">
        <f>COUNTIF(Tableau15[ven.13],"="&amp;"P.")</f>
        <v>0</v>
      </c>
      <c r="JT43" s="232">
        <f>SUM(JO43:JS43)</f>
        <v>0</v>
      </c>
      <c r="JU43" s="210">
        <f>COUNTIF(Tableau15[dim.15],"="&amp;"P.")</f>
        <v>0</v>
      </c>
      <c r="JV43" s="210">
        <f>COUNTIF(Tableau15[lun.16],"="&amp;"P.")</f>
        <v>0</v>
      </c>
      <c r="JW43" s="210">
        <f>COUNTIF(Tableau15[mar.17],"="&amp;"P.")</f>
        <v>0</v>
      </c>
      <c r="JX43" s="210">
        <f>COUNTIF(Tableau15[mer.18],"="&amp;"P.")</f>
        <v>0</v>
      </c>
      <c r="JY43" s="210">
        <f>COUNTIF(Tableau15[jeu.19],"="&amp;"P.")</f>
        <v>0</v>
      </c>
      <c r="JZ43" s="210">
        <f>COUNTIF(Tableau15[ven.20],"="&amp;"P.")</f>
        <v>0</v>
      </c>
      <c r="KA43" s="232">
        <f>SUM(JV43:JZ43)</f>
        <v>0</v>
      </c>
      <c r="KB43" s="210">
        <f>COUNTIF(Tableau15[dim.22],"="&amp;"P.")</f>
        <v>0</v>
      </c>
      <c r="KC43" s="210">
        <f>COUNTIF(Tableau15[lun.23],"="&amp;"P.")</f>
        <v>0</v>
      </c>
      <c r="KD43" s="210">
        <f>COUNTIF(Tableau15[mar.24],"="&amp;"P.")</f>
        <v>0</v>
      </c>
      <c r="KE43" s="210">
        <f>COUNTIF(Tableau15[mer.25],"="&amp;"P.")</f>
        <v>0</v>
      </c>
      <c r="KF43" s="210">
        <f>COUNTIF(Tableau15[jeu.26],"="&amp;"P.")</f>
        <v>0</v>
      </c>
      <c r="KG43" s="210">
        <f>COUNTIF(Tableau15[ven.27],"="&amp;"P.")</f>
        <v>0</v>
      </c>
      <c r="KH43" s="232">
        <f>SUM(KC43:KG43)</f>
        <v>0</v>
      </c>
      <c r="KI43" s="210">
        <f>COUNTIF(Tableau15[dim.29],"="&amp;"P.")</f>
        <v>0</v>
      </c>
      <c r="KJ43" s="210">
        <f>COUNTIF(Tableau15[lun.30],"="&amp;"P.")</f>
        <v>0</v>
      </c>
      <c r="KK43" s="210">
        <f>COUNTIF(Tableau15[mar.01],"="&amp;"P.")</f>
        <v>0</v>
      </c>
      <c r="KL43" s="210">
        <f>COUNTIF(Tableau15[mer.02],"="&amp;"P.")</f>
        <v>0</v>
      </c>
      <c r="KM43" s="210">
        <f>COUNTIF(Tableau15[jeu.03],"="&amp;"P.")</f>
        <v>0</v>
      </c>
      <c r="KN43" s="210">
        <f>COUNTIF(Tableau15[ven.04],"="&amp;"P.")</f>
        <v>0</v>
      </c>
      <c r="KO43" s="232">
        <f>SUM(KJ43:KN43)</f>
        <v>0</v>
      </c>
      <c r="KP43" s="210">
        <f>COUNTIF(Tableau15[dim.06],"="&amp;"P.")</f>
        <v>0</v>
      </c>
      <c r="KQ43" s="210">
        <f>COUNTIF(Tableau15[lun.07],"="&amp;"P.")</f>
        <v>0</v>
      </c>
      <c r="KR43" s="210">
        <f>COUNTIF(Tableau15[mar.08],"="&amp;"P.")</f>
        <v>0</v>
      </c>
      <c r="KS43" s="210">
        <f>COUNTIF(Tableau15[mer.09],"="&amp;"P.")</f>
        <v>0</v>
      </c>
      <c r="KT43" s="210">
        <f>COUNTIF(Tableau15[jeu.10],"="&amp;"P.")</f>
        <v>0</v>
      </c>
      <c r="KU43" s="210">
        <f>COUNTIF(Tableau15[ven.11],"="&amp;"P.")</f>
        <v>0</v>
      </c>
      <c r="KV43" s="232">
        <f>SUM(KQ43:KU43)</f>
        <v>0</v>
      </c>
      <c r="KW43" s="210">
        <f>COUNTIF(Tableau15[dim.13],"="&amp;"P.")</f>
        <v>0</v>
      </c>
      <c r="KX43" s="210">
        <f>COUNTIF(Tableau15[lun.14],"="&amp;"P.")</f>
        <v>0</v>
      </c>
      <c r="KY43" s="210">
        <f>COUNTIF(Tableau15[mar.15],"="&amp;"P.")</f>
        <v>0</v>
      </c>
      <c r="KZ43" s="210">
        <f>COUNTIF(Tableau15[mer.16],"="&amp;"P.")</f>
        <v>0</v>
      </c>
      <c r="LA43" s="210">
        <f>COUNTIF(Tableau15[jeu.17],"="&amp;"P.")</f>
        <v>0</v>
      </c>
      <c r="LB43" s="210">
        <f>COUNTIF(Tableau15[ven.18],"="&amp;"P.")</f>
        <v>0</v>
      </c>
      <c r="LC43" s="232">
        <f>SUM(KX43:LB43)</f>
        <v>0</v>
      </c>
      <c r="LD43" s="210">
        <f>COUNTIF(Tableau15[dim.20],"="&amp;"P.")</f>
        <v>0</v>
      </c>
      <c r="LE43" s="210">
        <f>COUNTIF(Tableau15[lun.21],"="&amp;"P.")</f>
        <v>0</v>
      </c>
      <c r="LF43" s="210">
        <f>COUNTIF(Tableau15[mar.22],"="&amp;"P.")</f>
        <v>0</v>
      </c>
      <c r="LG43" s="210">
        <f>COUNTIF(Tableau15[mer.23],"="&amp;"P.")</f>
        <v>0</v>
      </c>
      <c r="LH43" s="210">
        <f>COUNTIF(Tableau15[jeu.24],"="&amp;"P.")</f>
        <v>0</v>
      </c>
      <c r="LI43" s="210">
        <f>COUNTIF(Tableau15[ven.25],"="&amp;"P.")</f>
        <v>0</v>
      </c>
      <c r="LJ43" s="232">
        <f>SUM(LE43:LI43)</f>
        <v>0</v>
      </c>
      <c r="LK43" s="210">
        <f>COUNTIF(Tableau15[dim.27],"="&amp;"P.")</f>
        <v>0</v>
      </c>
      <c r="LL43" s="210">
        <f>COUNTIF(Tableau15[lun.28],"="&amp;"P.")</f>
        <v>0</v>
      </c>
      <c r="LM43" s="210">
        <f>COUNTIF(Tableau15[mar.29],"="&amp;"P.")</f>
        <v>0</v>
      </c>
      <c r="LN43" s="210">
        <f>COUNTIF(Tableau15[mer.30],"="&amp;"P.")</f>
        <v>0</v>
      </c>
      <c r="LO43" s="210">
        <f>COUNTIF(Tableau15[jeu.31],"="&amp;"P.")</f>
        <v>0</v>
      </c>
      <c r="LP43" s="210">
        <f>COUNTIF(Tableau15[ven.01],"="&amp;"P.")</f>
        <v>0</v>
      </c>
      <c r="LQ43" s="232">
        <f t="shared" ref="LQ43:LQ49" si="0">SUM(LL43:LP43)</f>
        <v>0</v>
      </c>
      <c r="LR43" s="210">
        <f>COUNTIF(Tableau15[dim.03],"="&amp;"P.")</f>
        <v>0</v>
      </c>
      <c r="LS43" s="210">
        <f>COUNTIF(Tableau15[lun.04],"="&amp;"P.")</f>
        <v>0</v>
      </c>
      <c r="LT43" s="210">
        <f>COUNTIF(Tableau15[mar.05],"="&amp;"P.")</f>
        <v>0</v>
      </c>
      <c r="LU43" s="210">
        <f>COUNTIF(Tableau15[mer.06],"="&amp;"P.")</f>
        <v>0</v>
      </c>
      <c r="LV43" s="210">
        <f>COUNTIF(Tableau15[jeu.07],"="&amp;"P.")</f>
        <v>0</v>
      </c>
      <c r="LW43" s="210">
        <f>COUNTIF(Tableau15[ven.08],"="&amp;"P.")</f>
        <v>0</v>
      </c>
      <c r="LX43" s="232">
        <f t="shared" ref="LX43:LX49" si="1">SUM(LS43:LW43)</f>
        <v>0</v>
      </c>
      <c r="LY43" s="210">
        <f>COUNTIF(Tableau15[dim.10],"="&amp;"P.")</f>
        <v>0</v>
      </c>
      <c r="LZ43" s="210">
        <f>COUNTIF(Tableau15[lun.11],"="&amp;"P.")</f>
        <v>0</v>
      </c>
      <c r="MA43" s="210">
        <f>COUNTIF(Tableau15[mar.12],"="&amp;"P.")</f>
        <v>0</v>
      </c>
      <c r="MB43" s="210">
        <f>COUNTIF(Tableau15[mer.13],"="&amp;"P.")</f>
        <v>0</v>
      </c>
      <c r="MC43" s="210">
        <f>COUNTIF(Tableau15[jeu.14],"="&amp;"P.")</f>
        <v>0</v>
      </c>
      <c r="MD43" s="210">
        <f>COUNTIF(Tableau15[ven.15],"="&amp;"P.")</f>
        <v>0</v>
      </c>
      <c r="ME43" s="232">
        <f t="shared" ref="ME43:ME49" si="2">SUM(LZ43:MD43)</f>
        <v>0</v>
      </c>
      <c r="MF43" s="210">
        <f>COUNTIF(Tableau15[dim.17],"="&amp;"P.")</f>
        <v>0</v>
      </c>
      <c r="MG43" s="210">
        <f>COUNTIF(Tableau15[lun.18],"="&amp;"P.")</f>
        <v>0</v>
      </c>
      <c r="MH43" s="210">
        <f>COUNTIF(Tableau15[mar.19],"="&amp;"P.")</f>
        <v>0</v>
      </c>
      <c r="MI43" s="210">
        <f>COUNTIF(Tableau15[mer.20],"="&amp;"P.")</f>
        <v>0</v>
      </c>
      <c r="MJ43" s="210">
        <f>COUNTIF(Tableau15[jeu.21],"="&amp;"P.")</f>
        <v>0</v>
      </c>
      <c r="MK43" s="210">
        <f>COUNTIF(Tableau15[ven.22],"="&amp;"P.")</f>
        <v>0</v>
      </c>
      <c r="ML43" s="232">
        <f t="shared" ref="ML43:ML49" si="3">SUM(MG43:MK43)</f>
        <v>0</v>
      </c>
      <c r="MM43" s="210">
        <f>COUNTIF(Tableau15[dim.24],"="&amp;"P.")</f>
        <v>0</v>
      </c>
      <c r="MN43" s="210">
        <f>COUNTIF(Tableau15[lun.25],"="&amp;"P.")</f>
        <v>0</v>
      </c>
      <c r="MO43" s="210">
        <f>COUNTIF(Tableau15[mar.26],"="&amp;"P.")</f>
        <v>0</v>
      </c>
      <c r="MP43" s="210">
        <f>COUNTIF(Tableau15[mer.27],"="&amp;"P.")</f>
        <v>0</v>
      </c>
      <c r="MQ43" s="210">
        <f>COUNTIF(Tableau15[jeu.28],"="&amp;"P.")</f>
        <v>0</v>
      </c>
      <c r="MR43" s="210">
        <f>COUNTIF(Tableau15[ven.29],"="&amp;"P.")</f>
        <v>0</v>
      </c>
      <c r="MS43" s="232">
        <f>SUM(MN43:MR43)</f>
        <v>0</v>
      </c>
      <c r="MT43" s="210">
        <f>COUNTIF(Tableau15[dim.012],"="&amp;"P.")</f>
        <v>0</v>
      </c>
      <c r="MU43" s="210">
        <f>COUNTIF(Tableau15[lun.023],"="&amp;"P.")</f>
        <v>0</v>
      </c>
      <c r="MV43" s="210">
        <f>COUNTIF(Tableau15[mar.034],"="&amp;"P.")</f>
        <v>0</v>
      </c>
      <c r="MW43" s="210">
        <f>COUNTIF(Tableau15[mer.045],"="&amp;"P.")</f>
        <v>0</v>
      </c>
      <c r="MX43" s="210">
        <f>COUNTIF(Tableau15[jeu.056],"="&amp;"P.")</f>
        <v>0</v>
      </c>
      <c r="MY43" s="210">
        <f>COUNTIF(Tableau15[ven.067],"="&amp;"P.")</f>
        <v>0</v>
      </c>
      <c r="MZ43" s="232">
        <f>SUM(MU43:MY43)</f>
        <v>0</v>
      </c>
      <c r="NA43" s="210">
        <f>COUNTIF(Tableau15[dim.089],"="&amp;"P.")</f>
        <v>0</v>
      </c>
      <c r="NB43" s="210">
        <f>COUNTIF(Tableau15[lun.0910],"="&amp;"P.")</f>
        <v>0</v>
      </c>
      <c r="NC43" s="210">
        <f>COUNTIF(Tableau15[mar.1011],"="&amp;"P.")</f>
        <v>0</v>
      </c>
      <c r="ND43" s="210">
        <f>COUNTIF(Tableau15[mer.1112],"="&amp;"P.")</f>
        <v>0</v>
      </c>
      <c r="NE43" s="210">
        <f>COUNTIF(Tableau15[jeu.1213],"="&amp;"P.")</f>
        <v>0</v>
      </c>
      <c r="NF43" s="210">
        <f>COUNTIF(Tableau15[ven.1314],"="&amp;"P.")</f>
        <v>0</v>
      </c>
      <c r="NG43" s="232">
        <f>SUM(NB43:NF43)</f>
        <v>0</v>
      </c>
      <c r="NH43" s="210">
        <f>COUNTIF(Tableau15[dim.1516],"="&amp;"P.")</f>
        <v>0</v>
      </c>
      <c r="NI43" s="210">
        <f>COUNTIF(Tableau15[lun.1617],"="&amp;"P.")</f>
        <v>0</v>
      </c>
      <c r="NJ43" s="210">
        <f>COUNTIF(Tableau15[mar.1718],"="&amp;"P.")</f>
        <v>0</v>
      </c>
      <c r="NK43" s="210">
        <f>COUNTIF(Tableau15[mer.1819],"="&amp;"P.")</f>
        <v>0</v>
      </c>
      <c r="NL43" s="210">
        <f>COUNTIF(Tableau15[jeu.1920],"="&amp;"P.")</f>
        <v>0</v>
      </c>
      <c r="NM43" s="210">
        <f>COUNTIF(Tableau15[ven.2021],"="&amp;"P.")</f>
        <v>0</v>
      </c>
      <c r="NN43" s="232">
        <f>SUM(NI43:NM43)</f>
        <v>0</v>
      </c>
      <c r="NO43" s="246">
        <f>COUNTIF(Tableau15[dim.2223],"="&amp;"P.")</f>
        <v>0</v>
      </c>
      <c r="NP43" s="210">
        <f>COUNTIF(Tableau15[lun.2324],"="&amp;"P.")</f>
        <v>0</v>
      </c>
      <c r="NQ43" s="210">
        <f>COUNTIF(Tableau15[mar.2425],"="&amp;"P.")</f>
        <v>0</v>
      </c>
      <c r="NR43" s="210">
        <f>COUNTIF(Tableau15[mer.2526],"="&amp;"P.")</f>
        <v>0</v>
      </c>
      <c r="NS43" s="210">
        <f>COUNTIF(Tableau15[jeu.2627],"="&amp;"P.")</f>
        <v>0</v>
      </c>
      <c r="NT43" s="210">
        <f>COUNTIF(Tableau15[ven.2728],"="&amp;"P.")</f>
        <v>0</v>
      </c>
      <c r="NU43" s="244">
        <f>SUM(NP43:NT43)</f>
        <v>0</v>
      </c>
      <c r="NV43" s="220"/>
    </row>
    <row r="44" spans="4:386" x14ac:dyDescent="0.3">
      <c r="H44" s="243" t="s">
        <v>386</v>
      </c>
      <c r="I44" s="210">
        <f>COUNTIF(Tableau15[lun.10],"="&amp;"VRAC")</f>
        <v>7</v>
      </c>
      <c r="J44" s="210">
        <f>COUNTIF(Tableau15[mar.11],"="&amp;"VRAC")</f>
        <v>7</v>
      </c>
      <c r="K44" s="210">
        <f>COUNTIF(Tableau15[mer.12],"="&amp;"VRAC")</f>
        <v>0</v>
      </c>
      <c r="L44" s="210">
        <f>COUNTIF(Tableau15[jeu.13],"="&amp;"VRAC")</f>
        <v>7</v>
      </c>
      <c r="M44" s="210">
        <f>COUNTIF(Tableau15[ven.14],"="&amp;"VRAC")</f>
        <v>7</v>
      </c>
      <c r="N44" s="232">
        <f t="shared" ref="N44:N49" si="4">SUM(I44:M44)</f>
        <v>28</v>
      </c>
      <c r="O44" s="210">
        <f>COUNTIF(Tableau15[dim.16],"="&amp;"VRAC")</f>
        <v>0</v>
      </c>
      <c r="P44" s="210">
        <f>COUNTIF(Tableau15[lun.17],"="&amp;"VRAC")</f>
        <v>0</v>
      </c>
      <c r="Q44" s="210">
        <f>COUNTIF(Tableau15[mar.18],"="&amp;"VRAC")</f>
        <v>0</v>
      </c>
      <c r="R44" s="210">
        <f>COUNTIF(Tableau15[mer.19],"="&amp;"VRAC")</f>
        <v>0</v>
      </c>
      <c r="S44" s="210">
        <f>COUNTIF(Tableau15[jeu.20],"="&amp;"VRAC")</f>
        <v>0</v>
      </c>
      <c r="T44" s="210">
        <f>COUNTIF(Tableau15[ven.21],"="&amp;"VRAC")</f>
        <v>0</v>
      </c>
      <c r="U44" s="232">
        <f t="shared" ref="U44:U49" si="5">SUM(P44:T44)</f>
        <v>0</v>
      </c>
      <c r="V44" s="210">
        <f>COUNTIF(Tableau15[dim.23],"="&amp;"VRAC")</f>
        <v>0</v>
      </c>
      <c r="W44" s="210">
        <f>COUNTIF(Tableau15[lun.24],"="&amp;"VRAC")</f>
        <v>0</v>
      </c>
      <c r="X44" s="210">
        <f>COUNTIF(Tableau15[mar.25],"="&amp;"VRAC")</f>
        <v>0</v>
      </c>
      <c r="Y44" s="210">
        <f>COUNTIF(Tableau15[mer.26],"="&amp;"VRAC")</f>
        <v>0</v>
      </c>
      <c r="Z44" s="210">
        <f>COUNTIF(Tableau15[jeu.27],"="&amp;"VRAC")</f>
        <v>0</v>
      </c>
      <c r="AA44" s="210">
        <f>COUNTIF(Tableau15[ven.28],"="&amp;"VRAC")</f>
        <v>0</v>
      </c>
      <c r="AB44" s="232">
        <f t="shared" ref="AB44:AB49" si="6">SUM(W44:AA44)</f>
        <v>0</v>
      </c>
      <c r="AC44" s="210">
        <f>COUNTIF(Tableau15[dim.30],"="&amp;"VRAC")</f>
        <v>0</v>
      </c>
      <c r="AD44" s="210">
        <f>COUNTIF(Tableau15[lun.01],"="&amp;"VRAC")</f>
        <v>0</v>
      </c>
      <c r="AE44" s="210">
        <f>COUNTIF(Tableau15[mar.02],"="&amp;"VRAC")</f>
        <v>0</v>
      </c>
      <c r="AF44" s="210">
        <f>COUNTIF(Tableau15[mer.03],"="&amp;"VRAC")</f>
        <v>0</v>
      </c>
      <c r="AG44" s="210">
        <f>COUNTIF(Tableau15[jeu.04],"="&amp;"VRAC")</f>
        <v>0</v>
      </c>
      <c r="AH44" s="210">
        <f>COUNTIF(Tableau15[ven.05],"="&amp;"VRAC")</f>
        <v>0</v>
      </c>
      <c r="AI44" s="232">
        <f t="shared" ref="AI44:AI49" si="7">SUM(AD44:AH44)</f>
        <v>0</v>
      </c>
      <c r="AJ44" s="210">
        <f>COUNTIF(Tableau15[dim.07],"="&amp;"VRAC")</f>
        <v>0</v>
      </c>
      <c r="AK44" s="210">
        <f>COUNTIF(Tableau15[lun.08],"="&amp;"VRAC")</f>
        <v>0</v>
      </c>
      <c r="AL44" s="210">
        <f>COUNTIF(Tableau15[mar.09],"="&amp;"VRAC")</f>
        <v>0</v>
      </c>
      <c r="AM44" s="210">
        <f>COUNTIF(Tableau15[mer.10],"="&amp;"VRAC")</f>
        <v>0</v>
      </c>
      <c r="AN44" s="210">
        <f>COUNTIF(Tableau15[jeu.11],"="&amp;"VRAC")</f>
        <v>0</v>
      </c>
      <c r="AO44" s="210">
        <f>COUNTIF(Tableau15[ven.12],"="&amp;"VRAC")</f>
        <v>0</v>
      </c>
      <c r="AP44" s="232">
        <f t="shared" ref="AP44:AP49" si="8">SUM(AK44:AO44)</f>
        <v>0</v>
      </c>
      <c r="AQ44" s="210">
        <f>COUNTIF(Tableau15[dim.14],"="&amp;"VRAC")</f>
        <v>0</v>
      </c>
      <c r="AR44" s="210">
        <f>COUNTIF(Tableau15[lun.15],"="&amp;"VRAC")</f>
        <v>0</v>
      </c>
      <c r="AS44" s="210">
        <f>COUNTIF(Tableau15[mar.16],"="&amp;"VRAC")</f>
        <v>0</v>
      </c>
      <c r="AT44" s="210">
        <f>COUNTIF(Tableau15[mer.17],"="&amp;"VRAC")</f>
        <v>0</v>
      </c>
      <c r="AU44" s="210">
        <f>COUNTIF(Tableau15[jeu.18],"="&amp;"VRAC")</f>
        <v>0</v>
      </c>
      <c r="AV44" s="210">
        <f>COUNTIF(Tableau15[ven.19],"="&amp;"VRAC")</f>
        <v>0</v>
      </c>
      <c r="AW44" s="232">
        <f t="shared" ref="AW44:AW49" si="9">SUM(AR44:AV44)</f>
        <v>0</v>
      </c>
      <c r="AX44" s="210">
        <f>COUNTIF(Tableau15[dim.21],"="&amp;"VRAC")</f>
        <v>0</v>
      </c>
      <c r="AY44" s="210">
        <f>COUNTIF(Tableau15[lun.22],"="&amp;"VRAC")</f>
        <v>0</v>
      </c>
      <c r="AZ44" s="210">
        <f>COUNTIF(Tableau15[mar.23],"="&amp;"VRAC")</f>
        <v>0</v>
      </c>
      <c r="BA44" s="210">
        <f>COUNTIF(Tableau15[mer.24],"="&amp;"VRAC")</f>
        <v>0</v>
      </c>
      <c r="BB44" s="210">
        <f>COUNTIF(Tableau15[jeu.25],"="&amp;"VRAC")</f>
        <v>0</v>
      </c>
      <c r="BC44" s="210">
        <f>COUNTIF(Tableau15[ven.26],"="&amp;"VRAC")</f>
        <v>0</v>
      </c>
      <c r="BD44" s="232">
        <f t="shared" ref="BD44:BD49" si="10">SUM(AY44:BC44)</f>
        <v>0</v>
      </c>
      <c r="BE44" s="210">
        <f>COUNTIF(Tableau15[dim.28],"="&amp;"VRAC")</f>
        <v>0</v>
      </c>
      <c r="BF44" s="210">
        <f>COUNTIF(Tableau15[lun.29],"="&amp;"VRAC")</f>
        <v>0</v>
      </c>
      <c r="BG44" s="210">
        <f>COUNTIF(Tableau15[mar.30],"="&amp;"VRAC")</f>
        <v>0</v>
      </c>
      <c r="BH44" s="210">
        <f>COUNTIF(Tableau15[mer.31],"="&amp;"VRAC")</f>
        <v>0</v>
      </c>
      <c r="BI44" s="210">
        <f>COUNTIF(Tableau15[jeu.01],"="&amp;"VRAC")</f>
        <v>0</v>
      </c>
      <c r="BJ44" s="210">
        <f>COUNTIF(Tableau15[ven.02],"="&amp;"VRAC")</f>
        <v>0</v>
      </c>
      <c r="BK44" s="232">
        <f t="shared" ref="BK44:BK49" si="11">SUM(BF44:BJ44)</f>
        <v>0</v>
      </c>
      <c r="BL44" s="210">
        <f>COUNTIF(Tableau15[dim.04],"="&amp;"VRAC")</f>
        <v>0</v>
      </c>
      <c r="BM44" s="210">
        <f>COUNTIF(Tableau15[lun.05],"="&amp;"VRAC")</f>
        <v>0</v>
      </c>
      <c r="BN44" s="210">
        <f>COUNTIF(Tableau15[mar.06],"="&amp;"VRAC")</f>
        <v>0</v>
      </c>
      <c r="BO44" s="210">
        <f>COUNTIF(Tableau15[mer.07],"="&amp;"VRAC")</f>
        <v>0</v>
      </c>
      <c r="BP44" s="210">
        <f>COUNTIF(Tableau15[jeu.08],"="&amp;"VRAC")</f>
        <v>0</v>
      </c>
      <c r="BQ44" s="210">
        <f>COUNTIF(Tableau15[ven.09],"="&amp;"VRAC")</f>
        <v>0</v>
      </c>
      <c r="BR44" s="232">
        <f t="shared" ref="BR44:BR49" si="12">SUM(BM44:BQ44)</f>
        <v>0</v>
      </c>
      <c r="BS44" s="210">
        <f>COUNTIF(Tableau15[dim.11],"="&amp;"VRAC")</f>
        <v>0</v>
      </c>
      <c r="BT44" s="210">
        <f>COUNTIF(Tableau15[lun.12],"="&amp;"VRAC")</f>
        <v>0</v>
      </c>
      <c r="BU44" s="210">
        <f>COUNTIF(Tableau15[mar.13],"="&amp;"VRAC")</f>
        <v>0</v>
      </c>
      <c r="BV44" s="210">
        <f>COUNTIF(Tableau15[mer.14],"="&amp;"VRAC")</f>
        <v>0</v>
      </c>
      <c r="BW44" s="210">
        <f>COUNTIF(Tableau15[jeu.15],"="&amp;"VRAC")</f>
        <v>0</v>
      </c>
      <c r="BX44" s="210">
        <f>COUNTIF(Tableau15[ven.16],"="&amp;"VRAC")</f>
        <v>0</v>
      </c>
      <c r="BY44" s="232">
        <f t="shared" ref="BY44:BY49" si="13">SUM(BT44:BX44)</f>
        <v>0</v>
      </c>
      <c r="BZ44" s="210">
        <f>COUNTIF(Tableau15[dim.18],"="&amp;"VRAC")</f>
        <v>0</v>
      </c>
      <c r="CA44" s="210">
        <f>COUNTIF(Tableau15[lun.19],"="&amp;"VRAC")</f>
        <v>0</v>
      </c>
      <c r="CB44" s="210">
        <f>COUNTIF(Tableau15[mar.20],"="&amp;"VRAC")</f>
        <v>0</v>
      </c>
      <c r="CC44" s="210">
        <f>COUNTIF(Tableau15[mer.21],"="&amp;"VRAC")</f>
        <v>0</v>
      </c>
      <c r="CD44" s="210">
        <f>COUNTIF(Tableau15[jeu.22],"="&amp;"VRAC")</f>
        <v>0</v>
      </c>
      <c r="CE44" s="210">
        <f>COUNTIF(Tableau15[ven.23],"="&amp;"VRAC")</f>
        <v>0</v>
      </c>
      <c r="CF44" s="232">
        <f t="shared" ref="CF44:CF49" si="14">SUM(CA44:CE44)</f>
        <v>0</v>
      </c>
      <c r="CG44" s="210">
        <f>COUNTIF(Tableau15[dim.25],"="&amp;"VRAC")</f>
        <v>0</v>
      </c>
      <c r="CH44" s="210">
        <f>COUNTIF(Tableau15[lun.26],"="&amp;"VRAC")</f>
        <v>0</v>
      </c>
      <c r="CI44" s="210">
        <f>COUNTIF(Tableau15[mar.27],"="&amp;"VRAC")</f>
        <v>0</v>
      </c>
      <c r="CJ44" s="210">
        <f>COUNTIF(Tableau15[mer.28],"="&amp;"VRAC")</f>
        <v>0</v>
      </c>
      <c r="CK44" s="210">
        <f>COUNTIF(Tableau15[jeu.29],"="&amp;"VRAC")</f>
        <v>0</v>
      </c>
      <c r="CL44" s="210">
        <f>COUNTIF(Tableau15[ven.30],"="&amp;"VRAC")</f>
        <v>0</v>
      </c>
      <c r="CM44" s="232">
        <f t="shared" ref="CM44:CM49" si="15">SUM(CH44:CL44)</f>
        <v>0</v>
      </c>
      <c r="CN44" s="210">
        <f>COUNTIF(Tableau15[dim.01],"="&amp;"VRAC")</f>
        <v>0</v>
      </c>
      <c r="CO44" s="210">
        <f>COUNTIF(Tableau15[lun.02],"="&amp;"VRAC")</f>
        <v>0</v>
      </c>
      <c r="CP44" s="210">
        <f>COUNTIF(Tableau15[mar.03],"="&amp;"VRAC")</f>
        <v>0</v>
      </c>
      <c r="CQ44" s="210">
        <f>COUNTIF(Tableau15[mer.04],"="&amp;"VRAC")</f>
        <v>0</v>
      </c>
      <c r="CR44" s="210">
        <f>COUNTIF(Tableau15[jeu.05],"="&amp;"VRAC")</f>
        <v>0</v>
      </c>
      <c r="CS44" s="210">
        <f>COUNTIF(Tableau15[ven.06],"="&amp;"VRAC")</f>
        <v>0</v>
      </c>
      <c r="CT44" s="232">
        <f t="shared" ref="CT44:CT49" si="16">SUM(CO44:CS44)</f>
        <v>0</v>
      </c>
      <c r="CU44" s="210">
        <f>COUNTIF(Tableau15[dim.08],"="&amp;"VRAC")</f>
        <v>0</v>
      </c>
      <c r="CV44" s="210">
        <f>COUNTIF(Tableau15[lun.09],"="&amp;"VRAC")</f>
        <v>0</v>
      </c>
      <c r="CW44" s="210">
        <f>COUNTIF(Tableau15[mar.10],"="&amp;"VRAC")</f>
        <v>0</v>
      </c>
      <c r="CX44" s="210">
        <f>COUNTIF(Tableau15[mer.11],"="&amp;"VRAC")</f>
        <v>0</v>
      </c>
      <c r="CY44" s="210">
        <f>COUNTIF(Tableau15[jeu.12],"="&amp;"VRAC")</f>
        <v>0</v>
      </c>
      <c r="CZ44" s="210">
        <f>COUNTIF(Tableau15[ven.13],"="&amp;"VRAC")</f>
        <v>0</v>
      </c>
      <c r="DA44" s="232">
        <f t="shared" ref="DA44:DA49" si="17">SUM(CV44:CZ44)</f>
        <v>0</v>
      </c>
      <c r="DB44" s="210">
        <f>COUNTIF(Tableau15[dim.15],"="&amp;"VRAC")</f>
        <v>0</v>
      </c>
      <c r="DC44" s="210">
        <f>COUNTIF(Tableau15[lun.16],"="&amp;"VRAC")</f>
        <v>0</v>
      </c>
      <c r="DD44" s="210">
        <f>COUNTIF(Tableau15[mar.17],"="&amp;"VRAC")</f>
        <v>0</v>
      </c>
      <c r="DE44" s="210">
        <f>COUNTIF(Tableau15[mer.18],"="&amp;"VRAC")</f>
        <v>0</v>
      </c>
      <c r="DF44" s="210">
        <f>COUNTIF(Tableau15[jeu.19],"="&amp;"VRAC")</f>
        <v>0</v>
      </c>
      <c r="DG44" s="210">
        <f>COUNTIF(Tableau15[ven.20],"="&amp;"VRAC")</f>
        <v>0</v>
      </c>
      <c r="DH44" s="232">
        <f t="shared" ref="DH44:DH49" si="18">SUM(DC44:DG44)</f>
        <v>0</v>
      </c>
      <c r="DI44" s="210">
        <f>COUNTIF(Tableau15[dim.22],"="&amp;"VRAC")</f>
        <v>0</v>
      </c>
      <c r="DJ44" s="210">
        <f>COUNTIF(Tableau15[lun.23],"="&amp;"VRAC")</f>
        <v>0</v>
      </c>
      <c r="DK44" s="210">
        <f>COUNTIF(Tableau15[mar.24],"="&amp;"VRAC")</f>
        <v>0</v>
      </c>
      <c r="DL44" s="210">
        <f>COUNTIF(Tableau15[mer.25],"="&amp;"VRAC")</f>
        <v>0</v>
      </c>
      <c r="DM44" s="210">
        <f>COUNTIF(Tableau15[jeu.26],"="&amp;"VRAC")</f>
        <v>0</v>
      </c>
      <c r="DN44" s="210">
        <f>COUNTIF(Tableau15[ven.27],"="&amp;"VRAC")</f>
        <v>0</v>
      </c>
      <c r="DO44" s="232">
        <f t="shared" ref="DO44:DO49" si="19">SUM(DJ44:DN44)</f>
        <v>0</v>
      </c>
      <c r="DP44" s="210">
        <f>COUNTIF(Tableau15[dim.29],"="&amp;"VRAC")</f>
        <v>0</v>
      </c>
      <c r="DQ44" s="210">
        <f>COUNTIF(Tableau15[lun.30],"="&amp;"VRAC")</f>
        <v>0</v>
      </c>
      <c r="DR44" s="210">
        <f>COUNTIF(Tableau15[mar.01],"="&amp;"VRAC")</f>
        <v>0</v>
      </c>
      <c r="DS44" s="210">
        <f>COUNTIF(Tableau15[mer.02],"="&amp;"VRAC")</f>
        <v>0</v>
      </c>
      <c r="DT44" s="210">
        <f>COUNTIF(Tableau15[jeu.03],"="&amp;"VRAC")</f>
        <v>0</v>
      </c>
      <c r="DU44" s="210">
        <f>COUNTIF(Tableau15[ven.04],"="&amp;"VRAC")</f>
        <v>0</v>
      </c>
      <c r="DV44" s="232">
        <f t="shared" ref="DV44:DV49" si="20">SUM(DQ44:DU44)</f>
        <v>0</v>
      </c>
      <c r="DW44" s="210">
        <f>COUNTIF(Tableau15[dim.06],"="&amp;"VRAC")</f>
        <v>0</v>
      </c>
      <c r="DX44" s="210">
        <f>COUNTIF(Tableau15[lun.07],"="&amp;"VRAC")</f>
        <v>0</v>
      </c>
      <c r="DY44" s="210">
        <f>COUNTIF(Tableau15[mar.08],"="&amp;"VRAC")</f>
        <v>0</v>
      </c>
      <c r="DZ44" s="210">
        <f>COUNTIF(Tableau15[mer.09],"="&amp;"VRAC")</f>
        <v>0</v>
      </c>
      <c r="EA44" s="210">
        <f>COUNTIF(Tableau15[jeu.10],"="&amp;"VRAC")</f>
        <v>0</v>
      </c>
      <c r="EB44" s="210">
        <f>COUNTIF(Tableau15[ven.11],"="&amp;"VRAC")</f>
        <v>0</v>
      </c>
      <c r="EC44" s="232">
        <f t="shared" ref="EC44:EC49" si="21">SUM(DX44:EB44)</f>
        <v>0</v>
      </c>
      <c r="ED44" s="210">
        <f>COUNTIF(Tableau15[dim.13],"="&amp;"VRAC")</f>
        <v>0</v>
      </c>
      <c r="EE44" s="210">
        <f>COUNTIF(Tableau15[lun.14],"="&amp;"VRAC")</f>
        <v>0</v>
      </c>
      <c r="EF44" s="210">
        <f>COUNTIF(Tableau15[mar.15],"="&amp;"VRAC")</f>
        <v>0</v>
      </c>
      <c r="EG44" s="210">
        <f>COUNTIF(Tableau15[mer.16],"="&amp;"VRAC")</f>
        <v>0</v>
      </c>
      <c r="EH44" s="210">
        <f>COUNTIF(Tableau15[jeu.17],"="&amp;"VRAC")</f>
        <v>0</v>
      </c>
      <c r="EI44" s="210">
        <f>COUNTIF(Tableau15[ven.18],"="&amp;"VRAC")</f>
        <v>0</v>
      </c>
      <c r="EJ44" s="232">
        <f t="shared" ref="EJ44:EJ49" si="22">SUM(EE44:EI44)</f>
        <v>0</v>
      </c>
      <c r="EK44" s="210">
        <f>COUNTIF(Tableau15[dim.20],"="&amp;"VRAC")</f>
        <v>0</v>
      </c>
      <c r="EL44" s="210">
        <f>COUNTIF(Tableau15[lun.21],"="&amp;"VRAC")</f>
        <v>0</v>
      </c>
      <c r="EM44" s="210">
        <f>COUNTIF(Tableau15[mar.22],"="&amp;"VRAC")</f>
        <v>0</v>
      </c>
      <c r="EN44" s="210">
        <f>COUNTIF(Tableau15[mer.23],"="&amp;"VRAC")</f>
        <v>0</v>
      </c>
      <c r="EO44" s="210">
        <f>COUNTIF(Tableau15[jeu.24],"="&amp;"VRAC")</f>
        <v>0</v>
      </c>
      <c r="EP44" s="210">
        <f>COUNTIF(Tableau15[ven.25],"="&amp;"VRAC")</f>
        <v>0</v>
      </c>
      <c r="EQ44" s="232">
        <f t="shared" ref="EQ44:EQ49" si="23">SUM(EL44:EP44)</f>
        <v>0</v>
      </c>
      <c r="ER44" s="210">
        <f>COUNTIF(Tableau15[dim.27],"="&amp;"VRAC")</f>
        <v>0</v>
      </c>
      <c r="ES44" s="210">
        <f>COUNTIF(Tableau15[lun.28],"="&amp;"VRAC")</f>
        <v>0</v>
      </c>
      <c r="ET44" s="210">
        <f>COUNTIF(Tableau15[mar.29],"="&amp;"VRAC")</f>
        <v>0</v>
      </c>
      <c r="EU44" s="210">
        <f>COUNTIF(Tableau15[mer.30],"="&amp;"VRAC")</f>
        <v>0</v>
      </c>
      <c r="EV44" s="210">
        <f>COUNTIF(Tableau15[jeu.31],"="&amp;"VRAC")</f>
        <v>0</v>
      </c>
      <c r="EW44" s="210">
        <f>COUNTIF(Tableau15[ven.01],"="&amp;"VRAC")</f>
        <v>0</v>
      </c>
      <c r="EX44" s="232">
        <f t="shared" ref="EX44:EX49" si="24">SUM(ES44:EW44)</f>
        <v>0</v>
      </c>
      <c r="EY44" s="210">
        <f>COUNTIF(Tableau15[dim.03],"="&amp;"VRAC")</f>
        <v>0</v>
      </c>
      <c r="EZ44" s="210">
        <f>COUNTIF(Tableau15[lun.04],"="&amp;"VRAC")</f>
        <v>0</v>
      </c>
      <c r="FA44" s="210">
        <f>COUNTIF(Tableau15[mar.05],"="&amp;"VRAC")</f>
        <v>0</v>
      </c>
      <c r="FB44" s="210">
        <f>COUNTIF(Tableau15[mer.06],"="&amp;"VRAC")</f>
        <v>0</v>
      </c>
      <c r="FC44" s="210">
        <f>COUNTIF(Tableau15[jeu.07],"="&amp;"VRAC")</f>
        <v>0</v>
      </c>
      <c r="FD44" s="210">
        <f>COUNTIF(Tableau15[ven.08],"="&amp;"VRAC")</f>
        <v>0</v>
      </c>
      <c r="FE44" s="232">
        <f t="shared" ref="FE44:FE49" si="25">SUM(EZ44:FD44)</f>
        <v>0</v>
      </c>
      <c r="FF44" s="210">
        <f>COUNTIF(Tableau15[dim.10],"="&amp;"VRAC")</f>
        <v>0</v>
      </c>
      <c r="FG44" s="210">
        <f>COUNTIF(Tableau15[lun.11],"="&amp;"VRAC")</f>
        <v>0</v>
      </c>
      <c r="FH44" s="210">
        <f>COUNTIF(Tableau15[mar.12],"="&amp;"VRAC")</f>
        <v>0</v>
      </c>
      <c r="FI44" s="210">
        <f>COUNTIF(Tableau15[mer.13],"="&amp;"VRAC")</f>
        <v>0</v>
      </c>
      <c r="FJ44" s="210">
        <f>COUNTIF(Tableau15[jeu.14],"="&amp;"VRAC")</f>
        <v>0</v>
      </c>
      <c r="FK44" s="210">
        <f>COUNTIF(Tableau15[ven.15],"="&amp;"VRAC")</f>
        <v>0</v>
      </c>
      <c r="FL44" s="232">
        <f t="shared" ref="FL44:FL49" si="26">SUM(FG44:FK44)</f>
        <v>0</v>
      </c>
      <c r="FM44" s="210">
        <f>COUNTIF(Tableau15[dim.17],"="&amp;"VRAC")</f>
        <v>0</v>
      </c>
      <c r="FN44" s="210">
        <f>COUNTIF(Tableau15[lun.18],"="&amp;"VRAC")</f>
        <v>0</v>
      </c>
      <c r="FO44" s="210">
        <f>COUNTIF(Tableau15[mar.19],"="&amp;"VRAC")</f>
        <v>0</v>
      </c>
      <c r="FP44" s="210">
        <f>COUNTIF(Tableau15[mer.20],"="&amp;"VRAC")</f>
        <v>0</v>
      </c>
      <c r="FQ44" s="210">
        <f>COUNTIF(Tableau15[jeu.21],"="&amp;"VRAC")</f>
        <v>0</v>
      </c>
      <c r="FR44" s="210">
        <f>COUNTIF(Tableau15[ven.22],"="&amp;"VRAC")</f>
        <v>0</v>
      </c>
      <c r="FS44" s="232">
        <f t="shared" ref="FS44:FS49" si="27">SUM(FN44:FR44)</f>
        <v>0</v>
      </c>
      <c r="FT44" s="210">
        <f>COUNTIF(Tableau15[dim.24],"="&amp;"VRAC")</f>
        <v>0</v>
      </c>
      <c r="FU44" s="210">
        <f>COUNTIF(Tableau15[lun.25],"="&amp;"VRAC")</f>
        <v>0</v>
      </c>
      <c r="FV44" s="210">
        <f>COUNTIF(Tableau15[mar.26],"="&amp;"VRAC")</f>
        <v>0</v>
      </c>
      <c r="FW44" s="210">
        <f>COUNTIF(Tableau15[mer.27],"="&amp;"VRAC")</f>
        <v>0</v>
      </c>
      <c r="FX44" s="210">
        <f>COUNTIF(Tableau15[jeu.28],"="&amp;"VRAC")</f>
        <v>0</v>
      </c>
      <c r="FY44" s="210">
        <f>COUNTIF(Tableau15[ven.29],"="&amp;"VRAC")</f>
        <v>0</v>
      </c>
      <c r="FZ44" s="232">
        <f t="shared" ref="FZ44:FZ49" si="28">SUM(FU44:FY44)</f>
        <v>0</v>
      </c>
      <c r="GA44" s="210">
        <f>COUNTIF(Tableau15[dim.012],"="&amp;"VRAC")</f>
        <v>0</v>
      </c>
      <c r="GB44" s="210">
        <f>COUNTIF(Tableau15[lun.023],"="&amp;"VRAC")</f>
        <v>0</v>
      </c>
      <c r="GC44" s="210">
        <f>COUNTIF(Tableau15[mar.034],"="&amp;"VRAC")</f>
        <v>0</v>
      </c>
      <c r="GD44" s="210">
        <f>COUNTIF(Tableau15[mer.045],"="&amp;"VRAC")</f>
        <v>0</v>
      </c>
      <c r="GE44" s="210">
        <f>COUNTIF(Tableau15[jeu.056],"="&amp;"VRAC")</f>
        <v>0</v>
      </c>
      <c r="GF44" s="210">
        <f>COUNTIF(Tableau15[ven.067],"="&amp;"VRAC")</f>
        <v>0</v>
      </c>
      <c r="GG44" s="232">
        <f t="shared" ref="GG44:GG49" si="29">SUM(GB44:GF44)</f>
        <v>0</v>
      </c>
      <c r="GH44" s="210">
        <f>COUNTIF(Tableau15[dim.089],"="&amp;"VRAC")</f>
        <v>0</v>
      </c>
      <c r="GI44" s="210">
        <f>COUNTIF(Tableau15[lun.0910],"="&amp;"VRAC")</f>
        <v>0</v>
      </c>
      <c r="GJ44" s="210">
        <f>COUNTIF(Tableau15[mar.1011],"="&amp;"VRAC")</f>
        <v>0</v>
      </c>
      <c r="GK44" s="210">
        <f>COUNTIF(Tableau15[mer.1112],"="&amp;"VRAC")</f>
        <v>0</v>
      </c>
      <c r="GL44" s="210">
        <f>COUNTIF(Tableau15[jeu.1213],"="&amp;"VRAC")</f>
        <v>0</v>
      </c>
      <c r="GM44" s="210">
        <f>COUNTIF(Tableau15[ven.1314],"="&amp;"VRAC")</f>
        <v>0</v>
      </c>
      <c r="GN44" s="232">
        <f t="shared" ref="GN44:GN49" si="30">SUM(GI44:GM44)</f>
        <v>0</v>
      </c>
      <c r="GO44" s="210">
        <f>COUNTIF(Tableau15[dim.1516],"="&amp;"VRAC")</f>
        <v>0</v>
      </c>
      <c r="GP44" s="210">
        <f>COUNTIF(Tableau15[lun.1617],"="&amp;"VRAC")</f>
        <v>0</v>
      </c>
      <c r="GQ44" s="210">
        <f>COUNTIF(Tableau15[mar.1718],"="&amp;"VRAC")</f>
        <v>0</v>
      </c>
      <c r="GR44" s="210">
        <f>COUNTIF(Tableau15[mer.1819],"="&amp;"VRAC")</f>
        <v>0</v>
      </c>
      <c r="GS44" s="210">
        <f>COUNTIF(Tableau15[jeu.1920],"="&amp;"VRAC")</f>
        <v>0</v>
      </c>
      <c r="GT44" s="210">
        <f>COUNTIF(Tableau15[ven.2021],"="&amp;"VRAC")</f>
        <v>0</v>
      </c>
      <c r="GU44" s="232">
        <f t="shared" ref="GU44:GU49" si="31">SUM(GP44:GT44)</f>
        <v>0</v>
      </c>
      <c r="GV44" s="210">
        <f>COUNTIF(Tableau15[dim.2223],"="&amp;"VRAC")</f>
        <v>0</v>
      </c>
      <c r="GW44" s="210">
        <f>COUNTIF(Tableau15[lun.2324],"="&amp;"VRAC")</f>
        <v>0</v>
      </c>
      <c r="GX44" s="210">
        <f>COUNTIF(Tableau15[mar.2425],"="&amp;"VRAC")</f>
        <v>0</v>
      </c>
      <c r="GY44" s="210">
        <f>COUNTIF(Tableau15[mer.2526],"="&amp;"VRAC")</f>
        <v>0</v>
      </c>
      <c r="GZ44" s="210">
        <f>COUNTIF(Tableau15[jeu.2627],"="&amp;"VRAC")</f>
        <v>0</v>
      </c>
      <c r="HA44" s="210">
        <f>COUNTIF(Tableau15[ven.2728],"="&amp;"VRAC")</f>
        <v>0</v>
      </c>
      <c r="HB44" s="244">
        <f t="shared" ref="HB44:HB49" si="32">SUM(GW44:HA44)</f>
        <v>0</v>
      </c>
      <c r="HD44" s="210">
        <f>COUNTIF(Tableau15[lun.08],"="&amp;"VRAC")</f>
        <v>0</v>
      </c>
      <c r="HE44" s="210">
        <f>COUNTIF(Tableau15[mar.09],"="&amp;"VRAC")</f>
        <v>0</v>
      </c>
      <c r="HF44" s="210">
        <f>COUNTIF(Tableau15[mer.10],"="&amp;"VRAC")</f>
        <v>0</v>
      </c>
      <c r="HG44" s="210">
        <f>COUNTIF(Tableau15[jeu.11],"="&amp;"VRAC")</f>
        <v>0</v>
      </c>
      <c r="HH44" s="210">
        <f>COUNTIF(Tableau15[ven.12],"="&amp;"VRAC")</f>
        <v>0</v>
      </c>
      <c r="HI44" s="232">
        <f t="shared" ref="HI44:HI49" si="33">SUM(HD44:HH44)</f>
        <v>0</v>
      </c>
      <c r="HJ44" s="210">
        <f>COUNTIF(Tableau15[dim.14],"="&amp;"VRAC")</f>
        <v>0</v>
      </c>
      <c r="HK44" s="210">
        <f>COUNTIF(Tableau15[lun.15],"="&amp;"VRAC")</f>
        <v>0</v>
      </c>
      <c r="HL44" s="210">
        <f>COUNTIF(Tableau15[mar.16],"="&amp;"VRAC")</f>
        <v>0</v>
      </c>
      <c r="HM44" s="210">
        <f>COUNTIF(Tableau15[mer.17],"="&amp;"VRAC")</f>
        <v>0</v>
      </c>
      <c r="HN44" s="210">
        <f>COUNTIF(Tableau15[jeu.18],"="&amp;"VRAC")</f>
        <v>0</v>
      </c>
      <c r="HO44" s="210">
        <f>COUNTIF(Tableau15[ven.19],"="&amp;"VRAC")</f>
        <v>0</v>
      </c>
      <c r="HP44" s="232">
        <f t="shared" ref="HP44:HP49" si="34">SUM(HK44:HO44)</f>
        <v>0</v>
      </c>
      <c r="HQ44" s="210">
        <f>COUNTIF(Tableau15[dim.21],"="&amp;"VRAC")</f>
        <v>0</v>
      </c>
      <c r="HR44" s="210">
        <f>COUNTIF(Tableau15[lun.22],"="&amp;"VRAC")</f>
        <v>0</v>
      </c>
      <c r="HS44" s="210">
        <f>COUNTIF(Tableau15[mar.23],"="&amp;"VRAC")</f>
        <v>0</v>
      </c>
      <c r="HT44" s="210">
        <f>COUNTIF(Tableau15[mer.24],"="&amp;"VRAC")</f>
        <v>0</v>
      </c>
      <c r="HU44" s="210">
        <f>COUNTIF(Tableau15[jeu.25],"="&amp;"VRAC")</f>
        <v>0</v>
      </c>
      <c r="HV44" s="210">
        <f>COUNTIF(Tableau15[ven.26],"="&amp;"VRAC")</f>
        <v>0</v>
      </c>
      <c r="HW44" s="232">
        <f t="shared" ref="HW44:HW49" si="35">SUM(HR44:HV44)</f>
        <v>0</v>
      </c>
      <c r="HX44" s="210">
        <f>COUNTIF(Tableau15[dim.28],"="&amp;"VRAC")</f>
        <v>0</v>
      </c>
      <c r="HY44" s="210">
        <f>COUNTIF(Tableau15[lun.29],"="&amp;"VRAC")</f>
        <v>0</v>
      </c>
      <c r="HZ44" s="210">
        <f>COUNTIF(Tableau15[mar.30],"="&amp;"VRAC")</f>
        <v>0</v>
      </c>
      <c r="IA44" s="210">
        <f>COUNTIF(Tableau15[mer.31],"="&amp;"VRAC")</f>
        <v>0</v>
      </c>
      <c r="IB44" s="210">
        <f>COUNTIF(Tableau15[jeu.01],"="&amp;"VRAC")</f>
        <v>0</v>
      </c>
      <c r="IC44" s="210">
        <f>COUNTIF(Tableau15[ven.02],"="&amp;"VRAC")</f>
        <v>0</v>
      </c>
      <c r="ID44" s="232">
        <f t="shared" ref="ID44:ID49" si="36">SUM(HY44:IC44)</f>
        <v>0</v>
      </c>
      <c r="IE44" s="210">
        <f>COUNTIF(Tableau15[dim.04],"="&amp;"VRAC")</f>
        <v>0</v>
      </c>
      <c r="IF44" s="210">
        <f>COUNTIF(Tableau15[lun.05],"="&amp;"VRAC")</f>
        <v>0</v>
      </c>
      <c r="IG44" s="210">
        <f>COUNTIF(Tableau15[mar.06],"="&amp;"VRAC")</f>
        <v>0</v>
      </c>
      <c r="IH44" s="210">
        <f>COUNTIF(Tableau15[mer.07],"="&amp;"VRAC")</f>
        <v>0</v>
      </c>
      <c r="II44" s="210">
        <f>COUNTIF(Tableau15[jeu.08],"="&amp;"VRAC")</f>
        <v>0</v>
      </c>
      <c r="IJ44" s="210">
        <f>COUNTIF(Tableau15[ven.09],"="&amp;"VRAC")</f>
        <v>0</v>
      </c>
      <c r="IK44" s="232">
        <f t="shared" ref="IK44:IK49" si="37">SUM(IF44:IJ44)</f>
        <v>0</v>
      </c>
      <c r="IL44" s="210">
        <f>COUNTIF(Tableau15[dim.11],"="&amp;"VRAC")</f>
        <v>0</v>
      </c>
      <c r="IM44" s="210">
        <f>COUNTIF(Tableau15[lun.12],"="&amp;"VRAC")</f>
        <v>0</v>
      </c>
      <c r="IN44" s="210">
        <f>COUNTIF(Tableau15[mar.13],"="&amp;"VRAC")</f>
        <v>0</v>
      </c>
      <c r="IO44" s="210">
        <f>COUNTIF(Tableau15[mer.14],"="&amp;"VRAC")</f>
        <v>0</v>
      </c>
      <c r="IP44" s="210">
        <f>COUNTIF(Tableau15[jeu.15],"="&amp;"VRAC")</f>
        <v>0</v>
      </c>
      <c r="IQ44" s="210">
        <f>COUNTIF(Tableau15[ven.16],"="&amp;"VRAC")</f>
        <v>0</v>
      </c>
      <c r="IR44" s="232">
        <f t="shared" ref="IR44:IR49" si="38">SUM(IM44:IQ44)</f>
        <v>0</v>
      </c>
      <c r="IS44" s="210">
        <f>COUNTIF(Tableau15[dim.18],"="&amp;"VRAC")</f>
        <v>0</v>
      </c>
      <c r="IT44" s="210">
        <f>COUNTIF(Tableau15[lun.19],"="&amp;"VRAC")</f>
        <v>0</v>
      </c>
      <c r="IU44" s="210">
        <f>COUNTIF(Tableau15[mar.20],"="&amp;"VRAC")</f>
        <v>0</v>
      </c>
      <c r="IV44" s="210">
        <f>COUNTIF(Tableau15[mer.21],"="&amp;"VRAC")</f>
        <v>0</v>
      </c>
      <c r="IW44" s="210">
        <f>COUNTIF(Tableau15[jeu.22],"="&amp;"VRAC")</f>
        <v>0</v>
      </c>
      <c r="IX44" s="210">
        <f>COUNTIF(Tableau15[ven.23],"="&amp;"VRAC")</f>
        <v>0</v>
      </c>
      <c r="IY44" s="232">
        <f t="shared" ref="IY44:IY49" si="39">SUM(IT44:IX44)</f>
        <v>0</v>
      </c>
      <c r="IZ44" s="210">
        <f>COUNTIF(Tableau15[dim.25],"="&amp;"VRAC")</f>
        <v>0</v>
      </c>
      <c r="JA44" s="210">
        <f>COUNTIF(Tableau15[lun.26],"="&amp;"VRAC")</f>
        <v>0</v>
      </c>
      <c r="JB44" s="210">
        <f>COUNTIF(Tableau15[mar.27],"="&amp;"VRAC")</f>
        <v>0</v>
      </c>
      <c r="JC44" s="210">
        <f>COUNTIF(Tableau15[mer.28],"="&amp;"VRAC")</f>
        <v>0</v>
      </c>
      <c r="JD44" s="210">
        <f>COUNTIF(Tableau15[jeu.29],"="&amp;"VRAC")</f>
        <v>0</v>
      </c>
      <c r="JE44" s="210">
        <f>COUNTIF(Tableau15[ven.30],"="&amp;"VRAC")</f>
        <v>0</v>
      </c>
      <c r="JF44" s="232">
        <f t="shared" ref="JF44:JF49" si="40">SUM(JA44:JE44)</f>
        <v>0</v>
      </c>
      <c r="JG44" s="210">
        <f>COUNTIF(Tableau15[dim.01],"="&amp;"VRAC")</f>
        <v>0</v>
      </c>
      <c r="JH44" s="210">
        <f>COUNTIF(Tableau15[lun.02],"="&amp;"VRAC")</f>
        <v>0</v>
      </c>
      <c r="JI44" s="210">
        <f>COUNTIF(Tableau15[mar.03],"="&amp;"VRAC")</f>
        <v>0</v>
      </c>
      <c r="JJ44" s="210">
        <f>COUNTIF(Tableau15[mer.04],"="&amp;"VRAC")</f>
        <v>0</v>
      </c>
      <c r="JK44" s="210">
        <f>COUNTIF(Tableau15[jeu.05],"="&amp;"VRAC")</f>
        <v>0</v>
      </c>
      <c r="JL44" s="210">
        <f>COUNTIF(Tableau15[ven.06],"="&amp;"VRAC")</f>
        <v>0</v>
      </c>
      <c r="JM44" s="232">
        <f t="shared" ref="JM44:JM49" si="41">SUM(JH44:JL44)</f>
        <v>0</v>
      </c>
      <c r="JN44" s="210">
        <f>COUNTIF(Tableau15[dim.08],"="&amp;"VRAC")</f>
        <v>0</v>
      </c>
      <c r="JO44" s="210">
        <f>COUNTIF(Tableau15[lun.09],"="&amp;"VRAC")</f>
        <v>0</v>
      </c>
      <c r="JP44" s="210">
        <f>COUNTIF(Tableau15[mar.10],"="&amp;"VRAC")</f>
        <v>0</v>
      </c>
      <c r="JQ44" s="210">
        <f>COUNTIF(Tableau15[mer.11],"="&amp;"VRAC")</f>
        <v>0</v>
      </c>
      <c r="JR44" s="210">
        <f>COUNTIF(Tableau15[jeu.12],"="&amp;"VRAC")</f>
        <v>0</v>
      </c>
      <c r="JS44" s="210">
        <f>COUNTIF(Tableau15[ven.13],"="&amp;"VRAC")</f>
        <v>0</v>
      </c>
      <c r="JT44" s="232">
        <f t="shared" ref="JT44:JT49" si="42">SUM(JO44:JS44)</f>
        <v>0</v>
      </c>
      <c r="JU44" s="210">
        <f>COUNTIF(Tableau15[dim.15],"="&amp;"VRAC")</f>
        <v>0</v>
      </c>
      <c r="JV44" s="210">
        <f>COUNTIF(Tableau15[lun.16],"="&amp;"VRAC")</f>
        <v>0</v>
      </c>
      <c r="JW44" s="210">
        <f>COUNTIF(Tableau15[mar.17],"="&amp;"VRAC")</f>
        <v>0</v>
      </c>
      <c r="JX44" s="210">
        <f>COUNTIF(Tableau15[mer.18],"="&amp;"VRAC")</f>
        <v>0</v>
      </c>
      <c r="JY44" s="210">
        <f>COUNTIF(Tableau15[jeu.19],"="&amp;"VRAC")</f>
        <v>0</v>
      </c>
      <c r="JZ44" s="210">
        <f>COUNTIF(Tableau15[ven.20],"="&amp;"VRAC")</f>
        <v>0</v>
      </c>
      <c r="KA44" s="232">
        <f t="shared" ref="KA44:KA49" si="43">SUM(JV44:JZ44)</f>
        <v>0</v>
      </c>
      <c r="KB44" s="210">
        <f>COUNTIF(Tableau15[dim.22],"="&amp;"VRAC")</f>
        <v>0</v>
      </c>
      <c r="KC44" s="210">
        <f>COUNTIF(Tableau15[lun.23],"="&amp;"VRAC")</f>
        <v>0</v>
      </c>
      <c r="KD44" s="210">
        <f>COUNTIF(Tableau15[mar.24],"="&amp;"VRAC")</f>
        <v>0</v>
      </c>
      <c r="KE44" s="210">
        <f>COUNTIF(Tableau15[mer.25],"="&amp;"VRAC")</f>
        <v>0</v>
      </c>
      <c r="KF44" s="210">
        <f>COUNTIF(Tableau15[jeu.26],"="&amp;"VRAC")</f>
        <v>0</v>
      </c>
      <c r="KG44" s="210">
        <f>COUNTIF(Tableau15[ven.27],"="&amp;"VRAC")</f>
        <v>0</v>
      </c>
      <c r="KH44" s="232">
        <f t="shared" ref="KH44:KH49" si="44">SUM(KC44:KG44)</f>
        <v>0</v>
      </c>
      <c r="KI44" s="210">
        <f>COUNTIF(Tableau15[dim.29],"="&amp;"VRAC")</f>
        <v>0</v>
      </c>
      <c r="KJ44" s="210">
        <f>COUNTIF(Tableau15[lun.30],"="&amp;"VRAC")</f>
        <v>0</v>
      </c>
      <c r="KK44" s="210">
        <f>COUNTIF(Tableau15[mar.01],"="&amp;"VRAC")</f>
        <v>0</v>
      </c>
      <c r="KL44" s="210">
        <f>COUNTIF(Tableau15[mer.02],"="&amp;"VRAC")</f>
        <v>0</v>
      </c>
      <c r="KM44" s="210">
        <f>COUNTIF(Tableau15[jeu.03],"="&amp;"VRAC")</f>
        <v>0</v>
      </c>
      <c r="KN44" s="210">
        <f>COUNTIF(Tableau15[ven.04],"="&amp;"VRAC")</f>
        <v>0</v>
      </c>
      <c r="KO44" s="232">
        <f t="shared" ref="KO44:KO49" si="45">SUM(KJ44:KN44)</f>
        <v>0</v>
      </c>
      <c r="KP44" s="210">
        <f>COUNTIF(Tableau15[dim.06],"="&amp;"VRAC")</f>
        <v>0</v>
      </c>
      <c r="KQ44" s="210">
        <f>COUNTIF(Tableau15[lun.07],"="&amp;"VRAC")</f>
        <v>0</v>
      </c>
      <c r="KR44" s="210">
        <f>COUNTIF(Tableau15[mar.08],"="&amp;"VRAC")</f>
        <v>0</v>
      </c>
      <c r="KS44" s="210">
        <f>COUNTIF(Tableau15[mer.09],"="&amp;"VRAC")</f>
        <v>0</v>
      </c>
      <c r="KT44" s="210">
        <f>COUNTIF(Tableau15[jeu.10],"="&amp;"VRAC")</f>
        <v>0</v>
      </c>
      <c r="KU44" s="210">
        <f>COUNTIF(Tableau15[ven.11],"="&amp;"VRAC")</f>
        <v>0</v>
      </c>
      <c r="KV44" s="232">
        <f t="shared" ref="KV44:KV49" si="46">SUM(KQ44:KU44)</f>
        <v>0</v>
      </c>
      <c r="KW44" s="210">
        <f>COUNTIF(Tableau15[dim.13],"="&amp;"VRAC")</f>
        <v>0</v>
      </c>
      <c r="KX44" s="210">
        <f>COUNTIF(Tableau15[lun.14],"="&amp;"VRAC")</f>
        <v>0</v>
      </c>
      <c r="KY44" s="210">
        <f>COUNTIF(Tableau15[mar.15],"="&amp;"VRAC")</f>
        <v>0</v>
      </c>
      <c r="KZ44" s="210">
        <f>COUNTIF(Tableau15[mer.16],"="&amp;"VRAC")</f>
        <v>0</v>
      </c>
      <c r="LA44" s="210">
        <f>COUNTIF(Tableau15[jeu.17],"="&amp;"VRAC")</f>
        <v>0</v>
      </c>
      <c r="LB44" s="210">
        <f>COUNTIF(Tableau15[ven.18],"="&amp;"VRAC")</f>
        <v>0</v>
      </c>
      <c r="LC44" s="232">
        <f t="shared" ref="LC44:LC49" si="47">SUM(KX44:LB44)</f>
        <v>0</v>
      </c>
      <c r="LD44" s="210">
        <f>COUNTIF(Tableau15[dim.20],"="&amp;"VRAC")</f>
        <v>0</v>
      </c>
      <c r="LE44" s="210">
        <f>COUNTIF(Tableau15[lun.21],"="&amp;"VRAC")</f>
        <v>0</v>
      </c>
      <c r="LF44" s="210">
        <f>COUNTIF(Tableau15[mar.22],"="&amp;"VRAC")</f>
        <v>0</v>
      </c>
      <c r="LG44" s="210">
        <f>COUNTIF(Tableau15[mer.23],"="&amp;"VRAC")</f>
        <v>0</v>
      </c>
      <c r="LH44" s="210">
        <f>COUNTIF(Tableau15[jeu.24],"="&amp;"VRAC")</f>
        <v>0</v>
      </c>
      <c r="LI44" s="210">
        <f>COUNTIF(Tableau15[ven.25],"="&amp;"VRAC")</f>
        <v>0</v>
      </c>
      <c r="LJ44" s="232">
        <f t="shared" ref="LJ44:LJ49" si="48">SUM(LE44:LI44)</f>
        <v>0</v>
      </c>
      <c r="LK44" s="210">
        <f>COUNTIF(Tableau15[dim.27],"="&amp;"VRAC")</f>
        <v>0</v>
      </c>
      <c r="LL44" s="210">
        <f>COUNTIF(Tableau15[lun.28],"="&amp;"VRAC")</f>
        <v>0</v>
      </c>
      <c r="LM44" s="210">
        <f>COUNTIF(Tableau15[mar.29],"="&amp;"VRAC")</f>
        <v>0</v>
      </c>
      <c r="LN44" s="210">
        <f>COUNTIF(Tableau15[mer.30],"="&amp;"VRAC")</f>
        <v>0</v>
      </c>
      <c r="LO44" s="210">
        <f>COUNTIF(Tableau15[jeu.31],"="&amp;"VRAC")</f>
        <v>0</v>
      </c>
      <c r="LP44" s="210">
        <f>COUNTIF(Tableau15[ven.01],"="&amp;"VRAC")</f>
        <v>0</v>
      </c>
      <c r="LQ44" s="232">
        <f t="shared" si="0"/>
        <v>0</v>
      </c>
      <c r="LR44" s="210">
        <f>COUNTIF(Tableau15[dim.03],"="&amp;"VRAC")</f>
        <v>0</v>
      </c>
      <c r="LS44" s="210">
        <f>COUNTIF(Tableau15[lun.04],"="&amp;"VRAC")</f>
        <v>0</v>
      </c>
      <c r="LT44" s="210">
        <f>COUNTIF(Tableau15[mar.05],"="&amp;"VRAC")</f>
        <v>0</v>
      </c>
      <c r="LU44" s="210">
        <f>COUNTIF(Tableau15[mer.06],"="&amp;"VRAC")</f>
        <v>0</v>
      </c>
      <c r="LV44" s="210">
        <f>COUNTIF(Tableau15[jeu.07],"="&amp;"VRAC")</f>
        <v>0</v>
      </c>
      <c r="LW44" s="210">
        <f>COUNTIF(Tableau15[ven.08],"="&amp;"VRAC")</f>
        <v>0</v>
      </c>
      <c r="LX44" s="232">
        <f t="shared" si="1"/>
        <v>0</v>
      </c>
      <c r="LY44" s="210">
        <f>COUNTIF(Tableau15[dim.10],"="&amp;"VRAC")</f>
        <v>0</v>
      </c>
      <c r="LZ44" s="210">
        <f>COUNTIF(Tableau15[lun.11],"="&amp;"VRAC")</f>
        <v>0</v>
      </c>
      <c r="MA44" s="210">
        <f>COUNTIF(Tableau15[mar.12],"="&amp;"VRAC")</f>
        <v>0</v>
      </c>
      <c r="MB44" s="210">
        <f>COUNTIF(Tableau15[mer.13],"="&amp;"VRAC")</f>
        <v>0</v>
      </c>
      <c r="MC44" s="210">
        <f>COUNTIF(Tableau15[jeu.14],"="&amp;"VRAC")</f>
        <v>0</v>
      </c>
      <c r="MD44" s="210">
        <f>COUNTIF(Tableau15[ven.15],"="&amp;"VRAC")</f>
        <v>0</v>
      </c>
      <c r="ME44" s="232">
        <f t="shared" si="2"/>
        <v>0</v>
      </c>
      <c r="MF44" s="210">
        <f>COUNTIF(Tableau15[dim.17],"="&amp;"VRAC")</f>
        <v>0</v>
      </c>
      <c r="MG44" s="210">
        <f>COUNTIF(Tableau15[lun.18],"="&amp;"VRAC")</f>
        <v>0</v>
      </c>
      <c r="MH44" s="210">
        <f>COUNTIF(Tableau15[mar.19],"="&amp;"VRAC")</f>
        <v>0</v>
      </c>
      <c r="MI44" s="210">
        <f>COUNTIF(Tableau15[mer.20],"="&amp;"VRAC")</f>
        <v>0</v>
      </c>
      <c r="MJ44" s="210">
        <f>COUNTIF(Tableau15[jeu.21],"="&amp;"VRAC")</f>
        <v>0</v>
      </c>
      <c r="MK44" s="210">
        <f>COUNTIF(Tableau15[ven.22],"="&amp;"VRAC")</f>
        <v>0</v>
      </c>
      <c r="ML44" s="232">
        <f t="shared" si="3"/>
        <v>0</v>
      </c>
      <c r="MM44" s="210">
        <f>COUNTIF(Tableau15[dim.24],"="&amp;"VRAC")</f>
        <v>0</v>
      </c>
      <c r="MN44" s="210">
        <f>COUNTIF(Tableau15[lun.25],"="&amp;"VRAC")</f>
        <v>0</v>
      </c>
      <c r="MO44" s="210">
        <f>COUNTIF(Tableau15[mar.26],"="&amp;"VRAC")</f>
        <v>0</v>
      </c>
      <c r="MP44" s="210">
        <f>COUNTIF(Tableau15[mer.27],"="&amp;"VRAC")</f>
        <v>0</v>
      </c>
      <c r="MQ44" s="210">
        <f>COUNTIF(Tableau15[jeu.28],"="&amp;"VRAC")</f>
        <v>0</v>
      </c>
      <c r="MR44" s="210">
        <f>COUNTIF(Tableau15[ven.29],"="&amp;"VRAC")</f>
        <v>0</v>
      </c>
      <c r="MS44" s="232">
        <f t="shared" ref="MS44:MS49" si="49">SUM(MN44:MR44)</f>
        <v>0</v>
      </c>
      <c r="MT44" s="210">
        <f>COUNTIF(Tableau15[dim.012],"="&amp;"VRAC")</f>
        <v>0</v>
      </c>
      <c r="MU44" s="210">
        <f>COUNTIF(Tableau15[lun.023],"="&amp;"VRAC")</f>
        <v>0</v>
      </c>
      <c r="MV44" s="210">
        <f>COUNTIF(Tableau15[mar.034],"="&amp;"VRAC")</f>
        <v>0</v>
      </c>
      <c r="MW44" s="210">
        <f>COUNTIF(Tableau15[mer.045],"="&amp;"VRAC")</f>
        <v>0</v>
      </c>
      <c r="MX44" s="210">
        <f>COUNTIF(Tableau15[jeu.056],"="&amp;"VRAC")</f>
        <v>0</v>
      </c>
      <c r="MY44" s="210">
        <f>COUNTIF(Tableau15[ven.067],"="&amp;"VRAC")</f>
        <v>0</v>
      </c>
      <c r="MZ44" s="232">
        <f t="shared" ref="MZ44:MZ49" si="50">SUM(MU44:MY44)</f>
        <v>0</v>
      </c>
      <c r="NA44" s="210">
        <f>COUNTIF(Tableau15[dim.089],"="&amp;"VRAC")</f>
        <v>0</v>
      </c>
      <c r="NB44" s="210">
        <f>COUNTIF(Tableau15[lun.0910],"="&amp;"VRAC")</f>
        <v>0</v>
      </c>
      <c r="NC44" s="210">
        <f>COUNTIF(Tableau15[mar.1011],"="&amp;"VRAC")</f>
        <v>0</v>
      </c>
      <c r="ND44" s="210">
        <f>COUNTIF(Tableau15[mer.1112],"="&amp;"VRAC")</f>
        <v>0</v>
      </c>
      <c r="NE44" s="210">
        <f>COUNTIF(Tableau15[jeu.1213],"="&amp;"VRAC")</f>
        <v>0</v>
      </c>
      <c r="NF44" s="210">
        <f>COUNTIF(Tableau15[ven.1314],"="&amp;"VRAC")</f>
        <v>0</v>
      </c>
      <c r="NG44" s="232">
        <f t="shared" ref="NG44:NG49" si="51">SUM(NB44:NF44)</f>
        <v>0</v>
      </c>
      <c r="NH44" s="210">
        <f>COUNTIF(Tableau15[dim.1516],"="&amp;"VRAC")</f>
        <v>0</v>
      </c>
      <c r="NI44" s="210">
        <f>COUNTIF(Tableau15[lun.1617],"="&amp;"VRAC")</f>
        <v>0</v>
      </c>
      <c r="NJ44" s="210">
        <f>COUNTIF(Tableau15[mar.1718],"="&amp;"VRAC")</f>
        <v>0</v>
      </c>
      <c r="NK44" s="210">
        <f>COUNTIF(Tableau15[mer.1819],"="&amp;"VRAC")</f>
        <v>0</v>
      </c>
      <c r="NL44" s="210">
        <f>COUNTIF(Tableau15[jeu.1920],"="&amp;"VRAC")</f>
        <v>0</v>
      </c>
      <c r="NM44" s="210">
        <f>COUNTIF(Tableau15[ven.2021],"="&amp;"VRAC")</f>
        <v>0</v>
      </c>
      <c r="NN44" s="232">
        <f t="shared" ref="NN44:NN49" si="52">SUM(NI44:NM44)</f>
        <v>0</v>
      </c>
      <c r="NO44" s="210">
        <f>COUNTIF(Tableau15[dim.2223],"="&amp;"VRAC")</f>
        <v>0</v>
      </c>
      <c r="NP44" s="210">
        <f>COUNTIF(Tableau15[lun.2324],"="&amp;"VRAC")</f>
        <v>0</v>
      </c>
      <c r="NQ44" s="210">
        <f>COUNTIF(Tableau15[mar.2425],"="&amp;"VRAC")</f>
        <v>0</v>
      </c>
      <c r="NR44" s="210">
        <f>COUNTIF(Tableau15[mer.2526],"="&amp;"VRAC")</f>
        <v>0</v>
      </c>
      <c r="NS44" s="210">
        <f>COUNTIF(Tableau15[jeu.2627],"="&amp;"VRAC")</f>
        <v>0</v>
      </c>
      <c r="NT44" s="210">
        <f>COUNTIF(Tableau15[ven.2728],"="&amp;"VRAC")</f>
        <v>0</v>
      </c>
      <c r="NU44" s="244">
        <f t="shared" ref="NU44:NU49" si="53">SUM(NP44:NT44)</f>
        <v>0</v>
      </c>
    </row>
    <row r="45" spans="4:386" x14ac:dyDescent="0.3">
      <c r="H45" s="243" t="s">
        <v>44</v>
      </c>
      <c r="I45" s="210">
        <f>COUNTIF(Tableau15[lun.10],"="&amp;"CA")</f>
        <v>11</v>
      </c>
      <c r="J45" s="210">
        <f>COUNTIF(Tableau15[mar.11],"="&amp;"CA")</f>
        <v>11</v>
      </c>
      <c r="K45" s="210">
        <f>COUNTIF(Tableau15[mer.12],"="&amp;"CA")</f>
        <v>0</v>
      </c>
      <c r="L45" s="210">
        <f>COUNTIF(Tableau15[jeu.13],"="&amp;"CA")</f>
        <v>11</v>
      </c>
      <c r="M45" s="210">
        <f>COUNTIF(Tableau15[ven.14],"="&amp;"CA")</f>
        <v>11</v>
      </c>
      <c r="N45" s="232">
        <f t="shared" si="4"/>
        <v>44</v>
      </c>
      <c r="O45" s="210">
        <f>COUNTIF(Tableau15[dim.16],"="&amp;"CA")</f>
        <v>0</v>
      </c>
      <c r="P45" s="210">
        <f>COUNTIF(Tableau15[lun.17],"="&amp;"CA")</f>
        <v>0</v>
      </c>
      <c r="Q45" s="210">
        <f>COUNTIF(Tableau15[mar.18],"="&amp;"CA")</f>
        <v>0</v>
      </c>
      <c r="R45" s="210">
        <f>COUNTIF(Tableau15[mer.19],"="&amp;"CA")</f>
        <v>0</v>
      </c>
      <c r="S45" s="210">
        <f>COUNTIF(Tableau15[jeu.20],"="&amp;"CA")</f>
        <v>0</v>
      </c>
      <c r="T45" s="210">
        <f>COUNTIF(Tableau15[ven.21],"="&amp;"CA")</f>
        <v>0</v>
      </c>
      <c r="U45" s="232">
        <f t="shared" si="5"/>
        <v>0</v>
      </c>
      <c r="V45" s="210">
        <f>COUNTIF(Tableau15[dim.23],"="&amp;"CA")</f>
        <v>0</v>
      </c>
      <c r="W45" s="210">
        <f>COUNTIF(Tableau15[lun.24],"="&amp;"CA")</f>
        <v>1</v>
      </c>
      <c r="X45" s="210">
        <f>COUNTIF(Tableau15[mar.25],"="&amp;"CA")</f>
        <v>1</v>
      </c>
      <c r="Y45" s="210">
        <f>COUNTIF(Tableau15[mer.26],"="&amp;"CA")</f>
        <v>1</v>
      </c>
      <c r="Z45" s="210">
        <f>COUNTIF(Tableau15[jeu.27],"="&amp;"CA")</f>
        <v>1</v>
      </c>
      <c r="AA45" s="210">
        <f>COUNTIF(Tableau15[ven.28],"="&amp;"CA")</f>
        <v>1</v>
      </c>
      <c r="AB45" s="232">
        <f t="shared" si="6"/>
        <v>5</v>
      </c>
      <c r="AC45" s="210">
        <f>COUNTIF(Tableau15[dim.30],"="&amp;"CA")</f>
        <v>0</v>
      </c>
      <c r="AD45" s="210">
        <f>COUNTIF(Tableau15[lun.01],"="&amp;"CA")</f>
        <v>0</v>
      </c>
      <c r="AE45" s="210">
        <f>COUNTIF(Tableau15[mar.02],"="&amp;"CA")</f>
        <v>0</v>
      </c>
      <c r="AF45" s="210">
        <f>COUNTIF(Tableau15[mer.03],"="&amp;"CA")</f>
        <v>0</v>
      </c>
      <c r="AG45" s="210">
        <f>COUNTIF(Tableau15[jeu.04],"="&amp;"CA")</f>
        <v>0</v>
      </c>
      <c r="AH45" s="210">
        <f>COUNTIF(Tableau15[ven.05],"="&amp;"CA")</f>
        <v>0</v>
      </c>
      <c r="AI45" s="232">
        <f t="shared" si="7"/>
        <v>0</v>
      </c>
      <c r="AJ45" s="210">
        <f>COUNTIF(Tableau15[dim.07],"="&amp;"CA")</f>
        <v>0</v>
      </c>
      <c r="AK45" s="210">
        <f>COUNTIF(Tableau15[lun.08],"="&amp;"CA")</f>
        <v>0</v>
      </c>
      <c r="AL45" s="210">
        <f>COUNTIF(Tableau15[mar.09],"="&amp;"CA")</f>
        <v>0</v>
      </c>
      <c r="AM45" s="210">
        <f>COUNTIF(Tableau15[mer.10],"="&amp;"CA")</f>
        <v>0</v>
      </c>
      <c r="AN45" s="210">
        <f>COUNTIF(Tableau15[jeu.11],"="&amp;"CA")</f>
        <v>0</v>
      </c>
      <c r="AO45" s="210">
        <f>COUNTIF(Tableau15[ven.12],"="&amp;"CA")</f>
        <v>0</v>
      </c>
      <c r="AP45" s="232">
        <f t="shared" si="8"/>
        <v>0</v>
      </c>
      <c r="AQ45" s="210">
        <f>COUNTIF(Tableau15[dim.14],"="&amp;"CA")</f>
        <v>0</v>
      </c>
      <c r="AR45" s="210">
        <f>COUNTIF(Tableau15[lun.15],"="&amp;"CA")</f>
        <v>0</v>
      </c>
      <c r="AS45" s="210">
        <f>COUNTIF(Tableau15[mar.16],"="&amp;"CA")</f>
        <v>0</v>
      </c>
      <c r="AT45" s="210">
        <f>COUNTIF(Tableau15[mer.17],"="&amp;"CA")</f>
        <v>0</v>
      </c>
      <c r="AU45" s="210">
        <f>COUNTIF(Tableau15[jeu.18],"="&amp;"CA")</f>
        <v>0</v>
      </c>
      <c r="AV45" s="210">
        <f>COUNTIF(Tableau15[ven.19],"="&amp;"CA")</f>
        <v>0</v>
      </c>
      <c r="AW45" s="232">
        <f t="shared" si="9"/>
        <v>0</v>
      </c>
      <c r="AX45" s="210">
        <f>COUNTIF(Tableau15[dim.21],"="&amp;"CA")</f>
        <v>0</v>
      </c>
      <c r="AY45" s="210">
        <f>COUNTIF(Tableau15[lun.22],"="&amp;"CA")</f>
        <v>0</v>
      </c>
      <c r="AZ45" s="210">
        <f>COUNTIF(Tableau15[mar.23],"="&amp;"CA")</f>
        <v>0</v>
      </c>
      <c r="BA45" s="210">
        <f>COUNTIF(Tableau15[mer.24],"="&amp;"CA")</f>
        <v>0</v>
      </c>
      <c r="BB45" s="210">
        <f>COUNTIF(Tableau15[jeu.25],"="&amp;"CA")</f>
        <v>0</v>
      </c>
      <c r="BC45" s="210">
        <f>COUNTIF(Tableau15[ven.26],"="&amp;"CA")</f>
        <v>0</v>
      </c>
      <c r="BD45" s="232">
        <f t="shared" si="10"/>
        <v>0</v>
      </c>
      <c r="BE45" s="210">
        <f>COUNTIF(Tableau15[dim.28],"="&amp;"CA")</f>
        <v>0</v>
      </c>
      <c r="BF45" s="210">
        <f>COUNTIF(Tableau15[lun.29],"="&amp;"CA")</f>
        <v>0</v>
      </c>
      <c r="BG45" s="210">
        <f>COUNTIF(Tableau15[mar.30],"="&amp;"CA")</f>
        <v>0</v>
      </c>
      <c r="BH45" s="210">
        <f>COUNTIF(Tableau15[mer.31],"="&amp;"CA")</f>
        <v>0</v>
      </c>
      <c r="BI45" s="210">
        <f>COUNTIF(Tableau15[jeu.01],"="&amp;"CA")</f>
        <v>0</v>
      </c>
      <c r="BJ45" s="210">
        <f>COUNTIF(Tableau15[ven.02],"="&amp;"CA")</f>
        <v>0</v>
      </c>
      <c r="BK45" s="232">
        <f t="shared" si="11"/>
        <v>0</v>
      </c>
      <c r="BL45" s="210">
        <f>COUNTIF(Tableau15[dim.04],"="&amp;"CA")</f>
        <v>0</v>
      </c>
      <c r="BM45" s="210">
        <f>COUNTIF(Tableau15[lun.05],"="&amp;"CA")</f>
        <v>0</v>
      </c>
      <c r="BN45" s="210">
        <f>COUNTIF(Tableau15[mar.06],"="&amp;"CA")</f>
        <v>0</v>
      </c>
      <c r="BO45" s="210">
        <f>COUNTIF(Tableau15[mer.07],"="&amp;"CA")</f>
        <v>0</v>
      </c>
      <c r="BP45" s="210">
        <f>COUNTIF(Tableau15[jeu.08],"="&amp;"CA")</f>
        <v>0</v>
      </c>
      <c r="BQ45" s="210">
        <f>COUNTIF(Tableau15[ven.09],"="&amp;"CA")</f>
        <v>0</v>
      </c>
      <c r="BR45" s="232">
        <f t="shared" si="12"/>
        <v>0</v>
      </c>
      <c r="BS45" s="210">
        <f>COUNTIF(Tableau15[dim.11],"="&amp;"CA")</f>
        <v>0</v>
      </c>
      <c r="BT45" s="210">
        <f>COUNTIF(Tableau15[lun.12],"="&amp;"CA")</f>
        <v>0</v>
      </c>
      <c r="BU45" s="210">
        <f>COUNTIF(Tableau15[mar.13],"="&amp;"CA")</f>
        <v>0</v>
      </c>
      <c r="BV45" s="210">
        <f>COUNTIF(Tableau15[mer.14],"="&amp;"CA")</f>
        <v>0</v>
      </c>
      <c r="BW45" s="210">
        <f>COUNTIF(Tableau15[jeu.15],"="&amp;"CA")</f>
        <v>0</v>
      </c>
      <c r="BX45" s="210">
        <f>COUNTIF(Tableau15[ven.16],"="&amp;"CA")</f>
        <v>0</v>
      </c>
      <c r="BY45" s="232">
        <f t="shared" si="13"/>
        <v>0</v>
      </c>
      <c r="BZ45" s="210">
        <f>COUNTIF(Tableau15[dim.18],"="&amp;"CA")</f>
        <v>0</v>
      </c>
      <c r="CA45" s="210">
        <f>COUNTIF(Tableau15[lun.19],"="&amp;"CA")</f>
        <v>0</v>
      </c>
      <c r="CB45" s="210">
        <f>COUNTIF(Tableau15[mar.20],"="&amp;"CA")</f>
        <v>0</v>
      </c>
      <c r="CC45" s="210">
        <f>COUNTIF(Tableau15[mer.21],"="&amp;"CA")</f>
        <v>0</v>
      </c>
      <c r="CD45" s="210">
        <f>COUNTIF(Tableau15[jeu.22],"="&amp;"CA")</f>
        <v>0</v>
      </c>
      <c r="CE45" s="210">
        <f>COUNTIF(Tableau15[ven.23],"="&amp;"CA")</f>
        <v>0</v>
      </c>
      <c r="CF45" s="232">
        <f t="shared" si="14"/>
        <v>0</v>
      </c>
      <c r="CG45" s="210">
        <f>COUNTIF(Tableau15[dim.25],"="&amp;"CA")</f>
        <v>0</v>
      </c>
      <c r="CH45" s="210">
        <f>COUNTIF(Tableau15[lun.26],"="&amp;"CA")</f>
        <v>0</v>
      </c>
      <c r="CI45" s="210">
        <f>COUNTIF(Tableau15[mar.27],"="&amp;"CA")</f>
        <v>0</v>
      </c>
      <c r="CJ45" s="210">
        <f>COUNTIF(Tableau15[mer.28],"="&amp;"CA")</f>
        <v>0</v>
      </c>
      <c r="CK45" s="210">
        <f>COUNTIF(Tableau15[jeu.29],"="&amp;"CA")</f>
        <v>0</v>
      </c>
      <c r="CL45" s="210">
        <f>COUNTIF(Tableau15[ven.30],"="&amp;"CA")</f>
        <v>0</v>
      </c>
      <c r="CM45" s="232">
        <f t="shared" si="15"/>
        <v>0</v>
      </c>
      <c r="CN45" s="210">
        <f>COUNTIF(Tableau15[dim.01],"="&amp;"CA")</f>
        <v>0</v>
      </c>
      <c r="CO45" s="210">
        <f>COUNTIF(Tableau15[lun.02],"="&amp;"CA")</f>
        <v>0</v>
      </c>
      <c r="CP45" s="210">
        <f>COUNTIF(Tableau15[mar.03],"="&amp;"CA")</f>
        <v>0</v>
      </c>
      <c r="CQ45" s="210">
        <f>COUNTIF(Tableau15[mer.04],"="&amp;"CA")</f>
        <v>0</v>
      </c>
      <c r="CR45" s="210">
        <f>COUNTIF(Tableau15[jeu.05],"="&amp;"CA")</f>
        <v>0</v>
      </c>
      <c r="CS45" s="210">
        <f>COUNTIF(Tableau15[ven.06],"="&amp;"CA")</f>
        <v>0</v>
      </c>
      <c r="CT45" s="232">
        <f t="shared" si="16"/>
        <v>0</v>
      </c>
      <c r="CU45" s="210">
        <f>COUNTIF(Tableau15[dim.08],"="&amp;"CA")</f>
        <v>0</v>
      </c>
      <c r="CV45" s="210">
        <f>COUNTIF(Tableau15[lun.09],"="&amp;"CA")</f>
        <v>0</v>
      </c>
      <c r="CW45" s="210">
        <f>COUNTIF(Tableau15[mar.10],"="&amp;"CA")</f>
        <v>0</v>
      </c>
      <c r="CX45" s="210">
        <f>COUNTIF(Tableau15[mer.11],"="&amp;"CA")</f>
        <v>0</v>
      </c>
      <c r="CY45" s="210">
        <f>COUNTIF(Tableau15[jeu.12],"="&amp;"CA")</f>
        <v>0</v>
      </c>
      <c r="CZ45" s="210">
        <f>COUNTIF(Tableau15[ven.13],"="&amp;"CA")</f>
        <v>0</v>
      </c>
      <c r="DA45" s="232">
        <f t="shared" si="17"/>
        <v>0</v>
      </c>
      <c r="DB45" s="210">
        <f>COUNTIF(Tableau15[dim.15],"="&amp;"CA")</f>
        <v>0</v>
      </c>
      <c r="DC45" s="210">
        <f>COUNTIF(Tableau15[lun.16],"="&amp;"CA")</f>
        <v>0</v>
      </c>
      <c r="DD45" s="210">
        <f>COUNTIF(Tableau15[mar.17],"="&amp;"CA")</f>
        <v>0</v>
      </c>
      <c r="DE45" s="210">
        <f>COUNTIF(Tableau15[mer.18],"="&amp;"CA")</f>
        <v>0</v>
      </c>
      <c r="DF45" s="210">
        <f>COUNTIF(Tableau15[jeu.19],"="&amp;"CA")</f>
        <v>0</v>
      </c>
      <c r="DG45" s="210">
        <f>COUNTIF(Tableau15[ven.20],"="&amp;"CA")</f>
        <v>0</v>
      </c>
      <c r="DH45" s="232">
        <f t="shared" si="18"/>
        <v>0</v>
      </c>
      <c r="DI45" s="210">
        <f>COUNTIF(Tableau15[dim.22],"="&amp;"CA")</f>
        <v>0</v>
      </c>
      <c r="DJ45" s="210">
        <f>COUNTIF(Tableau15[lun.23],"="&amp;"CA")</f>
        <v>0</v>
      </c>
      <c r="DK45" s="210">
        <f>COUNTIF(Tableau15[mar.24],"="&amp;"CA")</f>
        <v>0</v>
      </c>
      <c r="DL45" s="210">
        <f>COUNTIF(Tableau15[mer.25],"="&amp;"CA")</f>
        <v>0</v>
      </c>
      <c r="DM45" s="210">
        <f>COUNTIF(Tableau15[jeu.26],"="&amp;"CA")</f>
        <v>0</v>
      </c>
      <c r="DN45" s="210">
        <f>COUNTIF(Tableau15[ven.27],"="&amp;"CA")</f>
        <v>0</v>
      </c>
      <c r="DO45" s="232">
        <f t="shared" si="19"/>
        <v>0</v>
      </c>
      <c r="DP45" s="210">
        <f>COUNTIF(Tableau15[dim.29],"="&amp;"CA")</f>
        <v>0</v>
      </c>
      <c r="DQ45" s="210">
        <f>COUNTIF(Tableau15[lun.30],"="&amp;"CA")</f>
        <v>0</v>
      </c>
      <c r="DR45" s="210">
        <f>COUNTIF(Tableau15[mar.01],"="&amp;"CA")</f>
        <v>0</v>
      </c>
      <c r="DS45" s="210">
        <f>COUNTIF(Tableau15[mer.02],"="&amp;"CA")</f>
        <v>0</v>
      </c>
      <c r="DT45" s="210">
        <f>COUNTIF(Tableau15[jeu.03],"="&amp;"CA")</f>
        <v>0</v>
      </c>
      <c r="DU45" s="210">
        <f>COUNTIF(Tableau15[ven.04],"="&amp;"CA")</f>
        <v>0</v>
      </c>
      <c r="DV45" s="232">
        <f t="shared" si="20"/>
        <v>0</v>
      </c>
      <c r="DW45" s="210">
        <f>COUNTIF(Tableau15[dim.06],"="&amp;"CA")</f>
        <v>0</v>
      </c>
      <c r="DX45" s="210">
        <f>COUNTIF(Tableau15[lun.07],"="&amp;"CA")</f>
        <v>0</v>
      </c>
      <c r="DY45" s="210">
        <f>COUNTIF(Tableau15[mar.08],"="&amp;"CA")</f>
        <v>0</v>
      </c>
      <c r="DZ45" s="210">
        <f>COUNTIF(Tableau15[mer.09],"="&amp;"CA")</f>
        <v>0</v>
      </c>
      <c r="EA45" s="210">
        <f>COUNTIF(Tableau15[jeu.10],"="&amp;"CA")</f>
        <v>0</v>
      </c>
      <c r="EB45" s="210">
        <f>COUNTIF(Tableau15[ven.11],"="&amp;"CA")</f>
        <v>0</v>
      </c>
      <c r="EC45" s="232">
        <f t="shared" si="21"/>
        <v>0</v>
      </c>
      <c r="ED45" s="210">
        <f>COUNTIF(Tableau15[dim.13],"="&amp;"CA")</f>
        <v>0</v>
      </c>
      <c r="EE45" s="210">
        <f>COUNTIF(Tableau15[lun.14],"="&amp;"CA")</f>
        <v>0</v>
      </c>
      <c r="EF45" s="210">
        <f>COUNTIF(Tableau15[mar.15],"="&amp;"CA")</f>
        <v>0</v>
      </c>
      <c r="EG45" s="210">
        <f>COUNTIF(Tableau15[mer.16],"="&amp;"CA")</f>
        <v>0</v>
      </c>
      <c r="EH45" s="210">
        <f>COUNTIF(Tableau15[jeu.17],"="&amp;"CA")</f>
        <v>0</v>
      </c>
      <c r="EI45" s="210">
        <f>COUNTIF(Tableau15[ven.18],"="&amp;"CA")</f>
        <v>0</v>
      </c>
      <c r="EJ45" s="232">
        <f t="shared" si="22"/>
        <v>0</v>
      </c>
      <c r="EK45" s="210">
        <f>COUNTIF(Tableau15[dim.20],"="&amp;"CA")</f>
        <v>0</v>
      </c>
      <c r="EL45" s="210">
        <f>COUNTIF(Tableau15[lun.21],"="&amp;"CA")</f>
        <v>0</v>
      </c>
      <c r="EM45" s="210">
        <f>COUNTIF(Tableau15[mar.22],"="&amp;"CA")</f>
        <v>0</v>
      </c>
      <c r="EN45" s="210">
        <f>COUNTIF(Tableau15[mer.23],"="&amp;"CA")</f>
        <v>0</v>
      </c>
      <c r="EO45" s="210">
        <f>COUNTIF(Tableau15[jeu.24],"="&amp;"CA")</f>
        <v>0</v>
      </c>
      <c r="EP45" s="210">
        <f>COUNTIF(Tableau15[ven.25],"="&amp;"CA")</f>
        <v>0</v>
      </c>
      <c r="EQ45" s="232">
        <f t="shared" si="23"/>
        <v>0</v>
      </c>
      <c r="ER45" s="210">
        <f>COUNTIF(Tableau15[dim.27],"="&amp;"CA")</f>
        <v>0</v>
      </c>
      <c r="ES45" s="210">
        <f>COUNTIF(Tableau15[lun.28],"="&amp;"CA")</f>
        <v>0</v>
      </c>
      <c r="ET45" s="210">
        <f>COUNTIF(Tableau15[mar.29],"="&amp;"CA")</f>
        <v>0</v>
      </c>
      <c r="EU45" s="210">
        <f>COUNTIF(Tableau15[mer.30],"="&amp;"CA")</f>
        <v>0</v>
      </c>
      <c r="EV45" s="210">
        <f>COUNTIF(Tableau15[jeu.31],"="&amp;"CA")</f>
        <v>0</v>
      </c>
      <c r="EW45" s="210">
        <f>COUNTIF(Tableau15[ven.01],"="&amp;"CA")</f>
        <v>0</v>
      </c>
      <c r="EX45" s="232">
        <f t="shared" si="24"/>
        <v>0</v>
      </c>
      <c r="EY45" s="210">
        <f>COUNTIF(Tableau15[dim.03],"="&amp;"CA")</f>
        <v>0</v>
      </c>
      <c r="EZ45" s="210">
        <f>COUNTIF(Tableau15[lun.04],"="&amp;"CA")</f>
        <v>0</v>
      </c>
      <c r="FA45" s="210">
        <f>COUNTIF(Tableau15[mar.05],"="&amp;"CA")</f>
        <v>0</v>
      </c>
      <c r="FB45" s="210">
        <f>COUNTIF(Tableau15[mer.06],"="&amp;"CA")</f>
        <v>0</v>
      </c>
      <c r="FC45" s="210">
        <f>COUNTIF(Tableau15[jeu.07],"="&amp;"CA")</f>
        <v>0</v>
      </c>
      <c r="FD45" s="210">
        <f>COUNTIF(Tableau15[ven.08],"="&amp;"CA")</f>
        <v>0</v>
      </c>
      <c r="FE45" s="232">
        <f t="shared" si="25"/>
        <v>0</v>
      </c>
      <c r="FF45" s="210">
        <f>COUNTIF(Tableau15[dim.10],"="&amp;"CA")</f>
        <v>0</v>
      </c>
      <c r="FG45" s="210">
        <f>COUNTIF(Tableau15[lun.11],"="&amp;"CA")</f>
        <v>0</v>
      </c>
      <c r="FH45" s="210">
        <f>COUNTIF(Tableau15[mar.12],"="&amp;"CA")</f>
        <v>0</v>
      </c>
      <c r="FI45" s="210">
        <f>COUNTIF(Tableau15[mer.13],"="&amp;"CA")</f>
        <v>0</v>
      </c>
      <c r="FJ45" s="210">
        <f>COUNTIF(Tableau15[jeu.14],"="&amp;"CA")</f>
        <v>0</v>
      </c>
      <c r="FK45" s="210">
        <f>COUNTIF(Tableau15[ven.15],"="&amp;"CA")</f>
        <v>0</v>
      </c>
      <c r="FL45" s="232">
        <f t="shared" si="26"/>
        <v>0</v>
      </c>
      <c r="FM45" s="210">
        <f>COUNTIF(Tableau15[dim.17],"="&amp;"CA")</f>
        <v>0</v>
      </c>
      <c r="FN45" s="210">
        <f>COUNTIF(Tableau15[lun.18],"="&amp;"CA")</f>
        <v>0</v>
      </c>
      <c r="FO45" s="210">
        <f>COUNTIF(Tableau15[mar.19],"="&amp;"CA")</f>
        <v>0</v>
      </c>
      <c r="FP45" s="210">
        <f>COUNTIF(Tableau15[mer.20],"="&amp;"CA")</f>
        <v>0</v>
      </c>
      <c r="FQ45" s="210">
        <f>COUNTIF(Tableau15[jeu.21],"="&amp;"CA")</f>
        <v>0</v>
      </c>
      <c r="FR45" s="210">
        <f>COUNTIF(Tableau15[ven.22],"="&amp;"CA")</f>
        <v>0</v>
      </c>
      <c r="FS45" s="232">
        <f t="shared" si="27"/>
        <v>0</v>
      </c>
      <c r="FT45" s="210">
        <f>COUNTIF(Tableau15[dim.24],"="&amp;"CA")</f>
        <v>0</v>
      </c>
      <c r="FU45" s="210">
        <f>COUNTIF(Tableau15[lun.25],"="&amp;"CA")</f>
        <v>0</v>
      </c>
      <c r="FV45" s="210">
        <f>COUNTIF(Tableau15[mar.26],"="&amp;"CA")</f>
        <v>0</v>
      </c>
      <c r="FW45" s="210">
        <f>COUNTIF(Tableau15[mer.27],"="&amp;"CA")</f>
        <v>0</v>
      </c>
      <c r="FX45" s="210">
        <f>COUNTIF(Tableau15[jeu.28],"="&amp;"CA")</f>
        <v>0</v>
      </c>
      <c r="FY45" s="210">
        <f>COUNTIF(Tableau15[ven.29],"="&amp;"CA")</f>
        <v>0</v>
      </c>
      <c r="FZ45" s="232">
        <f t="shared" si="28"/>
        <v>0</v>
      </c>
      <c r="GA45" s="210">
        <f>COUNTIF(Tableau15[dim.012],"="&amp;"CA")</f>
        <v>0</v>
      </c>
      <c r="GB45" s="210">
        <f>COUNTIF(Tableau15[lun.023],"="&amp;"CA")</f>
        <v>0</v>
      </c>
      <c r="GC45" s="210">
        <f>COUNTIF(Tableau15[mar.034],"="&amp;"CA")</f>
        <v>0</v>
      </c>
      <c r="GD45" s="210">
        <f>COUNTIF(Tableau15[mer.045],"="&amp;"CA")</f>
        <v>0</v>
      </c>
      <c r="GE45" s="210">
        <f>COUNTIF(Tableau15[jeu.056],"="&amp;"CA")</f>
        <v>0</v>
      </c>
      <c r="GF45" s="210">
        <f>COUNTIF(Tableau15[ven.067],"="&amp;"CA")</f>
        <v>0</v>
      </c>
      <c r="GG45" s="232">
        <f t="shared" si="29"/>
        <v>0</v>
      </c>
      <c r="GH45" s="210">
        <f>COUNTIF(Tableau15[dim.089],"="&amp;"CA")</f>
        <v>0</v>
      </c>
      <c r="GI45" s="210">
        <f>COUNTIF(Tableau15[lun.0910],"="&amp;"CA")</f>
        <v>0</v>
      </c>
      <c r="GJ45" s="210">
        <f>COUNTIF(Tableau15[mar.1011],"="&amp;"CA")</f>
        <v>0</v>
      </c>
      <c r="GK45" s="210">
        <f>COUNTIF(Tableau15[mer.1112],"="&amp;"CA")</f>
        <v>0</v>
      </c>
      <c r="GL45" s="210">
        <f>COUNTIF(Tableau15[jeu.1213],"="&amp;"CA")</f>
        <v>0</v>
      </c>
      <c r="GM45" s="210">
        <f>COUNTIF(Tableau15[ven.1314],"="&amp;"CA")</f>
        <v>0</v>
      </c>
      <c r="GN45" s="232">
        <f t="shared" si="30"/>
        <v>0</v>
      </c>
      <c r="GO45" s="210">
        <f>COUNTIF(Tableau15[dim.1516],"="&amp;"CA")</f>
        <v>0</v>
      </c>
      <c r="GP45" s="210">
        <f>COUNTIF(Tableau15[lun.1617],"="&amp;"CA")</f>
        <v>0</v>
      </c>
      <c r="GQ45" s="210">
        <f>COUNTIF(Tableau15[mar.1718],"="&amp;"CA")</f>
        <v>0</v>
      </c>
      <c r="GR45" s="210">
        <f>COUNTIF(Tableau15[mer.1819],"="&amp;"CA")</f>
        <v>0</v>
      </c>
      <c r="GS45" s="210">
        <f>COUNTIF(Tableau15[jeu.1920],"="&amp;"CA")</f>
        <v>0</v>
      </c>
      <c r="GT45" s="210">
        <f>COUNTIF(Tableau15[ven.2021],"="&amp;"CA")</f>
        <v>0</v>
      </c>
      <c r="GU45" s="232">
        <f t="shared" si="31"/>
        <v>0</v>
      </c>
      <c r="GV45" s="210">
        <f>COUNTIF(Tableau15[dim.2223],"="&amp;"CA")</f>
        <v>0</v>
      </c>
      <c r="GW45" s="210">
        <f>COUNTIF(Tableau15[lun.2324],"="&amp;"CA")</f>
        <v>0</v>
      </c>
      <c r="GX45" s="210">
        <f>COUNTIF(Tableau15[mar.2425],"="&amp;"CA")</f>
        <v>0</v>
      </c>
      <c r="GY45" s="210">
        <f>COUNTIF(Tableau15[mer.2526],"="&amp;"CA")</f>
        <v>0</v>
      </c>
      <c r="GZ45" s="210">
        <f>COUNTIF(Tableau15[jeu.2627],"="&amp;"CA")</f>
        <v>0</v>
      </c>
      <c r="HA45" s="210">
        <f>COUNTIF(Tableau15[ven.2728],"="&amp;"CA")</f>
        <v>0</v>
      </c>
      <c r="HB45" s="244">
        <f t="shared" si="32"/>
        <v>0</v>
      </c>
      <c r="HD45" s="210">
        <f>COUNTIF(Tableau15[lun.08],"="&amp;"CA")</f>
        <v>0</v>
      </c>
      <c r="HE45" s="210">
        <f>COUNTIF(Tableau15[mar.09],"="&amp;"CA")</f>
        <v>0</v>
      </c>
      <c r="HF45" s="210">
        <f>COUNTIF(Tableau15[mer.10],"="&amp;"CA")</f>
        <v>0</v>
      </c>
      <c r="HG45" s="210">
        <f>COUNTIF(Tableau15[jeu.11],"="&amp;"CA")</f>
        <v>0</v>
      </c>
      <c r="HH45" s="210">
        <f>COUNTIF(Tableau15[ven.12],"="&amp;"CA")</f>
        <v>0</v>
      </c>
      <c r="HI45" s="232">
        <f t="shared" si="33"/>
        <v>0</v>
      </c>
      <c r="HJ45" s="210">
        <f>COUNTIF(Tableau15[dim.14],"="&amp;"CA")</f>
        <v>0</v>
      </c>
      <c r="HK45" s="210">
        <f>COUNTIF(Tableau15[lun.15],"="&amp;"CA")</f>
        <v>0</v>
      </c>
      <c r="HL45" s="210">
        <f>COUNTIF(Tableau15[mar.16],"="&amp;"CA")</f>
        <v>0</v>
      </c>
      <c r="HM45" s="210">
        <f>COUNTIF(Tableau15[mer.17],"="&amp;"CA")</f>
        <v>0</v>
      </c>
      <c r="HN45" s="210">
        <f>COUNTIF(Tableau15[jeu.18],"="&amp;"CA")</f>
        <v>0</v>
      </c>
      <c r="HO45" s="210">
        <f>COUNTIF(Tableau15[ven.19],"="&amp;"CA")</f>
        <v>0</v>
      </c>
      <c r="HP45" s="232">
        <f t="shared" si="34"/>
        <v>0</v>
      </c>
      <c r="HQ45" s="210">
        <f>COUNTIF(Tableau15[dim.21],"="&amp;"CA")</f>
        <v>0</v>
      </c>
      <c r="HR45" s="210">
        <f>COUNTIF(Tableau15[lun.22],"="&amp;"CA")</f>
        <v>0</v>
      </c>
      <c r="HS45" s="210">
        <f>COUNTIF(Tableau15[mar.23],"="&amp;"CA")</f>
        <v>0</v>
      </c>
      <c r="HT45" s="210">
        <f>COUNTIF(Tableau15[mer.24],"="&amp;"CA")</f>
        <v>0</v>
      </c>
      <c r="HU45" s="210">
        <f>COUNTIF(Tableau15[jeu.25],"="&amp;"CA")</f>
        <v>0</v>
      </c>
      <c r="HV45" s="210">
        <f>COUNTIF(Tableau15[ven.26],"="&amp;"CA")</f>
        <v>0</v>
      </c>
      <c r="HW45" s="232">
        <f t="shared" si="35"/>
        <v>0</v>
      </c>
      <c r="HX45" s="210">
        <f>COUNTIF(Tableau15[dim.28],"="&amp;"CA")</f>
        <v>0</v>
      </c>
      <c r="HY45" s="210">
        <f>COUNTIF(Tableau15[lun.29],"="&amp;"CA")</f>
        <v>0</v>
      </c>
      <c r="HZ45" s="210">
        <f>COUNTIF(Tableau15[mar.30],"="&amp;"CA")</f>
        <v>0</v>
      </c>
      <c r="IA45" s="210">
        <f>COUNTIF(Tableau15[mer.31],"="&amp;"CA")</f>
        <v>0</v>
      </c>
      <c r="IB45" s="210">
        <f>COUNTIF(Tableau15[jeu.01],"="&amp;"CA")</f>
        <v>0</v>
      </c>
      <c r="IC45" s="210">
        <f>COUNTIF(Tableau15[ven.02],"="&amp;"CA")</f>
        <v>0</v>
      </c>
      <c r="ID45" s="232">
        <f t="shared" si="36"/>
        <v>0</v>
      </c>
      <c r="IE45" s="210">
        <f>COUNTIF(Tableau15[dim.04],"="&amp;"CA")</f>
        <v>0</v>
      </c>
      <c r="IF45" s="210">
        <f>COUNTIF(Tableau15[lun.05],"="&amp;"CA")</f>
        <v>0</v>
      </c>
      <c r="IG45" s="210">
        <f>COUNTIF(Tableau15[mar.06],"="&amp;"CA")</f>
        <v>0</v>
      </c>
      <c r="IH45" s="210">
        <f>COUNTIF(Tableau15[mer.07],"="&amp;"CA")</f>
        <v>0</v>
      </c>
      <c r="II45" s="210">
        <f>COUNTIF(Tableau15[jeu.08],"="&amp;"CA")</f>
        <v>0</v>
      </c>
      <c r="IJ45" s="210">
        <f>COUNTIF(Tableau15[ven.09],"="&amp;"CA")</f>
        <v>0</v>
      </c>
      <c r="IK45" s="232">
        <f t="shared" si="37"/>
        <v>0</v>
      </c>
      <c r="IL45" s="210">
        <f>COUNTIF(Tableau15[dim.11],"="&amp;"CA")</f>
        <v>0</v>
      </c>
      <c r="IM45" s="210">
        <f>COUNTIF(Tableau15[lun.12],"="&amp;"CA")</f>
        <v>0</v>
      </c>
      <c r="IN45" s="210">
        <f>COUNTIF(Tableau15[mar.13],"="&amp;"CA")</f>
        <v>0</v>
      </c>
      <c r="IO45" s="210">
        <f>COUNTIF(Tableau15[mer.14],"="&amp;"CA")</f>
        <v>0</v>
      </c>
      <c r="IP45" s="210">
        <f>COUNTIF(Tableau15[jeu.15],"="&amp;"CA")</f>
        <v>0</v>
      </c>
      <c r="IQ45" s="210">
        <f>COUNTIF(Tableau15[ven.16],"="&amp;"CA")</f>
        <v>0</v>
      </c>
      <c r="IR45" s="232">
        <f t="shared" si="38"/>
        <v>0</v>
      </c>
      <c r="IS45" s="210">
        <f>COUNTIF(Tableau15[dim.18],"="&amp;"CA")</f>
        <v>0</v>
      </c>
      <c r="IT45" s="210">
        <f>COUNTIF(Tableau15[lun.19],"="&amp;"CA")</f>
        <v>0</v>
      </c>
      <c r="IU45" s="210">
        <f>COUNTIF(Tableau15[mar.20],"="&amp;"CA")</f>
        <v>0</v>
      </c>
      <c r="IV45" s="210">
        <f>COUNTIF(Tableau15[mer.21],"="&amp;"CA")</f>
        <v>0</v>
      </c>
      <c r="IW45" s="210">
        <f>COUNTIF(Tableau15[jeu.22],"="&amp;"CA")</f>
        <v>0</v>
      </c>
      <c r="IX45" s="210">
        <f>COUNTIF(Tableau15[ven.23],"="&amp;"CA")</f>
        <v>0</v>
      </c>
      <c r="IY45" s="232">
        <f t="shared" si="39"/>
        <v>0</v>
      </c>
      <c r="IZ45" s="210">
        <f>COUNTIF(Tableau15[dim.25],"="&amp;"CA")</f>
        <v>0</v>
      </c>
      <c r="JA45" s="210">
        <f>COUNTIF(Tableau15[lun.26],"="&amp;"CA")</f>
        <v>0</v>
      </c>
      <c r="JB45" s="210">
        <f>COUNTIF(Tableau15[mar.27],"="&amp;"CA")</f>
        <v>0</v>
      </c>
      <c r="JC45" s="210">
        <f>COUNTIF(Tableau15[mer.28],"="&amp;"CA")</f>
        <v>0</v>
      </c>
      <c r="JD45" s="210">
        <f>COUNTIF(Tableau15[jeu.29],"="&amp;"CA")</f>
        <v>0</v>
      </c>
      <c r="JE45" s="210">
        <f>COUNTIF(Tableau15[ven.30],"="&amp;"CA")</f>
        <v>0</v>
      </c>
      <c r="JF45" s="232">
        <f t="shared" si="40"/>
        <v>0</v>
      </c>
      <c r="JG45" s="210">
        <f>COUNTIF(Tableau15[dim.01],"="&amp;"CA")</f>
        <v>0</v>
      </c>
      <c r="JH45" s="210">
        <f>COUNTIF(Tableau15[lun.02],"="&amp;"CA")</f>
        <v>0</v>
      </c>
      <c r="JI45" s="210">
        <f>COUNTIF(Tableau15[mar.03],"="&amp;"CA")</f>
        <v>0</v>
      </c>
      <c r="JJ45" s="210">
        <f>COUNTIF(Tableau15[mer.04],"="&amp;"CA")</f>
        <v>0</v>
      </c>
      <c r="JK45" s="210">
        <f>COUNTIF(Tableau15[jeu.05],"="&amp;"CA")</f>
        <v>0</v>
      </c>
      <c r="JL45" s="210">
        <f>COUNTIF(Tableau15[ven.06],"="&amp;"CA")</f>
        <v>0</v>
      </c>
      <c r="JM45" s="232">
        <f t="shared" si="41"/>
        <v>0</v>
      </c>
      <c r="JN45" s="210">
        <f>COUNTIF(Tableau15[dim.08],"="&amp;"CA")</f>
        <v>0</v>
      </c>
      <c r="JO45" s="210">
        <f>COUNTIF(Tableau15[lun.09],"="&amp;"CA")</f>
        <v>0</v>
      </c>
      <c r="JP45" s="210">
        <f>COUNTIF(Tableau15[mar.10],"="&amp;"CA")</f>
        <v>0</v>
      </c>
      <c r="JQ45" s="210">
        <f>COUNTIF(Tableau15[mer.11],"="&amp;"CA")</f>
        <v>0</v>
      </c>
      <c r="JR45" s="210">
        <f>COUNTIF(Tableau15[jeu.12],"="&amp;"CA")</f>
        <v>0</v>
      </c>
      <c r="JS45" s="210">
        <f>COUNTIF(Tableau15[ven.13],"="&amp;"CA")</f>
        <v>0</v>
      </c>
      <c r="JT45" s="232">
        <f t="shared" si="42"/>
        <v>0</v>
      </c>
      <c r="JU45" s="210">
        <f>COUNTIF(Tableau15[dim.15],"="&amp;"CA")</f>
        <v>0</v>
      </c>
      <c r="JV45" s="210">
        <f>COUNTIF(Tableau15[lun.16],"="&amp;"CA")</f>
        <v>0</v>
      </c>
      <c r="JW45" s="210">
        <f>COUNTIF(Tableau15[mar.17],"="&amp;"CA")</f>
        <v>0</v>
      </c>
      <c r="JX45" s="210">
        <f>COUNTIF(Tableau15[mer.18],"="&amp;"CA")</f>
        <v>0</v>
      </c>
      <c r="JY45" s="210">
        <f>COUNTIF(Tableau15[jeu.19],"="&amp;"CA")</f>
        <v>0</v>
      </c>
      <c r="JZ45" s="210">
        <f>COUNTIF(Tableau15[ven.20],"="&amp;"CA")</f>
        <v>0</v>
      </c>
      <c r="KA45" s="232">
        <f t="shared" si="43"/>
        <v>0</v>
      </c>
      <c r="KB45" s="210">
        <f>COUNTIF(Tableau15[dim.22],"="&amp;"CA")</f>
        <v>0</v>
      </c>
      <c r="KC45" s="210">
        <f>COUNTIF(Tableau15[lun.23],"="&amp;"CA")</f>
        <v>0</v>
      </c>
      <c r="KD45" s="210">
        <f>COUNTIF(Tableau15[mar.24],"="&amp;"CA")</f>
        <v>0</v>
      </c>
      <c r="KE45" s="210">
        <f>COUNTIF(Tableau15[mer.25],"="&amp;"CA")</f>
        <v>0</v>
      </c>
      <c r="KF45" s="210">
        <f>COUNTIF(Tableau15[jeu.26],"="&amp;"CA")</f>
        <v>0</v>
      </c>
      <c r="KG45" s="210">
        <f>COUNTIF(Tableau15[ven.27],"="&amp;"CA")</f>
        <v>0</v>
      </c>
      <c r="KH45" s="232">
        <f t="shared" si="44"/>
        <v>0</v>
      </c>
      <c r="KI45" s="210">
        <f>COUNTIF(Tableau15[dim.29],"="&amp;"CA")</f>
        <v>0</v>
      </c>
      <c r="KJ45" s="210">
        <f>COUNTIF(Tableau15[lun.30],"="&amp;"CA")</f>
        <v>0</v>
      </c>
      <c r="KK45" s="210">
        <f>COUNTIF(Tableau15[mar.01],"="&amp;"CA")</f>
        <v>0</v>
      </c>
      <c r="KL45" s="210">
        <f>COUNTIF(Tableau15[mer.02],"="&amp;"CA")</f>
        <v>0</v>
      </c>
      <c r="KM45" s="210">
        <f>COUNTIF(Tableau15[jeu.03],"="&amp;"CA")</f>
        <v>0</v>
      </c>
      <c r="KN45" s="210">
        <f>COUNTIF(Tableau15[ven.04],"="&amp;"CA")</f>
        <v>0</v>
      </c>
      <c r="KO45" s="232">
        <f t="shared" si="45"/>
        <v>0</v>
      </c>
      <c r="KP45" s="210">
        <f>COUNTIF(Tableau15[dim.06],"="&amp;"CA")</f>
        <v>0</v>
      </c>
      <c r="KQ45" s="210">
        <f>COUNTIF(Tableau15[lun.07],"="&amp;"CA")</f>
        <v>0</v>
      </c>
      <c r="KR45" s="210">
        <f>COUNTIF(Tableau15[mar.08],"="&amp;"CA")</f>
        <v>0</v>
      </c>
      <c r="KS45" s="210">
        <f>COUNTIF(Tableau15[mer.09],"="&amp;"CA")</f>
        <v>0</v>
      </c>
      <c r="KT45" s="210">
        <f>COUNTIF(Tableau15[jeu.10],"="&amp;"CA")</f>
        <v>0</v>
      </c>
      <c r="KU45" s="210">
        <f>COUNTIF(Tableau15[ven.11],"="&amp;"CA")</f>
        <v>0</v>
      </c>
      <c r="KV45" s="232">
        <f t="shared" si="46"/>
        <v>0</v>
      </c>
      <c r="KW45" s="210">
        <f>COUNTIF(Tableau15[dim.13],"="&amp;"CA")</f>
        <v>0</v>
      </c>
      <c r="KX45" s="210">
        <f>COUNTIF(Tableau15[lun.14],"="&amp;"CA")</f>
        <v>0</v>
      </c>
      <c r="KY45" s="210">
        <f>COUNTIF(Tableau15[mar.15],"="&amp;"CA")</f>
        <v>0</v>
      </c>
      <c r="KZ45" s="210">
        <f>COUNTIF(Tableau15[mer.16],"="&amp;"CA")</f>
        <v>0</v>
      </c>
      <c r="LA45" s="210">
        <f>COUNTIF(Tableau15[jeu.17],"="&amp;"CA")</f>
        <v>0</v>
      </c>
      <c r="LB45" s="210">
        <f>COUNTIF(Tableau15[ven.18],"="&amp;"CA")</f>
        <v>0</v>
      </c>
      <c r="LC45" s="232">
        <f t="shared" si="47"/>
        <v>0</v>
      </c>
      <c r="LD45" s="210">
        <f>COUNTIF(Tableau15[dim.20],"="&amp;"CA")</f>
        <v>0</v>
      </c>
      <c r="LE45" s="210">
        <f>COUNTIF(Tableau15[lun.21],"="&amp;"CA")</f>
        <v>0</v>
      </c>
      <c r="LF45" s="210">
        <f>COUNTIF(Tableau15[mar.22],"="&amp;"CA")</f>
        <v>0</v>
      </c>
      <c r="LG45" s="210">
        <f>COUNTIF(Tableau15[mer.23],"="&amp;"CA")</f>
        <v>0</v>
      </c>
      <c r="LH45" s="210">
        <f>COUNTIF(Tableau15[jeu.24],"="&amp;"CA")</f>
        <v>0</v>
      </c>
      <c r="LI45" s="210">
        <f>COUNTIF(Tableau15[ven.25],"="&amp;"CA")</f>
        <v>0</v>
      </c>
      <c r="LJ45" s="232">
        <f t="shared" si="48"/>
        <v>0</v>
      </c>
      <c r="LK45" s="210">
        <f>COUNTIF(Tableau15[dim.27],"="&amp;"CA")</f>
        <v>0</v>
      </c>
      <c r="LL45" s="210">
        <f>COUNTIF(Tableau15[lun.28],"="&amp;"CA")</f>
        <v>0</v>
      </c>
      <c r="LM45" s="210">
        <f>COUNTIF(Tableau15[mar.29],"="&amp;"CA")</f>
        <v>0</v>
      </c>
      <c r="LN45" s="210">
        <f>COUNTIF(Tableau15[mer.30],"="&amp;"CA")</f>
        <v>0</v>
      </c>
      <c r="LO45" s="210">
        <f>COUNTIF(Tableau15[jeu.31],"="&amp;"CA")</f>
        <v>0</v>
      </c>
      <c r="LP45" s="210">
        <f>COUNTIF(Tableau15[ven.01],"="&amp;"CA")</f>
        <v>0</v>
      </c>
      <c r="LQ45" s="232">
        <f t="shared" si="0"/>
        <v>0</v>
      </c>
      <c r="LR45" s="210">
        <f>COUNTIF(Tableau15[dim.03],"="&amp;"CA")</f>
        <v>0</v>
      </c>
      <c r="LS45" s="210">
        <f>COUNTIF(Tableau15[lun.04],"="&amp;"CA")</f>
        <v>0</v>
      </c>
      <c r="LT45" s="210">
        <f>COUNTIF(Tableau15[mar.05],"="&amp;"CA")</f>
        <v>0</v>
      </c>
      <c r="LU45" s="210">
        <f>COUNTIF(Tableau15[mer.06],"="&amp;"CA")</f>
        <v>0</v>
      </c>
      <c r="LV45" s="210">
        <f>COUNTIF(Tableau15[jeu.07],"="&amp;"CA")</f>
        <v>0</v>
      </c>
      <c r="LW45" s="210">
        <f>COUNTIF(Tableau15[ven.08],"="&amp;"CA")</f>
        <v>0</v>
      </c>
      <c r="LX45" s="232">
        <f t="shared" si="1"/>
        <v>0</v>
      </c>
      <c r="LY45" s="210">
        <f>COUNTIF(Tableau15[dim.10],"="&amp;"CA")</f>
        <v>0</v>
      </c>
      <c r="LZ45" s="210">
        <f>COUNTIF(Tableau15[lun.11],"="&amp;"CA")</f>
        <v>0</v>
      </c>
      <c r="MA45" s="210">
        <f>COUNTIF(Tableau15[mar.12],"="&amp;"CA")</f>
        <v>0</v>
      </c>
      <c r="MB45" s="210">
        <f>COUNTIF(Tableau15[mer.13],"="&amp;"CA")</f>
        <v>0</v>
      </c>
      <c r="MC45" s="210">
        <f>COUNTIF(Tableau15[jeu.14],"="&amp;"CA")</f>
        <v>0</v>
      </c>
      <c r="MD45" s="210">
        <f>COUNTIF(Tableau15[ven.15],"="&amp;"CA")</f>
        <v>0</v>
      </c>
      <c r="ME45" s="232">
        <f t="shared" si="2"/>
        <v>0</v>
      </c>
      <c r="MF45" s="210">
        <f>COUNTIF(Tableau15[dim.17],"="&amp;"CA")</f>
        <v>0</v>
      </c>
      <c r="MG45" s="210">
        <f>COUNTIF(Tableau15[lun.18],"="&amp;"CA")</f>
        <v>0</v>
      </c>
      <c r="MH45" s="210">
        <f>COUNTIF(Tableau15[mar.19],"="&amp;"CA")</f>
        <v>0</v>
      </c>
      <c r="MI45" s="210">
        <f>COUNTIF(Tableau15[mer.20],"="&amp;"CA")</f>
        <v>0</v>
      </c>
      <c r="MJ45" s="210">
        <f>COUNTIF(Tableau15[jeu.21],"="&amp;"CA")</f>
        <v>0</v>
      </c>
      <c r="MK45" s="210">
        <f>COUNTIF(Tableau15[ven.22],"="&amp;"CA")</f>
        <v>0</v>
      </c>
      <c r="ML45" s="232">
        <f t="shared" si="3"/>
        <v>0</v>
      </c>
      <c r="MM45" s="210">
        <f>COUNTIF(Tableau15[dim.24],"="&amp;"CA")</f>
        <v>0</v>
      </c>
      <c r="MN45" s="210">
        <f>COUNTIF(Tableau15[lun.25],"="&amp;"CA")</f>
        <v>0</v>
      </c>
      <c r="MO45" s="210">
        <f>COUNTIF(Tableau15[mar.26],"="&amp;"CA")</f>
        <v>0</v>
      </c>
      <c r="MP45" s="210">
        <f>COUNTIF(Tableau15[mer.27],"="&amp;"CA")</f>
        <v>0</v>
      </c>
      <c r="MQ45" s="210">
        <f>COUNTIF(Tableau15[jeu.28],"="&amp;"CA")</f>
        <v>0</v>
      </c>
      <c r="MR45" s="210">
        <f>COUNTIF(Tableau15[ven.29],"="&amp;"CA")</f>
        <v>0</v>
      </c>
      <c r="MS45" s="232">
        <f t="shared" si="49"/>
        <v>0</v>
      </c>
      <c r="MT45" s="210">
        <f>COUNTIF(Tableau15[dim.012],"="&amp;"CA")</f>
        <v>0</v>
      </c>
      <c r="MU45" s="210">
        <f>COUNTIF(Tableau15[lun.023],"="&amp;"CA")</f>
        <v>0</v>
      </c>
      <c r="MV45" s="210">
        <f>COUNTIF(Tableau15[mar.034],"="&amp;"CA")</f>
        <v>0</v>
      </c>
      <c r="MW45" s="210">
        <f>COUNTIF(Tableau15[mer.045],"="&amp;"CA")</f>
        <v>0</v>
      </c>
      <c r="MX45" s="210">
        <f>COUNTIF(Tableau15[jeu.056],"="&amp;"CA")</f>
        <v>0</v>
      </c>
      <c r="MY45" s="210">
        <f>COUNTIF(Tableau15[ven.067],"="&amp;"CA")</f>
        <v>0</v>
      </c>
      <c r="MZ45" s="232">
        <f t="shared" si="50"/>
        <v>0</v>
      </c>
      <c r="NA45" s="210">
        <f>COUNTIF(Tableau15[dim.089],"="&amp;"CA")</f>
        <v>0</v>
      </c>
      <c r="NB45" s="210">
        <f>COUNTIF(Tableau15[lun.0910],"="&amp;"CA")</f>
        <v>0</v>
      </c>
      <c r="NC45" s="210">
        <f>COUNTIF(Tableau15[mar.1011],"="&amp;"CA")</f>
        <v>0</v>
      </c>
      <c r="ND45" s="210">
        <f>COUNTIF(Tableau15[mer.1112],"="&amp;"CA")</f>
        <v>0</v>
      </c>
      <c r="NE45" s="210">
        <f>COUNTIF(Tableau15[jeu.1213],"="&amp;"CA")</f>
        <v>0</v>
      </c>
      <c r="NF45" s="210">
        <f>COUNTIF(Tableau15[ven.1314],"="&amp;"CA")</f>
        <v>0</v>
      </c>
      <c r="NG45" s="232">
        <f t="shared" si="51"/>
        <v>0</v>
      </c>
      <c r="NH45" s="210">
        <f>COUNTIF(Tableau15[dim.1516],"="&amp;"CA")</f>
        <v>0</v>
      </c>
      <c r="NI45" s="210">
        <f>COUNTIF(Tableau15[lun.1617],"="&amp;"CA")</f>
        <v>0</v>
      </c>
      <c r="NJ45" s="210">
        <f>COUNTIF(Tableau15[mar.1718],"="&amp;"CA")</f>
        <v>0</v>
      </c>
      <c r="NK45" s="210">
        <f>COUNTIF(Tableau15[mer.1819],"="&amp;"CA")</f>
        <v>0</v>
      </c>
      <c r="NL45" s="210">
        <f>COUNTIF(Tableau15[jeu.1920],"="&amp;"CA")</f>
        <v>0</v>
      </c>
      <c r="NM45" s="210">
        <f>COUNTIF(Tableau15[ven.2021],"="&amp;"CA")</f>
        <v>0</v>
      </c>
      <c r="NN45" s="232">
        <f t="shared" si="52"/>
        <v>0</v>
      </c>
      <c r="NO45" s="210">
        <f>COUNTIF(Tableau15[dim.2223],"="&amp;"CA")</f>
        <v>0</v>
      </c>
      <c r="NP45" s="210">
        <f>COUNTIF(Tableau15[lun.2324],"="&amp;"CA")</f>
        <v>0</v>
      </c>
      <c r="NQ45" s="210">
        <f>COUNTIF(Tableau15[mar.2425],"="&amp;"CA")</f>
        <v>0</v>
      </c>
      <c r="NR45" s="210">
        <f>COUNTIF(Tableau15[mer.2526],"="&amp;"CA")</f>
        <v>0</v>
      </c>
      <c r="NS45" s="210">
        <f>COUNTIF(Tableau15[jeu.2627],"="&amp;"CA")</f>
        <v>0</v>
      </c>
      <c r="NT45" s="210">
        <f>COUNTIF(Tableau15[ven.2728],"="&amp;"CA")</f>
        <v>0</v>
      </c>
      <c r="NU45" s="244">
        <f t="shared" si="53"/>
        <v>0</v>
      </c>
    </row>
    <row r="46" spans="4:386" x14ac:dyDescent="0.3">
      <c r="H46" s="243" t="s">
        <v>457</v>
      </c>
      <c r="I46" s="210">
        <f>COUNTIF(Tableau15[lun.10],"="&amp;"FLM")</f>
        <v>0</v>
      </c>
      <c r="J46" s="210">
        <f>COUNTIF(Tableau15[mar.11],"="&amp;"FLM")</f>
        <v>0</v>
      </c>
      <c r="K46" s="210">
        <f>COUNTIF(Tableau15[mer.12],"="&amp;"FLM")</f>
        <v>0</v>
      </c>
      <c r="L46" s="210">
        <f>COUNTIF(Tableau15[jeu.13],"="&amp;"FLM")</f>
        <v>0</v>
      </c>
      <c r="M46" s="210">
        <f>COUNTIF(Tableau15[ven.14],"="&amp;"FLM")</f>
        <v>0</v>
      </c>
      <c r="N46" s="232">
        <f t="shared" si="4"/>
        <v>0</v>
      </c>
      <c r="O46" s="210">
        <f>COUNTIF(Tableau15[dim.16],"="&amp;"FLM")</f>
        <v>0</v>
      </c>
      <c r="P46" s="210">
        <f>COUNTIF(Tableau15[lun.17],"="&amp;"FLM")</f>
        <v>0</v>
      </c>
      <c r="Q46" s="210">
        <f>COUNTIF(Tableau15[mar.18],"="&amp;"FLM")</f>
        <v>0</v>
      </c>
      <c r="R46" s="210">
        <f>COUNTIF(Tableau15[mer.19],"="&amp;"FLM")</f>
        <v>0</v>
      </c>
      <c r="S46" s="210">
        <f>COUNTIF(Tableau15[jeu.20],"="&amp;"FLM")</f>
        <v>0</v>
      </c>
      <c r="T46" s="210">
        <f>COUNTIF(Tableau15[ven.21],"="&amp;"FLM")</f>
        <v>0</v>
      </c>
      <c r="U46" s="232">
        <f t="shared" si="5"/>
        <v>0</v>
      </c>
      <c r="V46" s="210">
        <f>COUNTIF(Tableau15[dim.23],"="&amp;"FLM")</f>
        <v>0</v>
      </c>
      <c r="W46" s="210">
        <f>COUNTIF(Tableau15[lun.24],"="&amp;"FLM")</f>
        <v>0</v>
      </c>
      <c r="X46" s="210">
        <f>COUNTIF(Tableau15[mar.25],"="&amp;"FLM")</f>
        <v>0</v>
      </c>
      <c r="Y46" s="210">
        <f>COUNTIF(Tableau15[mer.26],"="&amp;"FLM")</f>
        <v>0</v>
      </c>
      <c r="Z46" s="210">
        <f>COUNTIF(Tableau15[jeu.27],"="&amp;"FLM")</f>
        <v>0</v>
      </c>
      <c r="AA46" s="210">
        <f>COUNTIF(Tableau15[ven.28],"="&amp;"FLM")</f>
        <v>0</v>
      </c>
      <c r="AB46" s="232">
        <f t="shared" si="6"/>
        <v>0</v>
      </c>
      <c r="AC46" s="210">
        <f>COUNTIF(Tableau15[dim.30],"="&amp;"FLM")</f>
        <v>0</v>
      </c>
      <c r="AD46" s="210">
        <f>COUNTIF(Tableau15[lun.01],"="&amp;"FLM")</f>
        <v>0</v>
      </c>
      <c r="AE46" s="210">
        <f>COUNTIF(Tableau15[mar.02],"="&amp;"FLM")</f>
        <v>0</v>
      </c>
      <c r="AF46" s="210">
        <f>COUNTIF(Tableau15[mer.03],"="&amp;"FLM")</f>
        <v>0</v>
      </c>
      <c r="AG46" s="210">
        <f>COUNTIF(Tableau15[jeu.04],"="&amp;"FLM")</f>
        <v>0</v>
      </c>
      <c r="AH46" s="210">
        <f>COUNTIF(Tableau15[ven.05],"="&amp;"FLM")</f>
        <v>0</v>
      </c>
      <c r="AI46" s="232">
        <f t="shared" si="7"/>
        <v>0</v>
      </c>
      <c r="AJ46" s="210">
        <f>COUNTIF(Tableau15[dim.07],"="&amp;"FLM")</f>
        <v>0</v>
      </c>
      <c r="AK46" s="210">
        <f>COUNTIF(Tableau15[lun.08],"="&amp;"FLM")</f>
        <v>0</v>
      </c>
      <c r="AL46" s="210">
        <f>COUNTIF(Tableau15[mar.09],"="&amp;"FLM")</f>
        <v>0</v>
      </c>
      <c r="AM46" s="210">
        <f>COUNTIF(Tableau15[mer.10],"="&amp;"FLM")</f>
        <v>0</v>
      </c>
      <c r="AN46" s="210">
        <f>COUNTIF(Tableau15[jeu.11],"="&amp;"FLM")</f>
        <v>0</v>
      </c>
      <c r="AO46" s="210">
        <f>COUNTIF(Tableau15[ven.12],"="&amp;"FLM")</f>
        <v>0</v>
      </c>
      <c r="AP46" s="232">
        <f t="shared" si="8"/>
        <v>0</v>
      </c>
      <c r="AQ46" s="210">
        <f>COUNTIF(Tableau15[dim.14],"="&amp;"FLM")</f>
        <v>0</v>
      </c>
      <c r="AR46" s="210">
        <f>COUNTIF(Tableau15[lun.15],"="&amp;"FLM")</f>
        <v>1</v>
      </c>
      <c r="AS46" s="210">
        <f>COUNTIF(Tableau15[mar.16],"="&amp;"FLM")</f>
        <v>1</v>
      </c>
      <c r="AT46" s="210">
        <f>COUNTIF(Tableau15[mer.17],"="&amp;"FLM")</f>
        <v>1</v>
      </c>
      <c r="AU46" s="210">
        <f>COUNTIF(Tableau15[jeu.18],"="&amp;"FLM")</f>
        <v>1</v>
      </c>
      <c r="AV46" s="210">
        <f>COUNTIF(Tableau15[ven.19],"="&amp;"FLM")</f>
        <v>1</v>
      </c>
      <c r="AW46" s="232">
        <f t="shared" si="9"/>
        <v>5</v>
      </c>
      <c r="AX46" s="210">
        <f>COUNTIF(Tableau15[dim.21],"="&amp;"FLM")</f>
        <v>0</v>
      </c>
      <c r="AY46" s="210">
        <f>COUNTIF(Tableau15[lun.22],"="&amp;"FLM")</f>
        <v>0</v>
      </c>
      <c r="AZ46" s="210">
        <f>COUNTIF(Tableau15[mar.23],"="&amp;"FLM")</f>
        <v>0</v>
      </c>
      <c r="BA46" s="210">
        <f>COUNTIF(Tableau15[mer.24],"="&amp;"FLM")</f>
        <v>0</v>
      </c>
      <c r="BB46" s="210">
        <f>COUNTIF(Tableau15[jeu.25],"="&amp;"FLM")</f>
        <v>0</v>
      </c>
      <c r="BC46" s="210">
        <f>COUNTIF(Tableau15[ven.26],"="&amp;"FLM")</f>
        <v>0</v>
      </c>
      <c r="BD46" s="232">
        <f t="shared" si="10"/>
        <v>0</v>
      </c>
      <c r="BE46" s="210">
        <f>COUNTIF(Tableau15[dim.28],"="&amp;"FLM")</f>
        <v>0</v>
      </c>
      <c r="BF46" s="210">
        <f>COUNTIF(Tableau15[lun.29],"="&amp;"FLM")</f>
        <v>0</v>
      </c>
      <c r="BG46" s="210">
        <f>COUNTIF(Tableau15[mar.30],"="&amp;"FLM")</f>
        <v>0</v>
      </c>
      <c r="BH46" s="210">
        <f>COUNTIF(Tableau15[mer.31],"="&amp;"FLM")</f>
        <v>0</v>
      </c>
      <c r="BI46" s="210">
        <f>COUNTIF(Tableau15[jeu.01],"="&amp;"FLM")</f>
        <v>0</v>
      </c>
      <c r="BJ46" s="210">
        <f>COUNTIF(Tableau15[ven.02],"="&amp;"FLM")</f>
        <v>0</v>
      </c>
      <c r="BK46" s="232">
        <f t="shared" si="11"/>
        <v>0</v>
      </c>
      <c r="BL46" s="210">
        <f>COUNTIF(Tableau15[dim.04],"="&amp;"FLM")</f>
        <v>0</v>
      </c>
      <c r="BM46" s="210">
        <f>COUNTIF(Tableau15[lun.05],"="&amp;"FLM")</f>
        <v>0</v>
      </c>
      <c r="BN46" s="210">
        <f>COUNTIF(Tableau15[mar.06],"="&amp;"FLM")</f>
        <v>0</v>
      </c>
      <c r="BO46" s="210">
        <f>COUNTIF(Tableau15[mer.07],"="&amp;"FLM")</f>
        <v>0</v>
      </c>
      <c r="BP46" s="210">
        <f>COUNTIF(Tableau15[jeu.08],"="&amp;"FLM")</f>
        <v>0</v>
      </c>
      <c r="BQ46" s="210">
        <f>COUNTIF(Tableau15[ven.09],"="&amp;"FLM")</f>
        <v>0</v>
      </c>
      <c r="BR46" s="232">
        <f t="shared" si="12"/>
        <v>0</v>
      </c>
      <c r="BS46" s="210">
        <f>COUNTIF(Tableau15[dim.11],"="&amp;"FLM")</f>
        <v>0</v>
      </c>
      <c r="BT46" s="210">
        <f>COUNTIF(Tableau15[lun.12],"="&amp;"FLM")</f>
        <v>0</v>
      </c>
      <c r="BU46" s="210">
        <f>COUNTIF(Tableau15[mar.13],"="&amp;"FLM")</f>
        <v>0</v>
      </c>
      <c r="BV46" s="210">
        <f>COUNTIF(Tableau15[mer.14],"="&amp;"FLM")</f>
        <v>0</v>
      </c>
      <c r="BW46" s="210">
        <f>COUNTIF(Tableau15[jeu.15],"="&amp;"FLM")</f>
        <v>0</v>
      </c>
      <c r="BX46" s="210">
        <f>COUNTIF(Tableau15[ven.16],"="&amp;"FLM")</f>
        <v>0</v>
      </c>
      <c r="BY46" s="232">
        <f t="shared" si="13"/>
        <v>0</v>
      </c>
      <c r="BZ46" s="210">
        <f>COUNTIF(Tableau15[dim.18],"="&amp;"FLM")</f>
        <v>0</v>
      </c>
      <c r="CA46" s="210">
        <f>COUNTIF(Tableau15[lun.19],"="&amp;"FLM")</f>
        <v>0</v>
      </c>
      <c r="CB46" s="210">
        <f>COUNTIF(Tableau15[mar.20],"="&amp;"FLM")</f>
        <v>0</v>
      </c>
      <c r="CC46" s="210">
        <f>COUNTIF(Tableau15[mer.21],"="&amp;"FLM")</f>
        <v>0</v>
      </c>
      <c r="CD46" s="210">
        <f>COUNTIF(Tableau15[jeu.22],"="&amp;"FLM")</f>
        <v>0</v>
      </c>
      <c r="CE46" s="210">
        <f>COUNTIF(Tableau15[ven.23],"="&amp;"FLM")</f>
        <v>0</v>
      </c>
      <c r="CF46" s="232">
        <f t="shared" si="14"/>
        <v>0</v>
      </c>
      <c r="CG46" s="210">
        <f>COUNTIF(Tableau15[dim.25],"="&amp;"FLM")</f>
        <v>0</v>
      </c>
      <c r="CH46" s="210">
        <f>COUNTIF(Tableau15[lun.26],"="&amp;"FLM")</f>
        <v>0</v>
      </c>
      <c r="CI46" s="210">
        <f>COUNTIF(Tableau15[mar.27],"="&amp;"FLM")</f>
        <v>0</v>
      </c>
      <c r="CJ46" s="210">
        <f>COUNTIF(Tableau15[mer.28],"="&amp;"FLM")</f>
        <v>0</v>
      </c>
      <c r="CK46" s="210">
        <f>COUNTIF(Tableau15[jeu.29],"="&amp;"FLM")</f>
        <v>0</v>
      </c>
      <c r="CL46" s="210">
        <f>COUNTIF(Tableau15[ven.30],"="&amp;"FLM")</f>
        <v>0</v>
      </c>
      <c r="CM46" s="232">
        <f t="shared" si="15"/>
        <v>0</v>
      </c>
      <c r="CN46" s="210">
        <f>COUNTIF(Tableau15[dim.01],"="&amp;"FLM")</f>
        <v>0</v>
      </c>
      <c r="CO46" s="210">
        <f>COUNTIF(Tableau15[lun.02],"="&amp;"FLM")</f>
        <v>0</v>
      </c>
      <c r="CP46" s="210">
        <f>COUNTIF(Tableau15[mar.03],"="&amp;"FLM")</f>
        <v>0</v>
      </c>
      <c r="CQ46" s="210">
        <f>COUNTIF(Tableau15[mer.04],"="&amp;"FLM")</f>
        <v>0</v>
      </c>
      <c r="CR46" s="210">
        <f>COUNTIF(Tableau15[jeu.05],"="&amp;"FLM")</f>
        <v>0</v>
      </c>
      <c r="CS46" s="210">
        <f>COUNTIF(Tableau15[ven.06],"="&amp;"FLM")</f>
        <v>0</v>
      </c>
      <c r="CT46" s="232">
        <f t="shared" si="16"/>
        <v>0</v>
      </c>
      <c r="CU46" s="210">
        <f>COUNTIF(Tableau15[dim.08],"="&amp;"FLM")</f>
        <v>0</v>
      </c>
      <c r="CV46" s="210">
        <f>COUNTIF(Tableau15[lun.09],"="&amp;"FLM")</f>
        <v>0</v>
      </c>
      <c r="CW46" s="210">
        <f>COUNTIF(Tableau15[mar.10],"="&amp;"FLM")</f>
        <v>0</v>
      </c>
      <c r="CX46" s="210">
        <f>COUNTIF(Tableau15[mer.11],"="&amp;"FLM")</f>
        <v>0</v>
      </c>
      <c r="CY46" s="210">
        <f>COUNTIF(Tableau15[jeu.12],"="&amp;"FLM")</f>
        <v>0</v>
      </c>
      <c r="CZ46" s="210">
        <f>COUNTIF(Tableau15[ven.13],"="&amp;"FLM")</f>
        <v>0</v>
      </c>
      <c r="DA46" s="232">
        <f t="shared" si="17"/>
        <v>0</v>
      </c>
      <c r="DB46" s="210">
        <f>COUNTIF(Tableau15[dim.15],"="&amp;"FLM")</f>
        <v>0</v>
      </c>
      <c r="DC46" s="210">
        <f>COUNTIF(Tableau15[lun.16],"="&amp;"FLM")</f>
        <v>0</v>
      </c>
      <c r="DD46" s="210">
        <f>COUNTIF(Tableau15[mar.17],"="&amp;"FLM")</f>
        <v>0</v>
      </c>
      <c r="DE46" s="210">
        <f>COUNTIF(Tableau15[mer.18],"="&amp;"FLM")</f>
        <v>0</v>
      </c>
      <c r="DF46" s="210">
        <f>COUNTIF(Tableau15[jeu.19],"="&amp;"FLM")</f>
        <v>0</v>
      </c>
      <c r="DG46" s="210">
        <f>COUNTIF(Tableau15[ven.20],"="&amp;"FLM")</f>
        <v>0</v>
      </c>
      <c r="DH46" s="232">
        <f t="shared" si="18"/>
        <v>0</v>
      </c>
      <c r="DI46" s="210">
        <f>COUNTIF(Tableau15[dim.22],"="&amp;"FLM")</f>
        <v>0</v>
      </c>
      <c r="DJ46" s="210">
        <f>COUNTIF(Tableau15[lun.23],"="&amp;"FLM")</f>
        <v>0</v>
      </c>
      <c r="DK46" s="210">
        <f>COUNTIF(Tableau15[mar.24],"="&amp;"FLM")</f>
        <v>0</v>
      </c>
      <c r="DL46" s="210">
        <f>COUNTIF(Tableau15[mer.25],"="&amp;"FLM")</f>
        <v>0</v>
      </c>
      <c r="DM46" s="210">
        <f>COUNTIF(Tableau15[jeu.26],"="&amp;"FLM")</f>
        <v>0</v>
      </c>
      <c r="DN46" s="210">
        <f>COUNTIF(Tableau15[ven.27],"="&amp;"FLM")</f>
        <v>0</v>
      </c>
      <c r="DO46" s="232">
        <f t="shared" si="19"/>
        <v>0</v>
      </c>
      <c r="DP46" s="210">
        <f>COUNTIF(Tableau15[dim.29],"="&amp;"FLM")</f>
        <v>0</v>
      </c>
      <c r="DQ46" s="210">
        <f>COUNTIF(Tableau15[lun.30],"="&amp;"FLM")</f>
        <v>0</v>
      </c>
      <c r="DR46" s="210">
        <f>COUNTIF(Tableau15[mar.01],"="&amp;"FLM")</f>
        <v>0</v>
      </c>
      <c r="DS46" s="210">
        <f>COUNTIF(Tableau15[mer.02],"="&amp;"FLM")</f>
        <v>0</v>
      </c>
      <c r="DT46" s="210">
        <f>COUNTIF(Tableau15[jeu.03],"="&amp;"FLM")</f>
        <v>0</v>
      </c>
      <c r="DU46" s="210">
        <f>COUNTIF(Tableau15[ven.04],"="&amp;"FLM")</f>
        <v>0</v>
      </c>
      <c r="DV46" s="232">
        <f t="shared" si="20"/>
        <v>0</v>
      </c>
      <c r="DW46" s="210">
        <f>COUNTIF(Tableau15[dim.06],"="&amp;"FLM")</f>
        <v>0</v>
      </c>
      <c r="DX46" s="210">
        <f>COUNTIF(Tableau15[lun.07],"="&amp;"FLM")</f>
        <v>0</v>
      </c>
      <c r="DY46" s="210">
        <f>COUNTIF(Tableau15[mar.08],"="&amp;"FLM")</f>
        <v>0</v>
      </c>
      <c r="DZ46" s="210">
        <f>COUNTIF(Tableau15[mer.09],"="&amp;"FLM")</f>
        <v>0</v>
      </c>
      <c r="EA46" s="210">
        <f>COUNTIF(Tableau15[jeu.10],"="&amp;"FLM")</f>
        <v>0</v>
      </c>
      <c r="EB46" s="210">
        <f>COUNTIF(Tableau15[ven.11],"="&amp;"FLM")</f>
        <v>0</v>
      </c>
      <c r="EC46" s="232">
        <f t="shared" si="21"/>
        <v>0</v>
      </c>
      <c r="ED46" s="210">
        <f>COUNTIF(Tableau15[dim.13],"="&amp;"FLM")</f>
        <v>0</v>
      </c>
      <c r="EE46" s="210">
        <f>COUNTIF(Tableau15[lun.14],"="&amp;"FLM")</f>
        <v>0</v>
      </c>
      <c r="EF46" s="210">
        <f>COUNTIF(Tableau15[mar.15],"="&amp;"FLM")</f>
        <v>0</v>
      </c>
      <c r="EG46" s="210">
        <f>COUNTIF(Tableau15[mer.16],"="&amp;"FLM")</f>
        <v>0</v>
      </c>
      <c r="EH46" s="210">
        <f>COUNTIF(Tableau15[jeu.17],"="&amp;"FLM")</f>
        <v>0</v>
      </c>
      <c r="EI46" s="210">
        <f>COUNTIF(Tableau15[ven.18],"="&amp;"FLM")</f>
        <v>0</v>
      </c>
      <c r="EJ46" s="232">
        <f t="shared" si="22"/>
        <v>0</v>
      </c>
      <c r="EK46" s="210">
        <f>COUNTIF(Tableau15[dim.20],"="&amp;"FLM")</f>
        <v>0</v>
      </c>
      <c r="EL46" s="210">
        <f>COUNTIF(Tableau15[lun.21],"="&amp;"FLM")</f>
        <v>0</v>
      </c>
      <c r="EM46" s="210">
        <f>COUNTIF(Tableau15[mar.22],"="&amp;"FLM")</f>
        <v>0</v>
      </c>
      <c r="EN46" s="210">
        <f>COUNTIF(Tableau15[mer.23],"="&amp;"FLM")</f>
        <v>0</v>
      </c>
      <c r="EO46" s="210">
        <f>COUNTIF(Tableau15[jeu.24],"="&amp;"FLM")</f>
        <v>0</v>
      </c>
      <c r="EP46" s="210">
        <f>COUNTIF(Tableau15[ven.25],"="&amp;"FLM")</f>
        <v>0</v>
      </c>
      <c r="EQ46" s="232">
        <f t="shared" si="23"/>
        <v>0</v>
      </c>
      <c r="ER46" s="210">
        <f>COUNTIF(Tableau15[dim.27],"="&amp;"FLM")</f>
        <v>0</v>
      </c>
      <c r="ES46" s="210">
        <f>COUNTIF(Tableau15[lun.28],"="&amp;"FLM")</f>
        <v>0</v>
      </c>
      <c r="ET46" s="210">
        <f>COUNTIF(Tableau15[mar.29],"="&amp;"FLM")</f>
        <v>0</v>
      </c>
      <c r="EU46" s="210">
        <f>COUNTIF(Tableau15[mer.30],"="&amp;"FLM")</f>
        <v>0</v>
      </c>
      <c r="EV46" s="210">
        <f>COUNTIF(Tableau15[jeu.31],"="&amp;"FLM")</f>
        <v>0</v>
      </c>
      <c r="EW46" s="210">
        <f>COUNTIF(Tableau15[ven.01],"="&amp;"FLM")</f>
        <v>0</v>
      </c>
      <c r="EX46" s="232">
        <f t="shared" si="24"/>
        <v>0</v>
      </c>
      <c r="EY46" s="210">
        <f>COUNTIF(Tableau15[dim.03],"="&amp;"FLM")</f>
        <v>0</v>
      </c>
      <c r="EZ46" s="210">
        <f>COUNTIF(Tableau15[lun.04],"="&amp;"FLM")</f>
        <v>0</v>
      </c>
      <c r="FA46" s="210">
        <f>COUNTIF(Tableau15[mar.05],"="&amp;"FLM")</f>
        <v>0</v>
      </c>
      <c r="FB46" s="210">
        <f>COUNTIF(Tableau15[mer.06],"="&amp;"FLM")</f>
        <v>0</v>
      </c>
      <c r="FC46" s="210">
        <f>COUNTIF(Tableau15[jeu.07],"="&amp;"FLM")</f>
        <v>0</v>
      </c>
      <c r="FD46" s="210">
        <f>COUNTIF(Tableau15[ven.08],"="&amp;"FLM")</f>
        <v>0</v>
      </c>
      <c r="FE46" s="232">
        <f t="shared" si="25"/>
        <v>0</v>
      </c>
      <c r="FF46" s="210">
        <f>COUNTIF(Tableau15[dim.10],"="&amp;"FLM")</f>
        <v>0</v>
      </c>
      <c r="FG46" s="210">
        <f>COUNTIF(Tableau15[lun.11],"="&amp;"FLM")</f>
        <v>0</v>
      </c>
      <c r="FH46" s="210">
        <f>COUNTIF(Tableau15[mar.12],"="&amp;"FLM")</f>
        <v>0</v>
      </c>
      <c r="FI46" s="210">
        <f>COUNTIF(Tableau15[mer.13],"="&amp;"FLM")</f>
        <v>0</v>
      </c>
      <c r="FJ46" s="210">
        <f>COUNTIF(Tableau15[jeu.14],"="&amp;"FLM")</f>
        <v>0</v>
      </c>
      <c r="FK46" s="210">
        <f>COUNTIF(Tableau15[ven.15],"="&amp;"FLM")</f>
        <v>0</v>
      </c>
      <c r="FL46" s="232">
        <f t="shared" si="26"/>
        <v>0</v>
      </c>
      <c r="FM46" s="210">
        <f>COUNTIF(Tableau15[dim.17],"="&amp;"FLM")</f>
        <v>0</v>
      </c>
      <c r="FN46" s="210">
        <f>COUNTIF(Tableau15[lun.18],"="&amp;"FLM")</f>
        <v>0</v>
      </c>
      <c r="FO46" s="210">
        <f>COUNTIF(Tableau15[mar.19],"="&amp;"FLM")</f>
        <v>0</v>
      </c>
      <c r="FP46" s="210">
        <f>COUNTIF(Tableau15[mer.20],"="&amp;"FLM")</f>
        <v>0</v>
      </c>
      <c r="FQ46" s="210">
        <f>COUNTIF(Tableau15[jeu.21],"="&amp;"FLM")</f>
        <v>0</v>
      </c>
      <c r="FR46" s="210">
        <f>COUNTIF(Tableau15[ven.22],"="&amp;"FLM")</f>
        <v>0</v>
      </c>
      <c r="FS46" s="232">
        <f t="shared" si="27"/>
        <v>0</v>
      </c>
      <c r="FT46" s="210">
        <f>COUNTIF(Tableau15[dim.24],"="&amp;"FLM")</f>
        <v>0</v>
      </c>
      <c r="FU46" s="210">
        <f>COUNTIF(Tableau15[lun.25],"="&amp;"FLM")</f>
        <v>0</v>
      </c>
      <c r="FV46" s="210">
        <f>COUNTIF(Tableau15[mar.26],"="&amp;"FLM")</f>
        <v>0</v>
      </c>
      <c r="FW46" s="210">
        <f>COUNTIF(Tableau15[mer.27],"="&amp;"FLM")</f>
        <v>0</v>
      </c>
      <c r="FX46" s="210">
        <f>COUNTIF(Tableau15[jeu.28],"="&amp;"FLM")</f>
        <v>0</v>
      </c>
      <c r="FY46" s="210">
        <f>COUNTIF(Tableau15[ven.29],"="&amp;"FLM")</f>
        <v>0</v>
      </c>
      <c r="FZ46" s="232">
        <f t="shared" si="28"/>
        <v>0</v>
      </c>
      <c r="GA46" s="210">
        <f>COUNTIF(Tableau15[dim.012],"="&amp;"FLM")</f>
        <v>0</v>
      </c>
      <c r="GB46" s="210">
        <f>COUNTIF(Tableau15[lun.023],"="&amp;"FLM")</f>
        <v>0</v>
      </c>
      <c r="GC46" s="210">
        <f>COUNTIF(Tableau15[mar.034],"="&amp;"FLM")</f>
        <v>0</v>
      </c>
      <c r="GD46" s="210">
        <f>COUNTIF(Tableau15[mer.045],"="&amp;"FLM")</f>
        <v>0</v>
      </c>
      <c r="GE46" s="210">
        <f>COUNTIF(Tableau15[jeu.056],"="&amp;"FLM")</f>
        <v>0</v>
      </c>
      <c r="GF46" s="210">
        <f>COUNTIF(Tableau15[ven.067],"="&amp;"FLM")</f>
        <v>0</v>
      </c>
      <c r="GG46" s="232">
        <f t="shared" si="29"/>
        <v>0</v>
      </c>
      <c r="GH46" s="210">
        <f>COUNTIF(Tableau15[dim.089],"="&amp;"FLM")</f>
        <v>0</v>
      </c>
      <c r="GI46" s="210">
        <f>COUNTIF(Tableau15[lun.0910],"="&amp;"FLM")</f>
        <v>0</v>
      </c>
      <c r="GJ46" s="210">
        <f>COUNTIF(Tableau15[mar.1011],"="&amp;"FLM")</f>
        <v>0</v>
      </c>
      <c r="GK46" s="210">
        <f>COUNTIF(Tableau15[mer.1112],"="&amp;"FLM")</f>
        <v>0</v>
      </c>
      <c r="GL46" s="210">
        <f>COUNTIF(Tableau15[jeu.1213],"="&amp;"FLM")</f>
        <v>0</v>
      </c>
      <c r="GM46" s="210">
        <f>COUNTIF(Tableau15[ven.1314],"="&amp;"FLM")</f>
        <v>0</v>
      </c>
      <c r="GN46" s="232">
        <f t="shared" si="30"/>
        <v>0</v>
      </c>
      <c r="GO46" s="210">
        <f>COUNTIF(Tableau15[dim.1516],"="&amp;"FLM")</f>
        <v>0</v>
      </c>
      <c r="GP46" s="210">
        <f>COUNTIF(Tableau15[lun.1617],"="&amp;"FLM")</f>
        <v>0</v>
      </c>
      <c r="GQ46" s="210">
        <f>COUNTIF(Tableau15[mar.1718],"="&amp;"FLM")</f>
        <v>0</v>
      </c>
      <c r="GR46" s="210">
        <f>COUNTIF(Tableau15[mer.1819],"="&amp;"FLM")</f>
        <v>0</v>
      </c>
      <c r="GS46" s="210">
        <f>COUNTIF(Tableau15[jeu.1920],"="&amp;"FLM")</f>
        <v>0</v>
      </c>
      <c r="GT46" s="210">
        <f>COUNTIF(Tableau15[ven.2021],"="&amp;"FLM")</f>
        <v>0</v>
      </c>
      <c r="GU46" s="232">
        <f t="shared" si="31"/>
        <v>0</v>
      </c>
      <c r="GV46" s="210">
        <f>COUNTIF(Tableau15[dim.2223],"="&amp;"FLM")</f>
        <v>0</v>
      </c>
      <c r="GW46" s="210">
        <f>COUNTIF(Tableau15[lun.2324],"="&amp;"FLM")</f>
        <v>0</v>
      </c>
      <c r="GX46" s="210">
        <f>COUNTIF(Tableau15[mar.2425],"="&amp;"FLM")</f>
        <v>0</v>
      </c>
      <c r="GY46" s="210">
        <f>COUNTIF(Tableau15[mer.2526],"="&amp;"FLM")</f>
        <v>0</v>
      </c>
      <c r="GZ46" s="210">
        <f>COUNTIF(Tableau15[jeu.2627],"="&amp;"FLM")</f>
        <v>0</v>
      </c>
      <c r="HA46" s="210">
        <f>COUNTIF(Tableau15[ven.2728],"="&amp;"FLM")</f>
        <v>0</v>
      </c>
      <c r="HB46" s="244">
        <f t="shared" si="32"/>
        <v>0</v>
      </c>
      <c r="HD46" s="210">
        <f>COUNTIF(Tableau15[lun.08],"="&amp;"FLM")</f>
        <v>0</v>
      </c>
      <c r="HE46" s="210">
        <f>COUNTIF(Tableau15[mar.09],"="&amp;"FLM")</f>
        <v>0</v>
      </c>
      <c r="HF46" s="210">
        <f>COUNTIF(Tableau15[mer.10],"="&amp;"FLM")</f>
        <v>0</v>
      </c>
      <c r="HG46" s="210">
        <f>COUNTIF(Tableau15[jeu.11],"="&amp;"FLM")</f>
        <v>0</v>
      </c>
      <c r="HH46" s="210">
        <f>COUNTIF(Tableau15[ven.12],"="&amp;"FLM")</f>
        <v>0</v>
      </c>
      <c r="HI46" s="232">
        <f t="shared" si="33"/>
        <v>0</v>
      </c>
      <c r="HJ46" s="210">
        <f>COUNTIF(Tableau15[dim.14],"="&amp;"FLM")</f>
        <v>0</v>
      </c>
      <c r="HK46" s="210">
        <f>COUNTIF(Tableau15[lun.15],"="&amp;"FLM")</f>
        <v>1</v>
      </c>
      <c r="HL46" s="210">
        <f>COUNTIF(Tableau15[mar.16],"="&amp;"FLM")</f>
        <v>1</v>
      </c>
      <c r="HM46" s="210">
        <f>COUNTIF(Tableau15[mer.17],"="&amp;"FLM")</f>
        <v>1</v>
      </c>
      <c r="HN46" s="210">
        <f>COUNTIF(Tableau15[jeu.18],"="&amp;"FLM")</f>
        <v>1</v>
      </c>
      <c r="HO46" s="210">
        <f>COUNTIF(Tableau15[ven.19],"="&amp;"FLM")</f>
        <v>1</v>
      </c>
      <c r="HP46" s="232">
        <f t="shared" si="34"/>
        <v>5</v>
      </c>
      <c r="HQ46" s="210">
        <f>COUNTIF(Tableau15[dim.21],"="&amp;"FLM")</f>
        <v>0</v>
      </c>
      <c r="HR46" s="210">
        <f>COUNTIF(Tableau15[lun.22],"="&amp;"FLM")</f>
        <v>0</v>
      </c>
      <c r="HS46" s="210">
        <f>COUNTIF(Tableau15[mar.23],"="&amp;"FLM")</f>
        <v>0</v>
      </c>
      <c r="HT46" s="210">
        <f>COUNTIF(Tableau15[mer.24],"="&amp;"FLM")</f>
        <v>0</v>
      </c>
      <c r="HU46" s="210">
        <f>COUNTIF(Tableau15[jeu.25],"="&amp;"FLM")</f>
        <v>0</v>
      </c>
      <c r="HV46" s="210">
        <f>COUNTIF(Tableau15[ven.26],"="&amp;"FLM")</f>
        <v>0</v>
      </c>
      <c r="HW46" s="232">
        <f t="shared" si="35"/>
        <v>0</v>
      </c>
      <c r="HX46" s="210">
        <f>COUNTIF(Tableau15[dim.28],"="&amp;"FLM")</f>
        <v>0</v>
      </c>
      <c r="HY46" s="210">
        <f>COUNTIF(Tableau15[lun.29],"="&amp;"FLM")</f>
        <v>0</v>
      </c>
      <c r="HZ46" s="210">
        <f>COUNTIF(Tableau15[mar.30],"="&amp;"FLM")</f>
        <v>0</v>
      </c>
      <c r="IA46" s="210">
        <f>COUNTIF(Tableau15[mer.31],"="&amp;"FLM")</f>
        <v>0</v>
      </c>
      <c r="IB46" s="210">
        <f>COUNTIF(Tableau15[jeu.01],"="&amp;"FLM")</f>
        <v>0</v>
      </c>
      <c r="IC46" s="210">
        <f>COUNTIF(Tableau15[ven.02],"="&amp;"FLM")</f>
        <v>0</v>
      </c>
      <c r="ID46" s="232">
        <f t="shared" si="36"/>
        <v>0</v>
      </c>
      <c r="IE46" s="210">
        <f>COUNTIF(Tableau15[dim.04],"="&amp;"FLM")</f>
        <v>0</v>
      </c>
      <c r="IF46" s="210">
        <f>COUNTIF(Tableau15[lun.05],"="&amp;"FLM")</f>
        <v>0</v>
      </c>
      <c r="IG46" s="210">
        <f>COUNTIF(Tableau15[mar.06],"="&amp;"FLM")</f>
        <v>0</v>
      </c>
      <c r="IH46" s="210">
        <f>COUNTIF(Tableau15[mer.07],"="&amp;"FLM")</f>
        <v>0</v>
      </c>
      <c r="II46" s="210">
        <f>COUNTIF(Tableau15[jeu.08],"="&amp;"FLM")</f>
        <v>0</v>
      </c>
      <c r="IJ46" s="210">
        <f>COUNTIF(Tableau15[ven.09],"="&amp;"FLM")</f>
        <v>0</v>
      </c>
      <c r="IK46" s="232">
        <f t="shared" si="37"/>
        <v>0</v>
      </c>
      <c r="IL46" s="210">
        <f>COUNTIF(Tableau15[dim.11],"="&amp;"FLM")</f>
        <v>0</v>
      </c>
      <c r="IM46" s="210">
        <f>COUNTIF(Tableau15[lun.12],"="&amp;"FLM")</f>
        <v>0</v>
      </c>
      <c r="IN46" s="210">
        <f>COUNTIF(Tableau15[mar.13],"="&amp;"FLM")</f>
        <v>0</v>
      </c>
      <c r="IO46" s="210">
        <f>COUNTIF(Tableau15[mer.14],"="&amp;"FLM")</f>
        <v>0</v>
      </c>
      <c r="IP46" s="210">
        <f>COUNTIF(Tableau15[jeu.15],"="&amp;"FLM")</f>
        <v>0</v>
      </c>
      <c r="IQ46" s="210">
        <f>COUNTIF(Tableau15[ven.16],"="&amp;"FLM")</f>
        <v>0</v>
      </c>
      <c r="IR46" s="232">
        <f t="shared" si="38"/>
        <v>0</v>
      </c>
      <c r="IS46" s="210">
        <f>COUNTIF(Tableau15[dim.18],"="&amp;"FLM")</f>
        <v>0</v>
      </c>
      <c r="IT46" s="210">
        <f>COUNTIF(Tableau15[lun.19],"="&amp;"FLM")</f>
        <v>0</v>
      </c>
      <c r="IU46" s="210">
        <f>COUNTIF(Tableau15[mar.20],"="&amp;"FLM")</f>
        <v>0</v>
      </c>
      <c r="IV46" s="210">
        <f>COUNTIF(Tableau15[mer.21],"="&amp;"FLM")</f>
        <v>0</v>
      </c>
      <c r="IW46" s="210">
        <f>COUNTIF(Tableau15[jeu.22],"="&amp;"FLM")</f>
        <v>0</v>
      </c>
      <c r="IX46" s="210">
        <f>COUNTIF(Tableau15[ven.23],"="&amp;"FLM")</f>
        <v>0</v>
      </c>
      <c r="IY46" s="232">
        <f t="shared" si="39"/>
        <v>0</v>
      </c>
      <c r="IZ46" s="210">
        <f>COUNTIF(Tableau15[dim.25],"="&amp;"FLM")</f>
        <v>0</v>
      </c>
      <c r="JA46" s="210">
        <f>COUNTIF(Tableau15[lun.26],"="&amp;"FLM")</f>
        <v>0</v>
      </c>
      <c r="JB46" s="210">
        <f>COUNTIF(Tableau15[mar.27],"="&amp;"FLM")</f>
        <v>0</v>
      </c>
      <c r="JC46" s="210">
        <f>COUNTIF(Tableau15[mer.28],"="&amp;"FLM")</f>
        <v>0</v>
      </c>
      <c r="JD46" s="210">
        <f>COUNTIF(Tableau15[jeu.29],"="&amp;"FLM")</f>
        <v>0</v>
      </c>
      <c r="JE46" s="210">
        <f>COUNTIF(Tableau15[ven.30],"="&amp;"FLM")</f>
        <v>0</v>
      </c>
      <c r="JF46" s="232">
        <f t="shared" si="40"/>
        <v>0</v>
      </c>
      <c r="JG46" s="210">
        <f>COUNTIF(Tableau15[dim.01],"="&amp;"FLM")</f>
        <v>0</v>
      </c>
      <c r="JH46" s="210">
        <f>COUNTIF(Tableau15[lun.02],"="&amp;"FLM")</f>
        <v>0</v>
      </c>
      <c r="JI46" s="210">
        <f>COUNTIF(Tableau15[mar.03],"="&amp;"FLM")</f>
        <v>0</v>
      </c>
      <c r="JJ46" s="210">
        <f>COUNTIF(Tableau15[mer.04],"="&amp;"FLM")</f>
        <v>0</v>
      </c>
      <c r="JK46" s="210">
        <f>COUNTIF(Tableau15[jeu.05],"="&amp;"FLM")</f>
        <v>0</v>
      </c>
      <c r="JL46" s="210">
        <f>COUNTIF(Tableau15[ven.06],"="&amp;"FLM")</f>
        <v>0</v>
      </c>
      <c r="JM46" s="232">
        <f t="shared" si="41"/>
        <v>0</v>
      </c>
      <c r="JN46" s="210">
        <f>COUNTIF(Tableau15[dim.08],"="&amp;"FLM")</f>
        <v>0</v>
      </c>
      <c r="JO46" s="210">
        <f>COUNTIF(Tableau15[lun.09],"="&amp;"FLM")</f>
        <v>0</v>
      </c>
      <c r="JP46" s="210">
        <f>COUNTIF(Tableau15[mar.10],"="&amp;"FLM")</f>
        <v>0</v>
      </c>
      <c r="JQ46" s="210">
        <f>COUNTIF(Tableau15[mer.11],"="&amp;"FLM")</f>
        <v>0</v>
      </c>
      <c r="JR46" s="210">
        <f>COUNTIF(Tableau15[jeu.12],"="&amp;"FLM")</f>
        <v>0</v>
      </c>
      <c r="JS46" s="210">
        <f>COUNTIF(Tableau15[ven.13],"="&amp;"FLM")</f>
        <v>0</v>
      </c>
      <c r="JT46" s="232">
        <f t="shared" si="42"/>
        <v>0</v>
      </c>
      <c r="JU46" s="210">
        <f>COUNTIF(Tableau15[dim.15],"="&amp;"FLM")</f>
        <v>0</v>
      </c>
      <c r="JV46" s="210">
        <f>COUNTIF(Tableau15[lun.16],"="&amp;"FLM")</f>
        <v>0</v>
      </c>
      <c r="JW46" s="210">
        <f>COUNTIF(Tableau15[mar.17],"="&amp;"FLM")</f>
        <v>0</v>
      </c>
      <c r="JX46" s="210">
        <f>COUNTIF(Tableau15[mer.18],"="&amp;"FLM")</f>
        <v>0</v>
      </c>
      <c r="JY46" s="210">
        <f>COUNTIF(Tableau15[jeu.19],"="&amp;"FLM")</f>
        <v>0</v>
      </c>
      <c r="JZ46" s="210">
        <f>COUNTIF(Tableau15[ven.20],"="&amp;"FLM")</f>
        <v>0</v>
      </c>
      <c r="KA46" s="232">
        <f t="shared" si="43"/>
        <v>0</v>
      </c>
      <c r="KB46" s="210">
        <f>COUNTIF(Tableau15[dim.22],"="&amp;"FLM")</f>
        <v>0</v>
      </c>
      <c r="KC46" s="210">
        <f>COUNTIF(Tableau15[lun.23],"="&amp;"FLM")</f>
        <v>0</v>
      </c>
      <c r="KD46" s="210">
        <f>COUNTIF(Tableau15[mar.24],"="&amp;"FLM")</f>
        <v>0</v>
      </c>
      <c r="KE46" s="210">
        <f>COUNTIF(Tableau15[mer.25],"="&amp;"FLM")</f>
        <v>0</v>
      </c>
      <c r="KF46" s="210">
        <f>COUNTIF(Tableau15[jeu.26],"="&amp;"FLM")</f>
        <v>0</v>
      </c>
      <c r="KG46" s="210">
        <f>COUNTIF(Tableau15[ven.27],"="&amp;"FLM")</f>
        <v>0</v>
      </c>
      <c r="KH46" s="232">
        <f t="shared" si="44"/>
        <v>0</v>
      </c>
      <c r="KI46" s="210">
        <f>COUNTIF(Tableau15[dim.29],"="&amp;"FLM")</f>
        <v>0</v>
      </c>
      <c r="KJ46" s="210">
        <f>COUNTIF(Tableau15[lun.30],"="&amp;"FLM")</f>
        <v>0</v>
      </c>
      <c r="KK46" s="210">
        <f>COUNTIF(Tableau15[mar.01],"="&amp;"FLM")</f>
        <v>0</v>
      </c>
      <c r="KL46" s="210">
        <f>COUNTIF(Tableau15[mer.02],"="&amp;"FLM")</f>
        <v>0</v>
      </c>
      <c r="KM46" s="210">
        <f>COUNTIF(Tableau15[jeu.03],"="&amp;"FLM")</f>
        <v>0</v>
      </c>
      <c r="KN46" s="210">
        <f>COUNTIF(Tableau15[ven.04],"="&amp;"FLM")</f>
        <v>0</v>
      </c>
      <c r="KO46" s="232">
        <f t="shared" si="45"/>
        <v>0</v>
      </c>
      <c r="KP46" s="210">
        <f>COUNTIF(Tableau15[dim.06],"="&amp;"FLM")</f>
        <v>0</v>
      </c>
      <c r="KQ46" s="210">
        <f>COUNTIF(Tableau15[lun.07],"="&amp;"FLM")</f>
        <v>0</v>
      </c>
      <c r="KR46" s="210">
        <f>COUNTIF(Tableau15[mar.08],"="&amp;"FLM")</f>
        <v>0</v>
      </c>
      <c r="KS46" s="210">
        <f>COUNTIF(Tableau15[mer.09],"="&amp;"FLM")</f>
        <v>0</v>
      </c>
      <c r="KT46" s="210">
        <f>COUNTIF(Tableau15[jeu.10],"="&amp;"FLM")</f>
        <v>0</v>
      </c>
      <c r="KU46" s="210">
        <f>COUNTIF(Tableau15[ven.11],"="&amp;"FLM")</f>
        <v>0</v>
      </c>
      <c r="KV46" s="232">
        <f t="shared" si="46"/>
        <v>0</v>
      </c>
      <c r="KW46" s="210">
        <f>COUNTIF(Tableau15[dim.13],"="&amp;"FLM")</f>
        <v>0</v>
      </c>
      <c r="KX46" s="210">
        <f>COUNTIF(Tableau15[lun.14],"="&amp;"FLM")</f>
        <v>0</v>
      </c>
      <c r="KY46" s="210">
        <f>COUNTIF(Tableau15[mar.15],"="&amp;"FLM")</f>
        <v>0</v>
      </c>
      <c r="KZ46" s="210">
        <f>COUNTIF(Tableau15[mer.16],"="&amp;"FLM")</f>
        <v>0</v>
      </c>
      <c r="LA46" s="210">
        <f>COUNTIF(Tableau15[jeu.17],"="&amp;"FLM")</f>
        <v>0</v>
      </c>
      <c r="LB46" s="210">
        <f>COUNTIF(Tableau15[ven.18],"="&amp;"FLM")</f>
        <v>0</v>
      </c>
      <c r="LC46" s="232">
        <f t="shared" si="47"/>
        <v>0</v>
      </c>
      <c r="LD46" s="210">
        <f>COUNTIF(Tableau15[dim.20],"="&amp;"FLM")</f>
        <v>0</v>
      </c>
      <c r="LE46" s="210">
        <f>COUNTIF(Tableau15[lun.21],"="&amp;"FLM")</f>
        <v>0</v>
      </c>
      <c r="LF46" s="210">
        <f>COUNTIF(Tableau15[mar.22],"="&amp;"FLM")</f>
        <v>0</v>
      </c>
      <c r="LG46" s="210">
        <f>COUNTIF(Tableau15[mer.23],"="&amp;"FLM")</f>
        <v>0</v>
      </c>
      <c r="LH46" s="210">
        <f>COUNTIF(Tableau15[jeu.24],"="&amp;"FLM")</f>
        <v>0</v>
      </c>
      <c r="LI46" s="210">
        <f>COUNTIF(Tableau15[ven.25],"="&amp;"FLM")</f>
        <v>0</v>
      </c>
      <c r="LJ46" s="232">
        <f t="shared" si="48"/>
        <v>0</v>
      </c>
      <c r="LK46" s="210">
        <f>COUNTIF(Tableau15[dim.27],"="&amp;"FLM")</f>
        <v>0</v>
      </c>
      <c r="LL46" s="210">
        <f>COUNTIF(Tableau15[lun.28],"="&amp;"FLM")</f>
        <v>0</v>
      </c>
      <c r="LM46" s="210">
        <f>COUNTIF(Tableau15[mar.29],"="&amp;"FLM")</f>
        <v>0</v>
      </c>
      <c r="LN46" s="210">
        <f>COUNTIF(Tableau15[mer.30],"="&amp;"FLM")</f>
        <v>0</v>
      </c>
      <c r="LO46" s="210">
        <f>COUNTIF(Tableau15[jeu.31],"="&amp;"FLM")</f>
        <v>0</v>
      </c>
      <c r="LP46" s="210">
        <f>COUNTIF(Tableau15[ven.01],"="&amp;"FLM")</f>
        <v>0</v>
      </c>
      <c r="LQ46" s="232">
        <f t="shared" si="0"/>
        <v>0</v>
      </c>
      <c r="LR46" s="210">
        <f>COUNTIF(Tableau15[dim.03],"="&amp;"FLM")</f>
        <v>0</v>
      </c>
      <c r="LS46" s="210">
        <f>COUNTIF(Tableau15[lun.04],"="&amp;"FLM")</f>
        <v>0</v>
      </c>
      <c r="LT46" s="210">
        <f>COUNTIF(Tableau15[mar.05],"="&amp;"FLM")</f>
        <v>0</v>
      </c>
      <c r="LU46" s="210">
        <f>COUNTIF(Tableau15[mer.06],"="&amp;"FLM")</f>
        <v>0</v>
      </c>
      <c r="LV46" s="210">
        <f>COUNTIF(Tableau15[jeu.07],"="&amp;"FLM")</f>
        <v>0</v>
      </c>
      <c r="LW46" s="210">
        <f>COUNTIF(Tableau15[ven.08],"="&amp;"FLM")</f>
        <v>0</v>
      </c>
      <c r="LX46" s="232">
        <f t="shared" si="1"/>
        <v>0</v>
      </c>
      <c r="LY46" s="210">
        <f>COUNTIF(Tableau15[dim.10],"="&amp;"FLM")</f>
        <v>0</v>
      </c>
      <c r="LZ46" s="210">
        <f>COUNTIF(Tableau15[lun.11],"="&amp;"FLM")</f>
        <v>0</v>
      </c>
      <c r="MA46" s="210">
        <f>COUNTIF(Tableau15[mar.12],"="&amp;"FLM")</f>
        <v>0</v>
      </c>
      <c r="MB46" s="210">
        <f>COUNTIF(Tableau15[mer.13],"="&amp;"FLM")</f>
        <v>0</v>
      </c>
      <c r="MC46" s="210">
        <f>COUNTIF(Tableau15[jeu.14],"="&amp;"FLM")</f>
        <v>0</v>
      </c>
      <c r="MD46" s="210">
        <f>COUNTIF(Tableau15[ven.15],"="&amp;"FLM")</f>
        <v>0</v>
      </c>
      <c r="ME46" s="232">
        <f t="shared" si="2"/>
        <v>0</v>
      </c>
      <c r="MF46" s="210">
        <f>COUNTIF(Tableau15[dim.17],"="&amp;"FLM")</f>
        <v>0</v>
      </c>
      <c r="MG46" s="210">
        <f>COUNTIF(Tableau15[lun.18],"="&amp;"FLM")</f>
        <v>0</v>
      </c>
      <c r="MH46" s="210">
        <f>COUNTIF(Tableau15[mar.19],"="&amp;"FLM")</f>
        <v>0</v>
      </c>
      <c r="MI46" s="210">
        <f>COUNTIF(Tableau15[mer.20],"="&amp;"FLM")</f>
        <v>0</v>
      </c>
      <c r="MJ46" s="210">
        <f>COUNTIF(Tableau15[jeu.21],"="&amp;"FLM")</f>
        <v>0</v>
      </c>
      <c r="MK46" s="210">
        <f>COUNTIF(Tableau15[ven.22],"="&amp;"FLM")</f>
        <v>0</v>
      </c>
      <c r="ML46" s="232">
        <f t="shared" si="3"/>
        <v>0</v>
      </c>
      <c r="MM46" s="210">
        <f>COUNTIF(Tableau15[dim.24],"="&amp;"FLM")</f>
        <v>0</v>
      </c>
      <c r="MN46" s="210">
        <f>COUNTIF(Tableau15[lun.25],"="&amp;"FLM")</f>
        <v>0</v>
      </c>
      <c r="MO46" s="210">
        <f>COUNTIF(Tableau15[mar.26],"="&amp;"FLM")</f>
        <v>0</v>
      </c>
      <c r="MP46" s="210">
        <f>COUNTIF(Tableau15[mer.27],"="&amp;"FLM")</f>
        <v>0</v>
      </c>
      <c r="MQ46" s="210">
        <f>COUNTIF(Tableau15[jeu.28],"="&amp;"FLM")</f>
        <v>0</v>
      </c>
      <c r="MR46" s="210">
        <f>COUNTIF(Tableau15[ven.29],"="&amp;"FLM")</f>
        <v>0</v>
      </c>
      <c r="MS46" s="232">
        <f t="shared" si="49"/>
        <v>0</v>
      </c>
      <c r="MT46" s="210">
        <f>COUNTIF(Tableau15[dim.012],"="&amp;"FLM")</f>
        <v>0</v>
      </c>
      <c r="MU46" s="210">
        <f>COUNTIF(Tableau15[lun.023],"="&amp;"FLM")</f>
        <v>0</v>
      </c>
      <c r="MV46" s="210">
        <f>COUNTIF(Tableau15[mar.034],"="&amp;"FLM")</f>
        <v>0</v>
      </c>
      <c r="MW46" s="210">
        <f>COUNTIF(Tableau15[mer.045],"="&amp;"FLM")</f>
        <v>0</v>
      </c>
      <c r="MX46" s="210">
        <f>COUNTIF(Tableau15[jeu.056],"="&amp;"FLM")</f>
        <v>0</v>
      </c>
      <c r="MY46" s="210">
        <f>COUNTIF(Tableau15[ven.067],"="&amp;"FLM")</f>
        <v>0</v>
      </c>
      <c r="MZ46" s="232">
        <f t="shared" si="50"/>
        <v>0</v>
      </c>
      <c r="NA46" s="210">
        <f>COUNTIF(Tableau15[dim.089],"="&amp;"FLM")</f>
        <v>0</v>
      </c>
      <c r="NB46" s="210">
        <f>COUNTIF(Tableau15[lun.0910],"="&amp;"FLM")</f>
        <v>0</v>
      </c>
      <c r="NC46" s="210">
        <f>COUNTIF(Tableau15[mar.1011],"="&amp;"FLM")</f>
        <v>0</v>
      </c>
      <c r="ND46" s="210">
        <f>COUNTIF(Tableau15[mer.1112],"="&amp;"FLM")</f>
        <v>0</v>
      </c>
      <c r="NE46" s="210">
        <f>COUNTIF(Tableau15[jeu.1213],"="&amp;"FLM")</f>
        <v>0</v>
      </c>
      <c r="NF46" s="210">
        <f>COUNTIF(Tableau15[ven.1314],"="&amp;"FLM")</f>
        <v>0</v>
      </c>
      <c r="NG46" s="232">
        <f t="shared" si="51"/>
        <v>0</v>
      </c>
      <c r="NH46" s="210">
        <f>COUNTIF(Tableau15[dim.1516],"="&amp;"FLM")</f>
        <v>0</v>
      </c>
      <c r="NI46" s="210">
        <f>COUNTIF(Tableau15[lun.1617],"="&amp;"FLM")</f>
        <v>0</v>
      </c>
      <c r="NJ46" s="210">
        <f>COUNTIF(Tableau15[mar.1718],"="&amp;"FLM")</f>
        <v>0</v>
      </c>
      <c r="NK46" s="210">
        <f>COUNTIF(Tableau15[mer.1819],"="&amp;"FLM")</f>
        <v>0</v>
      </c>
      <c r="NL46" s="210">
        <f>COUNTIF(Tableau15[jeu.1920],"="&amp;"FLM")</f>
        <v>0</v>
      </c>
      <c r="NM46" s="210">
        <f>COUNTIF(Tableau15[ven.2021],"="&amp;"FLM")</f>
        <v>0</v>
      </c>
      <c r="NN46" s="232">
        <f t="shared" si="52"/>
        <v>0</v>
      </c>
      <c r="NO46" s="210">
        <f>COUNTIF(Tableau15[dim.2223],"="&amp;"FLM")</f>
        <v>0</v>
      </c>
      <c r="NP46" s="210">
        <f>COUNTIF(Tableau15[lun.2324],"="&amp;"FLM")</f>
        <v>0</v>
      </c>
      <c r="NQ46" s="210">
        <f>COUNTIF(Tableau15[mar.2425],"="&amp;"FLM")</f>
        <v>0</v>
      </c>
      <c r="NR46" s="210">
        <f>COUNTIF(Tableau15[mer.2526],"="&amp;"FLM")</f>
        <v>0</v>
      </c>
      <c r="NS46" s="210">
        <f>COUNTIF(Tableau15[jeu.2627],"="&amp;"FLM")</f>
        <v>0</v>
      </c>
      <c r="NT46" s="210">
        <f>COUNTIF(Tableau15[ven.2728],"="&amp;"FLM")</f>
        <v>0</v>
      </c>
      <c r="NU46" s="244">
        <f t="shared" si="53"/>
        <v>0</v>
      </c>
    </row>
    <row r="47" spans="4:386" x14ac:dyDescent="0.3">
      <c r="H47" s="295" t="s">
        <v>430</v>
      </c>
      <c r="I47" s="210">
        <f>COUNTIF(Tableau15[lun.10],"="&amp;"FI")</f>
        <v>1</v>
      </c>
      <c r="J47" s="210">
        <f>COUNTIF(Tableau15[mar.11],"="&amp;"FI")</f>
        <v>1</v>
      </c>
      <c r="K47" s="210">
        <f>COUNTIF(Tableau15[mer.12],"="&amp;"FI")</f>
        <v>0</v>
      </c>
      <c r="L47" s="210">
        <f>COUNTIF(Tableau15[jeu.13],"="&amp;"FI")</f>
        <v>1</v>
      </c>
      <c r="M47" s="210">
        <f>COUNTIF(Tableau15[ven.14],"="&amp;"FI")</f>
        <v>1</v>
      </c>
      <c r="N47" s="232">
        <f t="shared" si="4"/>
        <v>4</v>
      </c>
      <c r="O47" s="210">
        <f>COUNTIF(Tableau15[dim.16],"="&amp;"FI")</f>
        <v>0</v>
      </c>
      <c r="P47" s="210">
        <f>COUNTIF(Tableau15[lun.17],"="&amp;"FI")</f>
        <v>0</v>
      </c>
      <c r="Q47" s="210">
        <f>COUNTIF(Tableau15[mar.18],"="&amp;"FI")</f>
        <v>0</v>
      </c>
      <c r="R47" s="210">
        <f>COUNTIF(Tableau15[mer.19],"="&amp;"FI")</f>
        <v>0</v>
      </c>
      <c r="S47" s="210">
        <f>COUNTIF(Tableau15[jeu.20],"="&amp;"FI")</f>
        <v>0</v>
      </c>
      <c r="T47" s="210">
        <f>COUNTIF(Tableau15[ven.21],"="&amp;"FI")</f>
        <v>0</v>
      </c>
      <c r="U47" s="232">
        <f t="shared" si="5"/>
        <v>0</v>
      </c>
      <c r="V47" s="210">
        <f>COUNTIF(Tableau15[dim.23],"="&amp;"FI")</f>
        <v>0</v>
      </c>
      <c r="W47" s="210">
        <f>COUNTIF(Tableau15[lun.24],"="&amp;"FI")</f>
        <v>0</v>
      </c>
      <c r="X47" s="210">
        <f>COUNTIF(Tableau15[mar.25],"="&amp;"FI")</f>
        <v>0</v>
      </c>
      <c r="Y47" s="210">
        <f>COUNTIF(Tableau15[mer.26],"="&amp;"FI")</f>
        <v>0</v>
      </c>
      <c r="Z47" s="210">
        <f>COUNTIF(Tableau15[jeu.27],"="&amp;"FI")</f>
        <v>0</v>
      </c>
      <c r="AA47" s="210">
        <f>COUNTIF(Tableau15[ven.28],"="&amp;"FI")</f>
        <v>0</v>
      </c>
      <c r="AB47" s="232">
        <f t="shared" si="6"/>
        <v>0</v>
      </c>
      <c r="AC47" s="210">
        <f>COUNTIF(Tableau15[dim.30],"="&amp;"FI")</f>
        <v>0</v>
      </c>
      <c r="AD47" s="210">
        <f>COUNTIF(Tableau15[lun.01],"="&amp;"FI")</f>
        <v>0</v>
      </c>
      <c r="AE47" s="210">
        <f>COUNTIF(Tableau15[mar.02],"="&amp;"FI")</f>
        <v>0</v>
      </c>
      <c r="AF47" s="210">
        <f>COUNTIF(Tableau15[mer.03],"="&amp;"FI")</f>
        <v>0</v>
      </c>
      <c r="AG47" s="210">
        <f>COUNTIF(Tableau15[jeu.04],"="&amp;"FI")</f>
        <v>0</v>
      </c>
      <c r="AH47" s="210">
        <f>COUNTIF(Tableau15[ven.05],"="&amp;"FI")</f>
        <v>0</v>
      </c>
      <c r="AI47" s="232">
        <f t="shared" si="7"/>
        <v>0</v>
      </c>
      <c r="AJ47" s="210">
        <f>COUNTIF(Tableau15[dim.07],"="&amp;"FI")</f>
        <v>0</v>
      </c>
      <c r="AK47" s="210">
        <f>COUNTIF(Tableau15[lun.08],"="&amp;"FI")</f>
        <v>0</v>
      </c>
      <c r="AL47" s="210">
        <f>COUNTIF(Tableau15[mar.09],"="&amp;"FI")</f>
        <v>0</v>
      </c>
      <c r="AM47" s="210">
        <f>COUNTIF(Tableau15[mer.10],"="&amp;"FI")</f>
        <v>0</v>
      </c>
      <c r="AN47" s="210">
        <f>COUNTIF(Tableau15[jeu.11],"="&amp;"FI")</f>
        <v>0</v>
      </c>
      <c r="AO47" s="210">
        <f>COUNTIF(Tableau15[ven.12],"="&amp;"FI")</f>
        <v>0</v>
      </c>
      <c r="AP47" s="232">
        <f t="shared" si="8"/>
        <v>0</v>
      </c>
      <c r="AQ47" s="210">
        <f>COUNTIF(Tableau15[dim.14],"="&amp;"FI")</f>
        <v>0</v>
      </c>
      <c r="AR47" s="210">
        <f>COUNTIF(Tableau15[lun.15],"="&amp;"FI")</f>
        <v>0</v>
      </c>
      <c r="AS47" s="210">
        <f>COUNTIF(Tableau15[mar.16],"="&amp;"FI")</f>
        <v>0</v>
      </c>
      <c r="AT47" s="210">
        <f>COUNTIF(Tableau15[mer.17],"="&amp;"FI")</f>
        <v>0</v>
      </c>
      <c r="AU47" s="210">
        <f>COUNTIF(Tableau15[jeu.18],"="&amp;"FI")</f>
        <v>0</v>
      </c>
      <c r="AV47" s="210">
        <f>COUNTIF(Tableau15[ven.19],"="&amp;"FI")</f>
        <v>0</v>
      </c>
      <c r="AW47" s="232">
        <f t="shared" si="9"/>
        <v>0</v>
      </c>
      <c r="AX47" s="210">
        <f>COUNTIF(Tableau15[dim.21],"="&amp;"FI")</f>
        <v>0</v>
      </c>
      <c r="AY47" s="210">
        <f>COUNTIF(Tableau15[lun.22],"="&amp;"FI")</f>
        <v>0</v>
      </c>
      <c r="AZ47" s="210">
        <f>COUNTIF(Tableau15[mar.23],"="&amp;"FI")</f>
        <v>0</v>
      </c>
      <c r="BA47" s="210">
        <f>COUNTIF(Tableau15[mer.24],"="&amp;"FI")</f>
        <v>0</v>
      </c>
      <c r="BB47" s="210">
        <f>COUNTIF(Tableau15[jeu.25],"="&amp;"FI")</f>
        <v>0</v>
      </c>
      <c r="BC47" s="210">
        <f>COUNTIF(Tableau15[ven.26],"="&amp;"FI")</f>
        <v>0</v>
      </c>
      <c r="BD47" s="232">
        <f t="shared" si="10"/>
        <v>0</v>
      </c>
      <c r="BE47" s="210">
        <f>COUNTIF(Tableau15[dim.28],"="&amp;"FI")</f>
        <v>0</v>
      </c>
      <c r="BF47" s="210">
        <f>COUNTIF(Tableau15[lun.29],"="&amp;"FI")</f>
        <v>0</v>
      </c>
      <c r="BG47" s="210">
        <f>COUNTIF(Tableau15[mar.30],"="&amp;"FI")</f>
        <v>0</v>
      </c>
      <c r="BH47" s="210">
        <f>COUNTIF(Tableau15[mer.31],"="&amp;"FI")</f>
        <v>0</v>
      </c>
      <c r="BI47" s="210">
        <f>COUNTIF(Tableau15[jeu.01],"="&amp;"FI")</f>
        <v>0</v>
      </c>
      <c r="BJ47" s="210">
        <f>COUNTIF(Tableau15[ven.02],"="&amp;"FI")</f>
        <v>0</v>
      </c>
      <c r="BK47" s="232">
        <f t="shared" si="11"/>
        <v>0</v>
      </c>
      <c r="BL47" s="210">
        <f>COUNTIF(Tableau15[dim.04],"="&amp;"FI")</f>
        <v>0</v>
      </c>
      <c r="BM47" s="210">
        <f>COUNTIF(Tableau15[lun.05],"="&amp;"FI")</f>
        <v>0</v>
      </c>
      <c r="BN47" s="210">
        <f>COUNTIF(Tableau15[mar.06],"="&amp;"FI")</f>
        <v>0</v>
      </c>
      <c r="BO47" s="210">
        <f>COUNTIF(Tableau15[mer.07],"="&amp;"FI")</f>
        <v>0</v>
      </c>
      <c r="BP47" s="210">
        <f>COUNTIF(Tableau15[jeu.08],"="&amp;"FI")</f>
        <v>0</v>
      </c>
      <c r="BQ47" s="210">
        <f>COUNTIF(Tableau15[ven.09],"="&amp;"FI")</f>
        <v>0</v>
      </c>
      <c r="BR47" s="232">
        <f t="shared" si="12"/>
        <v>0</v>
      </c>
      <c r="BS47" s="210">
        <f>COUNTIF(Tableau15[dim.11],"="&amp;"FI")</f>
        <v>0</v>
      </c>
      <c r="BT47" s="210">
        <f>COUNTIF(Tableau15[lun.12],"="&amp;"FI")</f>
        <v>0</v>
      </c>
      <c r="BU47" s="210">
        <f>COUNTIF(Tableau15[mar.13],"="&amp;"FI")</f>
        <v>0</v>
      </c>
      <c r="BV47" s="210">
        <f>COUNTIF(Tableau15[mer.14],"="&amp;"FI")</f>
        <v>0</v>
      </c>
      <c r="BW47" s="210">
        <f>COUNTIF(Tableau15[jeu.15],"="&amp;"FI")</f>
        <v>0</v>
      </c>
      <c r="BX47" s="210">
        <f>COUNTIF(Tableau15[ven.16],"="&amp;"FI")</f>
        <v>0</v>
      </c>
      <c r="BY47" s="232">
        <f t="shared" si="13"/>
        <v>0</v>
      </c>
      <c r="BZ47" s="210">
        <f>COUNTIF(Tableau15[dim.18],"="&amp;"FI")</f>
        <v>0</v>
      </c>
      <c r="CA47" s="210">
        <f>COUNTIF(Tableau15[lun.19],"="&amp;"FI")</f>
        <v>0</v>
      </c>
      <c r="CB47" s="210">
        <f>COUNTIF(Tableau15[mar.20],"="&amp;"FI")</f>
        <v>0</v>
      </c>
      <c r="CC47" s="210">
        <f>COUNTIF(Tableau15[mer.21],"="&amp;"FI")</f>
        <v>0</v>
      </c>
      <c r="CD47" s="210">
        <f>COUNTIF(Tableau15[jeu.22],"="&amp;"FI")</f>
        <v>0</v>
      </c>
      <c r="CE47" s="210">
        <f>COUNTIF(Tableau15[ven.23],"="&amp;"FI")</f>
        <v>0</v>
      </c>
      <c r="CF47" s="232">
        <f t="shared" si="14"/>
        <v>0</v>
      </c>
      <c r="CG47" s="210">
        <f>COUNTIF(Tableau15[dim.25],"="&amp;"FI")</f>
        <v>0</v>
      </c>
      <c r="CH47" s="210">
        <f>COUNTIF(Tableau15[lun.26],"="&amp;"FI")</f>
        <v>0</v>
      </c>
      <c r="CI47" s="210">
        <f>COUNTIF(Tableau15[mar.27],"="&amp;"FI")</f>
        <v>0</v>
      </c>
      <c r="CJ47" s="210">
        <f>COUNTIF(Tableau15[mer.28],"="&amp;"FI")</f>
        <v>0</v>
      </c>
      <c r="CK47" s="210">
        <f>COUNTIF(Tableau15[jeu.29],"="&amp;"FI")</f>
        <v>0</v>
      </c>
      <c r="CL47" s="210">
        <f>COUNTIF(Tableau15[ven.30],"="&amp;"FI")</f>
        <v>0</v>
      </c>
      <c r="CM47" s="232">
        <f t="shared" si="15"/>
        <v>0</v>
      </c>
      <c r="CN47" s="210">
        <f>COUNTIF(Tableau15[dim.01],"="&amp;"FI")</f>
        <v>0</v>
      </c>
      <c r="CO47" s="210">
        <f>COUNTIF(Tableau15[lun.02],"="&amp;"FI")</f>
        <v>0</v>
      </c>
      <c r="CP47" s="210">
        <f>COUNTIF(Tableau15[mar.03],"="&amp;"FI")</f>
        <v>0</v>
      </c>
      <c r="CQ47" s="210">
        <f>COUNTIF(Tableau15[mer.04],"="&amp;"FI")</f>
        <v>0</v>
      </c>
      <c r="CR47" s="210">
        <f>COUNTIF(Tableau15[jeu.05],"="&amp;"FI")</f>
        <v>0</v>
      </c>
      <c r="CS47" s="210">
        <f>COUNTIF(Tableau15[ven.06],"="&amp;"FI")</f>
        <v>0</v>
      </c>
      <c r="CT47" s="232">
        <f t="shared" si="16"/>
        <v>0</v>
      </c>
      <c r="CU47" s="210">
        <f>COUNTIF(Tableau15[dim.08],"="&amp;"FI")</f>
        <v>0</v>
      </c>
      <c r="CV47" s="210">
        <f>COUNTIF(Tableau15[lun.09],"="&amp;"FI")</f>
        <v>0</v>
      </c>
      <c r="CW47" s="210">
        <f>COUNTIF(Tableau15[mar.10],"="&amp;"FI")</f>
        <v>0</v>
      </c>
      <c r="CX47" s="210">
        <f>COUNTIF(Tableau15[mer.11],"="&amp;"FI")</f>
        <v>0</v>
      </c>
      <c r="CY47" s="210">
        <f>COUNTIF(Tableau15[jeu.12],"="&amp;"FI")</f>
        <v>0</v>
      </c>
      <c r="CZ47" s="210">
        <f>COUNTIF(Tableau15[ven.13],"="&amp;"FI")</f>
        <v>0</v>
      </c>
      <c r="DA47" s="232">
        <f t="shared" si="17"/>
        <v>0</v>
      </c>
      <c r="DB47" s="210">
        <f>COUNTIF(Tableau15[dim.15],"="&amp;"FI")</f>
        <v>0</v>
      </c>
      <c r="DC47" s="210">
        <f>COUNTIF(Tableau15[lun.16],"="&amp;"FI")</f>
        <v>0</v>
      </c>
      <c r="DD47" s="210">
        <f>COUNTIF(Tableau15[mar.17],"="&amp;"FI")</f>
        <v>0</v>
      </c>
      <c r="DE47" s="210">
        <f>COUNTIF(Tableau15[mer.18],"="&amp;"FI")</f>
        <v>0</v>
      </c>
      <c r="DF47" s="210">
        <f>COUNTIF(Tableau15[jeu.19],"="&amp;"FI")</f>
        <v>0</v>
      </c>
      <c r="DG47" s="210">
        <f>COUNTIF(Tableau15[ven.20],"="&amp;"FI")</f>
        <v>0</v>
      </c>
      <c r="DH47" s="232">
        <f t="shared" si="18"/>
        <v>0</v>
      </c>
      <c r="DI47" s="210">
        <f>COUNTIF(Tableau15[dim.22],"="&amp;"FI")</f>
        <v>0</v>
      </c>
      <c r="DJ47" s="210">
        <f>COUNTIF(Tableau15[lun.23],"="&amp;"FI")</f>
        <v>0</v>
      </c>
      <c r="DK47" s="210">
        <f>COUNTIF(Tableau15[mar.24],"="&amp;"FI")</f>
        <v>0</v>
      </c>
      <c r="DL47" s="210">
        <f>COUNTIF(Tableau15[mer.25],"="&amp;"FI")</f>
        <v>0</v>
      </c>
      <c r="DM47" s="210">
        <f>COUNTIF(Tableau15[jeu.26],"="&amp;"FI")</f>
        <v>0</v>
      </c>
      <c r="DN47" s="210">
        <f>COUNTIF(Tableau15[ven.27],"="&amp;"FI")</f>
        <v>0</v>
      </c>
      <c r="DO47" s="232">
        <f t="shared" si="19"/>
        <v>0</v>
      </c>
      <c r="DP47" s="210">
        <f>COUNTIF(Tableau15[dim.29],"="&amp;"FI")</f>
        <v>0</v>
      </c>
      <c r="DQ47" s="210">
        <f>COUNTIF(Tableau15[lun.30],"="&amp;"FI")</f>
        <v>0</v>
      </c>
      <c r="DR47" s="210">
        <f>COUNTIF(Tableau15[mar.01],"="&amp;"FI")</f>
        <v>0</v>
      </c>
      <c r="DS47" s="210">
        <f>COUNTIF(Tableau15[mer.02],"="&amp;"FI")</f>
        <v>0</v>
      </c>
      <c r="DT47" s="210">
        <f>COUNTIF(Tableau15[jeu.03],"="&amp;"FI")</f>
        <v>0</v>
      </c>
      <c r="DU47" s="210">
        <f>COUNTIF(Tableau15[ven.04],"="&amp;"FI")</f>
        <v>0</v>
      </c>
      <c r="DV47" s="232">
        <f t="shared" si="20"/>
        <v>0</v>
      </c>
      <c r="DW47" s="210">
        <f>COUNTIF(Tableau15[dim.06],"="&amp;"FI")</f>
        <v>0</v>
      </c>
      <c r="DX47" s="210">
        <f>COUNTIF(Tableau15[lun.07],"="&amp;"FI")</f>
        <v>0</v>
      </c>
      <c r="DY47" s="210">
        <f>COUNTIF(Tableau15[mar.08],"="&amp;"FI")</f>
        <v>0</v>
      </c>
      <c r="DZ47" s="210">
        <f>COUNTIF(Tableau15[mer.09],"="&amp;"FI")</f>
        <v>0</v>
      </c>
      <c r="EA47" s="210">
        <f>COUNTIF(Tableau15[jeu.10],"="&amp;"FI")</f>
        <v>0</v>
      </c>
      <c r="EB47" s="210">
        <f>COUNTIF(Tableau15[ven.11],"="&amp;"FI")</f>
        <v>0</v>
      </c>
      <c r="EC47" s="232">
        <f t="shared" si="21"/>
        <v>0</v>
      </c>
      <c r="ED47" s="210">
        <f>COUNTIF(Tableau15[dim.13],"="&amp;"FI")</f>
        <v>0</v>
      </c>
      <c r="EE47" s="210">
        <f>COUNTIF(Tableau15[lun.14],"="&amp;"FI")</f>
        <v>0</v>
      </c>
      <c r="EF47" s="210">
        <f>COUNTIF(Tableau15[mar.15],"="&amp;"FI")</f>
        <v>0</v>
      </c>
      <c r="EG47" s="210">
        <f>COUNTIF(Tableau15[mer.16],"="&amp;"FI")</f>
        <v>0</v>
      </c>
      <c r="EH47" s="210">
        <f>COUNTIF(Tableau15[jeu.17],"="&amp;"FI")</f>
        <v>0</v>
      </c>
      <c r="EI47" s="210">
        <f>COUNTIF(Tableau15[ven.18],"="&amp;"FI")</f>
        <v>0</v>
      </c>
      <c r="EJ47" s="232">
        <f t="shared" si="22"/>
        <v>0</v>
      </c>
      <c r="EK47" s="210">
        <f>COUNTIF(Tableau15[dim.20],"="&amp;"FI")</f>
        <v>0</v>
      </c>
      <c r="EL47" s="210">
        <f>COUNTIF(Tableau15[lun.21],"="&amp;"FI")</f>
        <v>0</v>
      </c>
      <c r="EM47" s="210">
        <f>COUNTIF(Tableau15[mar.22],"="&amp;"FI")</f>
        <v>0</v>
      </c>
      <c r="EN47" s="210">
        <f>COUNTIF(Tableau15[mer.23],"="&amp;"FI")</f>
        <v>0</v>
      </c>
      <c r="EO47" s="210">
        <f>COUNTIF(Tableau15[jeu.24],"="&amp;"FI")</f>
        <v>0</v>
      </c>
      <c r="EP47" s="210">
        <f>COUNTIF(Tableau15[ven.25],"="&amp;"FI")</f>
        <v>0</v>
      </c>
      <c r="EQ47" s="232">
        <f t="shared" si="23"/>
        <v>0</v>
      </c>
      <c r="ER47" s="210">
        <f>COUNTIF(Tableau15[dim.27],"="&amp;"FI")</f>
        <v>0</v>
      </c>
      <c r="ES47" s="210">
        <f>COUNTIF(Tableau15[lun.28],"="&amp;"FI")</f>
        <v>0</v>
      </c>
      <c r="ET47" s="210">
        <f>COUNTIF(Tableau15[mar.29],"="&amp;"FI")</f>
        <v>0</v>
      </c>
      <c r="EU47" s="210">
        <f>COUNTIF(Tableau15[mer.30],"="&amp;"FI")</f>
        <v>0</v>
      </c>
      <c r="EV47" s="210">
        <f>COUNTIF(Tableau15[jeu.31],"="&amp;"FI")</f>
        <v>0</v>
      </c>
      <c r="EW47" s="210">
        <f>COUNTIF(Tableau15[ven.01],"="&amp;"FI")</f>
        <v>0</v>
      </c>
      <c r="EX47" s="232">
        <f t="shared" si="24"/>
        <v>0</v>
      </c>
      <c r="EY47" s="210">
        <f>COUNTIF(Tableau15[dim.03],"="&amp;"FI")</f>
        <v>0</v>
      </c>
      <c r="EZ47" s="210">
        <f>COUNTIF(Tableau15[lun.04],"="&amp;"FI")</f>
        <v>0</v>
      </c>
      <c r="FA47" s="210">
        <f>COUNTIF(Tableau15[mar.05],"="&amp;"FI")</f>
        <v>0</v>
      </c>
      <c r="FB47" s="210">
        <f>COUNTIF(Tableau15[mer.06],"="&amp;"FI")</f>
        <v>0</v>
      </c>
      <c r="FC47" s="210">
        <f>COUNTIF(Tableau15[jeu.07],"="&amp;"FI")</f>
        <v>0</v>
      </c>
      <c r="FD47" s="210">
        <f>COUNTIF(Tableau15[ven.08],"="&amp;"FI")</f>
        <v>0</v>
      </c>
      <c r="FE47" s="232">
        <f t="shared" si="25"/>
        <v>0</v>
      </c>
      <c r="FF47" s="210">
        <f>COUNTIF(Tableau15[dim.10],"="&amp;"FI")</f>
        <v>0</v>
      </c>
      <c r="FG47" s="210">
        <f>COUNTIF(Tableau15[lun.11],"="&amp;"FI")</f>
        <v>0</v>
      </c>
      <c r="FH47" s="210">
        <f>COUNTIF(Tableau15[mar.12],"="&amp;"FI")</f>
        <v>0</v>
      </c>
      <c r="FI47" s="210">
        <f>COUNTIF(Tableau15[mer.13],"="&amp;"FI")</f>
        <v>0</v>
      </c>
      <c r="FJ47" s="210">
        <f>COUNTIF(Tableau15[jeu.14],"="&amp;"FI")</f>
        <v>0</v>
      </c>
      <c r="FK47" s="210">
        <f>COUNTIF(Tableau15[ven.15],"="&amp;"FI")</f>
        <v>0</v>
      </c>
      <c r="FL47" s="232">
        <f t="shared" si="26"/>
        <v>0</v>
      </c>
      <c r="FM47" s="210">
        <f>COUNTIF(Tableau15[dim.17],"="&amp;"FI")</f>
        <v>0</v>
      </c>
      <c r="FN47" s="210">
        <f>COUNTIF(Tableau15[lun.18],"="&amp;"FI")</f>
        <v>0</v>
      </c>
      <c r="FO47" s="210">
        <f>COUNTIF(Tableau15[mar.19],"="&amp;"FI")</f>
        <v>0</v>
      </c>
      <c r="FP47" s="210">
        <f>COUNTIF(Tableau15[mer.20],"="&amp;"FI")</f>
        <v>0</v>
      </c>
      <c r="FQ47" s="210">
        <f>COUNTIF(Tableau15[jeu.21],"="&amp;"FI")</f>
        <v>0</v>
      </c>
      <c r="FR47" s="210">
        <f>COUNTIF(Tableau15[ven.22],"="&amp;"FI")</f>
        <v>0</v>
      </c>
      <c r="FS47" s="232">
        <f t="shared" si="27"/>
        <v>0</v>
      </c>
      <c r="FT47" s="210">
        <f>COUNTIF(Tableau15[dim.24],"="&amp;"FI")</f>
        <v>0</v>
      </c>
      <c r="FU47" s="210">
        <f>COUNTIF(Tableau15[lun.25],"="&amp;"FI")</f>
        <v>0</v>
      </c>
      <c r="FV47" s="210">
        <f>COUNTIF(Tableau15[mar.26],"="&amp;"FI")</f>
        <v>0</v>
      </c>
      <c r="FW47" s="210">
        <f>COUNTIF(Tableau15[mer.27],"="&amp;"FI")</f>
        <v>0</v>
      </c>
      <c r="FX47" s="210">
        <f>COUNTIF(Tableau15[jeu.28],"="&amp;"FI")</f>
        <v>0</v>
      </c>
      <c r="FY47" s="210">
        <f>COUNTIF(Tableau15[ven.29],"="&amp;"FI")</f>
        <v>0</v>
      </c>
      <c r="FZ47" s="232">
        <f t="shared" si="28"/>
        <v>0</v>
      </c>
      <c r="GA47" s="210">
        <f>COUNTIF(Tableau15[dim.012],"="&amp;"FI")</f>
        <v>0</v>
      </c>
      <c r="GB47" s="210">
        <f>COUNTIF(Tableau15[lun.023],"="&amp;"FI")</f>
        <v>0</v>
      </c>
      <c r="GC47" s="210">
        <f>COUNTIF(Tableau15[mar.034],"="&amp;"FI")</f>
        <v>0</v>
      </c>
      <c r="GD47" s="210">
        <f>COUNTIF(Tableau15[mer.045],"="&amp;"FI")</f>
        <v>0</v>
      </c>
      <c r="GE47" s="210">
        <f>COUNTIF(Tableau15[jeu.056],"="&amp;"FI")</f>
        <v>0</v>
      </c>
      <c r="GF47" s="210">
        <f>COUNTIF(Tableau15[ven.067],"="&amp;"FI")</f>
        <v>0</v>
      </c>
      <c r="GG47" s="232">
        <f t="shared" si="29"/>
        <v>0</v>
      </c>
      <c r="GH47" s="210">
        <f>COUNTIF(Tableau15[dim.089],"="&amp;"FI")</f>
        <v>0</v>
      </c>
      <c r="GI47" s="210">
        <f>COUNTIF(Tableau15[lun.0910],"="&amp;"FI")</f>
        <v>0</v>
      </c>
      <c r="GJ47" s="210">
        <f>COUNTIF(Tableau15[mar.1011],"="&amp;"FI")</f>
        <v>0</v>
      </c>
      <c r="GK47" s="210">
        <f>COUNTIF(Tableau15[mer.1112],"="&amp;"FI")</f>
        <v>0</v>
      </c>
      <c r="GL47" s="210">
        <f>COUNTIF(Tableau15[jeu.1213],"="&amp;"FI")</f>
        <v>0</v>
      </c>
      <c r="GM47" s="210">
        <f>COUNTIF(Tableau15[ven.1314],"="&amp;"FI")</f>
        <v>0</v>
      </c>
      <c r="GN47" s="232">
        <f t="shared" si="30"/>
        <v>0</v>
      </c>
      <c r="GO47" s="210">
        <f>COUNTIF(Tableau15[dim.1516],"="&amp;"FI")</f>
        <v>0</v>
      </c>
      <c r="GP47" s="210">
        <f>COUNTIF(Tableau15[lun.1617],"="&amp;"FI")</f>
        <v>0</v>
      </c>
      <c r="GQ47" s="210">
        <f>COUNTIF(Tableau15[mar.1718],"="&amp;"FI")</f>
        <v>0</v>
      </c>
      <c r="GR47" s="210">
        <f>COUNTIF(Tableau15[mer.1819],"="&amp;"FI")</f>
        <v>0</v>
      </c>
      <c r="GS47" s="210">
        <f>COUNTIF(Tableau15[jeu.1920],"="&amp;"FI")</f>
        <v>0</v>
      </c>
      <c r="GT47" s="210">
        <f>COUNTIF(Tableau15[ven.2021],"="&amp;"FI")</f>
        <v>0</v>
      </c>
      <c r="GU47" s="232">
        <f t="shared" si="31"/>
        <v>0</v>
      </c>
      <c r="GV47" s="210">
        <f>COUNTIF(Tableau15[dim.2223],"="&amp;"FI")</f>
        <v>0</v>
      </c>
      <c r="GW47" s="210">
        <f>COUNTIF(Tableau15[lun.2324],"="&amp;"FI")</f>
        <v>0</v>
      </c>
      <c r="GX47" s="210">
        <f>COUNTIF(Tableau15[mar.2425],"="&amp;"FI")</f>
        <v>0</v>
      </c>
      <c r="GY47" s="210">
        <f>COUNTIF(Tableau15[mer.2526],"="&amp;"FI")</f>
        <v>0</v>
      </c>
      <c r="GZ47" s="210">
        <f>COUNTIF(Tableau15[jeu.2627],"="&amp;"FI")</f>
        <v>0</v>
      </c>
      <c r="HA47" s="210">
        <f>COUNTIF(Tableau15[ven.2728],"="&amp;"FI")</f>
        <v>0</v>
      </c>
      <c r="HB47" s="244">
        <f t="shared" si="32"/>
        <v>0</v>
      </c>
      <c r="HD47" s="210">
        <f>COUNTIF(Tableau15[lun.08],"="&amp;"FI")</f>
        <v>0</v>
      </c>
      <c r="HE47" s="210">
        <f>COUNTIF(Tableau15[mar.09],"="&amp;"FI")</f>
        <v>0</v>
      </c>
      <c r="HF47" s="210">
        <f>COUNTIF(Tableau15[mer.10],"="&amp;"FI")</f>
        <v>0</v>
      </c>
      <c r="HG47" s="210">
        <f>COUNTIF(Tableau15[jeu.11],"="&amp;"FI")</f>
        <v>0</v>
      </c>
      <c r="HH47" s="210">
        <f>COUNTIF(Tableau15[ven.12],"="&amp;"FI")</f>
        <v>0</v>
      </c>
      <c r="HI47" s="232">
        <f t="shared" si="33"/>
        <v>0</v>
      </c>
      <c r="HJ47" s="210">
        <f>COUNTIF(Tableau15[dim.14],"="&amp;"FI")</f>
        <v>0</v>
      </c>
      <c r="HK47" s="210">
        <f>COUNTIF(Tableau15[lun.15],"="&amp;"FI")</f>
        <v>0</v>
      </c>
      <c r="HL47" s="210">
        <f>COUNTIF(Tableau15[mar.16],"="&amp;"FI")</f>
        <v>0</v>
      </c>
      <c r="HM47" s="210">
        <f>COUNTIF(Tableau15[mer.17],"="&amp;"FI")</f>
        <v>0</v>
      </c>
      <c r="HN47" s="210">
        <f>COUNTIF(Tableau15[jeu.18],"="&amp;"FI")</f>
        <v>0</v>
      </c>
      <c r="HO47" s="210">
        <f>COUNTIF(Tableau15[ven.19],"="&amp;"FI")</f>
        <v>0</v>
      </c>
      <c r="HP47" s="232">
        <f t="shared" si="34"/>
        <v>0</v>
      </c>
      <c r="HQ47" s="210">
        <f>COUNTIF(Tableau15[dim.21],"="&amp;"FI")</f>
        <v>0</v>
      </c>
      <c r="HR47" s="210">
        <f>COUNTIF(Tableau15[lun.22],"="&amp;"FI")</f>
        <v>0</v>
      </c>
      <c r="HS47" s="210">
        <f>COUNTIF(Tableau15[mar.23],"="&amp;"FI")</f>
        <v>0</v>
      </c>
      <c r="HT47" s="210">
        <f>COUNTIF(Tableau15[mer.24],"="&amp;"FI")</f>
        <v>0</v>
      </c>
      <c r="HU47" s="210">
        <f>COUNTIF(Tableau15[jeu.25],"="&amp;"FI")</f>
        <v>0</v>
      </c>
      <c r="HV47" s="210">
        <f>COUNTIF(Tableau15[ven.26],"="&amp;"FI")</f>
        <v>0</v>
      </c>
      <c r="HW47" s="232">
        <f t="shared" si="35"/>
        <v>0</v>
      </c>
      <c r="HX47" s="210">
        <f>COUNTIF(Tableau15[dim.28],"="&amp;"FI")</f>
        <v>0</v>
      </c>
      <c r="HY47" s="210">
        <f>COUNTIF(Tableau15[lun.29],"="&amp;"FI")</f>
        <v>0</v>
      </c>
      <c r="HZ47" s="210">
        <f>COUNTIF(Tableau15[mar.30],"="&amp;"FI")</f>
        <v>0</v>
      </c>
      <c r="IA47" s="210">
        <f>COUNTIF(Tableau15[mer.31],"="&amp;"FI")</f>
        <v>0</v>
      </c>
      <c r="IB47" s="210">
        <f>COUNTIF(Tableau15[jeu.01],"="&amp;"FI")</f>
        <v>0</v>
      </c>
      <c r="IC47" s="210">
        <f>COUNTIF(Tableau15[ven.02],"="&amp;"FI")</f>
        <v>0</v>
      </c>
      <c r="ID47" s="232">
        <f t="shared" si="36"/>
        <v>0</v>
      </c>
      <c r="IE47" s="210">
        <f>COUNTIF(Tableau15[dim.04],"="&amp;"FI")</f>
        <v>0</v>
      </c>
      <c r="IF47" s="210">
        <f>COUNTIF(Tableau15[lun.05],"="&amp;"FI")</f>
        <v>0</v>
      </c>
      <c r="IG47" s="210">
        <f>COUNTIF(Tableau15[mar.06],"="&amp;"FI")</f>
        <v>0</v>
      </c>
      <c r="IH47" s="210">
        <f>COUNTIF(Tableau15[mer.07],"="&amp;"FI")</f>
        <v>0</v>
      </c>
      <c r="II47" s="210">
        <f>COUNTIF(Tableau15[jeu.08],"="&amp;"FI")</f>
        <v>0</v>
      </c>
      <c r="IJ47" s="210">
        <f>COUNTIF(Tableau15[ven.09],"="&amp;"FI")</f>
        <v>0</v>
      </c>
      <c r="IK47" s="232">
        <f t="shared" si="37"/>
        <v>0</v>
      </c>
      <c r="IL47" s="210">
        <f>COUNTIF(Tableau15[dim.11],"="&amp;"FI")</f>
        <v>0</v>
      </c>
      <c r="IM47" s="210">
        <f>COUNTIF(Tableau15[lun.12],"="&amp;"FI")</f>
        <v>0</v>
      </c>
      <c r="IN47" s="210">
        <f>COUNTIF(Tableau15[mar.13],"="&amp;"FI")</f>
        <v>0</v>
      </c>
      <c r="IO47" s="210">
        <f>COUNTIF(Tableau15[mer.14],"="&amp;"FI")</f>
        <v>0</v>
      </c>
      <c r="IP47" s="210">
        <f>COUNTIF(Tableau15[jeu.15],"="&amp;"FI")</f>
        <v>0</v>
      </c>
      <c r="IQ47" s="210">
        <f>COUNTIF(Tableau15[ven.16],"="&amp;"FI")</f>
        <v>0</v>
      </c>
      <c r="IR47" s="232">
        <f t="shared" si="38"/>
        <v>0</v>
      </c>
      <c r="IS47" s="210">
        <f>COUNTIF(Tableau15[dim.18],"="&amp;"FI")</f>
        <v>0</v>
      </c>
      <c r="IT47" s="210">
        <f>COUNTIF(Tableau15[lun.19],"="&amp;"FI")</f>
        <v>0</v>
      </c>
      <c r="IU47" s="210">
        <f>COUNTIF(Tableau15[mar.20],"="&amp;"FI")</f>
        <v>0</v>
      </c>
      <c r="IV47" s="210">
        <f>COUNTIF(Tableau15[mer.21],"="&amp;"FI")</f>
        <v>0</v>
      </c>
      <c r="IW47" s="210">
        <f>COUNTIF(Tableau15[jeu.22],"="&amp;"FI")</f>
        <v>0</v>
      </c>
      <c r="IX47" s="210">
        <f>COUNTIF(Tableau15[ven.23],"="&amp;"FI")</f>
        <v>0</v>
      </c>
      <c r="IY47" s="232">
        <f t="shared" si="39"/>
        <v>0</v>
      </c>
      <c r="IZ47" s="210">
        <f>COUNTIF(Tableau15[dim.25],"="&amp;"FI")</f>
        <v>0</v>
      </c>
      <c r="JA47" s="210">
        <f>COUNTIF(Tableau15[lun.26],"="&amp;"FI")</f>
        <v>0</v>
      </c>
      <c r="JB47" s="210">
        <f>COUNTIF(Tableau15[mar.27],"="&amp;"FI")</f>
        <v>0</v>
      </c>
      <c r="JC47" s="210">
        <f>COUNTIF(Tableau15[mer.28],"="&amp;"FI")</f>
        <v>0</v>
      </c>
      <c r="JD47" s="210">
        <f>COUNTIF(Tableau15[jeu.29],"="&amp;"FI")</f>
        <v>0</v>
      </c>
      <c r="JE47" s="210">
        <f>COUNTIF(Tableau15[ven.30],"="&amp;"FI")</f>
        <v>0</v>
      </c>
      <c r="JF47" s="232">
        <f t="shared" si="40"/>
        <v>0</v>
      </c>
      <c r="JG47" s="210">
        <f>COUNTIF(Tableau15[dim.01],"="&amp;"FI")</f>
        <v>0</v>
      </c>
      <c r="JH47" s="210">
        <f>COUNTIF(Tableau15[lun.02],"="&amp;"FI")</f>
        <v>0</v>
      </c>
      <c r="JI47" s="210">
        <f>COUNTIF(Tableau15[mar.03],"="&amp;"FI")</f>
        <v>0</v>
      </c>
      <c r="JJ47" s="210">
        <f>COUNTIF(Tableau15[mer.04],"="&amp;"FI")</f>
        <v>0</v>
      </c>
      <c r="JK47" s="210">
        <f>COUNTIF(Tableau15[jeu.05],"="&amp;"FI")</f>
        <v>0</v>
      </c>
      <c r="JL47" s="210">
        <f>COUNTIF(Tableau15[ven.06],"="&amp;"FI")</f>
        <v>0</v>
      </c>
      <c r="JM47" s="232">
        <f t="shared" si="41"/>
        <v>0</v>
      </c>
      <c r="JN47" s="210">
        <f>COUNTIF(Tableau15[dim.08],"="&amp;"FI")</f>
        <v>0</v>
      </c>
      <c r="JO47" s="210">
        <f>COUNTIF(Tableau15[lun.09],"="&amp;"FI")</f>
        <v>0</v>
      </c>
      <c r="JP47" s="210">
        <f>COUNTIF(Tableau15[mar.10],"="&amp;"FI")</f>
        <v>0</v>
      </c>
      <c r="JQ47" s="210">
        <f>COUNTIF(Tableau15[mer.11],"="&amp;"FI")</f>
        <v>0</v>
      </c>
      <c r="JR47" s="210">
        <f>COUNTIF(Tableau15[jeu.12],"="&amp;"FI")</f>
        <v>0</v>
      </c>
      <c r="JS47" s="210">
        <f>COUNTIF(Tableau15[ven.13],"="&amp;"FI")</f>
        <v>0</v>
      </c>
      <c r="JT47" s="232">
        <f t="shared" si="42"/>
        <v>0</v>
      </c>
      <c r="JU47" s="210">
        <f>COUNTIF(Tableau15[dim.15],"="&amp;"FI")</f>
        <v>0</v>
      </c>
      <c r="JV47" s="210">
        <f>COUNTIF(Tableau15[lun.16],"="&amp;"FI")</f>
        <v>0</v>
      </c>
      <c r="JW47" s="210">
        <f>COUNTIF(Tableau15[mar.17],"="&amp;"FI")</f>
        <v>0</v>
      </c>
      <c r="JX47" s="210">
        <f>COUNTIF(Tableau15[mer.18],"="&amp;"FI")</f>
        <v>0</v>
      </c>
      <c r="JY47" s="210">
        <f>COUNTIF(Tableau15[jeu.19],"="&amp;"FI")</f>
        <v>0</v>
      </c>
      <c r="JZ47" s="210">
        <f>COUNTIF(Tableau15[ven.20],"="&amp;"FI")</f>
        <v>0</v>
      </c>
      <c r="KA47" s="232">
        <f t="shared" si="43"/>
        <v>0</v>
      </c>
      <c r="KB47" s="210">
        <f>COUNTIF(Tableau15[dim.22],"="&amp;"FI")</f>
        <v>0</v>
      </c>
      <c r="KC47" s="210">
        <f>COUNTIF(Tableau15[lun.23],"="&amp;"FI")</f>
        <v>0</v>
      </c>
      <c r="KD47" s="210">
        <f>COUNTIF(Tableau15[mar.24],"="&amp;"FI")</f>
        <v>0</v>
      </c>
      <c r="KE47" s="210">
        <f>COUNTIF(Tableau15[mer.25],"="&amp;"FI")</f>
        <v>0</v>
      </c>
      <c r="KF47" s="210">
        <f>COUNTIF(Tableau15[jeu.26],"="&amp;"FI")</f>
        <v>0</v>
      </c>
      <c r="KG47" s="210">
        <f>COUNTIF(Tableau15[ven.27],"="&amp;"FI")</f>
        <v>0</v>
      </c>
      <c r="KH47" s="232">
        <f t="shared" si="44"/>
        <v>0</v>
      </c>
      <c r="KI47" s="210">
        <f>COUNTIF(Tableau15[dim.29],"="&amp;"FI")</f>
        <v>0</v>
      </c>
      <c r="KJ47" s="210">
        <f>COUNTIF(Tableau15[lun.30],"="&amp;"FI")</f>
        <v>0</v>
      </c>
      <c r="KK47" s="210">
        <f>COUNTIF(Tableau15[mar.01],"="&amp;"FI")</f>
        <v>0</v>
      </c>
      <c r="KL47" s="210">
        <f>COUNTIF(Tableau15[mer.02],"="&amp;"FI")</f>
        <v>0</v>
      </c>
      <c r="KM47" s="210">
        <f>COUNTIF(Tableau15[jeu.03],"="&amp;"FI")</f>
        <v>0</v>
      </c>
      <c r="KN47" s="210">
        <f>COUNTIF(Tableau15[ven.04],"="&amp;"FI")</f>
        <v>0</v>
      </c>
      <c r="KO47" s="232">
        <f t="shared" si="45"/>
        <v>0</v>
      </c>
      <c r="KP47" s="210">
        <f>COUNTIF(Tableau15[dim.06],"="&amp;"FI")</f>
        <v>0</v>
      </c>
      <c r="KQ47" s="210">
        <f>COUNTIF(Tableau15[lun.07],"="&amp;"FI")</f>
        <v>0</v>
      </c>
      <c r="KR47" s="210">
        <f>COUNTIF(Tableau15[mar.08],"="&amp;"FI")</f>
        <v>0</v>
      </c>
      <c r="KS47" s="210">
        <f>COUNTIF(Tableau15[mer.09],"="&amp;"FI")</f>
        <v>0</v>
      </c>
      <c r="KT47" s="210">
        <f>COUNTIF(Tableau15[jeu.10],"="&amp;"FI")</f>
        <v>0</v>
      </c>
      <c r="KU47" s="210">
        <f>COUNTIF(Tableau15[ven.11],"="&amp;"FI")</f>
        <v>0</v>
      </c>
      <c r="KV47" s="232">
        <f t="shared" si="46"/>
        <v>0</v>
      </c>
      <c r="KW47" s="210">
        <f>COUNTIF(Tableau15[dim.13],"="&amp;"FI")</f>
        <v>0</v>
      </c>
      <c r="KX47" s="210">
        <f>COUNTIF(Tableau15[lun.14],"="&amp;"FI")</f>
        <v>0</v>
      </c>
      <c r="KY47" s="210">
        <f>COUNTIF(Tableau15[mar.15],"="&amp;"FI")</f>
        <v>0</v>
      </c>
      <c r="KZ47" s="210">
        <f>COUNTIF(Tableau15[mer.16],"="&amp;"FI")</f>
        <v>0</v>
      </c>
      <c r="LA47" s="210">
        <f>COUNTIF(Tableau15[jeu.17],"="&amp;"FI")</f>
        <v>0</v>
      </c>
      <c r="LB47" s="210">
        <f>COUNTIF(Tableau15[ven.18],"="&amp;"FI")</f>
        <v>0</v>
      </c>
      <c r="LC47" s="232">
        <f t="shared" si="47"/>
        <v>0</v>
      </c>
      <c r="LD47" s="210">
        <f>COUNTIF(Tableau15[dim.20],"="&amp;"FI")</f>
        <v>0</v>
      </c>
      <c r="LE47" s="210">
        <f>COUNTIF(Tableau15[lun.21],"="&amp;"FI")</f>
        <v>0</v>
      </c>
      <c r="LF47" s="210">
        <f>COUNTIF(Tableau15[mar.22],"="&amp;"FI")</f>
        <v>0</v>
      </c>
      <c r="LG47" s="210">
        <f>COUNTIF(Tableau15[mer.23],"="&amp;"FI")</f>
        <v>0</v>
      </c>
      <c r="LH47" s="210">
        <f>COUNTIF(Tableau15[jeu.24],"="&amp;"FI")</f>
        <v>0</v>
      </c>
      <c r="LI47" s="210">
        <f>COUNTIF(Tableau15[ven.25],"="&amp;"FI")</f>
        <v>0</v>
      </c>
      <c r="LJ47" s="232">
        <f t="shared" si="48"/>
        <v>0</v>
      </c>
      <c r="LK47" s="210">
        <f>COUNTIF(Tableau15[dim.27],"="&amp;"FI")</f>
        <v>0</v>
      </c>
      <c r="LL47" s="210">
        <f>COUNTIF(Tableau15[lun.28],"="&amp;"FI")</f>
        <v>0</v>
      </c>
      <c r="LM47" s="210">
        <f>COUNTIF(Tableau15[mar.29],"="&amp;"FI")</f>
        <v>0</v>
      </c>
      <c r="LN47" s="210">
        <f>COUNTIF(Tableau15[mer.30],"="&amp;"FI")</f>
        <v>0</v>
      </c>
      <c r="LO47" s="210">
        <f>COUNTIF(Tableau15[jeu.31],"="&amp;"FI")</f>
        <v>0</v>
      </c>
      <c r="LP47" s="210">
        <f>COUNTIF(Tableau15[ven.01],"="&amp;"FI")</f>
        <v>0</v>
      </c>
      <c r="LQ47" s="232">
        <f t="shared" si="0"/>
        <v>0</v>
      </c>
      <c r="LR47" s="210">
        <f>COUNTIF(Tableau15[dim.03],"="&amp;"FI")</f>
        <v>0</v>
      </c>
      <c r="LS47" s="210">
        <f>COUNTIF(Tableau15[lun.04],"="&amp;"FI")</f>
        <v>0</v>
      </c>
      <c r="LT47" s="210">
        <f>COUNTIF(Tableau15[mar.05],"="&amp;"FI")</f>
        <v>0</v>
      </c>
      <c r="LU47" s="210">
        <f>COUNTIF(Tableau15[mer.06],"="&amp;"FI")</f>
        <v>0</v>
      </c>
      <c r="LV47" s="210">
        <f>COUNTIF(Tableau15[jeu.07],"="&amp;"FI")</f>
        <v>0</v>
      </c>
      <c r="LW47" s="210">
        <f>COUNTIF(Tableau15[ven.08],"="&amp;"FI")</f>
        <v>0</v>
      </c>
      <c r="LX47" s="232">
        <f t="shared" si="1"/>
        <v>0</v>
      </c>
      <c r="LY47" s="210">
        <f>COUNTIF(Tableau15[dim.10],"="&amp;"FI")</f>
        <v>0</v>
      </c>
      <c r="LZ47" s="210">
        <f>COUNTIF(Tableau15[lun.11],"="&amp;"FI")</f>
        <v>0</v>
      </c>
      <c r="MA47" s="210">
        <f>COUNTIF(Tableau15[mar.12],"="&amp;"FI")</f>
        <v>0</v>
      </c>
      <c r="MB47" s="210">
        <f>COUNTIF(Tableau15[mer.13],"="&amp;"FI")</f>
        <v>0</v>
      </c>
      <c r="MC47" s="210">
        <f>COUNTIF(Tableau15[jeu.14],"="&amp;"FI")</f>
        <v>0</v>
      </c>
      <c r="MD47" s="210">
        <f>COUNTIF(Tableau15[ven.15],"="&amp;"FI")</f>
        <v>0</v>
      </c>
      <c r="ME47" s="232">
        <f t="shared" si="2"/>
        <v>0</v>
      </c>
      <c r="MF47" s="210">
        <f>COUNTIF(Tableau15[dim.17],"="&amp;"FI")</f>
        <v>0</v>
      </c>
      <c r="MG47" s="210">
        <f>COUNTIF(Tableau15[lun.18],"="&amp;"FI")</f>
        <v>0</v>
      </c>
      <c r="MH47" s="210">
        <f>COUNTIF(Tableau15[mar.19],"="&amp;"FI")</f>
        <v>0</v>
      </c>
      <c r="MI47" s="210">
        <f>COUNTIF(Tableau15[mer.20],"="&amp;"FI")</f>
        <v>0</v>
      </c>
      <c r="MJ47" s="210">
        <f>COUNTIF(Tableau15[jeu.21],"="&amp;"FI")</f>
        <v>0</v>
      </c>
      <c r="MK47" s="210">
        <f>COUNTIF(Tableau15[ven.22],"="&amp;"FI")</f>
        <v>0</v>
      </c>
      <c r="ML47" s="232">
        <f t="shared" si="3"/>
        <v>0</v>
      </c>
      <c r="MM47" s="210">
        <f>COUNTIF(Tableau15[dim.24],"="&amp;"FI")</f>
        <v>0</v>
      </c>
      <c r="MN47" s="210">
        <f>COUNTIF(Tableau15[lun.25],"="&amp;"FI")</f>
        <v>0</v>
      </c>
      <c r="MO47" s="210">
        <f>COUNTIF(Tableau15[mar.26],"="&amp;"FI")</f>
        <v>0</v>
      </c>
      <c r="MP47" s="210">
        <f>COUNTIF(Tableau15[mer.27],"="&amp;"FI")</f>
        <v>0</v>
      </c>
      <c r="MQ47" s="210">
        <f>COUNTIF(Tableau15[jeu.28],"="&amp;"FI")</f>
        <v>0</v>
      </c>
      <c r="MR47" s="210">
        <f>COUNTIF(Tableau15[ven.29],"="&amp;"FI")</f>
        <v>0</v>
      </c>
      <c r="MS47" s="232">
        <f t="shared" si="49"/>
        <v>0</v>
      </c>
      <c r="MT47" s="210">
        <f>COUNTIF(Tableau15[dim.012],"="&amp;"FI")</f>
        <v>0</v>
      </c>
      <c r="MU47" s="210">
        <f>COUNTIF(Tableau15[lun.023],"="&amp;"FI")</f>
        <v>0</v>
      </c>
      <c r="MV47" s="210">
        <f>COUNTIF(Tableau15[mar.034],"="&amp;"FI")</f>
        <v>0</v>
      </c>
      <c r="MW47" s="210">
        <f>COUNTIF(Tableau15[mer.045],"="&amp;"FI")</f>
        <v>0</v>
      </c>
      <c r="MX47" s="210">
        <f>COUNTIF(Tableau15[jeu.056],"="&amp;"FI")</f>
        <v>0</v>
      </c>
      <c r="MY47" s="210">
        <f>COUNTIF(Tableau15[ven.067],"="&amp;"FI")</f>
        <v>0</v>
      </c>
      <c r="MZ47" s="232">
        <f t="shared" si="50"/>
        <v>0</v>
      </c>
      <c r="NA47" s="210">
        <f>COUNTIF(Tableau15[dim.089],"="&amp;"FI")</f>
        <v>0</v>
      </c>
      <c r="NB47" s="210">
        <f>COUNTIF(Tableau15[lun.0910],"="&amp;"FI")</f>
        <v>0</v>
      </c>
      <c r="NC47" s="210">
        <f>COUNTIF(Tableau15[mar.1011],"="&amp;"FI")</f>
        <v>0</v>
      </c>
      <c r="ND47" s="210">
        <f>COUNTIF(Tableau15[mer.1112],"="&amp;"FI")</f>
        <v>0</v>
      </c>
      <c r="NE47" s="210">
        <f>COUNTIF(Tableau15[jeu.1213],"="&amp;"FI")</f>
        <v>0</v>
      </c>
      <c r="NF47" s="210">
        <f>COUNTIF(Tableau15[ven.1314],"="&amp;"FI")</f>
        <v>0</v>
      </c>
      <c r="NG47" s="232">
        <f t="shared" si="51"/>
        <v>0</v>
      </c>
      <c r="NH47" s="210">
        <f>COUNTIF(Tableau15[dim.1516],"="&amp;"FI")</f>
        <v>0</v>
      </c>
      <c r="NI47" s="210">
        <f>COUNTIF(Tableau15[lun.1617],"="&amp;"FI")</f>
        <v>0</v>
      </c>
      <c r="NJ47" s="210">
        <f>COUNTIF(Tableau15[mar.1718],"="&amp;"FI")</f>
        <v>0</v>
      </c>
      <c r="NK47" s="210">
        <f>COUNTIF(Tableau15[mer.1819],"="&amp;"FI")</f>
        <v>0</v>
      </c>
      <c r="NL47" s="210">
        <f>COUNTIF(Tableau15[jeu.1920],"="&amp;"FI")</f>
        <v>0</v>
      </c>
      <c r="NM47" s="210">
        <f>COUNTIF(Tableau15[ven.2021],"="&amp;"FI")</f>
        <v>0</v>
      </c>
      <c r="NN47" s="232">
        <f t="shared" si="52"/>
        <v>0</v>
      </c>
      <c r="NO47" s="210">
        <f>COUNTIF(Tableau15[dim.2223],"="&amp;"FI")</f>
        <v>0</v>
      </c>
      <c r="NP47" s="210">
        <f>COUNTIF(Tableau15[lun.2324],"="&amp;"FI")</f>
        <v>0</v>
      </c>
      <c r="NQ47" s="210">
        <f>COUNTIF(Tableau15[mar.2425],"="&amp;"FI")</f>
        <v>0</v>
      </c>
      <c r="NR47" s="210">
        <f>COUNTIF(Tableau15[mer.2526],"="&amp;"FI")</f>
        <v>0</v>
      </c>
      <c r="NS47" s="210">
        <f>COUNTIF(Tableau15[jeu.2627],"="&amp;"FI")</f>
        <v>0</v>
      </c>
      <c r="NT47" s="210">
        <f>COUNTIF(Tableau15[ven.2728],"="&amp;"FI")</f>
        <v>0</v>
      </c>
      <c r="NU47" s="244">
        <f t="shared" si="53"/>
        <v>0</v>
      </c>
    </row>
    <row r="48" spans="4:386" x14ac:dyDescent="0.3">
      <c r="H48" s="295" t="s">
        <v>696</v>
      </c>
      <c r="I48" s="210">
        <f>COUNTIF(Tableau15[lun.10],"="&amp;"PTRI")+COUNTIF(Tableau15[lun.10],"="&amp;"ECH")</f>
        <v>3</v>
      </c>
      <c r="J48" s="210">
        <f>COUNTIF(Tableau15[mar.11],"="&amp;"PTRI")+COUNTIF(Tableau15[mar.11],"="&amp;"ECH")</f>
        <v>3</v>
      </c>
      <c r="K48" s="210">
        <f>COUNTIF(Tableau15[mer.12],"="&amp;"PTRI")+COUNTIF(Tableau15[mer.12],"="&amp;"ECH")</f>
        <v>0</v>
      </c>
      <c r="L48" s="210">
        <f>COUNTIF(Tableau15[jeu.13],"="&amp;"PTRI")+COUNTIF(Tableau15[jeu.13],"="&amp;"ECH")</f>
        <v>3</v>
      </c>
      <c r="M48" s="210">
        <f>COUNTIF(Tableau15[ven.14],"="&amp;"PTRI")+COUNTIF(Tableau15[ven.14],"="&amp;"ECH")</f>
        <v>3</v>
      </c>
      <c r="N48" s="232">
        <f t="shared" si="4"/>
        <v>12</v>
      </c>
      <c r="O48" s="210">
        <f>COUNTIF(Tableau15[dim.16],"="&amp;"PTRI")+COUNTIF(Tableau15[dim.16],"="&amp;"ECH")</f>
        <v>0</v>
      </c>
      <c r="P48" s="210">
        <f>COUNTIF(Tableau15[lun.17],"="&amp;"PTRI")+COUNTIF(Tableau15[lun.17],"="&amp;"ECH")</f>
        <v>0</v>
      </c>
      <c r="Q48" s="210">
        <f>COUNTIF(Tableau15[mar.18],"="&amp;"PTRI")+COUNTIF(Tableau15[mar.18],"="&amp;"ECH")</f>
        <v>0</v>
      </c>
      <c r="R48" s="210">
        <f>COUNTIF(Tableau15[mer.19],"="&amp;"PTRI")+COUNTIF(Tableau15[mer.19],"="&amp;"ECH")</f>
        <v>0</v>
      </c>
      <c r="S48" s="210">
        <f>COUNTIF(Tableau15[jeu.20],"="&amp;"PTRI")+COUNTIF(Tableau15[jeu.20],"="&amp;"ECH")</f>
        <v>0</v>
      </c>
      <c r="T48" s="210">
        <f>COUNTIF(Tableau15[ven.21],"="&amp;"PTRI")+COUNTIF(Tableau15[ven.21],"="&amp;"ECH")</f>
        <v>0</v>
      </c>
      <c r="U48" s="232">
        <f t="shared" si="5"/>
        <v>0</v>
      </c>
      <c r="V48" s="210">
        <f>COUNTIF(Tableau15[dim.23],"="&amp;"PTRI")+COUNTIF(Tableau15[dim.23],"="&amp;"ECH")</f>
        <v>0</v>
      </c>
      <c r="W48" s="210">
        <f>COUNTIF(Tableau15[lun.24],"="&amp;"PTRI")+COUNTIF(Tableau15[lun.24],"="&amp;"ECH")</f>
        <v>1</v>
      </c>
      <c r="X48" s="210">
        <f>COUNTIF(Tableau15[mar.25],"="&amp;"PTRI")+COUNTIF(Tableau15[mar.25],"="&amp;"ECH")</f>
        <v>1</v>
      </c>
      <c r="Y48" s="210">
        <f>COUNTIF(Tableau15[mer.26],"="&amp;"PTRI")+COUNTIF(Tableau15[mer.26],"="&amp;"ECH")</f>
        <v>1</v>
      </c>
      <c r="Z48" s="210">
        <f>COUNTIF(Tableau15[jeu.27],"="&amp;"PTRI")+COUNTIF(Tableau15[jeu.27],"="&amp;"ECH")</f>
        <v>1</v>
      </c>
      <c r="AA48" s="210">
        <f>COUNTIF(Tableau15[ven.28],"="&amp;"PTRI")+COUNTIF(Tableau15[ven.28],"="&amp;"ECH")</f>
        <v>1</v>
      </c>
      <c r="AB48" s="232">
        <f t="shared" si="6"/>
        <v>5</v>
      </c>
      <c r="AC48" s="210">
        <f>COUNTIF(Tableau15[dim.30],"="&amp;"PTRI")+COUNTIF(Tableau15[dim.30],"="&amp;"ECH")</f>
        <v>0</v>
      </c>
      <c r="AD48" s="210">
        <f>COUNTIF(Tableau15[lun.01],"="&amp;"PTRI")+COUNTIF(Tableau15[lun.01],"="&amp;"ECH")</f>
        <v>1</v>
      </c>
      <c r="AE48" s="210">
        <f>COUNTIF(Tableau15[mar.02],"="&amp;"PTRI")+COUNTIF(Tableau15[mar.02],"="&amp;"ECH")</f>
        <v>2</v>
      </c>
      <c r="AF48" s="210">
        <f>COUNTIF(Tableau15[mer.03],"="&amp;"PTRI")+COUNTIF(Tableau15[mer.03],"="&amp;"ECH")</f>
        <v>2</v>
      </c>
      <c r="AG48" s="210">
        <f>COUNTIF(Tableau15[jeu.04],"="&amp;"PTRI")+COUNTIF(Tableau15[jeu.04],"="&amp;"ECH")</f>
        <v>2</v>
      </c>
      <c r="AH48" s="210">
        <f>COUNTIF(Tableau15[ven.05],"="&amp;"PTRI")+COUNTIF(Tableau15[ven.05],"="&amp;"ECH")</f>
        <v>2</v>
      </c>
      <c r="AI48" s="232">
        <f t="shared" si="7"/>
        <v>9</v>
      </c>
      <c r="AJ48" s="210">
        <f>COUNTIF(Tableau15[dim.07],"="&amp;"PTRI")+COUNTIF(Tableau15[dim.07],"="&amp;"ECH")</f>
        <v>0</v>
      </c>
      <c r="AK48" s="210">
        <f>COUNTIF(Tableau15[lun.08],"="&amp;"PTRI")+COUNTIF(Tableau15[lun.08],"="&amp;"ECH")</f>
        <v>2</v>
      </c>
      <c r="AL48" s="210">
        <f>COUNTIF(Tableau15[mar.09],"="&amp;"PTRI")+COUNTIF(Tableau15[mar.09],"="&amp;"ECH")</f>
        <v>2</v>
      </c>
      <c r="AM48" s="210">
        <f>COUNTIF(Tableau15[mer.10],"="&amp;"PTRI")+COUNTIF(Tableau15[mer.10],"="&amp;"ECH")</f>
        <v>2</v>
      </c>
      <c r="AN48" s="210">
        <f>COUNTIF(Tableau15[jeu.11],"="&amp;"PTRI")+COUNTIF(Tableau15[jeu.11],"="&amp;"ECH")</f>
        <v>2</v>
      </c>
      <c r="AO48" s="210">
        <f>COUNTIF(Tableau15[ven.12],"="&amp;"PTRI")+COUNTIF(Tableau15[ven.12],"="&amp;"ECH")</f>
        <v>2</v>
      </c>
      <c r="AP48" s="232">
        <f t="shared" si="8"/>
        <v>10</v>
      </c>
      <c r="AQ48" s="210">
        <f>COUNTIF(Tableau15[dim.14],"="&amp;"PTRI")+COUNTIF(Tableau15[dim.14],"="&amp;"ECH")</f>
        <v>0</v>
      </c>
      <c r="AR48" s="210">
        <f>COUNTIF(Tableau15[lun.15],"="&amp;"PTRI")+COUNTIF(Tableau15[lun.15],"="&amp;"ECH")</f>
        <v>1</v>
      </c>
      <c r="AS48" s="210">
        <f>COUNTIF(Tableau15[mar.16],"="&amp;"PTRI")+COUNTIF(Tableau15[mar.16],"="&amp;"ECH")</f>
        <v>1</v>
      </c>
      <c r="AT48" s="210">
        <f>COUNTIF(Tableau15[mer.17],"="&amp;"PTRI")+COUNTIF(Tableau15[mer.17],"="&amp;"ECH")</f>
        <v>1</v>
      </c>
      <c r="AU48" s="210">
        <f>COUNTIF(Tableau15[jeu.18],"="&amp;"PTRI")+COUNTIF(Tableau15[jeu.18],"="&amp;"ECH")</f>
        <v>1</v>
      </c>
      <c r="AV48" s="210">
        <f>COUNTIF(Tableau15[ven.19],"="&amp;"PTRI")+COUNTIF(Tableau15[ven.19],"="&amp;"ECH")</f>
        <v>1</v>
      </c>
      <c r="AW48" s="232">
        <f t="shared" si="9"/>
        <v>5</v>
      </c>
      <c r="AX48" s="210">
        <f>COUNTIF(Tableau15[dim.21],"="&amp;"PTRI")+COUNTIF(Tableau15[dim.21],"="&amp;"ECH")</f>
        <v>0</v>
      </c>
      <c r="AY48" s="210">
        <f>COUNTIF(Tableau15[lun.22],"="&amp;"PTRI")+COUNTIF(Tableau15[lun.22],"="&amp;"ECH")</f>
        <v>0</v>
      </c>
      <c r="AZ48" s="210">
        <f>COUNTIF(Tableau15[mar.23],"="&amp;"PTRI")+COUNTIF(Tableau15[mar.23],"="&amp;"ECH")</f>
        <v>0</v>
      </c>
      <c r="BA48" s="210">
        <f>COUNTIF(Tableau15[mer.24],"="&amp;"PTRI")+COUNTIF(Tableau15[mer.24],"="&amp;"ECH")</f>
        <v>0</v>
      </c>
      <c r="BB48" s="210">
        <f>COUNTIF(Tableau15[jeu.25],"="&amp;"PTRI")+COUNTIF(Tableau15[jeu.25],"="&amp;"ECH")</f>
        <v>0</v>
      </c>
      <c r="BC48" s="210">
        <f>COUNTIF(Tableau15[ven.26],"="&amp;"PTRI")+COUNTIF(Tableau15[ven.26],"="&amp;"ECH")</f>
        <v>0</v>
      </c>
      <c r="BD48" s="232">
        <f t="shared" si="10"/>
        <v>0</v>
      </c>
      <c r="BE48" s="210">
        <f>COUNTIF(Tableau15[dim.28],"="&amp;"PTRI")+COUNTIF(Tableau15[dim.28],"="&amp;"ECH")</f>
        <v>0</v>
      </c>
      <c r="BF48" s="210">
        <f>COUNTIF(Tableau15[lun.29],"="&amp;"PTRI")+COUNTIF(Tableau15[lun.29],"="&amp;"ECH")</f>
        <v>0</v>
      </c>
      <c r="BG48" s="210">
        <f>COUNTIF(Tableau15[mar.30],"="&amp;"PTRI")+COUNTIF(Tableau15[mar.30],"="&amp;"ECH")</f>
        <v>0</v>
      </c>
      <c r="BH48" s="210">
        <f>COUNTIF(Tableau15[mer.31],"="&amp;"PTRI")+COUNTIF(Tableau15[mer.31],"="&amp;"ECH")</f>
        <v>0</v>
      </c>
      <c r="BI48" s="210">
        <f>COUNTIF(Tableau15[jeu.01],"="&amp;"PTRI")+COUNTIF(Tableau15[jeu.01],"="&amp;"ECH")</f>
        <v>0</v>
      </c>
      <c r="BJ48" s="210">
        <f>COUNTIF(Tableau15[ven.02],"="&amp;"PTRI")+COUNTIF(Tableau15[ven.02],"="&amp;"ECH")</f>
        <v>0</v>
      </c>
      <c r="BK48" s="232">
        <f t="shared" si="11"/>
        <v>0</v>
      </c>
      <c r="BL48" s="210">
        <f>COUNTIF(Tableau15[dim.04],"="&amp;"PTRI")+COUNTIF(Tableau15[dim.04],"="&amp;"ECH")</f>
        <v>0</v>
      </c>
      <c r="BM48" s="210">
        <f>COUNTIF(Tableau15[lun.05],"="&amp;"PTRI")+COUNTIF(Tableau15[lun.05],"="&amp;"ECH")</f>
        <v>0</v>
      </c>
      <c r="BN48" s="210">
        <f>COUNTIF(Tableau15[mar.06],"="&amp;"PTRI")+COUNTIF(Tableau15[mar.06],"="&amp;"ECH")</f>
        <v>0</v>
      </c>
      <c r="BO48" s="210">
        <f>COUNTIF(Tableau15[mer.07],"="&amp;"PTRI")+COUNTIF(Tableau15[mer.07],"="&amp;"ECH")</f>
        <v>0</v>
      </c>
      <c r="BP48" s="210">
        <f>COUNTIF(Tableau15[jeu.08],"="&amp;"PTRI")+COUNTIF(Tableau15[jeu.08],"="&amp;"ECH")</f>
        <v>0</v>
      </c>
      <c r="BQ48" s="210">
        <f>COUNTIF(Tableau15[ven.09],"="&amp;"PTRI")+COUNTIF(Tableau15[ven.09],"="&amp;"ECH")</f>
        <v>0</v>
      </c>
      <c r="BR48" s="232">
        <f t="shared" si="12"/>
        <v>0</v>
      </c>
      <c r="BS48" s="210">
        <f>COUNTIF(Tableau15[dim.11],"="&amp;"PTRI")+COUNTIF(Tableau15[dim.11],"="&amp;"ECH")</f>
        <v>0</v>
      </c>
      <c r="BT48" s="210">
        <f>COUNTIF(Tableau15[lun.12],"="&amp;"PTRI")+COUNTIF(Tableau15[lun.12],"="&amp;"ECH")</f>
        <v>0</v>
      </c>
      <c r="BU48" s="210">
        <f>COUNTIF(Tableau15[mar.13],"="&amp;"PTRI")+COUNTIF(Tableau15[mar.13],"="&amp;"ECH")</f>
        <v>0</v>
      </c>
      <c r="BV48" s="210">
        <f>COUNTIF(Tableau15[mer.14],"="&amp;"PTRI")+COUNTIF(Tableau15[mer.14],"="&amp;"ECH")</f>
        <v>0</v>
      </c>
      <c r="BW48" s="210">
        <f>COUNTIF(Tableau15[jeu.15],"="&amp;"PTRI")+COUNTIF(Tableau15[jeu.15],"="&amp;"ECH")</f>
        <v>0</v>
      </c>
      <c r="BX48" s="210">
        <f>COUNTIF(Tableau15[ven.16],"="&amp;"PTRI")+COUNTIF(Tableau15[ven.16],"="&amp;"ECH")</f>
        <v>0</v>
      </c>
      <c r="BY48" s="232">
        <f t="shared" si="13"/>
        <v>0</v>
      </c>
      <c r="BZ48" s="210">
        <f>COUNTIF(Tableau15[dim.18],"="&amp;"PTRI")+COUNTIF(Tableau15[dim.18],"="&amp;"ECH")</f>
        <v>0</v>
      </c>
      <c r="CA48" s="210">
        <f>COUNTIF(Tableau15[lun.19],"="&amp;"PTRI")+COUNTIF(Tableau15[lun.19],"="&amp;"ECH")</f>
        <v>0</v>
      </c>
      <c r="CB48" s="210">
        <f>COUNTIF(Tableau15[mar.20],"="&amp;"PTRI")+COUNTIF(Tableau15[mar.20],"="&amp;"ECH")</f>
        <v>0</v>
      </c>
      <c r="CC48" s="210">
        <f>COUNTIF(Tableau15[mer.21],"="&amp;"PTRI")+COUNTIF(Tableau15[mer.21],"="&amp;"ECH")</f>
        <v>0</v>
      </c>
      <c r="CD48" s="210">
        <f>COUNTIF(Tableau15[jeu.22],"="&amp;"PTRI")+COUNTIF(Tableau15[jeu.22],"="&amp;"ECH")</f>
        <v>0</v>
      </c>
      <c r="CE48" s="210">
        <f>COUNTIF(Tableau15[ven.23],"="&amp;"PTRI")+COUNTIF(Tableau15[ven.23],"="&amp;"ECH")</f>
        <v>0</v>
      </c>
      <c r="CF48" s="232">
        <f t="shared" si="14"/>
        <v>0</v>
      </c>
      <c r="CG48" s="210">
        <f>COUNTIF(Tableau15[dim.25],"="&amp;"PTRI")+COUNTIF(Tableau15[dim.25],"="&amp;"ECH")</f>
        <v>0</v>
      </c>
      <c r="CH48" s="210">
        <f>COUNTIF(Tableau15[lun.26],"="&amp;"PTRI")+COUNTIF(Tableau15[lun.26],"="&amp;"ECH")</f>
        <v>0</v>
      </c>
      <c r="CI48" s="210">
        <f>COUNTIF(Tableau15[mar.27],"="&amp;"PTRI")+COUNTIF(Tableau15[mar.27],"="&amp;"ECH")</f>
        <v>0</v>
      </c>
      <c r="CJ48" s="210">
        <f>COUNTIF(Tableau15[mer.28],"="&amp;"PTRI")+COUNTIF(Tableau15[mer.28],"="&amp;"ECH")</f>
        <v>0</v>
      </c>
      <c r="CK48" s="210">
        <f>COUNTIF(Tableau15[jeu.29],"="&amp;"PTRI")+COUNTIF(Tableau15[jeu.29],"="&amp;"ECH")</f>
        <v>0</v>
      </c>
      <c r="CL48" s="210">
        <f>COUNTIF(Tableau15[ven.30],"="&amp;"PTRI")+COUNTIF(Tableau15[ven.30],"="&amp;"ECH")</f>
        <v>0</v>
      </c>
      <c r="CM48" s="232">
        <f t="shared" si="15"/>
        <v>0</v>
      </c>
      <c r="CN48" s="210">
        <f>COUNTIF(Tableau15[dim.01],"="&amp;"PTRI")+COUNTIF(Tableau15[dim.01],"="&amp;"ECH")</f>
        <v>0</v>
      </c>
      <c r="CO48" s="210">
        <f>COUNTIF(Tableau15[lun.02],"="&amp;"PTRI")+COUNTIF(Tableau15[lun.02],"="&amp;"ECH")</f>
        <v>0</v>
      </c>
      <c r="CP48" s="210">
        <f>COUNTIF(Tableau15[mar.03],"="&amp;"PTRI")+COUNTIF(Tableau15[mar.03],"="&amp;"ECH")</f>
        <v>0</v>
      </c>
      <c r="CQ48" s="210">
        <f>COUNTIF(Tableau15[mer.04],"="&amp;"PTRI")+COUNTIF(Tableau15[mer.04],"="&amp;"ECH")</f>
        <v>0</v>
      </c>
      <c r="CR48" s="210">
        <f>COUNTIF(Tableau15[jeu.05],"="&amp;"PTRI")+COUNTIF(Tableau15[jeu.05],"="&amp;"ECH")</f>
        <v>0</v>
      </c>
      <c r="CS48" s="210">
        <f>COUNTIF(Tableau15[ven.06],"="&amp;"PTRI")+COUNTIF(Tableau15[ven.06],"="&amp;"ECH")</f>
        <v>0</v>
      </c>
      <c r="CT48" s="232">
        <f t="shared" si="16"/>
        <v>0</v>
      </c>
      <c r="CU48" s="210">
        <f>COUNTIF(Tableau15[dim.08],"="&amp;"PTRI")+COUNTIF(Tableau15[dim.08],"="&amp;"ECH")</f>
        <v>0</v>
      </c>
      <c r="CV48" s="210">
        <f>COUNTIF(Tableau15[lun.09],"="&amp;"PTRI")+COUNTIF(Tableau15[lun.09],"="&amp;"ECH")</f>
        <v>0</v>
      </c>
      <c r="CW48" s="210">
        <f>COUNTIF(Tableau15[mar.10],"="&amp;"PTRI")+COUNTIF(Tableau15[mar.10],"="&amp;"ECH")</f>
        <v>0</v>
      </c>
      <c r="CX48" s="210">
        <f>COUNTIF(Tableau15[mer.11],"="&amp;"PTRI")+COUNTIF(Tableau15[mer.11],"="&amp;"ECH")</f>
        <v>0</v>
      </c>
      <c r="CY48" s="210">
        <f>COUNTIF(Tableau15[jeu.12],"="&amp;"PTRI")+COUNTIF(Tableau15[jeu.12],"="&amp;"ECH")</f>
        <v>0</v>
      </c>
      <c r="CZ48" s="210">
        <f>COUNTIF(Tableau15[ven.13],"="&amp;"PTRI")+COUNTIF(Tableau15[ven.13],"="&amp;"ECH")</f>
        <v>0</v>
      </c>
      <c r="DA48" s="232">
        <f t="shared" si="17"/>
        <v>0</v>
      </c>
      <c r="DB48" s="210">
        <f>COUNTIF(Tableau15[dim.15],"="&amp;"PTRI")+COUNTIF(Tableau15[dim.15],"="&amp;"ECH")</f>
        <v>0</v>
      </c>
      <c r="DC48" s="210">
        <f>COUNTIF(Tableau15[lun.16],"="&amp;"PTRI")+COUNTIF(Tableau15[lun.16],"="&amp;"ECH")</f>
        <v>0</v>
      </c>
      <c r="DD48" s="210">
        <f>COUNTIF(Tableau15[mar.17],"="&amp;"PTRI")+COUNTIF(Tableau15[mar.17],"="&amp;"ECH")</f>
        <v>0</v>
      </c>
      <c r="DE48" s="210">
        <f>COUNTIF(Tableau15[mer.18],"="&amp;"PTRI")+COUNTIF(Tableau15[mer.18],"="&amp;"ECH")</f>
        <v>0</v>
      </c>
      <c r="DF48" s="210">
        <f>COUNTIF(Tableau15[jeu.19],"="&amp;"PTRI")+COUNTIF(Tableau15[jeu.19],"="&amp;"ECH")</f>
        <v>0</v>
      </c>
      <c r="DG48" s="210">
        <f>COUNTIF(Tableau15[ven.20],"="&amp;"PTRI")+COUNTIF(Tableau15[ven.20],"="&amp;"ECH")</f>
        <v>0</v>
      </c>
      <c r="DH48" s="232">
        <f t="shared" si="18"/>
        <v>0</v>
      </c>
      <c r="DI48" s="210">
        <f>COUNTIF(Tableau15[dim.22],"="&amp;"PTRI")+COUNTIF(Tableau15[dim.22],"="&amp;"ECH")</f>
        <v>0</v>
      </c>
      <c r="DJ48" s="210">
        <f>COUNTIF(Tableau15[lun.23],"="&amp;"PTRI")+COUNTIF(Tableau15[lun.23],"="&amp;"ECH")</f>
        <v>0</v>
      </c>
      <c r="DK48" s="210">
        <f>COUNTIF(Tableau15[mar.24],"="&amp;"PTRI")+COUNTIF(Tableau15[mar.24],"="&amp;"ECH")</f>
        <v>0</v>
      </c>
      <c r="DL48" s="210">
        <f>COUNTIF(Tableau15[mer.25],"="&amp;"PTRI")+COUNTIF(Tableau15[mer.25],"="&amp;"ECH")</f>
        <v>0</v>
      </c>
      <c r="DM48" s="210">
        <f>COUNTIF(Tableau15[jeu.26],"="&amp;"PTRI")+COUNTIF(Tableau15[jeu.26],"="&amp;"ECH")</f>
        <v>0</v>
      </c>
      <c r="DN48" s="210">
        <f>COUNTIF(Tableau15[ven.27],"="&amp;"PTRI")+COUNTIF(Tableau15[ven.27],"="&amp;"ECH")</f>
        <v>0</v>
      </c>
      <c r="DO48" s="232">
        <f t="shared" si="19"/>
        <v>0</v>
      </c>
      <c r="DP48" s="210">
        <f>COUNTIF(Tableau15[dim.29],"="&amp;"PTRI")+COUNTIF(Tableau15[dim.29],"="&amp;"ECH")</f>
        <v>0</v>
      </c>
      <c r="DQ48" s="210">
        <f>COUNTIF(Tableau15[lun.30],"="&amp;"PTRI")+COUNTIF(Tableau15[lun.30],"="&amp;"ECH")</f>
        <v>0</v>
      </c>
      <c r="DR48" s="210">
        <f>COUNTIF(Tableau15[mar.01],"="&amp;"PTRI")+COUNTIF(Tableau15[mar.01],"="&amp;"ECH")</f>
        <v>0</v>
      </c>
      <c r="DS48" s="210">
        <f>COUNTIF(Tableau15[mer.02],"="&amp;"PTRI")+COUNTIF(Tableau15[mer.02],"="&amp;"ECH")</f>
        <v>0</v>
      </c>
      <c r="DT48" s="210">
        <f>COUNTIF(Tableau15[jeu.03],"="&amp;"PTRI")+COUNTIF(Tableau15[jeu.03],"="&amp;"ECH")</f>
        <v>0</v>
      </c>
      <c r="DU48" s="210">
        <f>COUNTIF(Tableau15[ven.04],"="&amp;"PTRI")+COUNTIF(Tableau15[ven.04],"="&amp;"ECH")</f>
        <v>0</v>
      </c>
      <c r="DV48" s="232">
        <f t="shared" si="20"/>
        <v>0</v>
      </c>
      <c r="DW48" s="210">
        <f>COUNTIF(Tableau15[dim.06],"="&amp;"PTRI")+COUNTIF(Tableau15[dim.06],"="&amp;"ECH")</f>
        <v>0</v>
      </c>
      <c r="DX48" s="210">
        <f>COUNTIF(Tableau15[lun.07],"="&amp;"PTRI")+COUNTIF(Tableau15[lun.07],"="&amp;"ECH")</f>
        <v>0</v>
      </c>
      <c r="DY48" s="210">
        <f>COUNTIF(Tableau15[mar.08],"="&amp;"PTRI")+COUNTIF(Tableau15[mar.08],"="&amp;"ECH")</f>
        <v>0</v>
      </c>
      <c r="DZ48" s="210">
        <f>COUNTIF(Tableau15[mer.09],"="&amp;"PTRI")+COUNTIF(Tableau15[mer.09],"="&amp;"ECH")</f>
        <v>0</v>
      </c>
      <c r="EA48" s="210">
        <f>COUNTIF(Tableau15[jeu.10],"="&amp;"PTRI")+COUNTIF(Tableau15[jeu.10],"="&amp;"ECH")</f>
        <v>0</v>
      </c>
      <c r="EB48" s="210">
        <f>COUNTIF(Tableau15[ven.11],"="&amp;"PTRI")+COUNTIF(Tableau15[ven.11],"="&amp;"ECH")</f>
        <v>0</v>
      </c>
      <c r="EC48" s="232">
        <f t="shared" si="21"/>
        <v>0</v>
      </c>
      <c r="ED48" s="210">
        <f>COUNTIF(Tableau15[dim.13],"="&amp;"PTRI")+COUNTIF(Tableau15[dim.13],"="&amp;"ECH")</f>
        <v>0</v>
      </c>
      <c r="EE48" s="210">
        <f>COUNTIF(Tableau15[lun.14],"="&amp;"PTRI")+COUNTIF(Tableau15[lun.14],"="&amp;"ECH")</f>
        <v>0</v>
      </c>
      <c r="EF48" s="210">
        <f>COUNTIF(Tableau15[mar.15],"="&amp;"PTRI")+COUNTIF(Tableau15[mar.15],"="&amp;"ECH")</f>
        <v>0</v>
      </c>
      <c r="EG48" s="210">
        <f>COUNTIF(Tableau15[mer.16],"="&amp;"PTRI")+COUNTIF(Tableau15[mer.16],"="&amp;"ECH")</f>
        <v>0</v>
      </c>
      <c r="EH48" s="210">
        <f>COUNTIF(Tableau15[jeu.17],"="&amp;"PTRI")+COUNTIF(Tableau15[jeu.17],"="&amp;"ECH")</f>
        <v>0</v>
      </c>
      <c r="EI48" s="210">
        <f>COUNTIF(Tableau15[ven.18],"="&amp;"PTRI")+COUNTIF(Tableau15[ven.18],"="&amp;"ECH")</f>
        <v>0</v>
      </c>
      <c r="EJ48" s="232">
        <f t="shared" si="22"/>
        <v>0</v>
      </c>
      <c r="EK48" s="210">
        <f>COUNTIF(Tableau15[dim.20],"="&amp;"PTRI")+COUNTIF(Tableau15[dim.20],"="&amp;"ECH")</f>
        <v>0</v>
      </c>
      <c r="EL48" s="210">
        <f>COUNTIF(Tableau15[lun.21],"="&amp;"PTRI")+COUNTIF(Tableau15[lun.21],"="&amp;"ECH")</f>
        <v>0</v>
      </c>
      <c r="EM48" s="210">
        <f>COUNTIF(Tableau15[mar.22],"="&amp;"PTRI")+COUNTIF(Tableau15[mar.22],"="&amp;"ECH")</f>
        <v>0</v>
      </c>
      <c r="EN48" s="210">
        <f>COUNTIF(Tableau15[mer.23],"="&amp;"PTRI")+COUNTIF(Tableau15[mer.23],"="&amp;"ECH")</f>
        <v>0</v>
      </c>
      <c r="EO48" s="210">
        <f>COUNTIF(Tableau15[jeu.24],"="&amp;"PTRI")+COUNTIF(Tableau15[jeu.24],"="&amp;"ECH")</f>
        <v>0</v>
      </c>
      <c r="EP48" s="210">
        <f>COUNTIF(Tableau15[ven.25],"="&amp;"PTRI")+COUNTIF(Tableau15[ven.25],"="&amp;"ECH")</f>
        <v>0</v>
      </c>
      <c r="EQ48" s="232">
        <f t="shared" si="23"/>
        <v>0</v>
      </c>
      <c r="ER48" s="210">
        <f>COUNTIF(Tableau15[dim.27],"="&amp;"PTRI")+COUNTIF(Tableau15[dim.27],"="&amp;"ECH")</f>
        <v>0</v>
      </c>
      <c r="ES48" s="210">
        <f>COUNTIF(Tableau15[lun.28],"="&amp;"PTRI")+COUNTIF(Tableau15[lun.28],"="&amp;"ECH")</f>
        <v>0</v>
      </c>
      <c r="ET48" s="210">
        <f>COUNTIF(Tableau15[mar.29],"="&amp;"PTRI")+COUNTIF(Tableau15[mar.29],"="&amp;"ECH")</f>
        <v>0</v>
      </c>
      <c r="EU48" s="210">
        <f>COUNTIF(Tableau15[mer.30],"="&amp;"PTRI")+COUNTIF(Tableau15[mer.30],"="&amp;"ECH")</f>
        <v>0</v>
      </c>
      <c r="EV48" s="210">
        <f>COUNTIF(Tableau15[jeu.31],"="&amp;"PTRI")+COUNTIF(Tableau15[jeu.31],"="&amp;"ECH")</f>
        <v>0</v>
      </c>
      <c r="EW48" s="210">
        <f>COUNTIF(Tableau15[ven.01],"="&amp;"PTRI")+COUNTIF(Tableau15[ven.01],"="&amp;"ECH")</f>
        <v>0</v>
      </c>
      <c r="EX48" s="232">
        <f t="shared" si="24"/>
        <v>0</v>
      </c>
      <c r="EY48" s="210">
        <f>COUNTIF(Tableau15[dim.03],"="&amp;"PTRI")+COUNTIF(Tableau15[dim.03],"="&amp;"ECH")</f>
        <v>0</v>
      </c>
      <c r="EZ48" s="210">
        <f>COUNTIF(Tableau15[lun.04],"="&amp;"PTRI")+COUNTIF(Tableau15[lun.04],"="&amp;"ECH")</f>
        <v>0</v>
      </c>
      <c r="FA48" s="210">
        <f>COUNTIF(Tableau15[mar.05],"="&amp;"PTRI")+COUNTIF(Tableau15[mar.05],"="&amp;"ECH")</f>
        <v>0</v>
      </c>
      <c r="FB48" s="210">
        <f>COUNTIF(Tableau15[mer.06],"="&amp;"PTRI")+COUNTIF(Tableau15[mer.06],"="&amp;"ECH")</f>
        <v>0</v>
      </c>
      <c r="FC48" s="210">
        <f>COUNTIF(Tableau15[jeu.07],"="&amp;"PTRI")+COUNTIF(Tableau15[jeu.07],"="&amp;"ECH")</f>
        <v>0</v>
      </c>
      <c r="FD48" s="210">
        <f>COUNTIF(Tableau15[ven.08],"="&amp;"PTRI")+COUNTIF(Tableau15[ven.08],"="&amp;"ECH")</f>
        <v>0</v>
      </c>
      <c r="FE48" s="232">
        <f t="shared" si="25"/>
        <v>0</v>
      </c>
      <c r="FF48" s="210">
        <f>COUNTIF(Tableau15[dim.10],"="&amp;"PTRI")+COUNTIF(Tableau15[dim.10],"="&amp;"ECH")</f>
        <v>0</v>
      </c>
      <c r="FG48" s="210">
        <f>COUNTIF(Tableau15[lun.11],"="&amp;"PTRI")+COUNTIF(Tableau15[lun.11],"="&amp;"ECH")</f>
        <v>0</v>
      </c>
      <c r="FH48" s="210">
        <f>COUNTIF(Tableau15[mar.12],"="&amp;"PTRI")+COUNTIF(Tableau15[mar.12],"="&amp;"ECH")</f>
        <v>0</v>
      </c>
      <c r="FI48" s="210">
        <f>COUNTIF(Tableau15[mer.13],"="&amp;"PTRI")+COUNTIF(Tableau15[mer.13],"="&amp;"ECH")</f>
        <v>0</v>
      </c>
      <c r="FJ48" s="210">
        <f>COUNTIF(Tableau15[jeu.14],"="&amp;"PTRI")+COUNTIF(Tableau15[jeu.14],"="&amp;"ECH")</f>
        <v>0</v>
      </c>
      <c r="FK48" s="210">
        <f>COUNTIF(Tableau15[ven.15],"="&amp;"PTRI")+COUNTIF(Tableau15[ven.15],"="&amp;"ECH")</f>
        <v>0</v>
      </c>
      <c r="FL48" s="232">
        <f t="shared" si="26"/>
        <v>0</v>
      </c>
      <c r="FM48" s="210">
        <f>COUNTIF(Tableau15[dim.17],"="&amp;"PTRI")+COUNTIF(Tableau15[dim.17],"="&amp;"ECH")</f>
        <v>0</v>
      </c>
      <c r="FN48" s="210">
        <f>COUNTIF(Tableau15[lun.18],"="&amp;"PTRI")+COUNTIF(Tableau15[lun.18],"="&amp;"ECH")</f>
        <v>0</v>
      </c>
      <c r="FO48" s="210">
        <f>COUNTIF(Tableau15[mar.19],"="&amp;"PTRI")+COUNTIF(Tableau15[mar.19],"="&amp;"ECH")</f>
        <v>0</v>
      </c>
      <c r="FP48" s="210">
        <f>COUNTIF(Tableau15[mer.20],"="&amp;"PTRI")+COUNTIF(Tableau15[mer.20],"="&amp;"ECH")</f>
        <v>0</v>
      </c>
      <c r="FQ48" s="210">
        <f>COUNTIF(Tableau15[jeu.21],"="&amp;"PTRI")+COUNTIF(Tableau15[jeu.21],"="&amp;"ECH")</f>
        <v>0</v>
      </c>
      <c r="FR48" s="210">
        <f>COUNTIF(Tableau15[ven.22],"="&amp;"PTRI")+COUNTIF(Tableau15[ven.22],"="&amp;"ECH")</f>
        <v>0</v>
      </c>
      <c r="FS48" s="232">
        <f t="shared" si="27"/>
        <v>0</v>
      </c>
      <c r="FT48" s="210">
        <f>COUNTIF(Tableau15[dim.24],"="&amp;"PTRI")+COUNTIF(Tableau15[dim.24],"="&amp;"ECH")</f>
        <v>0</v>
      </c>
      <c r="FU48" s="210">
        <f>COUNTIF(Tableau15[lun.25],"="&amp;"PTRI")+COUNTIF(Tableau15[lun.25],"="&amp;"ECH")</f>
        <v>0</v>
      </c>
      <c r="FV48" s="210">
        <f>COUNTIF(Tableau15[mar.26],"="&amp;"PTRI")+COUNTIF(Tableau15[mar.26],"="&amp;"ECH")</f>
        <v>0</v>
      </c>
      <c r="FW48" s="210">
        <f>COUNTIF(Tableau15[mer.27],"="&amp;"PTRI")+COUNTIF(Tableau15[mer.27],"="&amp;"ECH")</f>
        <v>0</v>
      </c>
      <c r="FX48" s="210">
        <f>COUNTIF(Tableau15[jeu.28],"="&amp;"PTRI")+COUNTIF(Tableau15[jeu.28],"="&amp;"ECH")</f>
        <v>0</v>
      </c>
      <c r="FY48" s="210">
        <f>COUNTIF(Tableau15[ven.29],"="&amp;"PTRI")+COUNTIF(Tableau15[ven.29],"="&amp;"ECH")</f>
        <v>0</v>
      </c>
      <c r="FZ48" s="232">
        <f t="shared" si="28"/>
        <v>0</v>
      </c>
      <c r="GA48" s="210">
        <f>COUNTIF(Tableau15[dim.012],"="&amp;"PTRI")+COUNTIF(Tableau15[dim.012],"="&amp;"ECH")</f>
        <v>0</v>
      </c>
      <c r="GB48" s="210">
        <f>COUNTIF(Tableau15[lun.023],"="&amp;"PTRI")+COUNTIF(Tableau15[lun.023],"="&amp;"ECH")</f>
        <v>0</v>
      </c>
      <c r="GC48" s="210">
        <f>COUNTIF(Tableau15[mar.034],"="&amp;"PTRI")+COUNTIF(Tableau15[mar.034],"="&amp;"ECH")</f>
        <v>0</v>
      </c>
      <c r="GD48" s="210">
        <f>COUNTIF(Tableau15[mer.045],"="&amp;"PTRI")+COUNTIF(Tableau15[mer.045],"="&amp;"ECH")</f>
        <v>0</v>
      </c>
      <c r="GE48" s="210">
        <f>COUNTIF(Tableau15[jeu.056],"="&amp;"PTRI")+COUNTIF(Tableau15[jeu.056],"="&amp;"ECH")</f>
        <v>0</v>
      </c>
      <c r="GF48" s="210">
        <f>COUNTIF(Tableau15[ven.067],"="&amp;"PTRI")+COUNTIF(Tableau15[ven.067],"="&amp;"ECH")</f>
        <v>0</v>
      </c>
      <c r="GG48" s="232">
        <f t="shared" si="29"/>
        <v>0</v>
      </c>
      <c r="GH48" s="210">
        <f>COUNTIF(Tableau15[dim.089],"="&amp;"PTRI")+COUNTIF(Tableau15[dim.089],"="&amp;"ECH")</f>
        <v>0</v>
      </c>
      <c r="GI48" s="210">
        <f>COUNTIF(Tableau15[lun.0910],"="&amp;"PTRI")+COUNTIF(Tableau15[lun.0910],"="&amp;"ECH")</f>
        <v>0</v>
      </c>
      <c r="GJ48" s="210">
        <f>COUNTIF(Tableau15[mar.1011],"="&amp;"PTRI")+COUNTIF(Tableau15[mar.1011],"="&amp;"ECH")</f>
        <v>0</v>
      </c>
      <c r="GK48" s="210">
        <f>COUNTIF(Tableau15[mer.1112],"="&amp;"PTRI")+COUNTIF(Tableau15[mer.1112],"="&amp;"ECH")</f>
        <v>0</v>
      </c>
      <c r="GL48" s="210">
        <f>COUNTIF(Tableau15[jeu.1213],"="&amp;"PTRI")+COUNTIF(Tableau15[jeu.1213],"="&amp;"ECH")</f>
        <v>0</v>
      </c>
      <c r="GM48" s="210">
        <f>COUNTIF(Tableau15[ven.1314],"="&amp;"PTRI")+COUNTIF(Tableau15[ven.1314],"="&amp;"ECH")</f>
        <v>0</v>
      </c>
      <c r="GN48" s="232">
        <f t="shared" si="30"/>
        <v>0</v>
      </c>
      <c r="GO48" s="210">
        <f>COUNTIF(Tableau15[dim.1516],"="&amp;"PTRI")+COUNTIF(Tableau15[dim.1516],"="&amp;"ECH")</f>
        <v>0</v>
      </c>
      <c r="GP48" s="210">
        <f>COUNTIF(Tableau15[lun.1617],"="&amp;"PTRI")+COUNTIF(Tableau15[lun.1617],"="&amp;"ECH")</f>
        <v>0</v>
      </c>
      <c r="GQ48" s="210">
        <f>COUNTIF(Tableau15[mar.1718],"="&amp;"PTRI")+COUNTIF(Tableau15[mar.1718],"="&amp;"ECH")</f>
        <v>0</v>
      </c>
      <c r="GR48" s="210">
        <f>COUNTIF(Tableau15[mer.1819],"="&amp;"PTRI")+COUNTIF(Tableau15[mer.1819],"="&amp;"ECH")</f>
        <v>0</v>
      </c>
      <c r="GS48" s="210">
        <f>COUNTIF(Tableau15[jeu.1920],"="&amp;"PTRI")+COUNTIF(Tableau15[jeu.1920],"="&amp;"ECH")</f>
        <v>0</v>
      </c>
      <c r="GT48" s="210">
        <f>COUNTIF(Tableau15[ven.2021],"="&amp;"PTRI")+COUNTIF(Tableau15[ven.2021],"="&amp;"ECH")</f>
        <v>0</v>
      </c>
      <c r="GU48" s="232">
        <f t="shared" si="31"/>
        <v>0</v>
      </c>
      <c r="GV48" s="210">
        <f>COUNTIF(Tableau15[dim.2223],"="&amp;"PTRI")+COUNTIF(Tableau15[dim.2223],"="&amp;"ECH")</f>
        <v>0</v>
      </c>
      <c r="GW48" s="210">
        <f>COUNTIF(Tableau15[lun.2324],"="&amp;"PTRI")+COUNTIF(Tableau15[lun.2324],"="&amp;"ECH")</f>
        <v>0</v>
      </c>
      <c r="GX48" s="210">
        <f>COUNTIF(Tableau15[mar.2425],"="&amp;"PTRI")+COUNTIF(Tableau15[mar.2425],"="&amp;"ECH")</f>
        <v>0</v>
      </c>
      <c r="GY48" s="210">
        <f>COUNTIF(Tableau15[mer.2526],"="&amp;"PTRI")+COUNTIF(Tableau15[mer.2526],"="&amp;"ECH")</f>
        <v>0</v>
      </c>
      <c r="GZ48" s="210">
        <f>COUNTIF(Tableau15[jeu.2627],"="&amp;"PTRI")+COUNTIF(Tableau15[jeu.2627],"="&amp;"ECH")</f>
        <v>0</v>
      </c>
      <c r="HA48" s="210">
        <f>COUNTIF(Tableau15[ven.2728],"="&amp;"PTRI")+COUNTIF(Tableau15[ven.2728],"="&amp;"ECH")</f>
        <v>0</v>
      </c>
      <c r="HB48" s="244">
        <f t="shared" si="32"/>
        <v>0</v>
      </c>
      <c r="HD48" s="210">
        <f>COUNTIF(Tableau15[lun.08],"="&amp;"PTRI")+COUNTIF(Tableau15[lun.08],"="&amp;"ECH")</f>
        <v>2</v>
      </c>
      <c r="HE48" s="210">
        <f>COUNTIF(Tableau15[mar.09],"="&amp;"PTRI")+COUNTIF(Tableau15[mar.09],"="&amp;"ECH")</f>
        <v>2</v>
      </c>
      <c r="HF48" s="210">
        <f>COUNTIF(Tableau15[mer.10],"="&amp;"PTRI")+COUNTIF(Tableau15[mer.10],"="&amp;"ECH")</f>
        <v>2</v>
      </c>
      <c r="HG48" s="210">
        <f>COUNTIF(Tableau15[jeu.11],"="&amp;"PTRI")+COUNTIF(Tableau15[jeu.11],"="&amp;"ECH")</f>
        <v>2</v>
      </c>
      <c r="HH48" s="210">
        <f>COUNTIF(Tableau15[ven.12],"="&amp;"PTRI")+COUNTIF(Tableau15[ven.12],"="&amp;"ECH")</f>
        <v>2</v>
      </c>
      <c r="HI48" s="232">
        <f t="shared" si="33"/>
        <v>10</v>
      </c>
      <c r="HJ48" s="210">
        <f>COUNTIF(Tableau15[dim.14],"="&amp;"PTRI")+COUNTIF(Tableau15[dim.14],"="&amp;"ECH")</f>
        <v>0</v>
      </c>
      <c r="HK48" s="210">
        <f>COUNTIF(Tableau15[lun.15],"="&amp;"PTRI")+COUNTIF(Tableau15[lun.15],"="&amp;"ECH")</f>
        <v>1</v>
      </c>
      <c r="HL48" s="210">
        <f>COUNTIF(Tableau15[mar.16],"="&amp;"PTRI")+COUNTIF(Tableau15[mar.16],"="&amp;"ECH")</f>
        <v>1</v>
      </c>
      <c r="HM48" s="210">
        <f>COUNTIF(Tableau15[mer.17],"="&amp;"PTRI")+COUNTIF(Tableau15[mer.17],"="&amp;"ECH")</f>
        <v>1</v>
      </c>
      <c r="HN48" s="210">
        <f>COUNTIF(Tableau15[jeu.18],"="&amp;"PTRI")+COUNTIF(Tableau15[jeu.18],"="&amp;"ECH")</f>
        <v>1</v>
      </c>
      <c r="HO48" s="210">
        <f>COUNTIF(Tableau15[ven.19],"="&amp;"PTRI")+COUNTIF(Tableau15[ven.19],"="&amp;"ECH")</f>
        <v>1</v>
      </c>
      <c r="HP48" s="232">
        <f t="shared" si="34"/>
        <v>5</v>
      </c>
      <c r="HQ48" s="210">
        <f>COUNTIF(Tableau15[dim.21],"="&amp;"PTRI")+COUNTIF(Tableau15[dim.21],"="&amp;"ECH")</f>
        <v>0</v>
      </c>
      <c r="HR48" s="210">
        <f>COUNTIF(Tableau15[lun.22],"="&amp;"PTRI")+COUNTIF(Tableau15[lun.22],"="&amp;"ECH")</f>
        <v>0</v>
      </c>
      <c r="HS48" s="210">
        <f>COUNTIF(Tableau15[mar.23],"="&amp;"PTRI")+COUNTIF(Tableau15[mar.23],"="&amp;"ECH")</f>
        <v>0</v>
      </c>
      <c r="HT48" s="210">
        <f>COUNTIF(Tableau15[mer.24],"="&amp;"PTRI")+COUNTIF(Tableau15[mer.24],"="&amp;"ECH")</f>
        <v>0</v>
      </c>
      <c r="HU48" s="210">
        <f>COUNTIF(Tableau15[jeu.25],"="&amp;"PTRI")+COUNTIF(Tableau15[jeu.25],"="&amp;"ECH")</f>
        <v>0</v>
      </c>
      <c r="HV48" s="210">
        <f>COUNTIF(Tableau15[ven.26],"="&amp;"PTRI")+COUNTIF(Tableau15[ven.26],"="&amp;"ECH")</f>
        <v>0</v>
      </c>
      <c r="HW48" s="232">
        <f t="shared" si="35"/>
        <v>0</v>
      </c>
      <c r="HX48" s="210">
        <f>COUNTIF(Tableau15[dim.28],"="&amp;"PTRI")+COUNTIF(Tableau15[dim.28],"="&amp;"ECH")</f>
        <v>0</v>
      </c>
      <c r="HY48" s="210">
        <f>COUNTIF(Tableau15[lun.29],"="&amp;"PTRI")+COUNTIF(Tableau15[lun.29],"="&amp;"ECH")</f>
        <v>0</v>
      </c>
      <c r="HZ48" s="210">
        <f>COUNTIF(Tableau15[mar.30],"="&amp;"PTRI")+COUNTIF(Tableau15[mar.30],"="&amp;"ECH")</f>
        <v>0</v>
      </c>
      <c r="IA48" s="210">
        <f>COUNTIF(Tableau15[mer.31],"="&amp;"PTRI")+COUNTIF(Tableau15[mer.31],"="&amp;"ECH")</f>
        <v>0</v>
      </c>
      <c r="IB48" s="210">
        <f>COUNTIF(Tableau15[jeu.01],"="&amp;"PTRI")+COUNTIF(Tableau15[jeu.01],"="&amp;"ECH")</f>
        <v>0</v>
      </c>
      <c r="IC48" s="210">
        <f>COUNTIF(Tableau15[ven.02],"="&amp;"PTRI")+COUNTIF(Tableau15[ven.02],"="&amp;"ECH")</f>
        <v>0</v>
      </c>
      <c r="ID48" s="232">
        <f t="shared" si="36"/>
        <v>0</v>
      </c>
      <c r="IE48" s="210">
        <f>COUNTIF(Tableau15[dim.04],"="&amp;"PTRI")+COUNTIF(Tableau15[dim.04],"="&amp;"ECH")</f>
        <v>0</v>
      </c>
      <c r="IF48" s="210">
        <f>COUNTIF(Tableau15[lun.05],"="&amp;"PTRI")+COUNTIF(Tableau15[lun.05],"="&amp;"ECH")</f>
        <v>0</v>
      </c>
      <c r="IG48" s="210">
        <f>COUNTIF(Tableau15[mar.06],"="&amp;"PTRI")+COUNTIF(Tableau15[mar.06],"="&amp;"ECH")</f>
        <v>0</v>
      </c>
      <c r="IH48" s="210">
        <f>COUNTIF(Tableau15[mer.07],"="&amp;"PTRI")+COUNTIF(Tableau15[mer.07],"="&amp;"ECH")</f>
        <v>0</v>
      </c>
      <c r="II48" s="210">
        <f>COUNTIF(Tableau15[jeu.08],"="&amp;"PTRI")+COUNTIF(Tableau15[jeu.08],"="&amp;"ECH")</f>
        <v>0</v>
      </c>
      <c r="IJ48" s="210">
        <f>COUNTIF(Tableau15[ven.09],"="&amp;"PTRI")+COUNTIF(Tableau15[ven.09],"="&amp;"ECH")</f>
        <v>0</v>
      </c>
      <c r="IK48" s="232">
        <f t="shared" si="37"/>
        <v>0</v>
      </c>
      <c r="IL48" s="210">
        <f>COUNTIF(Tableau15[dim.11],"="&amp;"PTRI")+COUNTIF(Tableau15[dim.11],"="&amp;"ECH")</f>
        <v>0</v>
      </c>
      <c r="IM48" s="210">
        <f>COUNTIF(Tableau15[lun.12],"="&amp;"PTRI")+COUNTIF(Tableau15[lun.12],"="&amp;"ECH")</f>
        <v>0</v>
      </c>
      <c r="IN48" s="210">
        <f>COUNTIF(Tableau15[mar.13],"="&amp;"PTRI")+COUNTIF(Tableau15[mar.13],"="&amp;"ECH")</f>
        <v>0</v>
      </c>
      <c r="IO48" s="210">
        <f>COUNTIF(Tableau15[mer.14],"="&amp;"PTRI")+COUNTIF(Tableau15[mer.14],"="&amp;"ECH")</f>
        <v>0</v>
      </c>
      <c r="IP48" s="210">
        <f>COUNTIF(Tableau15[jeu.15],"="&amp;"PTRI")+COUNTIF(Tableau15[jeu.15],"="&amp;"ECH")</f>
        <v>0</v>
      </c>
      <c r="IQ48" s="210">
        <f>COUNTIF(Tableau15[ven.16],"="&amp;"PTRI")+COUNTIF(Tableau15[ven.16],"="&amp;"ECH")</f>
        <v>0</v>
      </c>
      <c r="IR48" s="232">
        <f t="shared" si="38"/>
        <v>0</v>
      </c>
      <c r="IS48" s="210">
        <f>COUNTIF(Tableau15[dim.18],"="&amp;"PTRI")+COUNTIF(Tableau15[dim.18],"="&amp;"ECH")</f>
        <v>0</v>
      </c>
      <c r="IT48" s="210">
        <f>COUNTIF(Tableau15[lun.19],"="&amp;"PTRI")+COUNTIF(Tableau15[lun.19],"="&amp;"ECH")</f>
        <v>0</v>
      </c>
      <c r="IU48" s="210">
        <f>COUNTIF(Tableau15[mar.20],"="&amp;"PTRI")+COUNTIF(Tableau15[mar.20],"="&amp;"ECH")</f>
        <v>0</v>
      </c>
      <c r="IV48" s="210">
        <f>COUNTIF(Tableau15[mer.21],"="&amp;"PTRI")+COUNTIF(Tableau15[mer.21],"="&amp;"ECH")</f>
        <v>0</v>
      </c>
      <c r="IW48" s="210">
        <f>COUNTIF(Tableau15[jeu.22],"="&amp;"PTRI")+COUNTIF(Tableau15[jeu.22],"="&amp;"ECH")</f>
        <v>0</v>
      </c>
      <c r="IX48" s="210">
        <f>COUNTIF(Tableau15[ven.23],"="&amp;"PTRI")+COUNTIF(Tableau15[ven.23],"="&amp;"ECH")</f>
        <v>0</v>
      </c>
      <c r="IY48" s="232">
        <f t="shared" si="39"/>
        <v>0</v>
      </c>
      <c r="IZ48" s="210">
        <f>COUNTIF(Tableau15[dim.25],"="&amp;"PTRI")+COUNTIF(Tableau15[dim.25],"="&amp;"ECH")</f>
        <v>0</v>
      </c>
      <c r="JA48" s="210">
        <f>COUNTIF(Tableau15[lun.26],"="&amp;"PTRI")+COUNTIF(Tableau15[lun.26],"="&amp;"ECH")</f>
        <v>0</v>
      </c>
      <c r="JB48" s="210">
        <f>COUNTIF(Tableau15[mar.27],"="&amp;"PTRI")+COUNTIF(Tableau15[mar.27],"="&amp;"ECH")</f>
        <v>0</v>
      </c>
      <c r="JC48" s="210">
        <f>COUNTIF(Tableau15[mer.28],"="&amp;"PTRI")+COUNTIF(Tableau15[mer.28],"="&amp;"ECH")</f>
        <v>0</v>
      </c>
      <c r="JD48" s="210">
        <f>COUNTIF(Tableau15[jeu.29],"="&amp;"PTRI")+COUNTIF(Tableau15[jeu.29],"="&amp;"ECH")</f>
        <v>0</v>
      </c>
      <c r="JE48" s="210">
        <f>COUNTIF(Tableau15[ven.30],"="&amp;"PTRI")+COUNTIF(Tableau15[ven.30],"="&amp;"ECH")</f>
        <v>0</v>
      </c>
      <c r="JF48" s="232">
        <f t="shared" si="40"/>
        <v>0</v>
      </c>
      <c r="JG48" s="210">
        <f>COUNTIF(Tableau15[dim.01],"="&amp;"PTRI")+COUNTIF(Tableau15[dim.01],"="&amp;"ECH")</f>
        <v>0</v>
      </c>
      <c r="JH48" s="210">
        <f>COUNTIF(Tableau15[lun.02],"="&amp;"PTRI")+COUNTIF(Tableau15[lun.02],"="&amp;"ECH")</f>
        <v>0</v>
      </c>
      <c r="JI48" s="210">
        <f>COUNTIF(Tableau15[mar.03],"="&amp;"PTRI")+COUNTIF(Tableau15[mar.03],"="&amp;"ECH")</f>
        <v>0</v>
      </c>
      <c r="JJ48" s="210">
        <f>COUNTIF(Tableau15[mer.04],"="&amp;"PTRI")+COUNTIF(Tableau15[mer.04],"="&amp;"ECH")</f>
        <v>0</v>
      </c>
      <c r="JK48" s="210">
        <f>COUNTIF(Tableau15[jeu.05],"="&amp;"PTRI")+COUNTIF(Tableau15[jeu.05],"="&amp;"ECH")</f>
        <v>0</v>
      </c>
      <c r="JL48" s="210">
        <f>COUNTIF(Tableau15[ven.06],"="&amp;"PTRI")+COUNTIF(Tableau15[ven.06],"="&amp;"ECH")</f>
        <v>0</v>
      </c>
      <c r="JM48" s="232">
        <f t="shared" si="41"/>
        <v>0</v>
      </c>
      <c r="JN48" s="210">
        <f>COUNTIF(Tableau15[dim.08],"="&amp;"PTRI")+COUNTIF(Tableau15[dim.08],"="&amp;"ECH")</f>
        <v>0</v>
      </c>
      <c r="JO48" s="210">
        <f>COUNTIF(Tableau15[lun.09],"="&amp;"PTRI")+COUNTIF(Tableau15[lun.09],"="&amp;"ECH")</f>
        <v>0</v>
      </c>
      <c r="JP48" s="210">
        <f>COUNTIF(Tableau15[mar.10],"="&amp;"PTRI")+COUNTIF(Tableau15[mar.10],"="&amp;"ECH")</f>
        <v>0</v>
      </c>
      <c r="JQ48" s="210">
        <f>COUNTIF(Tableau15[mer.11],"="&amp;"PTRI")+COUNTIF(Tableau15[mer.11],"="&amp;"ECH")</f>
        <v>0</v>
      </c>
      <c r="JR48" s="210">
        <f>COUNTIF(Tableau15[jeu.12],"="&amp;"PTRI")+COUNTIF(Tableau15[jeu.12],"="&amp;"ECH")</f>
        <v>0</v>
      </c>
      <c r="JS48" s="210">
        <f>COUNTIF(Tableau15[ven.13],"="&amp;"PTRI")+COUNTIF(Tableau15[ven.13],"="&amp;"ECH")</f>
        <v>0</v>
      </c>
      <c r="JT48" s="232">
        <f t="shared" si="42"/>
        <v>0</v>
      </c>
      <c r="JU48" s="210">
        <f>COUNTIF(Tableau15[dim.15],"="&amp;"PTRI")+COUNTIF(Tableau15[dim.15],"="&amp;"ECH")</f>
        <v>0</v>
      </c>
      <c r="JV48" s="210">
        <f>COUNTIF(Tableau15[lun.16],"="&amp;"PTRI")+COUNTIF(Tableau15[lun.16],"="&amp;"ECH")</f>
        <v>0</v>
      </c>
      <c r="JW48" s="210">
        <f>COUNTIF(Tableau15[mar.17],"="&amp;"PTRI")+COUNTIF(Tableau15[mar.17],"="&amp;"ECH")</f>
        <v>0</v>
      </c>
      <c r="JX48" s="210">
        <f>COUNTIF(Tableau15[mer.18],"="&amp;"PTRI")+COUNTIF(Tableau15[mer.18],"="&amp;"ECH")</f>
        <v>0</v>
      </c>
      <c r="JY48" s="210">
        <f>COUNTIF(Tableau15[jeu.19],"="&amp;"PTRI")+COUNTIF(Tableau15[jeu.19],"="&amp;"ECH")</f>
        <v>0</v>
      </c>
      <c r="JZ48" s="210">
        <f>COUNTIF(Tableau15[ven.20],"="&amp;"PTRI")+COUNTIF(Tableau15[ven.20],"="&amp;"ECH")</f>
        <v>0</v>
      </c>
      <c r="KA48" s="232">
        <f t="shared" si="43"/>
        <v>0</v>
      </c>
      <c r="KB48" s="210">
        <f>COUNTIF(Tableau15[dim.22],"="&amp;"PTRI")+COUNTIF(Tableau15[dim.22],"="&amp;"ECH")</f>
        <v>0</v>
      </c>
      <c r="KC48" s="210">
        <f>COUNTIF(Tableau15[lun.23],"="&amp;"PTRI")+COUNTIF(Tableau15[lun.23],"="&amp;"ECH")</f>
        <v>0</v>
      </c>
      <c r="KD48" s="210">
        <f>COUNTIF(Tableau15[mar.24],"="&amp;"PTRI")+COUNTIF(Tableau15[mar.24],"="&amp;"ECH")</f>
        <v>0</v>
      </c>
      <c r="KE48" s="210">
        <f>COUNTIF(Tableau15[mer.25],"="&amp;"PTRI")+COUNTIF(Tableau15[mer.25],"="&amp;"ECH")</f>
        <v>0</v>
      </c>
      <c r="KF48" s="210">
        <f>COUNTIF(Tableau15[jeu.26],"="&amp;"PTRI")+COUNTIF(Tableau15[jeu.26],"="&amp;"ECH")</f>
        <v>0</v>
      </c>
      <c r="KG48" s="210">
        <f>COUNTIF(Tableau15[ven.27],"="&amp;"PTRI")+COUNTIF(Tableau15[ven.27],"="&amp;"ECH")</f>
        <v>0</v>
      </c>
      <c r="KH48" s="232">
        <f t="shared" si="44"/>
        <v>0</v>
      </c>
      <c r="KI48" s="210">
        <f>COUNTIF(Tableau15[dim.29],"="&amp;"PTRI")+COUNTIF(Tableau15[dim.29],"="&amp;"ECH")</f>
        <v>0</v>
      </c>
      <c r="KJ48" s="210">
        <f>COUNTIF(Tableau15[lun.30],"="&amp;"PTRI")+COUNTIF(Tableau15[lun.30],"="&amp;"ECH")</f>
        <v>0</v>
      </c>
      <c r="KK48" s="210">
        <f>COUNTIF(Tableau15[mar.01],"="&amp;"PTRI")+COUNTIF(Tableau15[mar.01],"="&amp;"ECH")</f>
        <v>0</v>
      </c>
      <c r="KL48" s="210">
        <f>COUNTIF(Tableau15[mer.02],"="&amp;"PTRI")+COUNTIF(Tableau15[mer.02],"="&amp;"ECH")</f>
        <v>0</v>
      </c>
      <c r="KM48" s="210">
        <f>COUNTIF(Tableau15[jeu.03],"="&amp;"PTRI")+COUNTIF(Tableau15[jeu.03],"="&amp;"ECH")</f>
        <v>0</v>
      </c>
      <c r="KN48" s="210">
        <f>COUNTIF(Tableau15[ven.04],"="&amp;"PTRI")+COUNTIF(Tableau15[ven.04],"="&amp;"ECH")</f>
        <v>0</v>
      </c>
      <c r="KO48" s="232">
        <f t="shared" si="45"/>
        <v>0</v>
      </c>
      <c r="KP48" s="210">
        <f>COUNTIF(Tableau15[dim.06],"="&amp;"PTRI")+COUNTIF(Tableau15[dim.06],"="&amp;"ECH")</f>
        <v>0</v>
      </c>
      <c r="KQ48" s="210">
        <f>COUNTIF(Tableau15[lun.07],"="&amp;"PTRI")+COUNTIF(Tableau15[lun.07],"="&amp;"ECH")</f>
        <v>0</v>
      </c>
      <c r="KR48" s="210">
        <f>COUNTIF(Tableau15[mar.08],"="&amp;"PTRI")+COUNTIF(Tableau15[mar.08],"="&amp;"ECH")</f>
        <v>0</v>
      </c>
      <c r="KS48" s="210">
        <f>COUNTIF(Tableau15[mer.09],"="&amp;"PTRI")+COUNTIF(Tableau15[mer.09],"="&amp;"ECH")</f>
        <v>0</v>
      </c>
      <c r="KT48" s="210">
        <f>COUNTIF(Tableau15[jeu.10],"="&amp;"PTRI")+COUNTIF(Tableau15[jeu.10],"="&amp;"ECH")</f>
        <v>0</v>
      </c>
      <c r="KU48" s="210">
        <f>COUNTIF(Tableau15[ven.11],"="&amp;"PTRI")+COUNTIF(Tableau15[ven.11],"="&amp;"ECH")</f>
        <v>0</v>
      </c>
      <c r="KV48" s="232">
        <f t="shared" si="46"/>
        <v>0</v>
      </c>
      <c r="KW48" s="210">
        <f>COUNTIF(Tableau15[dim.13],"="&amp;"PTRI")+COUNTIF(Tableau15[dim.13],"="&amp;"ECH")</f>
        <v>0</v>
      </c>
      <c r="KX48" s="210">
        <f>COUNTIF(Tableau15[lun.14],"="&amp;"PTRI")+COUNTIF(Tableau15[lun.14],"="&amp;"ECH")</f>
        <v>0</v>
      </c>
      <c r="KY48" s="210">
        <f>COUNTIF(Tableau15[mar.15],"="&amp;"PTRI")+COUNTIF(Tableau15[mar.15],"="&amp;"ECH")</f>
        <v>0</v>
      </c>
      <c r="KZ48" s="210">
        <f>COUNTIF(Tableau15[mer.16],"="&amp;"PTRI")+COUNTIF(Tableau15[mer.16],"="&amp;"ECH")</f>
        <v>0</v>
      </c>
      <c r="LA48" s="210">
        <f>COUNTIF(Tableau15[jeu.17],"="&amp;"PTRI")+COUNTIF(Tableau15[jeu.17],"="&amp;"ECH")</f>
        <v>0</v>
      </c>
      <c r="LB48" s="210">
        <f>COUNTIF(Tableau15[ven.18],"="&amp;"PTRI")+COUNTIF(Tableau15[ven.18],"="&amp;"ECH")</f>
        <v>0</v>
      </c>
      <c r="LC48" s="232">
        <f t="shared" si="47"/>
        <v>0</v>
      </c>
      <c r="LD48" s="210">
        <f>COUNTIF(Tableau15[dim.20],"="&amp;"PTRI")+COUNTIF(Tableau15[dim.20],"="&amp;"ECH")</f>
        <v>0</v>
      </c>
      <c r="LE48" s="210">
        <f>COUNTIF(Tableau15[lun.21],"="&amp;"PTRI")+COUNTIF(Tableau15[lun.21],"="&amp;"ECH")</f>
        <v>0</v>
      </c>
      <c r="LF48" s="210">
        <f>COUNTIF(Tableau15[mar.22],"="&amp;"PTRI")+COUNTIF(Tableau15[mar.22],"="&amp;"ECH")</f>
        <v>0</v>
      </c>
      <c r="LG48" s="210">
        <f>COUNTIF(Tableau15[mer.23],"="&amp;"PTRI")+COUNTIF(Tableau15[mer.23],"="&amp;"ECH")</f>
        <v>0</v>
      </c>
      <c r="LH48" s="210">
        <f>COUNTIF(Tableau15[jeu.24],"="&amp;"PTRI")+COUNTIF(Tableau15[jeu.24],"="&amp;"ECH")</f>
        <v>0</v>
      </c>
      <c r="LI48" s="210">
        <f>COUNTIF(Tableau15[ven.25],"="&amp;"PTRI")+COUNTIF(Tableau15[ven.25],"="&amp;"ECH")</f>
        <v>0</v>
      </c>
      <c r="LJ48" s="232">
        <f t="shared" si="48"/>
        <v>0</v>
      </c>
      <c r="LK48" s="210">
        <f>COUNTIF(Tableau15[dim.27],"="&amp;"PTRI")+COUNTIF(Tableau15[dim.27],"="&amp;"ECH")</f>
        <v>0</v>
      </c>
      <c r="LL48" s="210">
        <f>COUNTIF(Tableau15[lun.28],"="&amp;"PTRI")+COUNTIF(Tableau15[lun.28],"="&amp;"ECH")</f>
        <v>0</v>
      </c>
      <c r="LM48" s="210">
        <f>COUNTIF(Tableau15[mar.29],"="&amp;"PTRI")+COUNTIF(Tableau15[mar.29],"="&amp;"ECH")</f>
        <v>0</v>
      </c>
      <c r="LN48" s="210">
        <f>COUNTIF(Tableau15[mer.30],"="&amp;"PTRI")+COUNTIF(Tableau15[mer.30],"="&amp;"ECH")</f>
        <v>0</v>
      </c>
      <c r="LO48" s="210">
        <f>COUNTIF(Tableau15[jeu.31],"="&amp;"PTRI")+COUNTIF(Tableau15[jeu.31],"="&amp;"ECH")</f>
        <v>0</v>
      </c>
      <c r="LP48" s="210">
        <f>COUNTIF(Tableau15[ven.01],"="&amp;"PTRI")+COUNTIF(Tableau15[ven.01],"="&amp;"ECH")</f>
        <v>0</v>
      </c>
      <c r="LQ48" s="232">
        <f t="shared" si="0"/>
        <v>0</v>
      </c>
      <c r="LR48" s="210">
        <f>COUNTIF(Tableau15[dim.03],"="&amp;"PTRI")+COUNTIF(Tableau15[dim.03],"="&amp;"ECH")</f>
        <v>0</v>
      </c>
      <c r="LS48" s="210">
        <f>COUNTIF(Tableau15[lun.04],"="&amp;"PTRI")+COUNTIF(Tableau15[lun.04],"="&amp;"ECH")</f>
        <v>0</v>
      </c>
      <c r="LT48" s="210">
        <f>COUNTIF(Tableau15[mar.05],"="&amp;"PTRI")+COUNTIF(Tableau15[mar.05],"="&amp;"ECH")</f>
        <v>0</v>
      </c>
      <c r="LU48" s="210">
        <f>COUNTIF(Tableau15[mer.06],"="&amp;"PTRI")+COUNTIF(Tableau15[mer.06],"="&amp;"ECH")</f>
        <v>0</v>
      </c>
      <c r="LV48" s="210">
        <f>COUNTIF(Tableau15[jeu.07],"="&amp;"PTRI")+COUNTIF(Tableau15[jeu.07],"="&amp;"ECH")</f>
        <v>0</v>
      </c>
      <c r="LW48" s="210">
        <f>COUNTIF(Tableau15[ven.08],"="&amp;"PTRI")+COUNTIF(Tableau15[ven.08],"="&amp;"ECH")</f>
        <v>0</v>
      </c>
      <c r="LX48" s="232">
        <f t="shared" si="1"/>
        <v>0</v>
      </c>
      <c r="LY48" s="210">
        <f>COUNTIF(Tableau15[dim.10],"="&amp;"PTRI")+COUNTIF(Tableau15[dim.10],"="&amp;"ECH")</f>
        <v>0</v>
      </c>
      <c r="LZ48" s="210">
        <f>COUNTIF(Tableau15[lun.11],"="&amp;"PTRI")+COUNTIF(Tableau15[lun.11],"="&amp;"ECH")</f>
        <v>0</v>
      </c>
      <c r="MA48" s="210">
        <f>COUNTIF(Tableau15[mar.12],"="&amp;"PTRI")+COUNTIF(Tableau15[mar.12],"="&amp;"ECH")</f>
        <v>0</v>
      </c>
      <c r="MB48" s="210">
        <f>COUNTIF(Tableau15[mer.13],"="&amp;"PTRI")+COUNTIF(Tableau15[mer.13],"="&amp;"ECH")</f>
        <v>0</v>
      </c>
      <c r="MC48" s="210">
        <f>COUNTIF(Tableau15[jeu.14],"="&amp;"PTRI")+COUNTIF(Tableau15[jeu.14],"="&amp;"ECH")</f>
        <v>0</v>
      </c>
      <c r="MD48" s="210">
        <f>COUNTIF(Tableau15[ven.15],"="&amp;"PTRI")+COUNTIF(Tableau15[ven.15],"="&amp;"ECH")</f>
        <v>0</v>
      </c>
      <c r="ME48" s="232">
        <f t="shared" si="2"/>
        <v>0</v>
      </c>
      <c r="MF48" s="210">
        <f>COUNTIF(Tableau15[dim.17],"="&amp;"PTRI")+COUNTIF(Tableau15[dim.17],"="&amp;"ECH")</f>
        <v>0</v>
      </c>
      <c r="MG48" s="210">
        <f>COUNTIF(Tableau15[lun.18],"="&amp;"PTRI")+COUNTIF(Tableau15[lun.18],"="&amp;"ECH")</f>
        <v>0</v>
      </c>
      <c r="MH48" s="210">
        <f>COUNTIF(Tableau15[mar.19],"="&amp;"PTRI")+COUNTIF(Tableau15[mar.19],"="&amp;"ECH")</f>
        <v>0</v>
      </c>
      <c r="MI48" s="210">
        <f>COUNTIF(Tableau15[mer.20],"="&amp;"PTRI")+COUNTIF(Tableau15[mer.20],"="&amp;"ECH")</f>
        <v>0</v>
      </c>
      <c r="MJ48" s="210">
        <f>COUNTIF(Tableau15[jeu.21],"="&amp;"PTRI")+COUNTIF(Tableau15[jeu.21],"="&amp;"ECH")</f>
        <v>0</v>
      </c>
      <c r="MK48" s="210">
        <f>COUNTIF(Tableau15[ven.22],"="&amp;"PTRI")+COUNTIF(Tableau15[ven.22],"="&amp;"ECH")</f>
        <v>0</v>
      </c>
      <c r="ML48" s="232">
        <f t="shared" si="3"/>
        <v>0</v>
      </c>
      <c r="MM48" s="210">
        <f>COUNTIF(Tableau15[dim.24],"="&amp;"PTRI")+COUNTIF(Tableau15[dim.24],"="&amp;"ECH")</f>
        <v>0</v>
      </c>
      <c r="MN48" s="210">
        <f>COUNTIF(Tableau15[lun.25],"="&amp;"PTRI")+COUNTIF(Tableau15[lun.25],"="&amp;"ECH")</f>
        <v>0</v>
      </c>
      <c r="MO48" s="210">
        <f>COUNTIF(Tableau15[mar.26],"="&amp;"PTRI")+COUNTIF(Tableau15[mar.26],"="&amp;"ECH")</f>
        <v>0</v>
      </c>
      <c r="MP48" s="210">
        <f>COUNTIF(Tableau15[mer.27],"="&amp;"PTRI")+COUNTIF(Tableau15[mer.27],"="&amp;"ECH")</f>
        <v>0</v>
      </c>
      <c r="MQ48" s="210">
        <f>COUNTIF(Tableau15[jeu.28],"="&amp;"PTRI")+COUNTIF(Tableau15[jeu.28],"="&amp;"ECH")</f>
        <v>0</v>
      </c>
      <c r="MR48" s="210">
        <f>COUNTIF(Tableau15[ven.29],"="&amp;"PTRI")+COUNTIF(Tableau15[ven.29],"="&amp;"ECH")</f>
        <v>0</v>
      </c>
      <c r="MS48" s="232">
        <f t="shared" si="49"/>
        <v>0</v>
      </c>
      <c r="MT48" s="210">
        <f>COUNTIF(Tableau15[dim.012],"="&amp;"PTRI")+COUNTIF(Tableau15[dim.012],"="&amp;"ECH")</f>
        <v>0</v>
      </c>
      <c r="MU48" s="210">
        <f>COUNTIF(Tableau15[lun.023],"="&amp;"PTRI")+COUNTIF(Tableau15[lun.023],"="&amp;"ECH")</f>
        <v>0</v>
      </c>
      <c r="MV48" s="210">
        <f>COUNTIF(Tableau15[mar.034],"="&amp;"PTRI")+COUNTIF(Tableau15[mar.034],"="&amp;"ECH")</f>
        <v>0</v>
      </c>
      <c r="MW48" s="210">
        <f>COUNTIF(Tableau15[mer.045],"="&amp;"PTRI")+COUNTIF(Tableau15[mer.045],"="&amp;"ECH")</f>
        <v>0</v>
      </c>
      <c r="MX48" s="210">
        <f>COUNTIF(Tableau15[jeu.056],"="&amp;"PTRI")+COUNTIF(Tableau15[jeu.056],"="&amp;"ECH")</f>
        <v>0</v>
      </c>
      <c r="MY48" s="210">
        <f>COUNTIF(Tableau15[ven.067],"="&amp;"PTRI")+COUNTIF(Tableau15[ven.067],"="&amp;"ECH")</f>
        <v>0</v>
      </c>
      <c r="MZ48" s="232">
        <f t="shared" si="50"/>
        <v>0</v>
      </c>
      <c r="NA48" s="210">
        <f>COUNTIF(Tableau15[dim.089],"="&amp;"PTRI")+COUNTIF(Tableau15[dim.089],"="&amp;"ECH")</f>
        <v>0</v>
      </c>
      <c r="NB48" s="210">
        <f>COUNTIF(Tableau15[lun.0910],"="&amp;"PTRI")+COUNTIF(Tableau15[lun.0910],"="&amp;"ECH")</f>
        <v>0</v>
      </c>
      <c r="NC48" s="210">
        <f>COUNTIF(Tableau15[mar.1011],"="&amp;"PTRI")+COUNTIF(Tableau15[mar.1011],"="&amp;"ECH")</f>
        <v>0</v>
      </c>
      <c r="ND48" s="210">
        <f>COUNTIF(Tableau15[mer.1112],"="&amp;"PTRI")+COUNTIF(Tableau15[mer.1112],"="&amp;"ECH")</f>
        <v>0</v>
      </c>
      <c r="NE48" s="210">
        <f>COUNTIF(Tableau15[jeu.1213],"="&amp;"PTRI")+COUNTIF(Tableau15[jeu.1213],"="&amp;"ECH")</f>
        <v>0</v>
      </c>
      <c r="NF48" s="210">
        <f>COUNTIF(Tableau15[ven.1314],"="&amp;"PTRI")+COUNTIF(Tableau15[ven.1314],"="&amp;"ECH")</f>
        <v>0</v>
      </c>
      <c r="NG48" s="232">
        <f t="shared" si="51"/>
        <v>0</v>
      </c>
      <c r="NH48" s="210">
        <f>COUNTIF(Tableau15[dim.1516],"="&amp;"PTRI")+COUNTIF(Tableau15[dim.1516],"="&amp;"ECH")</f>
        <v>0</v>
      </c>
      <c r="NI48" s="210">
        <f>COUNTIF(Tableau15[lun.1617],"="&amp;"PTRI")+COUNTIF(Tableau15[lun.1617],"="&amp;"ECH")</f>
        <v>0</v>
      </c>
      <c r="NJ48" s="210">
        <f>COUNTIF(Tableau15[mar.1718],"="&amp;"PTRI")+COUNTIF(Tableau15[mar.1718],"="&amp;"ECH")</f>
        <v>0</v>
      </c>
      <c r="NK48" s="210">
        <f>COUNTIF(Tableau15[mer.1819],"="&amp;"PTRI")+COUNTIF(Tableau15[mer.1819],"="&amp;"ECH")</f>
        <v>0</v>
      </c>
      <c r="NL48" s="210">
        <f>COUNTIF(Tableau15[jeu.1920],"="&amp;"PTRI")+COUNTIF(Tableau15[jeu.1920],"="&amp;"ECH")</f>
        <v>0</v>
      </c>
      <c r="NM48" s="210">
        <f>COUNTIF(Tableau15[ven.2021],"="&amp;"PTRI")+COUNTIF(Tableau15[ven.2021],"="&amp;"ECH")</f>
        <v>0</v>
      </c>
      <c r="NN48" s="232">
        <f t="shared" si="52"/>
        <v>0</v>
      </c>
      <c r="NO48" s="210">
        <f>COUNTIF(Tableau15[dim.2223],"="&amp;"PTRI")+COUNTIF(Tableau15[dim.2223],"="&amp;"ECH")</f>
        <v>0</v>
      </c>
      <c r="NP48" s="210">
        <f>COUNTIF(Tableau15[lun.2324],"="&amp;"PTRI")+COUNTIF(Tableau15[lun.2324],"="&amp;"ECH")</f>
        <v>0</v>
      </c>
      <c r="NQ48" s="210">
        <f>COUNTIF(Tableau15[mar.2425],"="&amp;"PTRI")+COUNTIF(Tableau15[mar.2425],"="&amp;"ECH")</f>
        <v>0</v>
      </c>
      <c r="NR48" s="210">
        <f>COUNTIF(Tableau15[mer.2526],"="&amp;"PTRI")+COUNTIF(Tableau15[mer.2526],"="&amp;"ECH")</f>
        <v>0</v>
      </c>
      <c r="NS48" s="210">
        <f>COUNTIF(Tableau15[jeu.2627],"="&amp;"PTRI")+COUNTIF(Tableau15[jeu.2627],"="&amp;"ECH")</f>
        <v>0</v>
      </c>
      <c r="NT48" s="210">
        <f>COUNTIF(Tableau15[ven.2728],"="&amp;"PTRI")+COUNTIF(Tableau15[ven.2728],"="&amp;"ECH")</f>
        <v>0</v>
      </c>
      <c r="NU48" s="244">
        <f t="shared" si="53"/>
        <v>0</v>
      </c>
    </row>
    <row r="49" spans="8:385" ht="15" thickBot="1" x14ac:dyDescent="0.35">
      <c r="H49" s="245" t="s">
        <v>432</v>
      </c>
      <c r="I49" s="210">
        <f>COUNTIF(Tableau15[lun.10],"="&amp;"ETIQ")</f>
        <v>0</v>
      </c>
      <c r="J49" s="210">
        <f>COUNTIF(Tableau15[mar.11],"="&amp;"ETIQ")</f>
        <v>0</v>
      </c>
      <c r="K49" s="210">
        <f>COUNTIF(Tableau15[mer.12],"="&amp;"ETIQ")</f>
        <v>0</v>
      </c>
      <c r="L49" s="210">
        <f>COUNTIF(Tableau15[jeu.13],"="&amp;"ETIQ")</f>
        <v>0</v>
      </c>
      <c r="M49" s="210">
        <f>COUNTIF(Tableau15[ven.14],"="&amp;"ETIQ")</f>
        <v>0</v>
      </c>
      <c r="N49" s="232">
        <f t="shared" si="4"/>
        <v>0</v>
      </c>
      <c r="O49" s="210">
        <f>COUNTIF(Tableau15[dim.16],"="&amp;"ETIQ")</f>
        <v>0</v>
      </c>
      <c r="P49" s="210">
        <f>COUNTIF(Tableau15[lun.17],"="&amp;"ETIQ")</f>
        <v>0</v>
      </c>
      <c r="Q49" s="210">
        <f>COUNTIF(Tableau15[mar.18],"="&amp;"ETIQ")</f>
        <v>0</v>
      </c>
      <c r="R49" s="210">
        <f>COUNTIF(Tableau15[mer.19],"="&amp;"ETIQ")</f>
        <v>0</v>
      </c>
      <c r="S49" s="210">
        <f>COUNTIF(Tableau15[jeu.20],"="&amp;"ETIQ")</f>
        <v>0</v>
      </c>
      <c r="T49" s="210">
        <f>COUNTIF(Tableau15[ven.21],"="&amp;"ETIQ")</f>
        <v>0</v>
      </c>
      <c r="U49" s="232">
        <f t="shared" si="5"/>
        <v>0</v>
      </c>
      <c r="V49" s="210">
        <f>COUNTIF(Tableau15[dim.23],"="&amp;"ETIQ")</f>
        <v>0</v>
      </c>
      <c r="W49" s="210">
        <f>COUNTIF(Tableau15[lun.24],"="&amp;"ETIQ")</f>
        <v>0</v>
      </c>
      <c r="X49" s="210">
        <f>COUNTIF(Tableau15[mar.25],"="&amp;"ETIQ")</f>
        <v>0</v>
      </c>
      <c r="Y49" s="210">
        <f>COUNTIF(Tableau15[mer.26],"="&amp;"ETIQ")</f>
        <v>0</v>
      </c>
      <c r="Z49" s="210">
        <f>COUNTIF(Tableau15[jeu.27],"="&amp;"ETIQ")</f>
        <v>0</v>
      </c>
      <c r="AA49" s="210">
        <f>COUNTIF(Tableau15[ven.28],"="&amp;"ETIQ")</f>
        <v>0</v>
      </c>
      <c r="AB49" s="232">
        <f t="shared" si="6"/>
        <v>0</v>
      </c>
      <c r="AC49" s="210">
        <f>COUNTIF(Tableau15[dim.30],"="&amp;"ETIQ")</f>
        <v>0</v>
      </c>
      <c r="AD49" s="210">
        <f>COUNTIF(Tableau15[lun.01],"="&amp;"ETIQ")</f>
        <v>0</v>
      </c>
      <c r="AE49" s="210">
        <f>COUNTIF(Tableau15[mar.02],"="&amp;"ETIQ")</f>
        <v>0</v>
      </c>
      <c r="AF49" s="210">
        <f>COUNTIF(Tableau15[mer.03],"="&amp;"ETIQ")</f>
        <v>0</v>
      </c>
      <c r="AG49" s="210">
        <f>COUNTIF(Tableau15[jeu.04],"="&amp;"ETIQ")</f>
        <v>0</v>
      </c>
      <c r="AH49" s="210">
        <f>COUNTIF(Tableau15[ven.05],"="&amp;"ETIQ")</f>
        <v>0</v>
      </c>
      <c r="AI49" s="232">
        <f t="shared" si="7"/>
        <v>0</v>
      </c>
      <c r="AJ49" s="210">
        <f>COUNTIF(Tableau15[dim.07],"="&amp;"ETIQ")</f>
        <v>0</v>
      </c>
      <c r="AK49" s="210">
        <f>COUNTIF(Tableau15[lun.08],"="&amp;"ETIQ")</f>
        <v>0</v>
      </c>
      <c r="AL49" s="210">
        <f>COUNTIF(Tableau15[mar.09],"="&amp;"ETIQ")</f>
        <v>0</v>
      </c>
      <c r="AM49" s="210">
        <f>COUNTIF(Tableau15[mer.10],"="&amp;"ETIQ")</f>
        <v>0</v>
      </c>
      <c r="AN49" s="210">
        <f>COUNTIF(Tableau15[jeu.11],"="&amp;"ETIQ")</f>
        <v>0</v>
      </c>
      <c r="AO49" s="210">
        <f>COUNTIF(Tableau15[ven.12],"="&amp;"ETIQ")</f>
        <v>0</v>
      </c>
      <c r="AP49" s="232">
        <f t="shared" si="8"/>
        <v>0</v>
      </c>
      <c r="AQ49" s="210">
        <f>COUNTIF(Tableau15[dim.14],"="&amp;"ETIQ")</f>
        <v>0</v>
      </c>
      <c r="AR49" s="210">
        <f>COUNTIF(Tableau15[lun.15],"="&amp;"ETIQ")</f>
        <v>1</v>
      </c>
      <c r="AS49" s="210">
        <f>COUNTIF(Tableau15[mar.16],"="&amp;"ETIQ")</f>
        <v>1</v>
      </c>
      <c r="AT49" s="210">
        <f>COUNTIF(Tableau15[mer.17],"="&amp;"ETIQ")</f>
        <v>1</v>
      </c>
      <c r="AU49" s="210">
        <f>COUNTIF(Tableau15[jeu.18],"="&amp;"ETIQ")</f>
        <v>1</v>
      </c>
      <c r="AV49" s="210">
        <f>COUNTIF(Tableau15[ven.19],"="&amp;"ETIQ")</f>
        <v>1</v>
      </c>
      <c r="AW49" s="232">
        <f t="shared" si="9"/>
        <v>5</v>
      </c>
      <c r="AX49" s="210">
        <f>COUNTIF(Tableau15[dim.21],"="&amp;"ETIQ")</f>
        <v>0</v>
      </c>
      <c r="AY49" s="210">
        <f>COUNTIF(Tableau15[lun.22],"="&amp;"ETIQ")</f>
        <v>0</v>
      </c>
      <c r="AZ49" s="210">
        <f>COUNTIF(Tableau15[mar.23],"="&amp;"ETIQ")</f>
        <v>0</v>
      </c>
      <c r="BA49" s="210">
        <f>COUNTIF(Tableau15[mer.24],"="&amp;"ETIQ")</f>
        <v>0</v>
      </c>
      <c r="BB49" s="210">
        <f>COUNTIF(Tableau15[jeu.25],"="&amp;"ETIQ")</f>
        <v>0</v>
      </c>
      <c r="BC49" s="210">
        <f>COUNTIF(Tableau15[ven.26],"="&amp;"ETIQ")</f>
        <v>0</v>
      </c>
      <c r="BD49" s="232">
        <f t="shared" si="10"/>
        <v>0</v>
      </c>
      <c r="BE49" s="210">
        <f>COUNTIF(Tableau15[dim.28],"="&amp;"ETIQ")</f>
        <v>0</v>
      </c>
      <c r="BF49" s="210">
        <f>COUNTIF(Tableau15[lun.29],"="&amp;"ETIQ")</f>
        <v>0</v>
      </c>
      <c r="BG49" s="210">
        <f>COUNTIF(Tableau15[mar.30],"="&amp;"ETIQ")</f>
        <v>0</v>
      </c>
      <c r="BH49" s="210">
        <f>COUNTIF(Tableau15[mer.31],"="&amp;"ETIQ")</f>
        <v>0</v>
      </c>
      <c r="BI49" s="210">
        <f>COUNTIF(Tableau15[jeu.01],"="&amp;"ETIQ")</f>
        <v>0</v>
      </c>
      <c r="BJ49" s="210">
        <f>COUNTIF(Tableau15[ven.02],"="&amp;"ETIQ")</f>
        <v>0</v>
      </c>
      <c r="BK49" s="232">
        <f t="shared" si="11"/>
        <v>0</v>
      </c>
      <c r="BL49" s="210">
        <f>COUNTIF(Tableau15[dim.04],"="&amp;"ETIQ")</f>
        <v>0</v>
      </c>
      <c r="BM49" s="210">
        <f>COUNTIF(Tableau15[lun.05],"="&amp;"ETIQ")</f>
        <v>0</v>
      </c>
      <c r="BN49" s="210">
        <f>COUNTIF(Tableau15[mar.06],"="&amp;"ETIQ")</f>
        <v>0</v>
      </c>
      <c r="BO49" s="210">
        <f>COUNTIF(Tableau15[mer.07],"="&amp;"ETIQ")</f>
        <v>0</v>
      </c>
      <c r="BP49" s="210">
        <f>COUNTIF(Tableau15[jeu.08],"="&amp;"ETIQ")</f>
        <v>0</v>
      </c>
      <c r="BQ49" s="210">
        <f>COUNTIF(Tableau15[ven.09],"="&amp;"ETIQ")</f>
        <v>0</v>
      </c>
      <c r="BR49" s="232">
        <f t="shared" si="12"/>
        <v>0</v>
      </c>
      <c r="BS49" s="210">
        <f>COUNTIF(Tableau15[dim.11],"="&amp;"ETIQ")</f>
        <v>0</v>
      </c>
      <c r="BT49" s="210">
        <f>COUNTIF(Tableau15[lun.12],"="&amp;"ETIQ")</f>
        <v>0</v>
      </c>
      <c r="BU49" s="210">
        <f>COUNTIF(Tableau15[mar.13],"="&amp;"ETIQ")</f>
        <v>0</v>
      </c>
      <c r="BV49" s="210">
        <f>COUNTIF(Tableau15[mer.14],"="&amp;"ETIQ")</f>
        <v>0</v>
      </c>
      <c r="BW49" s="210">
        <f>COUNTIF(Tableau15[jeu.15],"="&amp;"ETIQ")</f>
        <v>0</v>
      </c>
      <c r="BX49" s="210">
        <f>COUNTIF(Tableau15[ven.16],"="&amp;"ETIQ")</f>
        <v>0</v>
      </c>
      <c r="BY49" s="232">
        <f t="shared" si="13"/>
        <v>0</v>
      </c>
      <c r="BZ49" s="210">
        <f>COUNTIF(Tableau15[dim.18],"="&amp;"ETIQ")</f>
        <v>0</v>
      </c>
      <c r="CA49" s="210">
        <f>COUNTIF(Tableau15[lun.19],"="&amp;"ETIQ")</f>
        <v>0</v>
      </c>
      <c r="CB49" s="210">
        <f>COUNTIF(Tableau15[mar.20],"="&amp;"ETIQ")</f>
        <v>0</v>
      </c>
      <c r="CC49" s="210">
        <f>COUNTIF(Tableau15[mer.21],"="&amp;"ETIQ")</f>
        <v>0</v>
      </c>
      <c r="CD49" s="210">
        <f>COUNTIF(Tableau15[jeu.22],"="&amp;"ETIQ")</f>
        <v>0</v>
      </c>
      <c r="CE49" s="210">
        <f>COUNTIF(Tableau15[ven.23],"="&amp;"ETIQ")</f>
        <v>0</v>
      </c>
      <c r="CF49" s="232">
        <f t="shared" si="14"/>
        <v>0</v>
      </c>
      <c r="CG49" s="210">
        <f>COUNTIF(Tableau15[dim.25],"="&amp;"ETIQ")</f>
        <v>0</v>
      </c>
      <c r="CH49" s="210">
        <f>COUNTIF(Tableau15[lun.26],"="&amp;"ETIQ")</f>
        <v>0</v>
      </c>
      <c r="CI49" s="210">
        <f>COUNTIF(Tableau15[mar.27],"="&amp;"ETIQ")</f>
        <v>0</v>
      </c>
      <c r="CJ49" s="210">
        <f>COUNTIF(Tableau15[mer.28],"="&amp;"ETIQ")</f>
        <v>0</v>
      </c>
      <c r="CK49" s="210">
        <f>COUNTIF(Tableau15[jeu.29],"="&amp;"ETIQ")</f>
        <v>0</v>
      </c>
      <c r="CL49" s="210">
        <f>COUNTIF(Tableau15[ven.30],"="&amp;"ETIQ")</f>
        <v>0</v>
      </c>
      <c r="CM49" s="232">
        <f t="shared" si="15"/>
        <v>0</v>
      </c>
      <c r="CN49" s="210">
        <f>COUNTIF(Tableau15[dim.01],"="&amp;"ETIQ")</f>
        <v>0</v>
      </c>
      <c r="CO49" s="210">
        <f>COUNTIF(Tableau15[lun.02],"="&amp;"ETIQ")</f>
        <v>0</v>
      </c>
      <c r="CP49" s="210">
        <f>COUNTIF(Tableau15[mar.03],"="&amp;"ETIQ")</f>
        <v>0</v>
      </c>
      <c r="CQ49" s="210">
        <f>COUNTIF(Tableau15[mer.04],"="&amp;"ETIQ")</f>
        <v>0</v>
      </c>
      <c r="CR49" s="210">
        <f>COUNTIF(Tableau15[jeu.05],"="&amp;"ETIQ")</f>
        <v>0</v>
      </c>
      <c r="CS49" s="210">
        <f>COUNTIF(Tableau15[ven.06],"="&amp;"ETIQ")</f>
        <v>0</v>
      </c>
      <c r="CT49" s="232">
        <f t="shared" si="16"/>
        <v>0</v>
      </c>
      <c r="CU49" s="210">
        <f>COUNTIF(Tableau15[dim.08],"="&amp;"ETIQ")</f>
        <v>0</v>
      </c>
      <c r="CV49" s="210">
        <f>COUNTIF(Tableau15[lun.09],"="&amp;"ETIQ")</f>
        <v>0</v>
      </c>
      <c r="CW49" s="210">
        <f>COUNTIF(Tableau15[mar.10],"="&amp;"ETIQ")</f>
        <v>0</v>
      </c>
      <c r="CX49" s="210">
        <f>COUNTIF(Tableau15[mer.11],"="&amp;"ETIQ")</f>
        <v>0</v>
      </c>
      <c r="CY49" s="210">
        <f>COUNTIF(Tableau15[jeu.12],"="&amp;"ETIQ")</f>
        <v>0</v>
      </c>
      <c r="CZ49" s="210">
        <f>COUNTIF(Tableau15[ven.13],"="&amp;"ETIQ")</f>
        <v>0</v>
      </c>
      <c r="DA49" s="232">
        <f t="shared" si="17"/>
        <v>0</v>
      </c>
      <c r="DB49" s="210">
        <f>COUNTIF(Tableau15[dim.15],"="&amp;"ETIQ")</f>
        <v>0</v>
      </c>
      <c r="DC49" s="210">
        <f>COUNTIF(Tableau15[lun.16],"="&amp;"ETIQ")</f>
        <v>0</v>
      </c>
      <c r="DD49" s="210">
        <f>COUNTIF(Tableau15[mar.17],"="&amp;"ETIQ")</f>
        <v>0</v>
      </c>
      <c r="DE49" s="210">
        <f>COUNTIF(Tableau15[mer.18],"="&amp;"ETIQ")</f>
        <v>0</v>
      </c>
      <c r="DF49" s="210">
        <f>COUNTIF(Tableau15[jeu.19],"="&amp;"ETIQ")</f>
        <v>0</v>
      </c>
      <c r="DG49" s="210">
        <f>COUNTIF(Tableau15[ven.20],"="&amp;"ETIQ")</f>
        <v>0</v>
      </c>
      <c r="DH49" s="232">
        <f t="shared" si="18"/>
        <v>0</v>
      </c>
      <c r="DI49" s="210">
        <f>COUNTIF(Tableau15[dim.22],"="&amp;"ETIQ")</f>
        <v>0</v>
      </c>
      <c r="DJ49" s="210">
        <f>COUNTIF(Tableau15[lun.23],"="&amp;"ETIQ")</f>
        <v>0</v>
      </c>
      <c r="DK49" s="210">
        <f>COUNTIF(Tableau15[mar.24],"="&amp;"ETIQ")</f>
        <v>0</v>
      </c>
      <c r="DL49" s="210">
        <f>COUNTIF(Tableau15[mer.25],"="&amp;"ETIQ")</f>
        <v>0</v>
      </c>
      <c r="DM49" s="210">
        <f>COUNTIF(Tableau15[jeu.26],"="&amp;"ETIQ")</f>
        <v>0</v>
      </c>
      <c r="DN49" s="210">
        <f>COUNTIF(Tableau15[ven.27],"="&amp;"ETIQ")</f>
        <v>0</v>
      </c>
      <c r="DO49" s="232">
        <f t="shared" si="19"/>
        <v>0</v>
      </c>
      <c r="DP49" s="210">
        <f>COUNTIF(Tableau15[dim.29],"="&amp;"ETIQ")</f>
        <v>0</v>
      </c>
      <c r="DQ49" s="210">
        <f>COUNTIF(Tableau15[lun.30],"="&amp;"ETIQ")</f>
        <v>0</v>
      </c>
      <c r="DR49" s="210">
        <f>COUNTIF(Tableau15[mar.01],"="&amp;"ETIQ")</f>
        <v>0</v>
      </c>
      <c r="DS49" s="210">
        <f>COUNTIF(Tableau15[mer.02],"="&amp;"ETIQ")</f>
        <v>0</v>
      </c>
      <c r="DT49" s="210">
        <f>COUNTIF(Tableau15[jeu.03],"="&amp;"ETIQ")</f>
        <v>0</v>
      </c>
      <c r="DU49" s="210">
        <f>COUNTIF(Tableau15[ven.04],"="&amp;"ETIQ")</f>
        <v>0</v>
      </c>
      <c r="DV49" s="232">
        <f t="shared" si="20"/>
        <v>0</v>
      </c>
      <c r="DW49" s="210">
        <f>COUNTIF(Tableau15[dim.06],"="&amp;"ETIQ")</f>
        <v>0</v>
      </c>
      <c r="DX49" s="210">
        <f>COUNTIF(Tableau15[lun.07],"="&amp;"ETIQ")</f>
        <v>0</v>
      </c>
      <c r="DY49" s="210">
        <f>COUNTIF(Tableau15[mar.08],"="&amp;"ETIQ")</f>
        <v>0</v>
      </c>
      <c r="DZ49" s="210">
        <f>COUNTIF(Tableau15[mer.09],"="&amp;"ETIQ")</f>
        <v>0</v>
      </c>
      <c r="EA49" s="210">
        <f>COUNTIF(Tableau15[jeu.10],"="&amp;"ETIQ")</f>
        <v>0</v>
      </c>
      <c r="EB49" s="210">
        <f>COUNTIF(Tableau15[ven.11],"="&amp;"ETIQ")</f>
        <v>0</v>
      </c>
      <c r="EC49" s="232">
        <f t="shared" si="21"/>
        <v>0</v>
      </c>
      <c r="ED49" s="210">
        <f>COUNTIF(Tableau15[dim.13],"="&amp;"ETIQ")</f>
        <v>0</v>
      </c>
      <c r="EE49" s="210">
        <f>COUNTIF(Tableau15[lun.14],"="&amp;"ETIQ")</f>
        <v>0</v>
      </c>
      <c r="EF49" s="210">
        <f>COUNTIF(Tableau15[mar.15],"="&amp;"ETIQ")</f>
        <v>0</v>
      </c>
      <c r="EG49" s="210">
        <f>COUNTIF(Tableau15[mer.16],"="&amp;"ETIQ")</f>
        <v>0</v>
      </c>
      <c r="EH49" s="210">
        <f>COUNTIF(Tableau15[jeu.17],"="&amp;"ETIQ")</f>
        <v>0</v>
      </c>
      <c r="EI49" s="210">
        <f>COUNTIF(Tableau15[ven.18],"="&amp;"ETIQ")</f>
        <v>0</v>
      </c>
      <c r="EJ49" s="232">
        <f t="shared" si="22"/>
        <v>0</v>
      </c>
      <c r="EK49" s="210">
        <f>COUNTIF(Tableau15[dim.20],"="&amp;"ETIQ")</f>
        <v>0</v>
      </c>
      <c r="EL49" s="210">
        <f>COUNTIF(Tableau15[lun.21],"="&amp;"ETIQ")</f>
        <v>0</v>
      </c>
      <c r="EM49" s="210">
        <f>COUNTIF(Tableau15[mar.22],"="&amp;"ETIQ")</f>
        <v>0</v>
      </c>
      <c r="EN49" s="210">
        <f>COUNTIF(Tableau15[mer.23],"="&amp;"ETIQ")</f>
        <v>0</v>
      </c>
      <c r="EO49" s="210">
        <f>COUNTIF(Tableau15[jeu.24],"="&amp;"ETIQ")</f>
        <v>0</v>
      </c>
      <c r="EP49" s="210">
        <f>COUNTIF(Tableau15[ven.25],"="&amp;"ETIQ")</f>
        <v>0</v>
      </c>
      <c r="EQ49" s="232">
        <f t="shared" si="23"/>
        <v>0</v>
      </c>
      <c r="ER49" s="210">
        <f>COUNTIF(Tableau15[dim.27],"="&amp;"ETIQ")</f>
        <v>0</v>
      </c>
      <c r="ES49" s="210">
        <f>COUNTIF(Tableau15[lun.28],"="&amp;"ETIQ")</f>
        <v>0</v>
      </c>
      <c r="ET49" s="210">
        <f>COUNTIF(Tableau15[mar.29],"="&amp;"ETIQ")</f>
        <v>0</v>
      </c>
      <c r="EU49" s="210">
        <f>COUNTIF(Tableau15[mer.30],"="&amp;"ETIQ")</f>
        <v>0</v>
      </c>
      <c r="EV49" s="210">
        <f>COUNTIF(Tableau15[jeu.31],"="&amp;"ETIQ")</f>
        <v>0</v>
      </c>
      <c r="EW49" s="210">
        <f>COUNTIF(Tableau15[ven.01],"="&amp;"ETIQ")</f>
        <v>0</v>
      </c>
      <c r="EX49" s="232">
        <f t="shared" si="24"/>
        <v>0</v>
      </c>
      <c r="EY49" s="210">
        <f>COUNTIF(Tableau15[dim.03],"="&amp;"ETIQ")</f>
        <v>0</v>
      </c>
      <c r="EZ49" s="210">
        <f>COUNTIF(Tableau15[lun.04],"="&amp;"ETIQ")</f>
        <v>0</v>
      </c>
      <c r="FA49" s="210">
        <f>COUNTIF(Tableau15[mar.05],"="&amp;"ETIQ")</f>
        <v>0</v>
      </c>
      <c r="FB49" s="210">
        <f>COUNTIF(Tableau15[mer.06],"="&amp;"ETIQ")</f>
        <v>0</v>
      </c>
      <c r="FC49" s="210">
        <f>COUNTIF(Tableau15[jeu.07],"="&amp;"ETIQ")</f>
        <v>0</v>
      </c>
      <c r="FD49" s="210">
        <f>COUNTIF(Tableau15[ven.08],"="&amp;"ETIQ")</f>
        <v>0</v>
      </c>
      <c r="FE49" s="232">
        <f t="shared" si="25"/>
        <v>0</v>
      </c>
      <c r="FF49" s="210">
        <f>COUNTIF(Tableau15[dim.10],"="&amp;"ETIQ")</f>
        <v>0</v>
      </c>
      <c r="FG49" s="210">
        <f>COUNTIF(Tableau15[lun.11],"="&amp;"ETIQ")</f>
        <v>0</v>
      </c>
      <c r="FH49" s="210">
        <f>COUNTIF(Tableau15[mar.12],"="&amp;"ETIQ")</f>
        <v>0</v>
      </c>
      <c r="FI49" s="210">
        <f>COUNTIF(Tableau15[mer.13],"="&amp;"ETIQ")</f>
        <v>0</v>
      </c>
      <c r="FJ49" s="210">
        <f>COUNTIF(Tableau15[jeu.14],"="&amp;"ETIQ")</f>
        <v>0</v>
      </c>
      <c r="FK49" s="210">
        <f>COUNTIF(Tableau15[ven.15],"="&amp;"ETIQ")</f>
        <v>0</v>
      </c>
      <c r="FL49" s="232">
        <f t="shared" si="26"/>
        <v>0</v>
      </c>
      <c r="FM49" s="210">
        <f>COUNTIF(Tableau15[dim.17],"="&amp;"ETIQ")</f>
        <v>0</v>
      </c>
      <c r="FN49" s="210">
        <f>COUNTIF(Tableau15[lun.18],"="&amp;"ETIQ")</f>
        <v>0</v>
      </c>
      <c r="FO49" s="210">
        <f>COUNTIF(Tableau15[mar.19],"="&amp;"ETIQ")</f>
        <v>0</v>
      </c>
      <c r="FP49" s="210">
        <f>COUNTIF(Tableau15[mer.20],"="&amp;"ETIQ")</f>
        <v>0</v>
      </c>
      <c r="FQ49" s="210">
        <f>COUNTIF(Tableau15[jeu.21],"="&amp;"ETIQ")</f>
        <v>0</v>
      </c>
      <c r="FR49" s="210">
        <f>COUNTIF(Tableau15[ven.22],"="&amp;"ETIQ")</f>
        <v>0</v>
      </c>
      <c r="FS49" s="232">
        <f t="shared" si="27"/>
        <v>0</v>
      </c>
      <c r="FT49" s="210">
        <f>COUNTIF(Tableau15[dim.24],"="&amp;"ETIQ")</f>
        <v>0</v>
      </c>
      <c r="FU49" s="210">
        <f>COUNTIF(Tableau15[lun.25],"="&amp;"ETIQ")</f>
        <v>0</v>
      </c>
      <c r="FV49" s="210">
        <f>COUNTIF(Tableau15[mar.26],"="&amp;"ETIQ")</f>
        <v>0</v>
      </c>
      <c r="FW49" s="210">
        <f>COUNTIF(Tableau15[mer.27],"="&amp;"ETIQ")</f>
        <v>0</v>
      </c>
      <c r="FX49" s="210">
        <f>COUNTIF(Tableau15[jeu.28],"="&amp;"ETIQ")</f>
        <v>0</v>
      </c>
      <c r="FY49" s="210">
        <f>COUNTIF(Tableau15[ven.29],"="&amp;"ETIQ")</f>
        <v>0</v>
      </c>
      <c r="FZ49" s="232">
        <f t="shared" si="28"/>
        <v>0</v>
      </c>
      <c r="GA49" s="210">
        <f>COUNTIF(Tableau15[dim.012],"="&amp;"ETIQ")</f>
        <v>0</v>
      </c>
      <c r="GB49" s="210">
        <f>COUNTIF(Tableau15[lun.023],"="&amp;"ETIQ")</f>
        <v>0</v>
      </c>
      <c r="GC49" s="210">
        <f>COUNTIF(Tableau15[mar.034],"="&amp;"ETIQ")</f>
        <v>0</v>
      </c>
      <c r="GD49" s="210">
        <f>COUNTIF(Tableau15[mer.045],"="&amp;"ETIQ")</f>
        <v>0</v>
      </c>
      <c r="GE49" s="210">
        <f>COUNTIF(Tableau15[jeu.056],"="&amp;"ETIQ")</f>
        <v>0</v>
      </c>
      <c r="GF49" s="210">
        <f>COUNTIF(Tableau15[ven.067],"="&amp;"ETIQ")</f>
        <v>0</v>
      </c>
      <c r="GG49" s="232">
        <f t="shared" si="29"/>
        <v>0</v>
      </c>
      <c r="GH49" s="210">
        <f>COUNTIF(Tableau15[dim.089],"="&amp;"ETIQ")</f>
        <v>0</v>
      </c>
      <c r="GI49" s="210">
        <f>COUNTIF(Tableau15[lun.0910],"="&amp;"ETIQ")</f>
        <v>0</v>
      </c>
      <c r="GJ49" s="210">
        <f>COUNTIF(Tableau15[mar.1011],"="&amp;"ETIQ")</f>
        <v>0</v>
      </c>
      <c r="GK49" s="210">
        <f>COUNTIF(Tableau15[mer.1112],"="&amp;"ETIQ")</f>
        <v>0</v>
      </c>
      <c r="GL49" s="210">
        <f>COUNTIF(Tableau15[jeu.1213],"="&amp;"ETIQ")</f>
        <v>0</v>
      </c>
      <c r="GM49" s="210">
        <f>COUNTIF(Tableau15[ven.1314],"="&amp;"ETIQ")</f>
        <v>0</v>
      </c>
      <c r="GN49" s="232">
        <f t="shared" si="30"/>
        <v>0</v>
      </c>
      <c r="GO49" s="210">
        <f>COUNTIF(Tableau15[dim.1516],"="&amp;"ETIQ")</f>
        <v>0</v>
      </c>
      <c r="GP49" s="210">
        <f>COUNTIF(Tableau15[lun.1617],"="&amp;"ETIQ")</f>
        <v>0</v>
      </c>
      <c r="GQ49" s="210">
        <f>COUNTIF(Tableau15[mar.1718],"="&amp;"ETIQ")</f>
        <v>0</v>
      </c>
      <c r="GR49" s="210">
        <f>COUNTIF(Tableau15[mer.1819],"="&amp;"ETIQ")</f>
        <v>0</v>
      </c>
      <c r="GS49" s="210">
        <f>COUNTIF(Tableau15[jeu.1920],"="&amp;"ETIQ")</f>
        <v>0</v>
      </c>
      <c r="GT49" s="210">
        <f>COUNTIF(Tableau15[ven.2021],"="&amp;"ETIQ")</f>
        <v>0</v>
      </c>
      <c r="GU49" s="232">
        <f t="shared" si="31"/>
        <v>0</v>
      </c>
      <c r="GV49" s="210">
        <f>COUNTIF(Tableau15[dim.2223],"="&amp;"ETIQ")</f>
        <v>0</v>
      </c>
      <c r="GW49" s="210">
        <f>COUNTIF(Tableau15[lun.2324],"="&amp;"ETIQ")</f>
        <v>0</v>
      </c>
      <c r="GX49" s="210">
        <f>COUNTIF(Tableau15[mar.2425],"="&amp;"ETIQ")</f>
        <v>0</v>
      </c>
      <c r="GY49" s="210">
        <f>COUNTIF(Tableau15[mer.2526],"="&amp;"ETIQ")</f>
        <v>0</v>
      </c>
      <c r="GZ49" s="210">
        <f>COUNTIF(Tableau15[jeu.2627],"="&amp;"ETIQ")</f>
        <v>0</v>
      </c>
      <c r="HA49" s="210">
        <f>COUNTIF(Tableau15[ven.2728],"="&amp;"ETIQ")</f>
        <v>0</v>
      </c>
      <c r="HB49" s="232">
        <f t="shared" si="32"/>
        <v>0</v>
      </c>
      <c r="HD49" s="210">
        <f>COUNTIF(Tableau15[lun.08],"="&amp;"ETIQ")</f>
        <v>0</v>
      </c>
      <c r="HE49" s="210">
        <f>COUNTIF(Tableau15[mar.09],"="&amp;"ETIQ")</f>
        <v>0</v>
      </c>
      <c r="HF49" s="210">
        <f>COUNTIF(Tableau15[mer.10],"="&amp;"ETIQ")</f>
        <v>0</v>
      </c>
      <c r="HG49" s="210">
        <f>COUNTIF(Tableau15[jeu.11],"="&amp;"ETIQ")</f>
        <v>0</v>
      </c>
      <c r="HH49" s="210">
        <f>COUNTIF(Tableau15[ven.12],"="&amp;"ETIQ")</f>
        <v>0</v>
      </c>
      <c r="HI49" s="232">
        <f t="shared" si="33"/>
        <v>0</v>
      </c>
      <c r="HJ49" s="210">
        <f>COUNTIF(Tableau15[dim.14],"="&amp;"ETIQ")</f>
        <v>0</v>
      </c>
      <c r="HK49" s="210">
        <f>COUNTIF(Tableau15[lun.15],"="&amp;"ETIQ")</f>
        <v>1</v>
      </c>
      <c r="HL49" s="210">
        <f>COUNTIF(Tableau15[mar.16],"="&amp;"ETIQ")</f>
        <v>1</v>
      </c>
      <c r="HM49" s="210">
        <f>COUNTIF(Tableau15[mer.17],"="&amp;"ETIQ")</f>
        <v>1</v>
      </c>
      <c r="HN49" s="210">
        <f>COUNTIF(Tableau15[jeu.18],"="&amp;"ETIQ")</f>
        <v>1</v>
      </c>
      <c r="HO49" s="210">
        <f>COUNTIF(Tableau15[ven.19],"="&amp;"ETIQ")</f>
        <v>1</v>
      </c>
      <c r="HP49" s="232">
        <f t="shared" si="34"/>
        <v>5</v>
      </c>
      <c r="HQ49" s="210">
        <f>COUNTIF(Tableau15[dim.21],"="&amp;"ETIQ")</f>
        <v>0</v>
      </c>
      <c r="HR49" s="210">
        <f>COUNTIF(Tableau15[lun.22],"="&amp;"ETIQ")</f>
        <v>0</v>
      </c>
      <c r="HS49" s="210">
        <f>COUNTIF(Tableau15[mar.23],"="&amp;"ETIQ")</f>
        <v>0</v>
      </c>
      <c r="HT49" s="210">
        <f>COUNTIF(Tableau15[mer.24],"="&amp;"ETIQ")</f>
        <v>0</v>
      </c>
      <c r="HU49" s="210">
        <f>COUNTIF(Tableau15[jeu.25],"="&amp;"ETIQ")</f>
        <v>0</v>
      </c>
      <c r="HV49" s="210">
        <f>COUNTIF(Tableau15[ven.26],"="&amp;"ETIQ")</f>
        <v>0</v>
      </c>
      <c r="HW49" s="232">
        <f t="shared" si="35"/>
        <v>0</v>
      </c>
      <c r="HX49" s="210">
        <f>COUNTIF(Tableau15[dim.28],"="&amp;"ETIQ")</f>
        <v>0</v>
      </c>
      <c r="HY49" s="210">
        <f>COUNTIF(Tableau15[lun.29],"="&amp;"ETIQ")</f>
        <v>0</v>
      </c>
      <c r="HZ49" s="210">
        <f>COUNTIF(Tableau15[mar.30],"="&amp;"ETIQ")</f>
        <v>0</v>
      </c>
      <c r="IA49" s="210">
        <f>COUNTIF(Tableau15[mer.31],"="&amp;"ETIQ")</f>
        <v>0</v>
      </c>
      <c r="IB49" s="210">
        <f>COUNTIF(Tableau15[jeu.01],"="&amp;"ETIQ")</f>
        <v>0</v>
      </c>
      <c r="IC49" s="210">
        <f>COUNTIF(Tableau15[ven.02],"="&amp;"ETIQ")</f>
        <v>0</v>
      </c>
      <c r="ID49" s="232">
        <f t="shared" si="36"/>
        <v>0</v>
      </c>
      <c r="IE49" s="210">
        <f>COUNTIF(Tableau15[dim.04],"="&amp;"ETIQ")</f>
        <v>0</v>
      </c>
      <c r="IF49" s="210">
        <f>COUNTIF(Tableau15[lun.05],"="&amp;"ETIQ")</f>
        <v>0</v>
      </c>
      <c r="IG49" s="210">
        <f>COUNTIF(Tableau15[mar.06],"="&amp;"ETIQ")</f>
        <v>0</v>
      </c>
      <c r="IH49" s="210">
        <f>COUNTIF(Tableau15[mer.07],"="&amp;"ETIQ")</f>
        <v>0</v>
      </c>
      <c r="II49" s="210">
        <f>COUNTIF(Tableau15[jeu.08],"="&amp;"ETIQ")</f>
        <v>0</v>
      </c>
      <c r="IJ49" s="210">
        <f>COUNTIF(Tableau15[ven.09],"="&amp;"ETIQ")</f>
        <v>0</v>
      </c>
      <c r="IK49" s="232">
        <f t="shared" si="37"/>
        <v>0</v>
      </c>
      <c r="IL49" s="210">
        <f>COUNTIF(Tableau15[dim.11],"="&amp;"ETIQ")</f>
        <v>0</v>
      </c>
      <c r="IM49" s="210">
        <f>COUNTIF(Tableau15[lun.12],"="&amp;"ETIQ")</f>
        <v>0</v>
      </c>
      <c r="IN49" s="210">
        <f>COUNTIF(Tableau15[mar.13],"="&amp;"ETIQ")</f>
        <v>0</v>
      </c>
      <c r="IO49" s="210">
        <f>COUNTIF(Tableau15[mer.14],"="&amp;"ETIQ")</f>
        <v>0</v>
      </c>
      <c r="IP49" s="210">
        <f>COUNTIF(Tableau15[jeu.15],"="&amp;"ETIQ")</f>
        <v>0</v>
      </c>
      <c r="IQ49" s="210">
        <f>COUNTIF(Tableau15[ven.16],"="&amp;"ETIQ")</f>
        <v>0</v>
      </c>
      <c r="IR49" s="232">
        <f t="shared" si="38"/>
        <v>0</v>
      </c>
      <c r="IS49" s="210">
        <f>COUNTIF(Tableau15[dim.18],"="&amp;"ETIQ")</f>
        <v>0</v>
      </c>
      <c r="IT49" s="210">
        <f>COUNTIF(Tableau15[lun.19],"="&amp;"ETIQ")</f>
        <v>0</v>
      </c>
      <c r="IU49" s="210">
        <f>COUNTIF(Tableau15[mar.20],"="&amp;"ETIQ")</f>
        <v>0</v>
      </c>
      <c r="IV49" s="210">
        <f>COUNTIF(Tableau15[mer.21],"="&amp;"ETIQ")</f>
        <v>0</v>
      </c>
      <c r="IW49" s="210">
        <f>COUNTIF(Tableau15[jeu.22],"="&amp;"ETIQ")</f>
        <v>0</v>
      </c>
      <c r="IX49" s="210">
        <f>COUNTIF(Tableau15[ven.23],"="&amp;"ETIQ")</f>
        <v>0</v>
      </c>
      <c r="IY49" s="232">
        <f t="shared" si="39"/>
        <v>0</v>
      </c>
      <c r="IZ49" s="210">
        <f>COUNTIF(Tableau15[dim.25],"="&amp;"ETIQ")</f>
        <v>0</v>
      </c>
      <c r="JA49" s="210">
        <f>COUNTIF(Tableau15[lun.26],"="&amp;"ETIQ")</f>
        <v>0</v>
      </c>
      <c r="JB49" s="210">
        <f>COUNTIF(Tableau15[mar.27],"="&amp;"ETIQ")</f>
        <v>0</v>
      </c>
      <c r="JC49" s="210">
        <f>COUNTIF(Tableau15[mer.28],"="&amp;"ETIQ")</f>
        <v>0</v>
      </c>
      <c r="JD49" s="210">
        <f>COUNTIF(Tableau15[jeu.29],"="&amp;"ETIQ")</f>
        <v>0</v>
      </c>
      <c r="JE49" s="210">
        <f>COUNTIF(Tableau15[ven.30],"="&amp;"ETIQ")</f>
        <v>0</v>
      </c>
      <c r="JF49" s="232">
        <f t="shared" si="40"/>
        <v>0</v>
      </c>
      <c r="JG49" s="210">
        <f>COUNTIF(Tableau15[dim.01],"="&amp;"ETIQ")</f>
        <v>0</v>
      </c>
      <c r="JH49" s="210">
        <f>COUNTIF(Tableau15[lun.02],"="&amp;"ETIQ")</f>
        <v>0</v>
      </c>
      <c r="JI49" s="210">
        <f>COUNTIF(Tableau15[mar.03],"="&amp;"ETIQ")</f>
        <v>0</v>
      </c>
      <c r="JJ49" s="210">
        <f>COUNTIF(Tableau15[mer.04],"="&amp;"ETIQ")</f>
        <v>0</v>
      </c>
      <c r="JK49" s="210">
        <f>COUNTIF(Tableau15[jeu.05],"="&amp;"ETIQ")</f>
        <v>0</v>
      </c>
      <c r="JL49" s="210">
        <f>COUNTIF(Tableau15[ven.06],"="&amp;"ETIQ")</f>
        <v>0</v>
      </c>
      <c r="JM49" s="232">
        <f t="shared" si="41"/>
        <v>0</v>
      </c>
      <c r="JN49" s="210">
        <f>COUNTIF(Tableau15[dim.08],"="&amp;"ETIQ")</f>
        <v>0</v>
      </c>
      <c r="JO49" s="210">
        <f>COUNTIF(Tableau15[lun.09],"="&amp;"ETIQ")</f>
        <v>0</v>
      </c>
      <c r="JP49" s="210">
        <f>COUNTIF(Tableau15[mar.10],"="&amp;"ETIQ")</f>
        <v>0</v>
      </c>
      <c r="JQ49" s="210">
        <f>COUNTIF(Tableau15[mer.11],"="&amp;"ETIQ")</f>
        <v>0</v>
      </c>
      <c r="JR49" s="210">
        <f>COUNTIF(Tableau15[jeu.12],"="&amp;"ETIQ")</f>
        <v>0</v>
      </c>
      <c r="JS49" s="210">
        <f>COUNTIF(Tableau15[ven.13],"="&amp;"ETIQ")</f>
        <v>0</v>
      </c>
      <c r="JT49" s="232">
        <f t="shared" si="42"/>
        <v>0</v>
      </c>
      <c r="JU49" s="210">
        <f>COUNTIF(Tableau15[dim.15],"="&amp;"ETIQ")</f>
        <v>0</v>
      </c>
      <c r="JV49" s="210">
        <f>COUNTIF(Tableau15[lun.16],"="&amp;"ETIQ")</f>
        <v>0</v>
      </c>
      <c r="JW49" s="210">
        <f>COUNTIF(Tableau15[mar.17],"="&amp;"ETIQ")</f>
        <v>0</v>
      </c>
      <c r="JX49" s="210">
        <f>COUNTIF(Tableau15[mer.18],"="&amp;"ETIQ")</f>
        <v>0</v>
      </c>
      <c r="JY49" s="210">
        <f>COUNTIF(Tableau15[jeu.19],"="&amp;"ETIQ")</f>
        <v>0</v>
      </c>
      <c r="JZ49" s="210">
        <f>COUNTIF(Tableau15[ven.20],"="&amp;"ETIQ")</f>
        <v>0</v>
      </c>
      <c r="KA49" s="232">
        <f t="shared" si="43"/>
        <v>0</v>
      </c>
      <c r="KB49" s="210">
        <f>COUNTIF(Tableau15[dim.22],"="&amp;"ETIQ")</f>
        <v>0</v>
      </c>
      <c r="KC49" s="210">
        <f>COUNTIF(Tableau15[lun.23],"="&amp;"ETIQ")</f>
        <v>0</v>
      </c>
      <c r="KD49" s="210">
        <f>COUNTIF(Tableau15[mar.24],"="&amp;"ETIQ")</f>
        <v>0</v>
      </c>
      <c r="KE49" s="210">
        <f>COUNTIF(Tableau15[mer.25],"="&amp;"ETIQ")</f>
        <v>0</v>
      </c>
      <c r="KF49" s="210">
        <f>COUNTIF(Tableau15[jeu.26],"="&amp;"ETIQ")</f>
        <v>0</v>
      </c>
      <c r="KG49" s="210">
        <f>COUNTIF(Tableau15[ven.27],"="&amp;"ETIQ")</f>
        <v>0</v>
      </c>
      <c r="KH49" s="232">
        <f t="shared" si="44"/>
        <v>0</v>
      </c>
      <c r="KI49" s="210">
        <f>COUNTIF(Tableau15[dim.29],"="&amp;"ETIQ")</f>
        <v>0</v>
      </c>
      <c r="KJ49" s="210">
        <f>COUNTIF(Tableau15[lun.30],"="&amp;"ETIQ")</f>
        <v>0</v>
      </c>
      <c r="KK49" s="210">
        <f>COUNTIF(Tableau15[mar.01],"="&amp;"ETIQ")</f>
        <v>0</v>
      </c>
      <c r="KL49" s="210">
        <f>COUNTIF(Tableau15[mer.02],"="&amp;"ETIQ")</f>
        <v>0</v>
      </c>
      <c r="KM49" s="210">
        <f>COUNTIF(Tableau15[jeu.03],"="&amp;"ETIQ")</f>
        <v>0</v>
      </c>
      <c r="KN49" s="210">
        <f>COUNTIF(Tableau15[ven.04],"="&amp;"ETIQ")</f>
        <v>0</v>
      </c>
      <c r="KO49" s="232">
        <f t="shared" si="45"/>
        <v>0</v>
      </c>
      <c r="KP49" s="210">
        <f>COUNTIF(Tableau15[dim.06],"="&amp;"ETIQ")</f>
        <v>0</v>
      </c>
      <c r="KQ49" s="210">
        <f>COUNTIF(Tableau15[lun.07],"="&amp;"ETIQ")</f>
        <v>0</v>
      </c>
      <c r="KR49" s="210">
        <f>COUNTIF(Tableau15[mar.08],"="&amp;"ETIQ")</f>
        <v>0</v>
      </c>
      <c r="KS49" s="210">
        <f>COUNTIF(Tableau15[mer.09],"="&amp;"ETIQ")</f>
        <v>0</v>
      </c>
      <c r="KT49" s="210">
        <f>COUNTIF(Tableau15[jeu.10],"="&amp;"ETIQ")</f>
        <v>0</v>
      </c>
      <c r="KU49" s="210">
        <f>COUNTIF(Tableau15[ven.11],"="&amp;"ETIQ")</f>
        <v>0</v>
      </c>
      <c r="KV49" s="232">
        <f t="shared" si="46"/>
        <v>0</v>
      </c>
      <c r="KW49" s="210">
        <f>COUNTIF(Tableau15[dim.13],"="&amp;"ETIQ")</f>
        <v>0</v>
      </c>
      <c r="KX49" s="210">
        <f>COUNTIF(Tableau15[lun.14],"="&amp;"ETIQ")</f>
        <v>0</v>
      </c>
      <c r="KY49" s="210">
        <f>COUNTIF(Tableau15[mar.15],"="&amp;"ETIQ")</f>
        <v>0</v>
      </c>
      <c r="KZ49" s="210">
        <f>COUNTIF(Tableau15[mer.16],"="&amp;"ETIQ")</f>
        <v>0</v>
      </c>
      <c r="LA49" s="210">
        <f>COUNTIF(Tableau15[jeu.17],"="&amp;"ETIQ")</f>
        <v>0</v>
      </c>
      <c r="LB49" s="210">
        <f>COUNTIF(Tableau15[ven.18],"="&amp;"ETIQ")</f>
        <v>0</v>
      </c>
      <c r="LC49" s="232">
        <f t="shared" si="47"/>
        <v>0</v>
      </c>
      <c r="LD49" s="210">
        <f>COUNTIF(Tableau15[dim.20],"="&amp;"ETIQ")</f>
        <v>0</v>
      </c>
      <c r="LE49" s="210">
        <f>COUNTIF(Tableau15[lun.21],"="&amp;"ETIQ")</f>
        <v>0</v>
      </c>
      <c r="LF49" s="210">
        <f>COUNTIF(Tableau15[mar.22],"="&amp;"ETIQ")</f>
        <v>0</v>
      </c>
      <c r="LG49" s="210">
        <f>COUNTIF(Tableau15[mer.23],"="&amp;"ETIQ")</f>
        <v>0</v>
      </c>
      <c r="LH49" s="210">
        <f>COUNTIF(Tableau15[jeu.24],"="&amp;"ETIQ")</f>
        <v>0</v>
      </c>
      <c r="LI49" s="210">
        <f>COUNTIF(Tableau15[ven.25],"="&amp;"ETIQ")</f>
        <v>0</v>
      </c>
      <c r="LJ49" s="232">
        <f t="shared" si="48"/>
        <v>0</v>
      </c>
      <c r="LK49" s="210">
        <f>COUNTIF(Tableau15[dim.27],"="&amp;"ETIQ")</f>
        <v>0</v>
      </c>
      <c r="LL49" s="210">
        <f>COUNTIF(Tableau15[lun.28],"="&amp;"ETIQ")</f>
        <v>0</v>
      </c>
      <c r="LM49" s="210">
        <f>COUNTIF(Tableau15[mar.29],"="&amp;"ETIQ")</f>
        <v>0</v>
      </c>
      <c r="LN49" s="210">
        <f>COUNTIF(Tableau15[mer.30],"="&amp;"ETIQ")</f>
        <v>0</v>
      </c>
      <c r="LO49" s="210">
        <f>COUNTIF(Tableau15[jeu.31],"="&amp;"ETIQ")</f>
        <v>0</v>
      </c>
      <c r="LP49" s="210">
        <f>COUNTIF(Tableau15[ven.01],"="&amp;"ETIQ")</f>
        <v>0</v>
      </c>
      <c r="LQ49" s="232">
        <f t="shared" si="0"/>
        <v>0</v>
      </c>
      <c r="LR49" s="210">
        <f>COUNTIF(Tableau15[dim.03],"="&amp;"ETIQ")</f>
        <v>0</v>
      </c>
      <c r="LS49" s="210">
        <f>COUNTIF(Tableau15[lun.04],"="&amp;"ETIQ")</f>
        <v>0</v>
      </c>
      <c r="LT49" s="210">
        <f>COUNTIF(Tableau15[mar.05],"="&amp;"ETIQ")</f>
        <v>0</v>
      </c>
      <c r="LU49" s="210">
        <f>COUNTIF(Tableau15[mer.06],"="&amp;"ETIQ")</f>
        <v>0</v>
      </c>
      <c r="LV49" s="210">
        <f>COUNTIF(Tableau15[jeu.07],"="&amp;"ETIQ")</f>
        <v>0</v>
      </c>
      <c r="LW49" s="210">
        <f>COUNTIF(Tableau15[ven.08],"="&amp;"ETIQ")</f>
        <v>0</v>
      </c>
      <c r="LX49" s="232">
        <f t="shared" si="1"/>
        <v>0</v>
      </c>
      <c r="LY49" s="210">
        <f>COUNTIF(Tableau15[dim.10],"="&amp;"ETIQ")</f>
        <v>0</v>
      </c>
      <c r="LZ49" s="210">
        <f>COUNTIF(Tableau15[lun.11],"="&amp;"ETIQ")</f>
        <v>0</v>
      </c>
      <c r="MA49" s="210">
        <f>COUNTIF(Tableau15[mar.12],"="&amp;"ETIQ")</f>
        <v>0</v>
      </c>
      <c r="MB49" s="210">
        <f>COUNTIF(Tableau15[mer.13],"="&amp;"ETIQ")</f>
        <v>0</v>
      </c>
      <c r="MC49" s="210">
        <f>COUNTIF(Tableau15[jeu.14],"="&amp;"ETIQ")</f>
        <v>0</v>
      </c>
      <c r="MD49" s="210">
        <f>COUNTIF(Tableau15[ven.15],"="&amp;"ETIQ")</f>
        <v>0</v>
      </c>
      <c r="ME49" s="232">
        <f t="shared" si="2"/>
        <v>0</v>
      </c>
      <c r="MF49" s="210">
        <f>COUNTIF(Tableau15[dim.17],"="&amp;"ETIQ")</f>
        <v>0</v>
      </c>
      <c r="MG49" s="210">
        <f>COUNTIF(Tableau15[lun.18],"="&amp;"ETIQ")</f>
        <v>0</v>
      </c>
      <c r="MH49" s="210">
        <f>COUNTIF(Tableau15[mar.19],"="&amp;"ETIQ")</f>
        <v>0</v>
      </c>
      <c r="MI49" s="210">
        <f>COUNTIF(Tableau15[mer.20],"="&amp;"ETIQ")</f>
        <v>0</v>
      </c>
      <c r="MJ49" s="210">
        <f>COUNTIF(Tableau15[jeu.21],"="&amp;"ETIQ")</f>
        <v>0</v>
      </c>
      <c r="MK49" s="210">
        <f>COUNTIF(Tableau15[ven.22],"="&amp;"ETIQ")</f>
        <v>0</v>
      </c>
      <c r="ML49" s="232">
        <f t="shared" si="3"/>
        <v>0</v>
      </c>
      <c r="MM49" s="210">
        <f>COUNTIF(Tableau15[dim.24],"="&amp;"ETIQ")</f>
        <v>0</v>
      </c>
      <c r="MN49" s="210">
        <f>COUNTIF(Tableau15[lun.25],"="&amp;"ETIQ")</f>
        <v>0</v>
      </c>
      <c r="MO49" s="210">
        <f>COUNTIF(Tableau15[mar.26],"="&amp;"ETIQ")</f>
        <v>0</v>
      </c>
      <c r="MP49" s="210">
        <f>COUNTIF(Tableau15[mer.27],"="&amp;"ETIQ")</f>
        <v>0</v>
      </c>
      <c r="MQ49" s="210">
        <f>COUNTIF(Tableau15[jeu.28],"="&amp;"ETIQ")</f>
        <v>0</v>
      </c>
      <c r="MR49" s="210">
        <f>COUNTIF(Tableau15[ven.29],"="&amp;"ETIQ")</f>
        <v>0</v>
      </c>
      <c r="MS49" s="232">
        <f t="shared" si="49"/>
        <v>0</v>
      </c>
      <c r="MT49" s="210">
        <f>COUNTIF(Tableau15[dim.012],"="&amp;"ETIQ")</f>
        <v>0</v>
      </c>
      <c r="MU49" s="210">
        <f>COUNTIF(Tableau15[lun.023],"="&amp;"ETIQ")</f>
        <v>0</v>
      </c>
      <c r="MV49" s="210">
        <f>COUNTIF(Tableau15[mar.034],"="&amp;"ETIQ")</f>
        <v>0</v>
      </c>
      <c r="MW49" s="210">
        <f>COUNTIF(Tableau15[mer.045],"="&amp;"ETIQ")</f>
        <v>0</v>
      </c>
      <c r="MX49" s="210">
        <f>COUNTIF(Tableau15[jeu.056],"="&amp;"ETIQ")</f>
        <v>0</v>
      </c>
      <c r="MY49" s="210">
        <f>COUNTIF(Tableau15[ven.067],"="&amp;"ETIQ")</f>
        <v>0</v>
      </c>
      <c r="MZ49" s="232">
        <f t="shared" si="50"/>
        <v>0</v>
      </c>
      <c r="NA49" s="210">
        <f>COUNTIF(Tableau15[dim.089],"="&amp;"ETIQ")</f>
        <v>0</v>
      </c>
      <c r="NB49" s="210">
        <f>COUNTIF(Tableau15[lun.0910],"="&amp;"ETIQ")</f>
        <v>0</v>
      </c>
      <c r="NC49" s="210">
        <f>COUNTIF(Tableau15[mar.1011],"="&amp;"ETIQ")</f>
        <v>0</v>
      </c>
      <c r="ND49" s="210">
        <f>COUNTIF(Tableau15[mer.1112],"="&amp;"ETIQ")</f>
        <v>0</v>
      </c>
      <c r="NE49" s="210">
        <f>COUNTIF(Tableau15[jeu.1213],"="&amp;"ETIQ")</f>
        <v>0</v>
      </c>
      <c r="NF49" s="210">
        <f>COUNTIF(Tableau15[ven.1314],"="&amp;"ETIQ")</f>
        <v>0</v>
      </c>
      <c r="NG49" s="232">
        <f t="shared" si="51"/>
        <v>0</v>
      </c>
      <c r="NH49" s="210">
        <f>COUNTIF(Tableau15[dim.1516],"="&amp;"ETIQ")</f>
        <v>0</v>
      </c>
      <c r="NI49" s="210">
        <f>COUNTIF(Tableau15[lun.1617],"="&amp;"ETIQ")</f>
        <v>0</v>
      </c>
      <c r="NJ49" s="210">
        <f>COUNTIF(Tableau15[mar.1718],"="&amp;"ETIQ")</f>
        <v>0</v>
      </c>
      <c r="NK49" s="210">
        <f>COUNTIF(Tableau15[mer.1819],"="&amp;"ETIQ")</f>
        <v>0</v>
      </c>
      <c r="NL49" s="210">
        <f>COUNTIF(Tableau15[jeu.1920],"="&amp;"ETIQ")</f>
        <v>0</v>
      </c>
      <c r="NM49" s="210">
        <f>COUNTIF(Tableau15[ven.2021],"="&amp;"ETIQ")</f>
        <v>0</v>
      </c>
      <c r="NN49" s="232">
        <f t="shared" si="52"/>
        <v>0</v>
      </c>
      <c r="NO49" s="210">
        <f>COUNTIF(Tableau15[dim.2223],"="&amp;"ETIQ")</f>
        <v>0</v>
      </c>
      <c r="NP49" s="210">
        <f>COUNTIF(Tableau15[lun.2324],"="&amp;"ETIQ")</f>
        <v>0</v>
      </c>
      <c r="NQ49" s="210">
        <f>COUNTIF(Tableau15[mar.2425],"="&amp;"ETIQ")</f>
        <v>0</v>
      </c>
      <c r="NR49" s="210">
        <f>COUNTIF(Tableau15[mer.2526],"="&amp;"ETIQ")</f>
        <v>0</v>
      </c>
      <c r="NS49" s="210">
        <f>COUNTIF(Tableau15[jeu.2627],"="&amp;"ETIQ")</f>
        <v>0</v>
      </c>
      <c r="NT49" s="210">
        <f>COUNTIF(Tableau15[ven.2728],"="&amp;"ETIQ")</f>
        <v>0</v>
      </c>
      <c r="NU49" s="232">
        <f t="shared" si="53"/>
        <v>0</v>
      </c>
    </row>
  </sheetData>
  <conditionalFormatting sqref="E5:E39">
    <cfRule type="cellIs" dxfId="1674" priority="341" operator="equal">
      <formula>"CDD"</formula>
    </cfRule>
    <cfRule type="containsText" dxfId="1673" priority="351" operator="containsText" text="COG">
      <formula>NOT(ISERROR(SEARCH("COG",E5)))</formula>
    </cfRule>
    <cfRule type="containsText" dxfId="1672" priority="352" operator="containsText" text="CDI">
      <formula>NOT(ISERROR(SEARCH(("CDI"),(E5))))</formula>
    </cfRule>
  </conditionalFormatting>
  <conditionalFormatting sqref="G5:H39">
    <cfRule type="expression" dxfId="1671" priority="340">
      <formula>$D5=PA</formula>
    </cfRule>
  </conditionalFormatting>
  <conditionalFormatting sqref="D5:D39">
    <cfRule type="cellIs" dxfId="1670" priority="335" operator="equal">
      <formula>"PA"</formula>
    </cfRule>
    <cfRule type="cellIs" dxfId="1669" priority="336" operator="equal">
      <formula>"EUP"</formula>
    </cfRule>
    <cfRule type="cellIs" dxfId="1668" priority="337" operator="equal">
      <formula>"CFP"</formula>
    </cfRule>
    <cfRule type="cellIs" dxfId="1667" priority="338" operator="equal">
      <formula>"27O"</formula>
    </cfRule>
  </conditionalFormatting>
  <conditionalFormatting sqref="HD5:NU39 I5:HB39">
    <cfRule type="expression" dxfId="1666" priority="9" stopIfTrue="1">
      <formula>OR(LEFT(I$4,1)="s",LEFT(I$4,1)="d")</formula>
    </cfRule>
    <cfRule type="cellIs" dxfId="1665" priority="15" operator="equal">
      <formula>"A."</formula>
    </cfRule>
    <cfRule type="cellIs" dxfId="1664" priority="16" operator="equal">
      <formula>"FI"</formula>
    </cfRule>
  </conditionalFormatting>
  <conditionalFormatting sqref="I5:NV39">
    <cfRule type="cellIs" dxfId="1663" priority="10" operator="equal">
      <formula>"CA"</formula>
    </cfRule>
    <cfRule type="cellIs" dxfId="1662" priority="11" operator="equal">
      <formula>"ECH"</formula>
    </cfRule>
    <cfRule type="cellIs" dxfId="1661" priority="12" operator="equal">
      <formula>"PTRI"</formula>
    </cfRule>
    <cfRule type="cellIs" dxfId="1660" priority="13" operator="equal">
      <formula>"FLM"</formula>
    </cfRule>
    <cfRule type="cellIs" dxfId="1659" priority="14" operator="equal">
      <formula>"VRAC"</formula>
    </cfRule>
  </conditionalFormatting>
  <dataValidations count="5">
    <dataValidation type="list" allowBlank="1" showInputMessage="1" showErrorMessage="1" sqref="K14:T14 BG38:BX38 BU12:CL12 AB23:AC23 K26:AA26 K27:T27 X25:AV25 AL24:BC24 AL11:BC11 U16:V16 AL19:AV19 AY25:BC25 AZ12:BC12 AZ13:BJ14 BN7:CB7 BG15:BQ15 BN13:BS13 BN14:BQ14 BN27:CB27 BU8:CE8 K39:V39 CA5:CB6 BT5:BX6 BN5:BQ6 W5:AA8 CC5:CE7 AL20:AO23 AR20:AV23 BT39:BX39 BG39:BJ39 AL38:AO39 AR38:AV39 BM39:BQ39 IT9:IX11 IN12:JE12 HD25:HO25 HE24:HV24 HE11:HV11 HE19:HO19 HL26:HV26 HR25:HV25 HS12:HV12 HS13:IC14 IG7:IU7 IG13:IL13 IG14:IJ14 IG27:IU27 IN8:IX8 IT5:IU6 IM5:IQ6 IG5:IJ6 IV5:IX7 GW5:HA39 HK20:HO23 HZ15:IJ15 IM39:IQ39 HZ39:IC39 HE38:HH39 HK38:HO39 IF39:IJ39 BF5:BJ12 P5:T13 AY5:BC10 AL5:AO10 AR5:AV10 HY5:IC12 HR5:HV10 HE5:HH10 HK5:HO10 IF5:IF14 JA5:JE11 IG8:IJ12 IN9:IQ11 HZ38:IQ38 J5:J14 K5:M13 BM5:BM14 CH5:CL11 BN8:BQ12 BU9:BX11 CA9:CE11 AK5:AK24 W9:W25 HD5:HD24 X9:AA24 AD5:AH24 HR12:HR23 HK12:HO18 HE12:HH18 HS15:HV23 J15:M25 AZ15:BC23 P15:T25 AY12:AY23 AR12:AV18 AL12:AO18 BN16:BQ26 BU13:BX26 BM16:BM27 IG16:IJ26 IN13:IQ26 IF16:IF27 IM8:IM26 BT8:BT26 HL27:HO28 HK26:HK28 HE26:HH28 IT13:IX26 AL26:AO28 AR26:BC26 AR27:AV28 CA13:CE26 BM28:BQ37 AL29:AV37 BT28:BX37 P28:T38 K28:M38 CA28:CB39 HE29:HO37 IF28:IJ37 IT28:IU39 IM28:IQ37 BG16:BJ37 BF15:BF39 CH13:CL39 HZ16:IC37 HY15:HY39 JA13:JE39 JV5:JZ39 NP5:NT39 JO5:JS39 LE5:LI39 KC5:KG39 KQ5:KU39 KJ5:KN39 LL5:LP39 LS5:LW39 LZ5:MD39 MG5:MK39 MN5:MR39 MU5:MY39 NB5:NF39 NI5:NM39 JH5:JL39 GI5:GM39 EE5:EI39 DC5:DG39 J26:J39 CV5:CZ39 I5:I39 EL5:EP39 DJ5:DN39 DX5:EB39 DQ5:DU39 ES5:EW39 EZ5:FD39 FG5:FK39 FN5:FR39 FU5:FY39 GB5:GF39 KX5:LB39 HE20:HH23 CO5:CS39 HD26:HD39 IV27:IX39 HR27:HV39 AY27:BC39 AK26:AK39 W27:AA39 AD26:AH39 CC27:CE39 GP5:GT39" xr:uid="{1531E702-3D8F-443D-B1DF-164FF974C7EB}">
      <formula1>INDIRECT($F5)</formula1>
    </dataValidation>
    <dataValidation type="list" allowBlank="1" showInputMessage="1" showErrorMessage="1" sqref="AB24:AC24 AW25:AX25 BY5:BZ6 BR5:BS6 AP20:AQ23 BR39:BS39 AP38:AQ39 BK39:BL39 HP25:HQ25 IR5:IS6 IK5:IL6 HI20:HJ23 IK39:IL39 HI38:HJ39 ID39:IE39 U5:V15 BD5:BE12 AW5:AX10 AP5:AQ10 HW5:HX12 HP5:HQ10 HI5:HJ10 ID5:IE14 IY5:IZ11 IR9:IS11 IK8:IL12 N5:O13 BK5:BL14 CF5:CG11 BY9:BZ11 BR8:BS12 AB5:AC22 AI5:AJ24 HP12:HQ23 HI12:HJ18 U17:V25 N15:O25 AW12:AX23 AP12:AQ18 BR14:BS26 BY13:BZ26 IK14:IL26 IR13:IS26 HI26:HJ28 AP26:AQ28 BR28:BS37 N28:O38 BY28:BZ39 IK28:IL37 IR28:IS39 BK16:BL37 BD15:BE39 CF13:CG39 ID16:IE37 HW15:HX39 IY13:IZ39 JT5:JU39 NU5:NV39 JF5:JG39 JM5:JN39 KA5:KB39 KH5:KI39 KO5:KP39 KV5:KW39 LC5:LD39 LJ5:LK39 LQ5:LR39 LX5:LY39 ME5:MF39 ML5:MM39 MS5:MT39 MZ5:NA39 NG5:NH39 NN5:NO39 DA5:DB39 HB5:HC39 CM5:CN39 CT5:CU39 DH5:DI39 DO5:DP39 DV5:DW39 EC5:ED39 EJ5:EK39 EQ5:ER39 EX5:EY39 FE5:FF39 FL5:FM39 FS5:FT39 FZ5:GA39 GG5:GH39 GN5:GO39 GU5:GV39 HP27:HQ39 AB26:AC39 AI26:AJ39 AW27:AX39 U27:V38" xr:uid="{2CE7BFD4-7FAA-41E2-9305-894ADC11BEED}">
      <formula1>INDIRECT($I5)</formula1>
    </dataValidation>
    <dataValidation type="list" allowBlank="1" showInputMessage="1" showErrorMessage="1" sqref="D5:D39" xr:uid="{1F2BD51A-E3BB-403A-8AAB-3263E8EE9D61}">
      <formula1>SOCIETE</formula1>
    </dataValidation>
    <dataValidation type="list" allowBlank="1" showInputMessage="1" showErrorMessage="1" sqref="E5:E39" xr:uid="{08975987-EEEA-4C09-A4A5-2BE18F4839DE}">
      <formula1>STATUT</formula1>
    </dataValidation>
    <dataValidation type="list" allowBlank="1" showInputMessage="1" showErrorMessage="1" sqref="F5:F39" xr:uid="{F734234B-1642-4CCB-9B1B-311B5887DB76}">
      <formula1>FONCTION</formula1>
    </dataValidation>
  </dataValidations>
  <pageMargins left="0.7" right="0.7" top="0.75" bottom="0.75" header="0.3" footer="0.3"/>
  <pageSetup paperSize="9" scale="11" fitToHeight="0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342" operator="beginsWith" id="{1AAADE53-B8DA-4BD2-9B8C-1FD51B8544CB}">
            <xm:f>LEFT(E5,LEN("INT"))="INT"</xm:f>
            <xm:f>"INT"</xm:f>
            <x14:dxf>
              <fill>
                <patternFill>
                  <bgColor theme="9" tint="0.59996337778862885"/>
                </patternFill>
              </fill>
            </x14:dxf>
          </x14:cfRule>
          <xm:sqref>E5:E39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3F72-29ED-4E45-B102-AD6D73AECD39}">
  <sheetPr codeName="Feuil5">
    <tabColor rgb="FFD9A3BE"/>
  </sheetPr>
  <dimension ref="B1:NS51"/>
  <sheetViews>
    <sheetView showGridLines="0" zoomScale="70" zoomScaleNormal="70" workbookViewId="0">
      <pane xSplit="8" topLeftCell="HI1" activePane="topRight" state="frozen"/>
      <selection pane="topRight" activeCell="G30" sqref="G30"/>
    </sheetView>
  </sheetViews>
  <sheetFormatPr baseColWidth="10" defaultRowHeight="14.4" x14ac:dyDescent="0.3"/>
  <cols>
    <col min="1" max="1" width="2.5546875" customWidth="1"/>
    <col min="2" max="2" width="0.109375" hidden="1" customWidth="1"/>
    <col min="3" max="3" width="6.77734375" hidden="1" customWidth="1"/>
    <col min="4" max="4" width="9.33203125" style="64" customWidth="1"/>
    <col min="7" max="7" width="18.77734375" style="140" customWidth="1"/>
    <col min="8" max="8" width="20.33203125" style="140" customWidth="1"/>
    <col min="9" max="14" width="5.77734375" customWidth="1"/>
    <col min="15" max="15" width="5.77734375" hidden="1" customWidth="1"/>
    <col min="16" max="20" width="5.77734375" customWidth="1"/>
    <col min="21" max="21" width="5.33203125" customWidth="1"/>
    <col min="22" max="22" width="0.21875" hidden="1" customWidth="1"/>
    <col min="23" max="28" width="5.77734375" customWidth="1"/>
    <col min="29" max="29" width="5.77734375" hidden="1" customWidth="1"/>
    <col min="30" max="35" width="5.77734375" customWidth="1"/>
    <col min="36" max="36" width="5.77734375" hidden="1" customWidth="1"/>
    <col min="37" max="42" width="5.77734375" customWidth="1"/>
    <col min="43" max="43" width="5.77734375" hidden="1" customWidth="1"/>
    <col min="44" max="49" width="5.77734375" customWidth="1"/>
    <col min="50" max="50" width="4.88671875" hidden="1" customWidth="1"/>
    <col min="51" max="56" width="5.77734375" customWidth="1"/>
    <col min="57" max="57" width="5.77734375" hidden="1" customWidth="1"/>
    <col min="58" max="63" width="5.77734375" customWidth="1"/>
    <col min="64" max="64" width="5.77734375" hidden="1" customWidth="1"/>
    <col min="65" max="70" width="5.77734375" customWidth="1"/>
    <col min="71" max="71" width="5.77734375" hidden="1" customWidth="1"/>
    <col min="72" max="77" width="5.77734375" customWidth="1"/>
    <col min="78" max="78" width="5.77734375" hidden="1" customWidth="1"/>
    <col min="79" max="84" width="5.77734375" customWidth="1"/>
    <col min="85" max="85" width="5.77734375" hidden="1" customWidth="1"/>
    <col min="86" max="91" width="5.77734375" customWidth="1"/>
    <col min="92" max="92" width="5.77734375" hidden="1" customWidth="1"/>
    <col min="93" max="98" width="5.77734375" customWidth="1"/>
    <col min="99" max="99" width="5.77734375" hidden="1" customWidth="1"/>
    <col min="100" max="105" width="5.77734375" customWidth="1"/>
    <col min="106" max="106" width="5.77734375" hidden="1" customWidth="1"/>
    <col min="107" max="112" width="5.77734375" customWidth="1"/>
    <col min="113" max="113" width="5.77734375" hidden="1" customWidth="1"/>
    <col min="114" max="119" width="5.77734375" customWidth="1"/>
    <col min="120" max="120" width="5.77734375" hidden="1" customWidth="1"/>
    <col min="121" max="126" width="5.77734375" customWidth="1"/>
    <col min="127" max="127" width="5.77734375" hidden="1" customWidth="1"/>
    <col min="128" max="133" width="5.77734375" customWidth="1"/>
    <col min="134" max="134" width="5.77734375" hidden="1" customWidth="1"/>
    <col min="135" max="140" width="5.77734375" customWidth="1"/>
    <col min="141" max="141" width="5.77734375" hidden="1" customWidth="1"/>
    <col min="142" max="147" width="5.77734375" customWidth="1"/>
    <col min="148" max="148" width="5.77734375" hidden="1" customWidth="1"/>
    <col min="149" max="154" width="5.77734375" customWidth="1"/>
    <col min="155" max="155" width="5.77734375" hidden="1" customWidth="1"/>
    <col min="156" max="161" width="5.77734375" customWidth="1"/>
    <col min="162" max="162" width="5.77734375" hidden="1" customWidth="1"/>
    <col min="163" max="168" width="5.77734375" customWidth="1"/>
    <col min="169" max="169" width="5.77734375" hidden="1" customWidth="1"/>
    <col min="170" max="175" width="5.77734375" customWidth="1"/>
    <col min="176" max="176" width="5.77734375" hidden="1" customWidth="1"/>
    <col min="177" max="182" width="5.77734375" customWidth="1"/>
    <col min="183" max="183" width="5.77734375" hidden="1" customWidth="1"/>
    <col min="184" max="189" width="5.77734375" customWidth="1"/>
    <col min="190" max="190" width="5.77734375" hidden="1" customWidth="1"/>
    <col min="191" max="196" width="5.77734375" customWidth="1"/>
    <col min="197" max="197" width="5.77734375" hidden="1" customWidth="1"/>
    <col min="198" max="203" width="5.77734375" customWidth="1"/>
    <col min="204" max="204" width="5.77734375" hidden="1" customWidth="1"/>
    <col min="205" max="210" width="5.77734375" customWidth="1"/>
    <col min="211" max="211" width="5.77734375" hidden="1" customWidth="1"/>
    <col min="212" max="217" width="5.77734375" customWidth="1"/>
    <col min="218" max="218" width="5.77734375" hidden="1" customWidth="1"/>
    <col min="219" max="224" width="5.77734375" customWidth="1"/>
    <col min="225" max="225" width="5.77734375" hidden="1" customWidth="1"/>
    <col min="226" max="231" width="5.77734375" customWidth="1"/>
    <col min="232" max="232" width="5.77734375" hidden="1" customWidth="1"/>
    <col min="233" max="238" width="5.77734375" customWidth="1"/>
    <col min="239" max="239" width="5.77734375" hidden="1" customWidth="1"/>
    <col min="240" max="245" width="5.77734375" customWidth="1"/>
    <col min="246" max="246" width="5.77734375" hidden="1" customWidth="1"/>
    <col min="247" max="252" width="5.77734375" customWidth="1"/>
    <col min="253" max="253" width="5.77734375" hidden="1" customWidth="1"/>
    <col min="254" max="259" width="5.77734375" customWidth="1"/>
    <col min="260" max="260" width="5.77734375" hidden="1" customWidth="1"/>
    <col min="261" max="266" width="5.77734375" customWidth="1"/>
    <col min="267" max="267" width="5.77734375" hidden="1" customWidth="1"/>
    <col min="268" max="273" width="5.77734375" customWidth="1"/>
    <col min="274" max="274" width="5.77734375" hidden="1" customWidth="1"/>
    <col min="275" max="280" width="5.77734375" customWidth="1"/>
    <col min="281" max="281" width="5.77734375" hidden="1" customWidth="1"/>
    <col min="282" max="287" width="5.77734375" customWidth="1"/>
    <col min="288" max="288" width="5.77734375" hidden="1" customWidth="1"/>
    <col min="289" max="294" width="5.77734375" customWidth="1"/>
    <col min="295" max="295" width="5.77734375" hidden="1" customWidth="1"/>
    <col min="296" max="301" width="5.77734375" customWidth="1"/>
    <col min="302" max="302" width="5.77734375" hidden="1" customWidth="1"/>
    <col min="303" max="308" width="5.77734375" customWidth="1"/>
    <col min="309" max="309" width="5.77734375" hidden="1" customWidth="1"/>
    <col min="310" max="315" width="5.77734375" customWidth="1"/>
    <col min="316" max="316" width="5.77734375" hidden="1" customWidth="1"/>
    <col min="317" max="322" width="5.77734375" customWidth="1"/>
    <col min="323" max="323" width="5.77734375" hidden="1" customWidth="1"/>
    <col min="324" max="329" width="5.77734375" customWidth="1"/>
    <col min="330" max="330" width="5.77734375" hidden="1" customWidth="1"/>
    <col min="331" max="336" width="5.77734375" customWidth="1"/>
    <col min="337" max="337" width="5.77734375" hidden="1" customWidth="1"/>
    <col min="338" max="343" width="5.77734375" customWidth="1"/>
    <col min="344" max="344" width="5.77734375" hidden="1" customWidth="1"/>
    <col min="345" max="350" width="5.77734375" customWidth="1"/>
    <col min="351" max="351" width="5.77734375" hidden="1" customWidth="1"/>
    <col min="352" max="357" width="5.77734375" customWidth="1"/>
    <col min="358" max="358" width="5.77734375" hidden="1" customWidth="1"/>
    <col min="359" max="364" width="5.77734375" customWidth="1"/>
    <col min="365" max="365" width="5.77734375" hidden="1" customWidth="1"/>
    <col min="366" max="371" width="5.77734375" customWidth="1"/>
    <col min="372" max="372" width="5.77734375" hidden="1" customWidth="1"/>
    <col min="373" max="378" width="5.77734375" customWidth="1"/>
    <col min="379" max="379" width="5.77734375" hidden="1" customWidth="1"/>
  </cols>
  <sheetData>
    <row r="1" spans="2:383" ht="15" thickBot="1" x14ac:dyDescent="0.35"/>
    <row r="2" spans="2:383" ht="15" thickBot="1" x14ac:dyDescent="0.35">
      <c r="I2" s="226" t="str">
        <f>"S"&amp;WEEKNUM(K3)</f>
        <v>S1</v>
      </c>
      <c r="J2" s="225"/>
      <c r="K2" s="225"/>
      <c r="L2" s="225"/>
      <c r="M2" s="225"/>
      <c r="N2" s="218"/>
      <c r="O2" s="222"/>
      <c r="P2" s="226" t="str">
        <f>"S"&amp;WEEKNUM(P3)</f>
        <v>S2</v>
      </c>
      <c r="Q2" s="225"/>
      <c r="R2" s="225"/>
      <c r="S2" s="225"/>
      <c r="T2" s="225"/>
      <c r="U2" s="218"/>
      <c r="V2" s="226"/>
      <c r="W2" s="226" t="str">
        <f>"S"&amp;WEEKNUM(W3)</f>
        <v>S3</v>
      </c>
      <c r="X2" s="225"/>
      <c r="Y2" s="225"/>
      <c r="Z2" s="225"/>
      <c r="AA2" s="225"/>
      <c r="AB2" s="218"/>
      <c r="AC2" s="222"/>
      <c r="AD2" s="226" t="str">
        <f>"S"&amp;WEEKNUM(AD3)</f>
        <v>S4</v>
      </c>
      <c r="AE2" s="225"/>
      <c r="AF2" s="225"/>
      <c r="AG2" s="225"/>
      <c r="AH2" s="225"/>
      <c r="AI2" s="218"/>
      <c r="AJ2" s="222"/>
      <c r="AK2" s="226" t="str">
        <f>"S"&amp;WEEKNUM(AK3)</f>
        <v>S5</v>
      </c>
      <c r="AL2" s="225"/>
      <c r="AM2" s="225"/>
      <c r="AN2" s="225"/>
      <c r="AO2" s="225"/>
      <c r="AP2" s="218"/>
      <c r="AQ2" s="226"/>
      <c r="AR2" s="226" t="str">
        <f>"S"&amp;WEEKNUM(AR3)</f>
        <v>S6</v>
      </c>
      <c r="AS2" s="225"/>
      <c r="AT2" s="225"/>
      <c r="AU2" s="225"/>
      <c r="AV2" s="225"/>
      <c r="AW2" s="218"/>
      <c r="AX2" s="222"/>
      <c r="AY2" s="226" t="str">
        <f>"S"&amp;WEEKNUM(AY3)</f>
        <v>S7</v>
      </c>
      <c r="AZ2" s="225"/>
      <c r="BA2" s="225"/>
      <c r="BB2" s="225"/>
      <c r="BC2" s="225"/>
      <c r="BD2" s="218"/>
      <c r="BE2" s="226"/>
      <c r="BF2" s="226" t="str">
        <f>"S"&amp;WEEKNUM(BF3)</f>
        <v>S8</v>
      </c>
      <c r="BG2" s="225"/>
      <c r="BH2" s="225"/>
      <c r="BI2" s="225"/>
      <c r="BJ2" s="225"/>
      <c r="BK2" s="218"/>
      <c r="BL2" s="222"/>
      <c r="BM2" s="226" t="str">
        <f>"S"&amp;WEEKNUM(BM3)</f>
        <v>S9</v>
      </c>
      <c r="BN2" s="225"/>
      <c r="BO2" s="225"/>
      <c r="BP2" s="225"/>
      <c r="BQ2" s="225"/>
      <c r="BR2" s="218"/>
      <c r="BS2" s="226"/>
      <c r="BT2" s="226" t="str">
        <f>"S"&amp;WEEKNUM(BT3)</f>
        <v>S10</v>
      </c>
      <c r="BU2" s="225"/>
      <c r="BV2" s="225"/>
      <c r="BW2" s="225"/>
      <c r="BX2" s="225"/>
      <c r="BY2" s="218"/>
      <c r="BZ2" s="222"/>
      <c r="CA2" s="226" t="str">
        <f>"S"&amp;WEEKNUM(CA3)</f>
        <v>S11</v>
      </c>
      <c r="CB2" s="225"/>
      <c r="CC2" s="225"/>
      <c r="CD2" s="225"/>
      <c r="CE2" s="225"/>
      <c r="CF2" s="218"/>
      <c r="CG2" s="226"/>
      <c r="CH2" s="226" t="str">
        <f>"S"&amp;WEEKNUM(CH3)</f>
        <v>S12</v>
      </c>
      <c r="CI2" s="225"/>
      <c r="CJ2" s="225"/>
      <c r="CK2" s="225"/>
      <c r="CL2" s="225"/>
      <c r="CM2" s="218"/>
      <c r="CN2" s="222"/>
      <c r="CO2" s="226" t="str">
        <f>"S"&amp;WEEKNUM(CO3)</f>
        <v>S13</v>
      </c>
      <c r="CP2" s="225"/>
      <c r="CQ2" s="225"/>
      <c r="CR2" s="225"/>
      <c r="CS2" s="225"/>
      <c r="CT2" s="218"/>
      <c r="CU2" s="226"/>
      <c r="CV2" s="226" t="str">
        <f>"S"&amp;WEEKNUM(CV3)</f>
        <v>S14</v>
      </c>
      <c r="CW2" s="225"/>
      <c r="CX2" s="225"/>
      <c r="CY2" s="225"/>
      <c r="CZ2" s="225"/>
      <c r="DA2" s="218"/>
      <c r="DB2" s="222"/>
      <c r="DC2" s="226" t="str">
        <f>"S"&amp;WEEKNUM(DC3)</f>
        <v>S15</v>
      </c>
      <c r="DD2" s="225"/>
      <c r="DE2" s="225"/>
      <c r="DF2" s="225"/>
      <c r="DG2" s="225"/>
      <c r="DH2" s="218"/>
      <c r="DI2" s="226"/>
      <c r="DJ2" s="226" t="str">
        <f>"S"&amp;WEEKNUM(DJ3)</f>
        <v>S16</v>
      </c>
      <c r="DK2" s="225"/>
      <c r="DL2" s="225"/>
      <c r="DM2" s="225"/>
      <c r="DN2" s="225"/>
      <c r="DO2" s="218"/>
      <c r="DP2" s="222"/>
      <c r="DQ2" s="226" t="str">
        <f>"S"&amp;WEEKNUM(DQ3)</f>
        <v>S17</v>
      </c>
      <c r="DR2" s="225"/>
      <c r="DS2" s="225"/>
      <c r="DT2" s="225"/>
      <c r="DU2" s="225"/>
      <c r="DV2" s="218"/>
      <c r="DW2" s="222"/>
      <c r="DX2" s="226" t="str">
        <f>"S"&amp;WEEKNUM(DX3)</f>
        <v>S18</v>
      </c>
      <c r="DY2" s="225"/>
      <c r="DZ2" s="225"/>
      <c r="EA2" s="225"/>
      <c r="EB2" s="225"/>
      <c r="EC2" s="218"/>
      <c r="ED2" s="226"/>
      <c r="EE2" s="226" t="str">
        <f>"S"&amp;WEEKNUM(EE3)</f>
        <v>S19</v>
      </c>
      <c r="EF2" s="225"/>
      <c r="EG2" s="225"/>
      <c r="EH2" s="225"/>
      <c r="EI2" s="225"/>
      <c r="EJ2" s="218"/>
      <c r="EK2" s="222"/>
      <c r="EL2" s="226" t="str">
        <f>"S"&amp;WEEKNUM(EL3)</f>
        <v>S20</v>
      </c>
      <c r="EM2" s="225"/>
      <c r="EN2" s="225"/>
      <c r="EO2" s="225"/>
      <c r="EP2" s="225"/>
      <c r="EQ2" s="218"/>
      <c r="ER2" s="222"/>
      <c r="ES2" s="226" t="str">
        <f>"S"&amp;WEEKNUM(ES3)</f>
        <v>S21</v>
      </c>
      <c r="ET2" s="225"/>
      <c r="EU2" s="225"/>
      <c r="EV2" s="225"/>
      <c r="EW2" s="225"/>
      <c r="EX2" s="218"/>
      <c r="EY2" s="226"/>
      <c r="EZ2" s="226" t="str">
        <f>"S"&amp;WEEKNUM(EZ3)</f>
        <v>S22</v>
      </c>
      <c r="FA2" s="225"/>
      <c r="FB2" s="225"/>
      <c r="FC2" s="225"/>
      <c r="FD2" s="225"/>
      <c r="FE2" s="218"/>
      <c r="FF2" s="222"/>
      <c r="FG2" s="226" t="str">
        <f>"S"&amp;WEEKNUM(FG3)</f>
        <v>S23</v>
      </c>
      <c r="FH2" s="225"/>
      <c r="FI2" s="225"/>
      <c r="FJ2" s="225"/>
      <c r="FK2" s="225"/>
      <c r="FL2" s="218"/>
      <c r="FM2" s="222"/>
      <c r="FN2" s="226" t="str">
        <f>"S"&amp;WEEKNUM(FN3)</f>
        <v>S24</v>
      </c>
      <c r="FO2" s="225"/>
      <c r="FP2" s="225"/>
      <c r="FQ2" s="225"/>
      <c r="FR2" s="225"/>
      <c r="FS2" s="218"/>
      <c r="FT2" s="226"/>
      <c r="FU2" s="226" t="str">
        <f>"S"&amp;WEEKNUM(FU3)</f>
        <v>S25</v>
      </c>
      <c r="FV2" s="225"/>
      <c r="FW2" s="225"/>
      <c r="FX2" s="225"/>
      <c r="FY2" s="225"/>
      <c r="FZ2" s="218"/>
      <c r="GA2" s="222"/>
      <c r="GB2" s="226" t="str">
        <f>"S"&amp;WEEKNUM(GB3)</f>
        <v>S26</v>
      </c>
      <c r="GC2" s="225"/>
      <c r="GD2" s="225"/>
      <c r="GE2" s="225"/>
      <c r="GF2" s="225"/>
      <c r="GG2" s="218"/>
      <c r="GH2" s="222"/>
      <c r="GI2" s="226" t="str">
        <f>"S"&amp;WEEKNUM(GI3)</f>
        <v>S27</v>
      </c>
      <c r="GJ2" s="225"/>
      <c r="GK2" s="225"/>
      <c r="GL2" s="225"/>
      <c r="GM2" s="225"/>
      <c r="GN2" s="218"/>
      <c r="GO2" s="226"/>
      <c r="GP2" s="226" t="str">
        <f>"S"&amp;WEEKNUM(GP3)</f>
        <v>S28</v>
      </c>
      <c r="GQ2" s="225"/>
      <c r="GR2" s="225"/>
      <c r="GS2" s="225"/>
      <c r="GT2" s="225"/>
      <c r="GU2" s="218"/>
      <c r="GV2" s="222"/>
      <c r="GW2" s="226" t="str">
        <f>"S"&amp;WEEKNUM(GW3)</f>
        <v>S29</v>
      </c>
      <c r="GX2" s="225"/>
      <c r="GY2" s="225"/>
      <c r="GZ2" s="225"/>
      <c r="HA2" s="225"/>
      <c r="HB2" s="218"/>
      <c r="HC2" s="222"/>
      <c r="HD2" s="226" t="str">
        <f>"S"&amp;WEEKNUM(HD3)</f>
        <v>S30</v>
      </c>
      <c r="HE2" s="225"/>
      <c r="HF2" s="225"/>
      <c r="HG2" s="225"/>
      <c r="HH2" s="225"/>
      <c r="HI2" s="218"/>
      <c r="HJ2" s="222"/>
      <c r="HK2" s="226" t="str">
        <f>"S"&amp;WEEKNUM(HK3)</f>
        <v>S31</v>
      </c>
      <c r="HL2" s="225"/>
      <c r="HM2" s="225"/>
      <c r="HN2" s="225"/>
      <c r="HO2" s="225"/>
      <c r="HP2" s="218"/>
      <c r="HQ2" s="226"/>
      <c r="HR2" s="226" t="str">
        <f>"S"&amp;WEEKNUM(HR3)</f>
        <v>S32</v>
      </c>
      <c r="HS2" s="225"/>
      <c r="HT2" s="225"/>
      <c r="HU2" s="225"/>
      <c r="HV2" s="225"/>
      <c r="HW2" s="218"/>
      <c r="HX2" s="222"/>
      <c r="HY2" s="226" t="str">
        <f>"S"&amp;WEEKNUM(HY3)</f>
        <v>S33</v>
      </c>
      <c r="HZ2" s="225"/>
      <c r="IA2" s="225"/>
      <c r="IB2" s="225"/>
      <c r="IC2" s="225"/>
      <c r="ID2" s="218"/>
      <c r="IE2" s="226"/>
      <c r="IF2" s="226" t="str">
        <f>"S"&amp;WEEKNUM(IF3)</f>
        <v>S34</v>
      </c>
      <c r="IG2" s="225"/>
      <c r="IH2" s="225"/>
      <c r="II2" s="225"/>
      <c r="IJ2" s="225"/>
      <c r="IK2" s="218"/>
      <c r="IL2" s="222"/>
      <c r="IM2" s="226" t="str">
        <f>"S"&amp;WEEKNUM(IM3)</f>
        <v>S35</v>
      </c>
      <c r="IN2" s="225"/>
      <c r="IO2" s="225"/>
      <c r="IP2" s="225"/>
      <c r="IQ2" s="225"/>
      <c r="IR2" s="218"/>
      <c r="IS2" s="226"/>
      <c r="IT2" s="226" t="str">
        <f>"S"&amp;WEEKNUM(IT3)</f>
        <v>S36</v>
      </c>
      <c r="IU2" s="225"/>
      <c r="IV2" s="225"/>
      <c r="IW2" s="225"/>
      <c r="IX2" s="225"/>
      <c r="IY2" s="218"/>
      <c r="IZ2" s="222"/>
      <c r="JA2" s="226" t="str">
        <f>"S"&amp;WEEKNUM(JA3)</f>
        <v>S37</v>
      </c>
      <c r="JB2" s="225"/>
      <c r="JC2" s="225"/>
      <c r="JD2" s="225"/>
      <c r="JE2" s="225"/>
      <c r="JF2" s="218"/>
      <c r="JG2" s="226"/>
      <c r="JH2" s="226" t="str">
        <f>"S"&amp;WEEKNUM(JH3)</f>
        <v>S38</v>
      </c>
      <c r="JI2" s="225"/>
      <c r="JJ2" s="225"/>
      <c r="JK2" s="225"/>
      <c r="JL2" s="225"/>
      <c r="JM2" s="218"/>
      <c r="JN2" s="222"/>
      <c r="JO2" s="226" t="str">
        <f>"S"&amp;WEEKNUM(JO3)</f>
        <v>S39</v>
      </c>
      <c r="JP2" s="225"/>
      <c r="JQ2" s="225"/>
      <c r="JR2" s="225"/>
      <c r="JS2" s="225"/>
      <c r="JT2" s="218"/>
      <c r="JU2" s="226"/>
      <c r="JV2" s="226" t="str">
        <f>"S"&amp;WEEKNUM(JV3)</f>
        <v>S40</v>
      </c>
      <c r="JW2" s="225"/>
      <c r="JX2" s="225"/>
      <c r="JY2" s="225"/>
      <c r="JZ2" s="225"/>
      <c r="KA2" s="218"/>
      <c r="KB2" s="222"/>
      <c r="KC2" s="226" t="str">
        <f>"S"&amp;WEEKNUM(KC3)</f>
        <v>S41</v>
      </c>
      <c r="KD2" s="225"/>
      <c r="KE2" s="225"/>
      <c r="KF2" s="225"/>
      <c r="KG2" s="225"/>
      <c r="KH2" s="218"/>
      <c r="KI2" s="226"/>
      <c r="KJ2" s="226" t="str">
        <f>"S"&amp;WEEKNUM(KJ3)</f>
        <v>S42</v>
      </c>
      <c r="KK2" s="225"/>
      <c r="KL2" s="225"/>
      <c r="KM2" s="225"/>
      <c r="KN2" s="225"/>
      <c r="KO2" s="218"/>
      <c r="KP2" s="222"/>
      <c r="KQ2" s="226" t="str">
        <f>"S"&amp;WEEKNUM(KQ3)</f>
        <v>S43</v>
      </c>
      <c r="KR2" s="225"/>
      <c r="KS2" s="225"/>
      <c r="KT2" s="225"/>
      <c r="KU2" s="225"/>
      <c r="KV2" s="218"/>
      <c r="KW2" s="222"/>
      <c r="KX2" s="226" t="str">
        <f>"S"&amp;WEEKNUM(KX3)</f>
        <v>S44</v>
      </c>
      <c r="KY2" s="225"/>
      <c r="KZ2" s="225"/>
      <c r="LA2" s="225"/>
      <c r="LB2" s="225"/>
      <c r="LC2" s="218"/>
      <c r="LD2" s="226"/>
      <c r="LE2" s="226" t="str">
        <f>"S"&amp;WEEKNUM(LE3)</f>
        <v>S45</v>
      </c>
      <c r="LF2" s="225"/>
      <c r="LG2" s="225"/>
      <c r="LH2" s="225"/>
      <c r="LI2" s="225"/>
      <c r="LJ2" s="218"/>
      <c r="LK2" s="222"/>
      <c r="LL2" s="226" t="str">
        <f>"S"&amp;WEEKNUM(LL3)</f>
        <v>S46</v>
      </c>
      <c r="LM2" s="225"/>
      <c r="LN2" s="225"/>
      <c r="LO2" s="225"/>
      <c r="LP2" s="225"/>
      <c r="LQ2" s="218"/>
      <c r="LR2" s="222"/>
      <c r="LS2" s="226" t="str">
        <f>"S"&amp;WEEKNUM(LS3)</f>
        <v>S47</v>
      </c>
      <c r="LT2" s="225"/>
      <c r="LU2" s="225"/>
      <c r="LV2" s="225"/>
      <c r="LW2" s="225"/>
      <c r="LX2" s="218"/>
      <c r="LY2" s="226"/>
      <c r="LZ2" s="226" t="str">
        <f>"S"&amp;WEEKNUM(LZ3)</f>
        <v>S48</v>
      </c>
      <c r="MA2" s="225"/>
      <c r="MB2" s="225"/>
      <c r="MC2" s="225"/>
      <c r="MD2" s="225"/>
      <c r="ME2" s="218"/>
      <c r="MF2" s="222"/>
      <c r="MG2" s="226" t="str">
        <f>"S"&amp;WEEKNUM(MG3)</f>
        <v>S49</v>
      </c>
      <c r="MH2" s="225"/>
      <c r="MI2" s="225"/>
      <c r="MJ2" s="225"/>
      <c r="MK2" s="225"/>
      <c r="ML2" s="218"/>
      <c r="MM2" s="222"/>
      <c r="MN2" s="226" t="str">
        <f>"S"&amp;WEEKNUM(MN3)</f>
        <v>S50</v>
      </c>
      <c r="MO2" s="225"/>
      <c r="MP2" s="225"/>
      <c r="MQ2" s="225"/>
      <c r="MR2" s="225"/>
      <c r="MS2" s="218"/>
      <c r="MT2" s="226"/>
      <c r="MU2" s="226" t="str">
        <f>"S"&amp;WEEKNUM(MU3)</f>
        <v>S51</v>
      </c>
      <c r="MV2" s="225"/>
      <c r="MW2" s="225"/>
      <c r="MX2" s="225"/>
      <c r="MY2" s="225"/>
      <c r="MZ2" s="218"/>
      <c r="NA2" s="222"/>
      <c r="NB2" s="226" t="str">
        <f>"S"&amp;WEEKNUM(NB3)</f>
        <v>S52</v>
      </c>
      <c r="NC2" s="225"/>
      <c r="ND2" s="225"/>
      <c r="NE2" s="225"/>
      <c r="NF2" s="225"/>
      <c r="NG2" s="218"/>
      <c r="NH2" s="222"/>
      <c r="NI2" s="226" t="str">
        <f>"S"&amp;WEEKNUM(NI3)</f>
        <v>S53</v>
      </c>
      <c r="NJ2" s="225"/>
      <c r="NK2" s="225"/>
      <c r="NL2" s="225"/>
      <c r="NM2" s="225"/>
      <c r="NN2" s="218"/>
      <c r="NO2" s="226"/>
    </row>
    <row r="3" spans="2:383" ht="15" thickBot="1" x14ac:dyDescent="0.35">
      <c r="I3" s="223">
        <v>45656</v>
      </c>
      <c r="J3" s="223">
        <v>45657</v>
      </c>
      <c r="K3" s="223">
        <v>45658</v>
      </c>
      <c r="L3" s="223">
        <v>45659</v>
      </c>
      <c r="M3" s="223">
        <v>45660</v>
      </c>
      <c r="N3" s="223">
        <v>45661</v>
      </c>
      <c r="O3" s="223">
        <v>45662</v>
      </c>
      <c r="P3" s="223">
        <v>45663</v>
      </c>
      <c r="Q3" s="223">
        <v>45664</v>
      </c>
      <c r="R3" s="223">
        <v>45665</v>
      </c>
      <c r="S3" s="223">
        <v>45666</v>
      </c>
      <c r="T3" s="223">
        <v>45667</v>
      </c>
      <c r="U3" s="223">
        <v>45668</v>
      </c>
      <c r="V3" s="223">
        <v>45669</v>
      </c>
      <c r="W3" s="223">
        <v>45670</v>
      </c>
      <c r="X3" s="223">
        <v>45671</v>
      </c>
      <c r="Y3" s="223">
        <v>45672</v>
      </c>
      <c r="Z3" s="223">
        <v>45673</v>
      </c>
      <c r="AA3" s="223">
        <v>45674</v>
      </c>
      <c r="AB3" s="223">
        <v>45675</v>
      </c>
      <c r="AC3" s="223">
        <v>45676</v>
      </c>
      <c r="AD3" s="223">
        <v>45677</v>
      </c>
      <c r="AE3" s="223">
        <v>45678</v>
      </c>
      <c r="AF3" s="223">
        <v>45679</v>
      </c>
      <c r="AG3" s="223">
        <v>45680</v>
      </c>
      <c r="AH3" s="223">
        <v>45681</v>
      </c>
      <c r="AI3" s="223">
        <v>45682</v>
      </c>
      <c r="AJ3" s="223">
        <v>45683</v>
      </c>
      <c r="AK3" s="223">
        <v>45684</v>
      </c>
      <c r="AL3" s="223">
        <v>45685</v>
      </c>
      <c r="AM3" s="223">
        <v>45686</v>
      </c>
      <c r="AN3" s="223">
        <v>45687</v>
      </c>
      <c r="AO3" s="223">
        <v>45688</v>
      </c>
      <c r="AP3" s="223">
        <v>45689</v>
      </c>
      <c r="AQ3" s="223">
        <v>45690</v>
      </c>
      <c r="AR3" s="223">
        <v>45691</v>
      </c>
      <c r="AS3" s="223">
        <v>45692</v>
      </c>
      <c r="AT3" s="223">
        <v>45693</v>
      </c>
      <c r="AU3" s="223">
        <v>45694</v>
      </c>
      <c r="AV3" s="223">
        <v>45695</v>
      </c>
      <c r="AW3" s="223">
        <v>45696</v>
      </c>
      <c r="AX3" s="223">
        <v>45697</v>
      </c>
      <c r="AY3" s="223">
        <v>45698</v>
      </c>
      <c r="AZ3" s="223">
        <v>45699</v>
      </c>
      <c r="BA3" s="223">
        <v>45700</v>
      </c>
      <c r="BB3" s="223">
        <v>45701</v>
      </c>
      <c r="BC3" s="223">
        <v>45702</v>
      </c>
      <c r="BD3" s="223">
        <v>45703</v>
      </c>
      <c r="BE3" s="223">
        <v>45704</v>
      </c>
      <c r="BF3" s="223">
        <v>45705</v>
      </c>
      <c r="BG3" s="223">
        <v>45706</v>
      </c>
      <c r="BH3" s="223">
        <v>45707</v>
      </c>
      <c r="BI3" s="223">
        <v>45708</v>
      </c>
      <c r="BJ3" s="223">
        <v>45709</v>
      </c>
      <c r="BK3" s="223">
        <v>45710</v>
      </c>
      <c r="BL3" s="223">
        <v>45711</v>
      </c>
      <c r="BM3" s="223">
        <v>45712</v>
      </c>
      <c r="BN3" s="223">
        <v>45713</v>
      </c>
      <c r="BO3" s="223">
        <v>45714</v>
      </c>
      <c r="BP3" s="223">
        <v>45715</v>
      </c>
      <c r="BQ3" s="223">
        <v>45716</v>
      </c>
      <c r="BR3" s="223">
        <v>45717</v>
      </c>
      <c r="BS3" s="223">
        <v>45718</v>
      </c>
      <c r="BT3" s="223">
        <v>45719</v>
      </c>
      <c r="BU3" s="223">
        <v>45720</v>
      </c>
      <c r="BV3" s="223">
        <v>45721</v>
      </c>
      <c r="BW3" s="223">
        <v>45722</v>
      </c>
      <c r="BX3" s="223">
        <v>45723</v>
      </c>
      <c r="BY3" s="223">
        <v>45724</v>
      </c>
      <c r="BZ3" s="223">
        <v>45725</v>
      </c>
      <c r="CA3" s="223">
        <v>45726</v>
      </c>
      <c r="CB3" s="223">
        <v>45727</v>
      </c>
      <c r="CC3" s="223">
        <v>45728</v>
      </c>
      <c r="CD3" s="223">
        <v>45729</v>
      </c>
      <c r="CE3" s="223">
        <v>45730</v>
      </c>
      <c r="CF3" s="223">
        <v>45731</v>
      </c>
      <c r="CG3" s="223">
        <v>45732</v>
      </c>
      <c r="CH3" s="223">
        <v>45733</v>
      </c>
      <c r="CI3" s="223">
        <v>45734</v>
      </c>
      <c r="CJ3" s="223">
        <v>45735</v>
      </c>
      <c r="CK3" s="223">
        <v>45736</v>
      </c>
      <c r="CL3" s="223">
        <v>45737</v>
      </c>
      <c r="CM3" s="223">
        <v>45738</v>
      </c>
      <c r="CN3" s="223">
        <v>45739</v>
      </c>
      <c r="CO3" s="223">
        <v>45740</v>
      </c>
      <c r="CP3" s="223">
        <v>45741</v>
      </c>
      <c r="CQ3" s="223">
        <v>45742</v>
      </c>
      <c r="CR3" s="223">
        <v>45743</v>
      </c>
      <c r="CS3" s="223">
        <v>45744</v>
      </c>
      <c r="CT3" s="223">
        <v>45745</v>
      </c>
      <c r="CU3" s="223">
        <v>45746</v>
      </c>
      <c r="CV3" s="223">
        <v>45747</v>
      </c>
      <c r="CW3" s="223">
        <v>45748</v>
      </c>
      <c r="CX3" s="223">
        <v>45749</v>
      </c>
      <c r="CY3" s="223">
        <v>45750</v>
      </c>
      <c r="CZ3" s="223">
        <v>45751</v>
      </c>
      <c r="DA3" s="223">
        <v>45752</v>
      </c>
      <c r="DB3" s="223">
        <v>45753</v>
      </c>
      <c r="DC3" s="223">
        <v>45754</v>
      </c>
      <c r="DD3" s="223">
        <v>45755</v>
      </c>
      <c r="DE3" s="223">
        <v>45756</v>
      </c>
      <c r="DF3" s="223">
        <v>45757</v>
      </c>
      <c r="DG3" s="223">
        <v>45758</v>
      </c>
      <c r="DH3" s="223">
        <v>45759</v>
      </c>
      <c r="DI3" s="223">
        <v>45760</v>
      </c>
      <c r="DJ3" s="223">
        <v>45761</v>
      </c>
      <c r="DK3" s="223">
        <v>45762</v>
      </c>
      <c r="DL3" s="223">
        <v>45763</v>
      </c>
      <c r="DM3" s="223">
        <v>45764</v>
      </c>
      <c r="DN3" s="223">
        <v>45765</v>
      </c>
      <c r="DO3" s="223">
        <v>45766</v>
      </c>
      <c r="DP3" s="223">
        <v>45767</v>
      </c>
      <c r="DQ3" s="223">
        <v>45768</v>
      </c>
      <c r="DR3" s="223">
        <v>45769</v>
      </c>
      <c r="DS3" s="223">
        <v>45770</v>
      </c>
      <c r="DT3" s="223">
        <v>45771</v>
      </c>
      <c r="DU3" s="223">
        <v>45772</v>
      </c>
      <c r="DV3" s="223">
        <v>45773</v>
      </c>
      <c r="DW3" s="223">
        <v>45774</v>
      </c>
      <c r="DX3" s="223">
        <v>45775</v>
      </c>
      <c r="DY3" s="223">
        <v>45776</v>
      </c>
      <c r="DZ3" s="223">
        <v>45777</v>
      </c>
      <c r="EA3" s="223">
        <v>45778</v>
      </c>
      <c r="EB3" s="223">
        <v>45779</v>
      </c>
      <c r="EC3" s="223">
        <v>45780</v>
      </c>
      <c r="ED3" s="223">
        <v>45781</v>
      </c>
      <c r="EE3" s="223">
        <v>45782</v>
      </c>
      <c r="EF3" s="223">
        <v>45783</v>
      </c>
      <c r="EG3" s="223">
        <v>45784</v>
      </c>
      <c r="EH3" s="223">
        <v>45785</v>
      </c>
      <c r="EI3" s="223">
        <v>45786</v>
      </c>
      <c r="EJ3" s="223">
        <v>45787</v>
      </c>
      <c r="EK3" s="223">
        <v>45788</v>
      </c>
      <c r="EL3" s="223">
        <v>45789</v>
      </c>
      <c r="EM3" s="223">
        <v>45790</v>
      </c>
      <c r="EN3" s="223">
        <v>45791</v>
      </c>
      <c r="EO3" s="223">
        <v>45792</v>
      </c>
      <c r="EP3" s="223">
        <v>45793</v>
      </c>
      <c r="EQ3" s="223">
        <v>45794</v>
      </c>
      <c r="ER3" s="223">
        <v>45795</v>
      </c>
      <c r="ES3" s="223">
        <v>45796</v>
      </c>
      <c r="ET3" s="223">
        <v>45797</v>
      </c>
      <c r="EU3" s="223">
        <v>45798</v>
      </c>
      <c r="EV3" s="223">
        <v>45799</v>
      </c>
      <c r="EW3" s="223">
        <v>45800</v>
      </c>
      <c r="EX3" s="223">
        <v>45801</v>
      </c>
      <c r="EY3" s="223">
        <v>45802</v>
      </c>
      <c r="EZ3" s="223">
        <v>45803</v>
      </c>
      <c r="FA3" s="223">
        <v>45804</v>
      </c>
      <c r="FB3" s="223">
        <v>45805</v>
      </c>
      <c r="FC3" s="223">
        <v>45806</v>
      </c>
      <c r="FD3" s="223">
        <v>45807</v>
      </c>
      <c r="FE3" s="223">
        <v>45808</v>
      </c>
      <c r="FF3" s="223">
        <v>45809</v>
      </c>
      <c r="FG3" s="223">
        <v>45810</v>
      </c>
      <c r="FH3" s="223">
        <v>45811</v>
      </c>
      <c r="FI3" s="223">
        <v>45812</v>
      </c>
      <c r="FJ3" s="223">
        <v>45813</v>
      </c>
      <c r="FK3" s="223">
        <v>45814</v>
      </c>
      <c r="FL3" s="223">
        <v>45815</v>
      </c>
      <c r="FM3" s="223">
        <v>45816</v>
      </c>
      <c r="FN3" s="223">
        <v>45817</v>
      </c>
      <c r="FO3" s="223">
        <v>45818</v>
      </c>
      <c r="FP3" s="223">
        <v>45819</v>
      </c>
      <c r="FQ3" s="223">
        <v>45820</v>
      </c>
      <c r="FR3" s="223">
        <v>45821</v>
      </c>
      <c r="FS3" s="223">
        <v>45822</v>
      </c>
      <c r="FT3" s="223">
        <v>45823</v>
      </c>
      <c r="FU3" s="223">
        <v>45824</v>
      </c>
      <c r="FV3" s="223">
        <v>45825</v>
      </c>
      <c r="FW3" s="223">
        <v>45826</v>
      </c>
      <c r="FX3" s="223">
        <v>45827</v>
      </c>
      <c r="FY3" s="223">
        <v>45828</v>
      </c>
      <c r="FZ3" s="223">
        <v>45829</v>
      </c>
      <c r="GA3" s="223">
        <v>45830</v>
      </c>
      <c r="GB3" s="223">
        <v>45831</v>
      </c>
      <c r="GC3" s="223">
        <v>45832</v>
      </c>
      <c r="GD3" s="223">
        <v>45833</v>
      </c>
      <c r="GE3" s="223">
        <v>45834</v>
      </c>
      <c r="GF3" s="223">
        <v>45835</v>
      </c>
      <c r="GG3" s="223">
        <v>45836</v>
      </c>
      <c r="GH3" s="223">
        <v>45837</v>
      </c>
      <c r="GI3" s="223">
        <v>45838</v>
      </c>
      <c r="GJ3" s="223">
        <v>45839</v>
      </c>
      <c r="GK3" s="223">
        <v>45840</v>
      </c>
      <c r="GL3" s="223">
        <v>45841</v>
      </c>
      <c r="GM3" s="223">
        <v>45842</v>
      </c>
      <c r="GN3" s="223">
        <v>45843</v>
      </c>
      <c r="GO3" s="223">
        <v>45844</v>
      </c>
      <c r="GP3" s="223">
        <v>45845</v>
      </c>
      <c r="GQ3" s="223">
        <v>45846</v>
      </c>
      <c r="GR3" s="223">
        <v>45847</v>
      </c>
      <c r="GS3" s="223">
        <v>45848</v>
      </c>
      <c r="GT3" s="223">
        <v>45849</v>
      </c>
      <c r="GU3" s="223">
        <v>45850</v>
      </c>
      <c r="GV3" s="223">
        <v>45851</v>
      </c>
      <c r="GW3" s="223">
        <v>45852</v>
      </c>
      <c r="GX3" s="223">
        <v>45853</v>
      </c>
      <c r="GY3" s="223">
        <v>45854</v>
      </c>
      <c r="GZ3" s="223">
        <v>45855</v>
      </c>
      <c r="HA3" s="223">
        <v>45856</v>
      </c>
      <c r="HB3" s="223">
        <v>45857</v>
      </c>
      <c r="HC3" s="223">
        <v>45858</v>
      </c>
      <c r="HD3" s="223">
        <v>45859</v>
      </c>
      <c r="HE3" s="223">
        <v>45860</v>
      </c>
      <c r="HF3" s="223">
        <v>45861</v>
      </c>
      <c r="HG3" s="223">
        <v>45862</v>
      </c>
      <c r="HH3" s="223">
        <v>45863</v>
      </c>
      <c r="HI3" s="223">
        <v>45864</v>
      </c>
      <c r="HJ3" s="223">
        <v>45865</v>
      </c>
      <c r="HK3" s="223">
        <v>45866</v>
      </c>
      <c r="HL3" s="223">
        <v>45867</v>
      </c>
      <c r="HM3" s="223">
        <v>45868</v>
      </c>
      <c r="HN3" s="223">
        <v>45869</v>
      </c>
      <c r="HO3" s="223">
        <v>45870</v>
      </c>
      <c r="HP3" s="223">
        <v>45871</v>
      </c>
      <c r="HQ3" s="223">
        <v>45872</v>
      </c>
      <c r="HR3" s="223">
        <v>45873</v>
      </c>
      <c r="HS3" s="223">
        <v>45874</v>
      </c>
      <c r="HT3" s="223">
        <v>45875</v>
      </c>
      <c r="HU3" s="223">
        <v>45876</v>
      </c>
      <c r="HV3" s="223">
        <v>45877</v>
      </c>
      <c r="HW3" s="223">
        <v>45878</v>
      </c>
      <c r="HX3" s="223">
        <v>45879</v>
      </c>
      <c r="HY3" s="223">
        <v>45880</v>
      </c>
      <c r="HZ3" s="223">
        <v>45881</v>
      </c>
      <c r="IA3" s="223">
        <v>45882</v>
      </c>
      <c r="IB3" s="223">
        <v>45883</v>
      </c>
      <c r="IC3" s="223">
        <v>45884</v>
      </c>
      <c r="ID3" s="223">
        <v>45885</v>
      </c>
      <c r="IE3" s="223">
        <v>45886</v>
      </c>
      <c r="IF3" s="223">
        <v>45887</v>
      </c>
      <c r="IG3" s="223">
        <v>45888</v>
      </c>
      <c r="IH3" s="223">
        <v>45889</v>
      </c>
      <c r="II3" s="223">
        <v>45890</v>
      </c>
      <c r="IJ3" s="223">
        <v>45891</v>
      </c>
      <c r="IK3" s="223">
        <v>45892</v>
      </c>
      <c r="IL3" s="223">
        <v>45893</v>
      </c>
      <c r="IM3" s="223">
        <v>45894</v>
      </c>
      <c r="IN3" s="223">
        <v>45895</v>
      </c>
      <c r="IO3" s="223">
        <v>45896</v>
      </c>
      <c r="IP3" s="223">
        <v>45897</v>
      </c>
      <c r="IQ3" s="223">
        <v>45898</v>
      </c>
      <c r="IR3" s="223">
        <v>45899</v>
      </c>
      <c r="IS3" s="223">
        <v>45900</v>
      </c>
      <c r="IT3" s="223">
        <v>45901</v>
      </c>
      <c r="IU3" s="223">
        <v>45902</v>
      </c>
      <c r="IV3" s="223">
        <v>45903</v>
      </c>
      <c r="IW3" s="223">
        <v>45904</v>
      </c>
      <c r="IX3" s="223">
        <v>45905</v>
      </c>
      <c r="IY3" s="223">
        <v>45906</v>
      </c>
      <c r="IZ3" s="223">
        <v>45907</v>
      </c>
      <c r="JA3" s="223">
        <v>45908</v>
      </c>
      <c r="JB3" s="223">
        <v>45909</v>
      </c>
      <c r="JC3" s="223">
        <v>45910</v>
      </c>
      <c r="JD3" s="223">
        <v>45911</v>
      </c>
      <c r="JE3" s="223">
        <v>45912</v>
      </c>
      <c r="JF3" s="223">
        <v>45913</v>
      </c>
      <c r="JG3" s="223">
        <v>45914</v>
      </c>
      <c r="JH3" s="223">
        <v>45915</v>
      </c>
      <c r="JI3" s="223">
        <v>45916</v>
      </c>
      <c r="JJ3" s="223">
        <v>45917</v>
      </c>
      <c r="JK3" s="223">
        <v>45918</v>
      </c>
      <c r="JL3" s="223">
        <v>45919</v>
      </c>
      <c r="JM3" s="223">
        <v>45920</v>
      </c>
      <c r="JN3" s="223">
        <v>45921</v>
      </c>
      <c r="JO3" s="223">
        <v>45922</v>
      </c>
      <c r="JP3" s="223">
        <v>45923</v>
      </c>
      <c r="JQ3" s="223">
        <v>45924</v>
      </c>
      <c r="JR3" s="223">
        <v>45925</v>
      </c>
      <c r="JS3" s="223">
        <v>45926</v>
      </c>
      <c r="JT3" s="223">
        <v>45927</v>
      </c>
      <c r="JU3" s="223">
        <v>45928</v>
      </c>
      <c r="JV3" s="223">
        <v>45929</v>
      </c>
      <c r="JW3" s="223">
        <v>45930</v>
      </c>
      <c r="JX3" s="223">
        <v>45931</v>
      </c>
      <c r="JY3" s="223">
        <v>45932</v>
      </c>
      <c r="JZ3" s="223">
        <v>45933</v>
      </c>
      <c r="KA3" s="223">
        <v>45934</v>
      </c>
      <c r="KB3" s="223">
        <v>45935</v>
      </c>
      <c r="KC3" s="223">
        <v>45936</v>
      </c>
      <c r="KD3" s="223">
        <v>45937</v>
      </c>
      <c r="KE3" s="223">
        <v>45938</v>
      </c>
      <c r="KF3" s="223">
        <v>45939</v>
      </c>
      <c r="KG3" s="223">
        <v>45940</v>
      </c>
      <c r="KH3" s="223">
        <v>45941</v>
      </c>
      <c r="KI3" s="223">
        <v>45942</v>
      </c>
      <c r="KJ3" s="223">
        <v>45943</v>
      </c>
      <c r="KK3" s="223">
        <v>45944</v>
      </c>
      <c r="KL3" s="223">
        <v>45945</v>
      </c>
      <c r="KM3" s="223">
        <v>45946</v>
      </c>
      <c r="KN3" s="223">
        <v>45947</v>
      </c>
      <c r="KO3" s="223">
        <v>45948</v>
      </c>
      <c r="KP3" s="223">
        <v>45949</v>
      </c>
      <c r="KQ3" s="223">
        <v>45950</v>
      </c>
      <c r="KR3" s="223">
        <v>45951</v>
      </c>
      <c r="KS3" s="223">
        <v>45952</v>
      </c>
      <c r="KT3" s="223">
        <v>45953</v>
      </c>
      <c r="KU3" s="223">
        <v>45954</v>
      </c>
      <c r="KV3" s="223">
        <v>45955</v>
      </c>
      <c r="KW3" s="223">
        <v>45956</v>
      </c>
      <c r="KX3" s="223">
        <v>45957</v>
      </c>
      <c r="KY3" s="223">
        <v>45958</v>
      </c>
      <c r="KZ3" s="223">
        <v>45959</v>
      </c>
      <c r="LA3" s="223">
        <v>45960</v>
      </c>
      <c r="LB3" s="223">
        <v>45961</v>
      </c>
      <c r="LC3" s="223">
        <v>45962</v>
      </c>
      <c r="LD3" s="223">
        <v>45963</v>
      </c>
      <c r="LE3" s="223">
        <v>45964</v>
      </c>
      <c r="LF3" s="223">
        <v>45965</v>
      </c>
      <c r="LG3" s="223">
        <v>45966</v>
      </c>
      <c r="LH3" s="223">
        <v>45967</v>
      </c>
      <c r="LI3" s="223">
        <v>45968</v>
      </c>
      <c r="LJ3" s="223">
        <v>45969</v>
      </c>
      <c r="LK3" s="223">
        <v>45970</v>
      </c>
      <c r="LL3" s="223">
        <v>45971</v>
      </c>
      <c r="LM3" s="223">
        <v>45972</v>
      </c>
      <c r="LN3" s="223">
        <v>45973</v>
      </c>
      <c r="LO3" s="223">
        <v>45974</v>
      </c>
      <c r="LP3" s="223">
        <v>45975</v>
      </c>
      <c r="LQ3" s="223">
        <v>45976</v>
      </c>
      <c r="LR3" s="223">
        <v>45977</v>
      </c>
      <c r="LS3" s="223">
        <v>45978</v>
      </c>
      <c r="LT3" s="223">
        <v>45979</v>
      </c>
      <c r="LU3" s="223">
        <v>45980</v>
      </c>
      <c r="LV3" s="223">
        <v>45981</v>
      </c>
      <c r="LW3" s="223">
        <v>45982</v>
      </c>
      <c r="LX3" s="223">
        <v>45983</v>
      </c>
      <c r="LY3" s="223">
        <v>45984</v>
      </c>
      <c r="LZ3" s="223">
        <v>45985</v>
      </c>
      <c r="MA3" s="223">
        <v>45986</v>
      </c>
      <c r="MB3" s="223">
        <v>45987</v>
      </c>
      <c r="MC3" s="223">
        <v>45988</v>
      </c>
      <c r="MD3" s="223">
        <v>45989</v>
      </c>
      <c r="ME3" s="223">
        <v>45990</v>
      </c>
      <c r="MF3" s="223">
        <v>45991</v>
      </c>
      <c r="MG3" s="223">
        <v>45992</v>
      </c>
      <c r="MH3" s="223">
        <v>45993</v>
      </c>
      <c r="MI3" s="223">
        <v>45994</v>
      </c>
      <c r="MJ3" s="223">
        <v>45995</v>
      </c>
      <c r="MK3" s="223">
        <v>45996</v>
      </c>
      <c r="ML3" s="223">
        <v>45997</v>
      </c>
      <c r="MM3" s="223">
        <v>45998</v>
      </c>
      <c r="MN3" s="223">
        <v>45999</v>
      </c>
      <c r="MO3" s="223">
        <v>46000</v>
      </c>
      <c r="MP3" s="223">
        <v>46001</v>
      </c>
      <c r="MQ3" s="223">
        <v>46002</v>
      </c>
      <c r="MR3" s="223">
        <v>46003</v>
      </c>
      <c r="MS3" s="223">
        <v>46004</v>
      </c>
      <c r="MT3" s="223">
        <v>46005</v>
      </c>
      <c r="MU3" s="223">
        <v>46006</v>
      </c>
      <c r="MV3" s="223">
        <v>46007</v>
      </c>
      <c r="MW3" s="223">
        <v>46008</v>
      </c>
      <c r="MX3" s="223">
        <v>46009</v>
      </c>
      <c r="MY3" s="223">
        <v>46010</v>
      </c>
      <c r="MZ3" s="223">
        <v>46011</v>
      </c>
      <c r="NA3" s="223">
        <v>46012</v>
      </c>
      <c r="NB3" s="223">
        <v>46013</v>
      </c>
      <c r="NC3" s="223">
        <v>46014</v>
      </c>
      <c r="ND3" s="223">
        <v>46015</v>
      </c>
      <c r="NE3" s="223">
        <v>46016</v>
      </c>
      <c r="NF3" s="223">
        <v>46017</v>
      </c>
      <c r="NG3" s="223">
        <v>46018</v>
      </c>
      <c r="NH3" s="223">
        <v>46019</v>
      </c>
      <c r="NI3" s="223">
        <v>46020</v>
      </c>
      <c r="NJ3" s="223">
        <v>46021</v>
      </c>
      <c r="NK3" s="223">
        <v>46022</v>
      </c>
      <c r="NL3" s="223">
        <v>46023</v>
      </c>
      <c r="NM3" s="223">
        <v>46024</v>
      </c>
      <c r="NN3" s="223">
        <v>46025</v>
      </c>
      <c r="NO3" s="223">
        <v>46026</v>
      </c>
    </row>
    <row r="4" spans="2:383" ht="15" thickBot="1" x14ac:dyDescent="0.35">
      <c r="B4" s="1"/>
      <c r="C4" s="2" t="s">
        <v>1</v>
      </c>
      <c r="D4" s="205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237" t="s">
        <v>903</v>
      </c>
      <c r="J4" s="235" t="s">
        <v>501</v>
      </c>
      <c r="K4" s="235" t="s">
        <v>502</v>
      </c>
      <c r="L4" s="235" t="s">
        <v>503</v>
      </c>
      <c r="M4" s="235" t="s">
        <v>504</v>
      </c>
      <c r="N4" s="235" t="s">
        <v>505</v>
      </c>
      <c r="O4" s="236" t="s">
        <v>506</v>
      </c>
      <c r="P4" s="237" t="s">
        <v>507</v>
      </c>
      <c r="Q4" s="235" t="s">
        <v>508</v>
      </c>
      <c r="R4" s="235" t="s">
        <v>509</v>
      </c>
      <c r="S4" s="235" t="s">
        <v>510</v>
      </c>
      <c r="T4" s="235" t="s">
        <v>511</v>
      </c>
      <c r="U4" s="235" t="s">
        <v>512</v>
      </c>
      <c r="V4" s="236" t="s">
        <v>513</v>
      </c>
      <c r="W4" s="237" t="s">
        <v>514</v>
      </c>
      <c r="X4" s="235" t="s">
        <v>515</v>
      </c>
      <c r="Y4" s="235" t="s">
        <v>516</v>
      </c>
      <c r="Z4" s="235" t="s">
        <v>517</v>
      </c>
      <c r="AA4" s="235" t="s">
        <v>518</v>
      </c>
      <c r="AB4" s="235" t="s">
        <v>519</v>
      </c>
      <c r="AC4" s="236" t="s">
        <v>520</v>
      </c>
      <c r="AD4" s="237" t="s">
        <v>521</v>
      </c>
      <c r="AE4" s="235" t="s">
        <v>522</v>
      </c>
      <c r="AF4" s="235" t="s">
        <v>523</v>
      </c>
      <c r="AG4" s="235" t="s">
        <v>524</v>
      </c>
      <c r="AH4" s="235" t="s">
        <v>525</v>
      </c>
      <c r="AI4" s="235" t="s">
        <v>526</v>
      </c>
      <c r="AJ4" s="236" t="s">
        <v>527</v>
      </c>
      <c r="AK4" s="237" t="s">
        <v>528</v>
      </c>
      <c r="AL4" s="235" t="s">
        <v>529</v>
      </c>
      <c r="AM4" s="235" t="s">
        <v>530</v>
      </c>
      <c r="AN4" s="235" t="s">
        <v>531</v>
      </c>
      <c r="AO4" s="235" t="s">
        <v>532</v>
      </c>
      <c r="AP4" s="235" t="s">
        <v>533</v>
      </c>
      <c r="AQ4" s="236" t="s">
        <v>534</v>
      </c>
      <c r="AR4" s="237" t="s">
        <v>535</v>
      </c>
      <c r="AS4" s="235" t="s">
        <v>536</v>
      </c>
      <c r="AT4" s="235" t="s">
        <v>537</v>
      </c>
      <c r="AU4" s="235" t="s">
        <v>538</v>
      </c>
      <c r="AV4" s="235" t="s">
        <v>539</v>
      </c>
      <c r="AW4" s="235" t="s">
        <v>540</v>
      </c>
      <c r="AX4" s="236" t="s">
        <v>541</v>
      </c>
      <c r="AY4" s="237" t="s">
        <v>500</v>
      </c>
      <c r="AZ4" s="356" t="s">
        <v>904</v>
      </c>
      <c r="BA4" s="235" t="s">
        <v>905</v>
      </c>
      <c r="BB4" s="235" t="s">
        <v>906</v>
      </c>
      <c r="BC4" s="235" t="s">
        <v>907</v>
      </c>
      <c r="BD4" s="235" t="s">
        <v>547</v>
      </c>
      <c r="BE4" s="236" t="s">
        <v>548</v>
      </c>
      <c r="BF4" s="237" t="s">
        <v>909</v>
      </c>
      <c r="BG4" s="235" t="s">
        <v>550</v>
      </c>
      <c r="BH4" s="235" t="s">
        <v>551</v>
      </c>
      <c r="BI4" s="235" t="s">
        <v>552</v>
      </c>
      <c r="BJ4" s="235" t="s">
        <v>553</v>
      </c>
      <c r="BK4" s="235" t="s">
        <v>554</v>
      </c>
      <c r="BL4" s="236" t="s">
        <v>555</v>
      </c>
      <c r="BM4" s="237" t="s">
        <v>556</v>
      </c>
      <c r="BN4" s="235" t="s">
        <v>557</v>
      </c>
      <c r="BO4" s="235" t="s">
        <v>558</v>
      </c>
      <c r="BP4" s="235" t="s">
        <v>559</v>
      </c>
      <c r="BQ4" s="235" t="s">
        <v>560</v>
      </c>
      <c r="BR4" s="235" t="s">
        <v>561</v>
      </c>
      <c r="BS4" s="236" t="s">
        <v>562</v>
      </c>
      <c r="BT4" s="237" t="s">
        <v>563</v>
      </c>
      <c r="BU4" s="235" t="s">
        <v>564</v>
      </c>
      <c r="BV4" s="235" t="s">
        <v>565</v>
      </c>
      <c r="BW4" s="235" t="s">
        <v>566</v>
      </c>
      <c r="BX4" s="235" t="s">
        <v>567</v>
      </c>
      <c r="BY4" s="235" t="s">
        <v>568</v>
      </c>
      <c r="BZ4" s="236" t="s">
        <v>569</v>
      </c>
      <c r="CA4" s="237" t="s">
        <v>570</v>
      </c>
      <c r="CB4" s="235" t="s">
        <v>571</v>
      </c>
      <c r="CC4" s="235" t="s">
        <v>572</v>
      </c>
      <c r="CD4" s="235" t="s">
        <v>573</v>
      </c>
      <c r="CE4" s="235" t="s">
        <v>574</v>
      </c>
      <c r="CF4" s="235" t="s">
        <v>575</v>
      </c>
      <c r="CG4" s="236" t="s">
        <v>576</v>
      </c>
      <c r="CH4" s="237" t="s">
        <v>577</v>
      </c>
      <c r="CI4" s="235" t="s">
        <v>578</v>
      </c>
      <c r="CJ4" s="235" t="s">
        <v>579</v>
      </c>
      <c r="CK4" s="235" t="s">
        <v>580</v>
      </c>
      <c r="CL4" s="235" t="s">
        <v>581</v>
      </c>
      <c r="CM4" s="235" t="s">
        <v>582</v>
      </c>
      <c r="CN4" s="236" t="s">
        <v>583</v>
      </c>
      <c r="CO4" s="237" t="s">
        <v>584</v>
      </c>
      <c r="CP4" s="235" t="s">
        <v>585</v>
      </c>
      <c r="CQ4" s="235" t="s">
        <v>586</v>
      </c>
      <c r="CR4" s="235" t="s">
        <v>587</v>
      </c>
      <c r="CS4" s="235" t="s">
        <v>588</v>
      </c>
      <c r="CT4" s="235" t="s">
        <v>589</v>
      </c>
      <c r="CU4" s="236" t="s">
        <v>590</v>
      </c>
      <c r="CV4" s="237" t="s">
        <v>591</v>
      </c>
      <c r="CW4" s="235" t="s">
        <v>476</v>
      </c>
      <c r="CX4" s="235" t="s">
        <v>477</v>
      </c>
      <c r="CY4" s="235" t="s">
        <v>478</v>
      </c>
      <c r="CZ4" s="235" t="s">
        <v>479</v>
      </c>
      <c r="DA4" s="235" t="s">
        <v>480</v>
      </c>
      <c r="DB4" s="236" t="s">
        <v>481</v>
      </c>
      <c r="DC4" s="237" t="s">
        <v>482</v>
      </c>
      <c r="DD4" s="235" t="s">
        <v>483</v>
      </c>
      <c r="DE4" s="235" t="s">
        <v>484</v>
      </c>
      <c r="DF4" s="235" t="s">
        <v>485</v>
      </c>
      <c r="DG4" s="235" t="s">
        <v>486</v>
      </c>
      <c r="DH4" s="235" t="s">
        <v>487</v>
      </c>
      <c r="DI4" s="236" t="s">
        <v>488</v>
      </c>
      <c r="DJ4" s="237" t="s">
        <v>489</v>
      </c>
      <c r="DK4" s="235" t="s">
        <v>490</v>
      </c>
      <c r="DL4" s="235" t="s">
        <v>491</v>
      </c>
      <c r="DM4" s="235" t="s">
        <v>492</v>
      </c>
      <c r="DN4" s="235" t="s">
        <v>493</v>
      </c>
      <c r="DO4" s="235" t="s">
        <v>494</v>
      </c>
      <c r="DP4" s="236" t="s">
        <v>495</v>
      </c>
      <c r="DQ4" s="237" t="s">
        <v>496</v>
      </c>
      <c r="DR4" s="235" t="s">
        <v>592</v>
      </c>
      <c r="DS4" s="235" t="s">
        <v>593</v>
      </c>
      <c r="DT4" s="235" t="s">
        <v>594</v>
      </c>
      <c r="DU4" s="235" t="s">
        <v>595</v>
      </c>
      <c r="DV4" s="235" t="s">
        <v>596</v>
      </c>
      <c r="DW4" s="236" t="s">
        <v>597</v>
      </c>
      <c r="DX4" s="237" t="s">
        <v>598</v>
      </c>
      <c r="DY4" s="235" t="s">
        <v>599</v>
      </c>
      <c r="DZ4" s="235" t="s">
        <v>600</v>
      </c>
      <c r="EA4" s="235" t="s">
        <v>601</v>
      </c>
      <c r="EB4" s="235" t="s">
        <v>602</v>
      </c>
      <c r="EC4" s="235" t="s">
        <v>603</v>
      </c>
      <c r="ED4" s="236" t="s">
        <v>604</v>
      </c>
      <c r="EE4" s="237" t="s">
        <v>605</v>
      </c>
      <c r="EF4" s="235" t="s">
        <v>606</v>
      </c>
      <c r="EG4" s="235" t="s">
        <v>607</v>
      </c>
      <c r="EH4" s="235" t="s">
        <v>608</v>
      </c>
      <c r="EI4" s="235" t="s">
        <v>609</v>
      </c>
      <c r="EJ4" s="235" t="s">
        <v>610</v>
      </c>
      <c r="EK4" s="236" t="s">
        <v>611</v>
      </c>
      <c r="EL4" s="237" t="s">
        <v>612</v>
      </c>
      <c r="EM4" s="235" t="s">
        <v>613</v>
      </c>
      <c r="EN4" s="235" t="s">
        <v>614</v>
      </c>
      <c r="EO4" s="235" t="s">
        <v>615</v>
      </c>
      <c r="EP4" s="235" t="s">
        <v>616</v>
      </c>
      <c r="EQ4" s="235" t="s">
        <v>617</v>
      </c>
      <c r="ER4" s="236" t="s">
        <v>618</v>
      </c>
      <c r="ES4" s="237" t="s">
        <v>619</v>
      </c>
      <c r="ET4" s="235" t="s">
        <v>620</v>
      </c>
      <c r="EU4" s="235" t="s">
        <v>621</v>
      </c>
      <c r="EV4" s="235" t="s">
        <v>622</v>
      </c>
      <c r="EW4" s="235" t="s">
        <v>623</v>
      </c>
      <c r="EX4" s="235" t="s">
        <v>624</v>
      </c>
      <c r="EY4" s="236" t="s">
        <v>625</v>
      </c>
      <c r="EZ4" s="237" t="s">
        <v>626</v>
      </c>
      <c r="FA4" s="235" t="s">
        <v>627</v>
      </c>
      <c r="FB4" s="235" t="s">
        <v>628</v>
      </c>
      <c r="FC4" s="235" t="s">
        <v>629</v>
      </c>
      <c r="FD4" s="235" t="s">
        <v>630</v>
      </c>
      <c r="FE4" s="235" t="s">
        <v>631</v>
      </c>
      <c r="FF4" s="236" t="s">
        <v>632</v>
      </c>
      <c r="FG4" s="237" t="s">
        <v>633</v>
      </c>
      <c r="FH4" s="235" t="s">
        <v>634</v>
      </c>
      <c r="FI4" s="235" t="s">
        <v>635</v>
      </c>
      <c r="FJ4" s="235" t="s">
        <v>636</v>
      </c>
      <c r="FK4" s="235" t="s">
        <v>637</v>
      </c>
      <c r="FL4" s="235" t="s">
        <v>638</v>
      </c>
      <c r="FM4" s="236" t="s">
        <v>639</v>
      </c>
      <c r="FN4" s="237" t="s">
        <v>640</v>
      </c>
      <c r="FO4" s="235" t="s">
        <v>641</v>
      </c>
      <c r="FP4" s="235" t="s">
        <v>642</v>
      </c>
      <c r="FQ4" s="235" t="s">
        <v>643</v>
      </c>
      <c r="FR4" s="235" t="s">
        <v>644</v>
      </c>
      <c r="FS4" s="235" t="s">
        <v>645</v>
      </c>
      <c r="FT4" s="236" t="s">
        <v>646</v>
      </c>
      <c r="FU4" s="237" t="s">
        <v>647</v>
      </c>
      <c r="FV4" s="235" t="s">
        <v>648</v>
      </c>
      <c r="FW4" s="235" t="s">
        <v>649</v>
      </c>
      <c r="FX4" s="235" t="s">
        <v>650</v>
      </c>
      <c r="FY4" s="235" t="s">
        <v>651</v>
      </c>
      <c r="FZ4" s="235" t="s">
        <v>652</v>
      </c>
      <c r="GA4" s="236" t="s">
        <v>653</v>
      </c>
      <c r="GB4" s="237" t="s">
        <v>654</v>
      </c>
      <c r="GC4" s="235" t="s">
        <v>655</v>
      </c>
      <c r="GD4" s="235" t="s">
        <v>656</v>
      </c>
      <c r="GE4" s="235" t="s">
        <v>657</v>
      </c>
      <c r="GF4" s="235" t="s">
        <v>658</v>
      </c>
      <c r="GG4" s="235" t="s">
        <v>659</v>
      </c>
      <c r="GH4" s="236" t="s">
        <v>660</v>
      </c>
      <c r="GI4" s="237" t="s">
        <v>661</v>
      </c>
      <c r="GJ4" s="235" t="s">
        <v>662</v>
      </c>
      <c r="GK4" s="235" t="s">
        <v>663</v>
      </c>
      <c r="GL4" s="235" t="s">
        <v>664</v>
      </c>
      <c r="GM4" s="235" t="s">
        <v>665</v>
      </c>
      <c r="GN4" s="235" t="s">
        <v>666</v>
      </c>
      <c r="GO4" s="236" t="s">
        <v>667</v>
      </c>
      <c r="GP4" s="237" t="s">
        <v>668</v>
      </c>
      <c r="GQ4" s="235" t="s">
        <v>669</v>
      </c>
      <c r="GR4" s="235" t="s">
        <v>670</v>
      </c>
      <c r="GS4" s="235" t="s">
        <v>671</v>
      </c>
      <c r="GT4" s="235" t="s">
        <v>672</v>
      </c>
      <c r="GU4" s="235" t="s">
        <v>673</v>
      </c>
      <c r="GV4" s="236" t="s">
        <v>674</v>
      </c>
      <c r="GW4" s="237" t="s">
        <v>675</v>
      </c>
      <c r="GX4" s="235" t="s">
        <v>676</v>
      </c>
      <c r="GY4" s="235" t="s">
        <v>677</v>
      </c>
      <c r="GZ4" s="235" t="s">
        <v>678</v>
      </c>
      <c r="HA4" s="235" t="s">
        <v>679</v>
      </c>
      <c r="HB4" s="235" t="s">
        <v>680</v>
      </c>
      <c r="HC4" s="236" t="s">
        <v>681</v>
      </c>
      <c r="HD4" s="237" t="s">
        <v>722</v>
      </c>
      <c r="HE4" s="235" t="s">
        <v>723</v>
      </c>
      <c r="HF4" s="235" t="s">
        <v>724</v>
      </c>
      <c r="HG4" s="235" t="s">
        <v>725</v>
      </c>
      <c r="HH4" s="235" t="s">
        <v>726</v>
      </c>
      <c r="HI4" s="235" t="s">
        <v>727</v>
      </c>
      <c r="HJ4" s="236" t="s">
        <v>728</v>
      </c>
      <c r="HK4" s="237" t="s">
        <v>729</v>
      </c>
      <c r="HL4" s="235" t="s">
        <v>730</v>
      </c>
      <c r="HM4" s="235" t="s">
        <v>731</v>
      </c>
      <c r="HN4" s="235" t="s">
        <v>732</v>
      </c>
      <c r="HO4" s="235" t="s">
        <v>733</v>
      </c>
      <c r="HP4" s="235" t="s">
        <v>734</v>
      </c>
      <c r="HQ4" s="236" t="s">
        <v>735</v>
      </c>
      <c r="HR4" s="237" t="s">
        <v>736</v>
      </c>
      <c r="HS4" s="235" t="s">
        <v>737</v>
      </c>
      <c r="HT4" s="235" t="s">
        <v>738</v>
      </c>
      <c r="HU4" s="235" t="s">
        <v>739</v>
      </c>
      <c r="HV4" s="235" t="s">
        <v>740</v>
      </c>
      <c r="HW4" s="235" t="s">
        <v>741</v>
      </c>
      <c r="HX4" s="236" t="s">
        <v>742</v>
      </c>
      <c r="HY4" s="237" t="s">
        <v>743</v>
      </c>
      <c r="HZ4" s="235" t="s">
        <v>744</v>
      </c>
      <c r="IA4" s="235" t="s">
        <v>745</v>
      </c>
      <c r="IB4" s="235" t="s">
        <v>746</v>
      </c>
      <c r="IC4" s="235" t="s">
        <v>747</v>
      </c>
      <c r="ID4" s="235" t="s">
        <v>748</v>
      </c>
      <c r="IE4" s="236" t="s">
        <v>749</v>
      </c>
      <c r="IF4" s="237" t="s">
        <v>750</v>
      </c>
      <c r="IG4" s="235" t="s">
        <v>751</v>
      </c>
      <c r="IH4" s="235" t="s">
        <v>752</v>
      </c>
      <c r="II4" s="235" t="s">
        <v>753</v>
      </c>
      <c r="IJ4" s="235" t="s">
        <v>754</v>
      </c>
      <c r="IK4" s="235" t="s">
        <v>755</v>
      </c>
      <c r="IL4" s="236" t="s">
        <v>756</v>
      </c>
      <c r="IM4" s="237" t="s">
        <v>757</v>
      </c>
      <c r="IN4" s="235" t="s">
        <v>758</v>
      </c>
      <c r="IO4" s="235" t="s">
        <v>759</v>
      </c>
      <c r="IP4" s="235" t="s">
        <v>760</v>
      </c>
      <c r="IQ4" s="235" t="s">
        <v>761</v>
      </c>
      <c r="IR4" s="235" t="s">
        <v>762</v>
      </c>
      <c r="IS4" s="236" t="s">
        <v>763</v>
      </c>
      <c r="IT4" s="237" t="s">
        <v>764</v>
      </c>
      <c r="IU4" s="235" t="s">
        <v>765</v>
      </c>
      <c r="IV4" s="235" t="s">
        <v>766</v>
      </c>
      <c r="IW4" s="235" t="s">
        <v>767</v>
      </c>
      <c r="IX4" s="235" t="s">
        <v>768</v>
      </c>
      <c r="IY4" s="235" t="s">
        <v>769</v>
      </c>
      <c r="IZ4" s="236" t="s">
        <v>770</v>
      </c>
      <c r="JA4" s="237" t="s">
        <v>771</v>
      </c>
      <c r="JB4" s="235" t="s">
        <v>772</v>
      </c>
      <c r="JC4" s="235" t="s">
        <v>773</v>
      </c>
      <c r="JD4" s="235" t="s">
        <v>774</v>
      </c>
      <c r="JE4" s="235" t="s">
        <v>775</v>
      </c>
      <c r="JF4" s="235" t="s">
        <v>776</v>
      </c>
      <c r="JG4" s="236" t="s">
        <v>777</v>
      </c>
      <c r="JH4" s="237" t="s">
        <v>778</v>
      </c>
      <c r="JI4" s="235" t="s">
        <v>779</v>
      </c>
      <c r="JJ4" s="235" t="s">
        <v>780</v>
      </c>
      <c r="JK4" s="235" t="s">
        <v>781</v>
      </c>
      <c r="JL4" s="235" t="s">
        <v>782</v>
      </c>
      <c r="JM4" s="235" t="s">
        <v>783</v>
      </c>
      <c r="JN4" s="236" t="s">
        <v>784</v>
      </c>
      <c r="JO4" s="237" t="s">
        <v>785</v>
      </c>
      <c r="JP4" s="235" t="s">
        <v>786</v>
      </c>
      <c r="JQ4" s="235" t="s">
        <v>787</v>
      </c>
      <c r="JR4" s="235" t="s">
        <v>788</v>
      </c>
      <c r="JS4" s="235" t="s">
        <v>789</v>
      </c>
      <c r="JT4" s="235" t="s">
        <v>790</v>
      </c>
      <c r="JU4" s="236" t="s">
        <v>791</v>
      </c>
      <c r="JV4" s="237" t="s">
        <v>792</v>
      </c>
      <c r="JW4" s="235" t="s">
        <v>793</v>
      </c>
      <c r="JX4" s="235" t="s">
        <v>794</v>
      </c>
      <c r="JY4" s="235" t="s">
        <v>795</v>
      </c>
      <c r="JZ4" s="235" t="s">
        <v>796</v>
      </c>
      <c r="KA4" s="235" t="s">
        <v>797</v>
      </c>
      <c r="KB4" s="236" t="s">
        <v>798</v>
      </c>
      <c r="KC4" s="237" t="s">
        <v>799</v>
      </c>
      <c r="KD4" s="235" t="s">
        <v>800</v>
      </c>
      <c r="KE4" s="235" t="s">
        <v>801</v>
      </c>
      <c r="KF4" s="235" t="s">
        <v>802</v>
      </c>
      <c r="KG4" s="235" t="s">
        <v>803</v>
      </c>
      <c r="KH4" s="235" t="s">
        <v>804</v>
      </c>
      <c r="KI4" s="236" t="s">
        <v>805</v>
      </c>
      <c r="KJ4" s="237" t="s">
        <v>806</v>
      </c>
      <c r="KK4" s="235" t="s">
        <v>807</v>
      </c>
      <c r="KL4" s="235" t="s">
        <v>808</v>
      </c>
      <c r="KM4" s="235" t="s">
        <v>809</v>
      </c>
      <c r="KN4" s="235" t="s">
        <v>810</v>
      </c>
      <c r="KO4" s="235" t="s">
        <v>811</v>
      </c>
      <c r="KP4" s="236" t="s">
        <v>721</v>
      </c>
      <c r="KQ4" s="237" t="s">
        <v>812</v>
      </c>
      <c r="KR4" s="235" t="s">
        <v>813</v>
      </c>
      <c r="KS4" s="235" t="s">
        <v>814</v>
      </c>
      <c r="KT4" s="235" t="s">
        <v>815</v>
      </c>
      <c r="KU4" s="235" t="s">
        <v>816</v>
      </c>
      <c r="KV4" s="235" t="s">
        <v>817</v>
      </c>
      <c r="KW4" s="236" t="s">
        <v>818</v>
      </c>
      <c r="KX4" s="237" t="s">
        <v>819</v>
      </c>
      <c r="KY4" s="235" t="s">
        <v>820</v>
      </c>
      <c r="KZ4" s="235" t="s">
        <v>821</v>
      </c>
      <c r="LA4" s="235" t="s">
        <v>822</v>
      </c>
      <c r="LB4" s="235" t="s">
        <v>823</v>
      </c>
      <c r="LC4" s="235" t="s">
        <v>824</v>
      </c>
      <c r="LD4" s="236" t="s">
        <v>825</v>
      </c>
      <c r="LE4" s="237" t="s">
        <v>826</v>
      </c>
      <c r="LF4" s="235" t="s">
        <v>827</v>
      </c>
      <c r="LG4" s="235" t="s">
        <v>828</v>
      </c>
      <c r="LH4" s="235" t="s">
        <v>829</v>
      </c>
      <c r="LI4" s="235" t="s">
        <v>830</v>
      </c>
      <c r="LJ4" s="235" t="s">
        <v>831</v>
      </c>
      <c r="LK4" s="236" t="s">
        <v>832</v>
      </c>
      <c r="LL4" s="237" t="s">
        <v>833</v>
      </c>
      <c r="LM4" s="235" t="s">
        <v>834</v>
      </c>
      <c r="LN4" s="235" t="s">
        <v>835</v>
      </c>
      <c r="LO4" s="235" t="s">
        <v>836</v>
      </c>
      <c r="LP4" s="235" t="s">
        <v>837</v>
      </c>
      <c r="LQ4" s="235" t="s">
        <v>838</v>
      </c>
      <c r="LR4" s="236" t="s">
        <v>839</v>
      </c>
      <c r="LS4" s="237" t="s">
        <v>840</v>
      </c>
      <c r="LT4" s="235" t="s">
        <v>841</v>
      </c>
      <c r="LU4" s="235" t="s">
        <v>842</v>
      </c>
      <c r="LV4" s="235" t="s">
        <v>843</v>
      </c>
      <c r="LW4" s="235" t="s">
        <v>844</v>
      </c>
      <c r="LX4" s="235" t="s">
        <v>845</v>
      </c>
      <c r="LY4" s="236" t="s">
        <v>846</v>
      </c>
      <c r="LZ4" s="237" t="s">
        <v>847</v>
      </c>
      <c r="MA4" s="235" t="s">
        <v>848</v>
      </c>
      <c r="MB4" s="235" t="s">
        <v>849</v>
      </c>
      <c r="MC4" s="235" t="s">
        <v>850</v>
      </c>
      <c r="MD4" s="235" t="s">
        <v>851</v>
      </c>
      <c r="ME4" s="235" t="s">
        <v>852</v>
      </c>
      <c r="MF4" s="236" t="s">
        <v>853</v>
      </c>
      <c r="MG4" s="237" t="s">
        <v>854</v>
      </c>
      <c r="MH4" s="235" t="s">
        <v>855</v>
      </c>
      <c r="MI4" s="235" t="s">
        <v>856</v>
      </c>
      <c r="MJ4" s="235" t="s">
        <v>857</v>
      </c>
      <c r="MK4" s="235" t="s">
        <v>858</v>
      </c>
      <c r="ML4" s="235" t="s">
        <v>859</v>
      </c>
      <c r="MM4" s="236" t="s">
        <v>860</v>
      </c>
      <c r="MN4" s="237" t="s">
        <v>861</v>
      </c>
      <c r="MO4" s="235" t="s">
        <v>862</v>
      </c>
      <c r="MP4" s="235" t="s">
        <v>863</v>
      </c>
      <c r="MQ4" s="235" t="s">
        <v>864</v>
      </c>
      <c r="MR4" s="235" t="s">
        <v>865</v>
      </c>
      <c r="MS4" s="235" t="s">
        <v>866</v>
      </c>
      <c r="MT4" s="236" t="s">
        <v>867</v>
      </c>
      <c r="MU4" s="237" t="s">
        <v>868</v>
      </c>
      <c r="MV4" s="235" t="s">
        <v>869</v>
      </c>
      <c r="MW4" s="235" t="s">
        <v>870</v>
      </c>
      <c r="MX4" s="235" t="s">
        <v>871</v>
      </c>
      <c r="MY4" s="235" t="s">
        <v>872</v>
      </c>
      <c r="MZ4" s="235" t="s">
        <v>873</v>
      </c>
      <c r="NA4" s="236" t="s">
        <v>874</v>
      </c>
      <c r="NB4" s="237" t="s">
        <v>875</v>
      </c>
      <c r="NC4" s="235" t="s">
        <v>876</v>
      </c>
      <c r="ND4" s="235" t="s">
        <v>877</v>
      </c>
      <c r="NE4" s="235" t="s">
        <v>878</v>
      </c>
      <c r="NF4" s="235" t="s">
        <v>879</v>
      </c>
      <c r="NG4" s="235" t="s">
        <v>880</v>
      </c>
      <c r="NH4" s="236" t="s">
        <v>881</v>
      </c>
      <c r="NI4" s="237" t="s">
        <v>882</v>
      </c>
      <c r="NJ4" s="235" t="s">
        <v>883</v>
      </c>
      <c r="NK4" s="235" t="s">
        <v>884</v>
      </c>
      <c r="NL4" s="235" t="s">
        <v>885</v>
      </c>
      <c r="NM4" s="235" t="s">
        <v>886</v>
      </c>
      <c r="NN4" s="235" t="s">
        <v>887</v>
      </c>
      <c r="NO4" s="135" t="s">
        <v>888</v>
      </c>
      <c r="NP4" s="63"/>
      <c r="NQ4" s="63"/>
      <c r="NR4" s="63"/>
      <c r="NS4" s="110"/>
    </row>
    <row r="5" spans="2:383" x14ac:dyDescent="0.3">
      <c r="B5" s="38">
        <v>55906</v>
      </c>
      <c r="C5" s="9">
        <v>35</v>
      </c>
      <c r="D5" s="206" t="s">
        <v>60</v>
      </c>
      <c r="E5" s="187" t="s">
        <v>26</v>
      </c>
      <c r="F5" s="351" t="s">
        <v>9</v>
      </c>
      <c r="G5" s="363" t="s">
        <v>1303</v>
      </c>
      <c r="H5" s="156" t="s">
        <v>1304</v>
      </c>
      <c r="I5" s="125"/>
      <c r="J5" s="41"/>
      <c r="K5" s="41"/>
      <c r="L5" s="41"/>
      <c r="M5" s="41"/>
      <c r="N5" s="230"/>
      <c r="O5" s="230"/>
      <c r="P5" s="41"/>
      <c r="Q5" s="41"/>
      <c r="R5" s="41"/>
      <c r="S5" s="41"/>
      <c r="T5" s="41"/>
      <c r="U5" s="230"/>
      <c r="V5" s="230"/>
      <c r="W5" s="41"/>
      <c r="X5" s="41"/>
      <c r="Y5" s="41"/>
      <c r="Z5" s="41"/>
      <c r="AA5" s="41"/>
      <c r="AB5" s="230"/>
      <c r="AC5" s="230"/>
      <c r="AD5" s="41"/>
      <c r="AE5" s="41"/>
      <c r="AF5" s="41"/>
      <c r="AG5" s="41"/>
      <c r="AH5" s="41"/>
      <c r="AI5" s="230"/>
      <c r="AJ5" s="230"/>
      <c r="AK5" s="41"/>
      <c r="AL5" s="41"/>
      <c r="AM5" s="41"/>
      <c r="AN5" s="41"/>
      <c r="AO5" s="41"/>
      <c r="AP5" s="230"/>
      <c r="AQ5" s="230"/>
      <c r="AR5" s="41"/>
      <c r="AS5" s="41"/>
      <c r="AT5" s="41"/>
      <c r="AU5" s="41"/>
      <c r="AV5" s="41"/>
      <c r="AW5" s="230"/>
      <c r="AX5" s="230"/>
      <c r="AY5" s="41"/>
      <c r="AZ5" s="41"/>
      <c r="BA5" s="41"/>
      <c r="BB5" s="41"/>
      <c r="BC5" s="41"/>
      <c r="BD5" s="230"/>
      <c r="BE5" s="230"/>
      <c r="BF5" s="41"/>
      <c r="BG5" s="41"/>
      <c r="BH5" s="41"/>
      <c r="BI5" s="41"/>
      <c r="BJ5" s="41"/>
      <c r="BK5" s="230"/>
      <c r="BL5" s="230"/>
      <c r="BM5" s="41"/>
      <c r="BN5" s="41"/>
      <c r="BO5" s="41"/>
      <c r="BP5" s="41"/>
      <c r="BQ5" s="41"/>
      <c r="BR5" s="230"/>
      <c r="BS5" s="230"/>
      <c r="BT5" s="41"/>
      <c r="BU5" s="41"/>
      <c r="BV5" s="41"/>
      <c r="BW5" s="41"/>
      <c r="BX5" s="41"/>
      <c r="BY5" s="230"/>
      <c r="BZ5" s="230"/>
      <c r="CA5" s="41"/>
      <c r="CB5" s="41"/>
      <c r="CC5" s="41"/>
      <c r="CD5" s="41"/>
      <c r="CE5" s="41"/>
      <c r="CF5" s="234"/>
      <c r="CG5" s="234"/>
      <c r="CH5" s="41"/>
      <c r="CI5" s="41"/>
      <c r="CJ5" s="41"/>
      <c r="CK5" s="41"/>
      <c r="CL5" s="41"/>
      <c r="CM5" s="230"/>
      <c r="CN5" s="230"/>
      <c r="CO5" s="41"/>
      <c r="CP5" s="41"/>
      <c r="CQ5" s="41"/>
      <c r="CR5" s="41"/>
      <c r="CS5" s="41"/>
      <c r="CT5" s="230"/>
      <c r="CU5" s="230"/>
      <c r="CV5" s="41"/>
      <c r="CW5" s="41"/>
      <c r="CX5" s="41"/>
      <c r="CY5" s="41"/>
      <c r="CZ5" s="41"/>
      <c r="DA5" s="230"/>
      <c r="DB5" s="230"/>
      <c r="DC5" s="41"/>
      <c r="DD5" s="41"/>
      <c r="DE5" s="41"/>
      <c r="DF5" s="41"/>
      <c r="DG5" s="41"/>
      <c r="DH5" s="230"/>
      <c r="DI5" s="230"/>
      <c r="DJ5" s="41"/>
      <c r="DK5" s="41"/>
      <c r="DL5" s="41"/>
      <c r="DM5" s="41"/>
      <c r="DN5" s="41"/>
      <c r="DO5" s="230"/>
      <c r="DP5" s="230"/>
      <c r="DQ5" s="41"/>
      <c r="DR5" s="41"/>
      <c r="DS5" s="41"/>
      <c r="DT5" s="41"/>
      <c r="DU5" s="41"/>
      <c r="DV5" s="230"/>
      <c r="DW5" s="234"/>
      <c r="DX5" s="41"/>
      <c r="DY5" s="41"/>
      <c r="DZ5" s="41"/>
      <c r="EA5" s="41"/>
      <c r="EB5" s="41"/>
      <c r="EC5" s="230"/>
      <c r="ED5" s="230"/>
      <c r="EE5" s="41"/>
      <c r="EF5" s="41"/>
      <c r="EG5" s="41"/>
      <c r="EH5" s="41"/>
      <c r="EI5" s="41"/>
      <c r="EJ5" s="230"/>
      <c r="EK5" s="230"/>
      <c r="EL5" s="41"/>
      <c r="EM5" s="41"/>
      <c r="EN5" s="41"/>
      <c r="EO5" s="41"/>
      <c r="EP5" s="41"/>
      <c r="EQ5" s="230"/>
      <c r="ER5" s="230"/>
      <c r="ES5" s="41"/>
      <c r="ET5" s="41"/>
      <c r="EU5" s="41"/>
      <c r="EV5" s="41"/>
      <c r="EW5" s="41"/>
      <c r="EX5" s="230"/>
      <c r="EY5" s="230"/>
      <c r="EZ5" s="41"/>
      <c r="FA5" s="41"/>
      <c r="FB5" s="41"/>
      <c r="FC5" s="41"/>
      <c r="FD5" s="41"/>
      <c r="FE5" s="230"/>
      <c r="FF5" s="230"/>
      <c r="FG5" s="41"/>
      <c r="FH5" s="41"/>
      <c r="FI5" s="41"/>
      <c r="FJ5" s="41"/>
      <c r="FK5" s="41"/>
      <c r="FL5" s="230"/>
      <c r="FM5" s="230"/>
      <c r="FN5" s="41"/>
      <c r="FO5" s="41"/>
      <c r="FP5" s="41"/>
      <c r="FQ5" s="41"/>
      <c r="FR5" s="41"/>
      <c r="FS5" s="230"/>
      <c r="FT5" s="230"/>
      <c r="FU5" s="41"/>
      <c r="FV5" s="41"/>
      <c r="FW5" s="41"/>
      <c r="FX5" s="41"/>
      <c r="FY5" s="41"/>
      <c r="FZ5" s="230"/>
      <c r="GA5" s="230"/>
      <c r="GB5" s="41"/>
      <c r="GC5" s="41"/>
      <c r="GD5" s="41"/>
      <c r="GE5" s="41"/>
      <c r="GF5" s="41"/>
      <c r="GG5" s="230"/>
      <c r="GH5" s="230"/>
      <c r="GI5" s="41"/>
      <c r="GJ5" s="41"/>
      <c r="GK5" s="41"/>
      <c r="GL5" s="41"/>
      <c r="GM5" s="41"/>
      <c r="GN5" s="230"/>
      <c r="GO5" s="230"/>
      <c r="GP5" s="41"/>
      <c r="GQ5" s="41"/>
      <c r="GR5" s="41"/>
      <c r="GS5" s="41"/>
      <c r="GT5" s="41"/>
      <c r="GU5" s="230"/>
      <c r="GV5" s="230"/>
      <c r="GW5" s="41" t="s">
        <v>460</v>
      </c>
      <c r="GX5" s="41"/>
      <c r="GY5" s="41"/>
      <c r="GZ5" s="41"/>
      <c r="HA5" s="41"/>
      <c r="HB5" s="230"/>
      <c r="HC5" s="230"/>
      <c r="HD5" s="372"/>
      <c r="HE5" s="372"/>
      <c r="HF5" s="372"/>
      <c r="HG5" s="372"/>
      <c r="HH5" s="372"/>
      <c r="HI5" s="230"/>
      <c r="HJ5" s="230"/>
      <c r="HK5" s="372"/>
      <c r="HL5" s="372"/>
      <c r="HM5" s="372"/>
      <c r="HN5" s="372"/>
      <c r="HO5" s="372"/>
      <c r="HP5" s="230"/>
      <c r="HQ5" s="230"/>
      <c r="HR5" s="372" t="s">
        <v>460</v>
      </c>
      <c r="HS5" s="372" t="s">
        <v>460</v>
      </c>
      <c r="HT5" s="372" t="s">
        <v>460</v>
      </c>
      <c r="HU5" s="372" t="s">
        <v>460</v>
      </c>
      <c r="HV5" s="372" t="s">
        <v>460</v>
      </c>
      <c r="HW5" s="230"/>
      <c r="HX5" s="230"/>
      <c r="HY5" s="372" t="s">
        <v>460</v>
      </c>
      <c r="HZ5" s="372" t="s">
        <v>460</v>
      </c>
      <c r="IA5" s="372" t="s">
        <v>460</v>
      </c>
      <c r="IB5" s="372" t="s">
        <v>460</v>
      </c>
      <c r="IC5" s="372" t="s">
        <v>460</v>
      </c>
      <c r="ID5" s="230"/>
      <c r="IE5" s="230"/>
      <c r="IF5" s="372"/>
      <c r="IG5" s="372"/>
      <c r="IH5" s="372"/>
      <c r="II5" s="372"/>
      <c r="IJ5" s="372"/>
      <c r="IK5" s="230"/>
      <c r="IL5" s="230"/>
      <c r="IM5" s="372"/>
      <c r="IN5" s="372"/>
      <c r="IO5" s="372"/>
      <c r="IP5" s="372"/>
      <c r="IQ5" s="372"/>
      <c r="IR5" s="234"/>
      <c r="IS5" s="234"/>
      <c r="IT5" s="372"/>
      <c r="IU5" s="372"/>
      <c r="IV5" s="372"/>
      <c r="IW5" s="372"/>
      <c r="IX5" s="372"/>
      <c r="IY5" s="234"/>
      <c r="IZ5" s="234"/>
      <c r="JA5" s="372"/>
      <c r="JB5" s="372"/>
      <c r="JC5" s="372"/>
      <c r="JD5" s="372"/>
      <c r="JE5" s="372"/>
      <c r="JF5" s="234"/>
      <c r="JG5" s="234"/>
      <c r="JH5" s="234"/>
      <c r="JI5" s="234"/>
      <c r="JJ5" s="234"/>
      <c r="JK5" s="234"/>
      <c r="JL5" s="234"/>
      <c r="JM5" s="234"/>
      <c r="JN5" s="234"/>
      <c r="JO5" s="234"/>
      <c r="JP5" s="234"/>
      <c r="JQ5" s="234"/>
      <c r="JR5" s="234"/>
      <c r="JS5" s="234"/>
      <c r="JT5" s="234"/>
      <c r="JU5" s="234"/>
      <c r="JV5" s="234"/>
      <c r="JW5" s="234"/>
      <c r="JX5" s="234"/>
      <c r="JY5" s="234"/>
      <c r="JZ5" s="234"/>
      <c r="KA5" s="234"/>
      <c r="KB5" s="234"/>
      <c r="KC5" s="234"/>
      <c r="KD5" s="234"/>
      <c r="KE5" s="234"/>
      <c r="KF5" s="234"/>
      <c r="KG5" s="234"/>
      <c r="KH5" s="234"/>
      <c r="KI5" s="234"/>
      <c r="KJ5" s="234"/>
      <c r="KK5" s="234"/>
      <c r="KL5" s="234"/>
      <c r="KM5" s="234"/>
      <c r="KN5" s="234"/>
      <c r="KO5" s="234"/>
      <c r="KP5" s="234"/>
      <c r="KQ5" s="234"/>
      <c r="KR5" s="234"/>
      <c r="KS5" s="234"/>
      <c r="KT5" s="234"/>
      <c r="KU5" s="234"/>
      <c r="KV5" s="234"/>
      <c r="KW5" s="234"/>
      <c r="KX5" s="234"/>
      <c r="KY5" s="234"/>
      <c r="KZ5" s="234"/>
      <c r="LA5" s="234"/>
      <c r="LB5" s="234"/>
      <c r="LC5" s="234"/>
      <c r="LD5" s="234"/>
      <c r="LE5" s="234"/>
      <c r="LF5" s="234"/>
      <c r="LG5" s="234"/>
      <c r="LH5" s="234"/>
      <c r="LI5" s="234"/>
      <c r="LJ5" s="234"/>
      <c r="LK5" s="234"/>
      <c r="LL5" s="234"/>
      <c r="LM5" s="234"/>
      <c r="LN5" s="234"/>
      <c r="LO5" s="234"/>
      <c r="LP5" s="234"/>
      <c r="LQ5" s="234"/>
      <c r="LR5" s="234"/>
      <c r="LS5" s="234"/>
      <c r="LT5" s="234"/>
      <c r="LU5" s="234"/>
      <c r="LV5" s="234"/>
      <c r="LW5" s="234"/>
      <c r="LX5" s="234"/>
      <c r="LY5" s="234"/>
      <c r="LZ5" s="234"/>
      <c r="MA5" s="234"/>
      <c r="MB5" s="234"/>
      <c r="MC5" s="234"/>
      <c r="MD5" s="234"/>
      <c r="ME5" s="234"/>
      <c r="MF5" s="234"/>
      <c r="MG5" s="234"/>
      <c r="MH5" s="234"/>
      <c r="MI5" s="234"/>
      <c r="MJ5" s="234"/>
      <c r="MK5" s="234"/>
      <c r="ML5" s="234"/>
      <c r="MM5" s="234"/>
      <c r="MN5" s="234"/>
      <c r="MO5" s="234"/>
      <c r="MP5" s="234"/>
      <c r="MQ5" s="234"/>
      <c r="MR5" s="234"/>
      <c r="MS5" s="234"/>
      <c r="MT5" s="234"/>
      <c r="MU5" s="234"/>
      <c r="MV5" s="234"/>
      <c r="MW5" s="234"/>
      <c r="MX5" s="234"/>
      <c r="MY5" s="234"/>
      <c r="MZ5" s="234"/>
      <c r="NA5" s="234"/>
      <c r="NB5" s="234"/>
      <c r="NC5" s="234"/>
      <c r="ND5" s="234"/>
      <c r="NE5" s="234"/>
      <c r="NF5" s="234"/>
      <c r="NG5" s="234"/>
      <c r="NH5" s="234"/>
      <c r="NI5" s="234"/>
      <c r="NJ5" s="234"/>
      <c r="NK5" s="234"/>
      <c r="NL5" s="234"/>
      <c r="NM5" s="234"/>
      <c r="NN5" s="234"/>
      <c r="NO5" s="234"/>
    </row>
    <row r="6" spans="2:383" x14ac:dyDescent="0.3">
      <c r="B6" s="38">
        <v>71616</v>
      </c>
      <c r="C6" s="9">
        <v>35</v>
      </c>
      <c r="D6" s="206" t="s">
        <v>60</v>
      </c>
      <c r="E6" s="187" t="s">
        <v>26</v>
      </c>
      <c r="F6" s="351" t="s">
        <v>9</v>
      </c>
      <c r="G6" s="363" t="s">
        <v>1303</v>
      </c>
      <c r="H6" s="156" t="s">
        <v>1305</v>
      </c>
      <c r="I6" s="125"/>
      <c r="J6" s="41"/>
      <c r="K6" s="41"/>
      <c r="L6" s="41"/>
      <c r="M6" s="41"/>
      <c r="N6" s="230"/>
      <c r="O6" s="230"/>
      <c r="P6" s="41"/>
      <c r="Q6" s="41"/>
      <c r="R6" s="41"/>
      <c r="S6" s="41"/>
      <c r="T6" s="41"/>
      <c r="U6" s="230"/>
      <c r="V6" s="230"/>
      <c r="W6" s="41"/>
      <c r="X6" s="41"/>
      <c r="Y6" s="41"/>
      <c r="Z6" s="41"/>
      <c r="AA6" s="41"/>
      <c r="AB6" s="230"/>
      <c r="AC6" s="230"/>
      <c r="AD6" s="41"/>
      <c r="AE6" s="41"/>
      <c r="AF6" s="41"/>
      <c r="AG6" s="41"/>
      <c r="AH6" s="41"/>
      <c r="AI6" s="230"/>
      <c r="AJ6" s="230"/>
      <c r="AK6" s="41"/>
      <c r="AL6" s="41"/>
      <c r="AM6" s="41"/>
      <c r="AN6" s="41"/>
      <c r="AO6" s="41"/>
      <c r="AP6" s="230"/>
      <c r="AQ6" s="230"/>
      <c r="AR6" s="41"/>
      <c r="AS6" s="41"/>
      <c r="AT6" s="41"/>
      <c r="AU6" s="41"/>
      <c r="AV6" s="41"/>
      <c r="AW6" s="230"/>
      <c r="AX6" s="230"/>
      <c r="AY6" s="41"/>
      <c r="AZ6" s="41"/>
      <c r="BA6" s="41"/>
      <c r="BB6" s="41"/>
      <c r="BC6" s="41"/>
      <c r="BD6" s="230"/>
      <c r="BE6" s="230"/>
      <c r="BF6" s="41"/>
      <c r="BG6" s="41"/>
      <c r="BH6" s="41"/>
      <c r="BI6" s="41"/>
      <c r="BJ6" s="41"/>
      <c r="BK6" s="230"/>
      <c r="BL6" s="230"/>
      <c r="BM6" s="41"/>
      <c r="BN6" s="41"/>
      <c r="BO6" s="41"/>
      <c r="BP6" s="41"/>
      <c r="BQ6" s="41"/>
      <c r="BR6" s="230"/>
      <c r="BS6" s="230"/>
      <c r="BT6" s="41"/>
      <c r="BU6" s="41"/>
      <c r="BV6" s="41"/>
      <c r="BW6" s="41"/>
      <c r="BX6" s="41"/>
      <c r="BY6" s="230"/>
      <c r="BZ6" s="230"/>
      <c r="CA6" s="41"/>
      <c r="CB6" s="41"/>
      <c r="CC6" s="41"/>
      <c r="CD6" s="41"/>
      <c r="CE6" s="41"/>
      <c r="CF6" s="234"/>
      <c r="CG6" s="234"/>
      <c r="CH6" s="41"/>
      <c r="CI6" s="41"/>
      <c r="CJ6" s="41"/>
      <c r="CK6" s="41"/>
      <c r="CL6" s="41"/>
      <c r="CM6" s="230"/>
      <c r="CN6" s="230"/>
      <c r="CO6" s="41"/>
      <c r="CP6" s="41"/>
      <c r="CQ6" s="41"/>
      <c r="CR6" s="41"/>
      <c r="CS6" s="41"/>
      <c r="CT6" s="230"/>
      <c r="CU6" s="230"/>
      <c r="CV6" s="41"/>
      <c r="CW6" s="41"/>
      <c r="CX6" s="41"/>
      <c r="CY6" s="41"/>
      <c r="CZ6" s="41"/>
      <c r="DA6" s="230"/>
      <c r="DB6" s="230"/>
      <c r="DC6" s="41"/>
      <c r="DD6" s="41"/>
      <c r="DE6" s="41"/>
      <c r="DF6" s="41"/>
      <c r="DG6" s="41"/>
      <c r="DH6" s="230"/>
      <c r="DI6" s="230"/>
      <c r="DJ6" s="41"/>
      <c r="DK6" s="41"/>
      <c r="DL6" s="41"/>
      <c r="DM6" s="41"/>
      <c r="DN6" s="41"/>
      <c r="DO6" s="230"/>
      <c r="DP6" s="230"/>
      <c r="DQ6" s="41"/>
      <c r="DR6" s="41"/>
      <c r="DS6" s="41"/>
      <c r="DT6" s="41"/>
      <c r="DU6" s="41"/>
      <c r="DV6" s="230"/>
      <c r="DW6" s="234"/>
      <c r="DX6" s="41"/>
      <c r="DY6" s="41"/>
      <c r="DZ6" s="41"/>
      <c r="EA6" s="41"/>
      <c r="EB6" s="41"/>
      <c r="EC6" s="230"/>
      <c r="ED6" s="230"/>
      <c r="EE6" s="41"/>
      <c r="EF6" s="41"/>
      <c r="EG6" s="41"/>
      <c r="EH6" s="41"/>
      <c r="EI6" s="41"/>
      <c r="EJ6" s="230"/>
      <c r="EK6" s="230"/>
      <c r="EL6" s="41"/>
      <c r="EM6" s="41"/>
      <c r="EN6" s="41"/>
      <c r="EO6" s="41"/>
      <c r="EP6" s="41"/>
      <c r="EQ6" s="230"/>
      <c r="ER6" s="230"/>
      <c r="ES6" s="41"/>
      <c r="ET6" s="41"/>
      <c r="EU6" s="41"/>
      <c r="EV6" s="41"/>
      <c r="EW6" s="41"/>
      <c r="EX6" s="230"/>
      <c r="EY6" s="230"/>
      <c r="EZ6" s="41"/>
      <c r="FA6" s="41"/>
      <c r="FB6" s="41"/>
      <c r="FC6" s="41"/>
      <c r="FD6" s="41"/>
      <c r="FE6" s="230"/>
      <c r="FF6" s="230"/>
      <c r="FG6" s="41"/>
      <c r="FH6" s="41"/>
      <c r="FI6" s="41"/>
      <c r="FJ6" s="41"/>
      <c r="FK6" s="41"/>
      <c r="FL6" s="230"/>
      <c r="FM6" s="230"/>
      <c r="FN6" s="41"/>
      <c r="FO6" s="41"/>
      <c r="FP6" s="41"/>
      <c r="FQ6" s="41"/>
      <c r="FR6" s="41"/>
      <c r="FS6" s="230"/>
      <c r="FT6" s="230"/>
      <c r="FU6" s="41"/>
      <c r="FV6" s="41"/>
      <c r="FW6" s="41"/>
      <c r="FX6" s="41"/>
      <c r="FY6" s="41"/>
      <c r="FZ6" s="230"/>
      <c r="GA6" s="230"/>
      <c r="GB6" s="41"/>
      <c r="GC6" s="41"/>
      <c r="GD6" s="41"/>
      <c r="GE6" s="41"/>
      <c r="GF6" s="41"/>
      <c r="GG6" s="230"/>
      <c r="GH6" s="230"/>
      <c r="GI6" s="41"/>
      <c r="GJ6" s="41"/>
      <c r="GK6" s="41"/>
      <c r="GL6" s="41"/>
      <c r="GM6" s="41"/>
      <c r="GN6" s="230"/>
      <c r="GO6" s="230"/>
      <c r="GP6" s="41"/>
      <c r="GQ6" s="41"/>
      <c r="GR6" s="41"/>
      <c r="GS6" s="41"/>
      <c r="GT6" s="41"/>
      <c r="GU6" s="230"/>
      <c r="GV6" s="230"/>
      <c r="GW6" s="41" t="s">
        <v>460</v>
      </c>
      <c r="GX6" s="41"/>
      <c r="GY6" s="41"/>
      <c r="GZ6" s="41"/>
      <c r="HA6" s="41"/>
      <c r="HB6" s="230"/>
      <c r="HC6" s="230"/>
      <c r="HD6" s="372"/>
      <c r="HE6" s="372"/>
      <c r="HF6" s="372"/>
      <c r="HG6" s="372"/>
      <c r="HH6" s="372"/>
      <c r="HI6" s="230"/>
      <c r="HJ6" s="230"/>
      <c r="HK6" s="372"/>
      <c r="HL6" s="372"/>
      <c r="HM6" s="372"/>
      <c r="HN6" s="372"/>
      <c r="HO6" s="372"/>
      <c r="HP6" s="230"/>
      <c r="HQ6" s="230"/>
      <c r="HR6" s="372" t="s">
        <v>460</v>
      </c>
      <c r="HS6" s="372" t="s">
        <v>460</v>
      </c>
      <c r="HT6" s="372" t="s">
        <v>460</v>
      </c>
      <c r="HU6" s="372" t="s">
        <v>460</v>
      </c>
      <c r="HV6" s="372" t="s">
        <v>460</v>
      </c>
      <c r="HW6" s="230"/>
      <c r="HX6" s="230"/>
      <c r="HY6" s="372" t="s">
        <v>460</v>
      </c>
      <c r="HZ6" s="372" t="s">
        <v>460</v>
      </c>
      <c r="IA6" s="372" t="s">
        <v>460</v>
      </c>
      <c r="IB6" s="372" t="s">
        <v>460</v>
      </c>
      <c r="IC6" s="372" t="s">
        <v>460</v>
      </c>
      <c r="ID6" s="230"/>
      <c r="IE6" s="230"/>
      <c r="IF6" s="372"/>
      <c r="IG6" s="372"/>
      <c r="IH6" s="372"/>
      <c r="II6" s="372"/>
      <c r="IJ6" s="372"/>
      <c r="IK6" s="230"/>
      <c r="IL6" s="230"/>
      <c r="IM6" s="372"/>
      <c r="IN6" s="372"/>
      <c r="IO6" s="372"/>
      <c r="IP6" s="372"/>
      <c r="IQ6" s="372"/>
      <c r="IR6" s="234"/>
      <c r="IS6" s="234"/>
      <c r="IT6" s="372"/>
      <c r="IU6" s="372"/>
      <c r="IV6" s="372"/>
      <c r="IW6" s="372"/>
      <c r="IX6" s="372"/>
      <c r="IY6" s="234"/>
      <c r="IZ6" s="234"/>
      <c r="JA6" s="372"/>
      <c r="JB6" s="372"/>
      <c r="JC6" s="372"/>
      <c r="JD6" s="372"/>
      <c r="JE6" s="372"/>
      <c r="JF6" s="234"/>
      <c r="JG6" s="234"/>
      <c r="JH6" s="234"/>
      <c r="JI6" s="234"/>
      <c r="JJ6" s="234"/>
      <c r="JK6" s="234"/>
      <c r="JL6" s="234"/>
      <c r="JM6" s="234"/>
      <c r="JN6" s="234"/>
      <c r="JO6" s="234"/>
      <c r="JP6" s="234"/>
      <c r="JQ6" s="234"/>
      <c r="JR6" s="234"/>
      <c r="JS6" s="234"/>
      <c r="JT6" s="234"/>
      <c r="JU6" s="234"/>
      <c r="JV6" s="234"/>
      <c r="JW6" s="234"/>
      <c r="JX6" s="234"/>
      <c r="JY6" s="234"/>
      <c r="JZ6" s="234"/>
      <c r="KA6" s="234"/>
      <c r="KB6" s="234"/>
      <c r="KC6" s="234"/>
      <c r="KD6" s="234"/>
      <c r="KE6" s="234"/>
      <c r="KF6" s="234"/>
      <c r="KG6" s="234"/>
      <c r="KH6" s="234"/>
      <c r="KI6" s="234"/>
      <c r="KJ6" s="234"/>
      <c r="KK6" s="234"/>
      <c r="KL6" s="234"/>
      <c r="KM6" s="234"/>
      <c r="KN6" s="234"/>
      <c r="KO6" s="234"/>
      <c r="KP6" s="234"/>
      <c r="KQ6" s="234"/>
      <c r="KR6" s="234"/>
      <c r="KS6" s="234"/>
      <c r="KT6" s="234"/>
      <c r="KU6" s="234"/>
      <c r="KV6" s="234"/>
      <c r="KW6" s="234"/>
      <c r="KX6" s="234"/>
      <c r="KY6" s="234"/>
      <c r="KZ6" s="234"/>
      <c r="LA6" s="234"/>
      <c r="LB6" s="234"/>
      <c r="LC6" s="234"/>
      <c r="LD6" s="234"/>
      <c r="LE6" s="234"/>
      <c r="LF6" s="234"/>
      <c r="LG6" s="234"/>
      <c r="LH6" s="234"/>
      <c r="LI6" s="234"/>
      <c r="LJ6" s="234"/>
      <c r="LK6" s="234"/>
      <c r="LL6" s="234"/>
      <c r="LM6" s="234"/>
      <c r="LN6" s="234"/>
      <c r="LO6" s="234"/>
      <c r="LP6" s="234"/>
      <c r="LQ6" s="234"/>
      <c r="LR6" s="234"/>
      <c r="LS6" s="234"/>
      <c r="LT6" s="234"/>
      <c r="LU6" s="234"/>
      <c r="LV6" s="234"/>
      <c r="LW6" s="234"/>
      <c r="LX6" s="234"/>
      <c r="LY6" s="234"/>
      <c r="LZ6" s="234"/>
      <c r="MA6" s="234"/>
      <c r="MB6" s="234"/>
      <c r="MC6" s="234"/>
      <c r="MD6" s="234"/>
      <c r="ME6" s="234"/>
      <c r="MF6" s="234"/>
      <c r="MG6" s="234"/>
      <c r="MH6" s="234"/>
      <c r="MI6" s="234"/>
      <c r="MJ6" s="234"/>
      <c r="MK6" s="234"/>
      <c r="ML6" s="234"/>
      <c r="MM6" s="234"/>
      <c r="MN6" s="234"/>
      <c r="MO6" s="234"/>
      <c r="MP6" s="234"/>
      <c r="MQ6" s="234"/>
      <c r="MR6" s="234"/>
      <c r="MS6" s="234"/>
      <c r="MT6" s="234"/>
      <c r="MU6" s="234"/>
      <c r="MV6" s="234"/>
      <c r="MW6" s="234"/>
      <c r="MX6" s="234"/>
      <c r="MY6" s="234"/>
      <c r="MZ6" s="234"/>
      <c r="NA6" s="234"/>
      <c r="NB6" s="234"/>
      <c r="NC6" s="234"/>
      <c r="ND6" s="234"/>
      <c r="NE6" s="234"/>
      <c r="NF6" s="234"/>
      <c r="NG6" s="234"/>
      <c r="NH6" s="234"/>
      <c r="NI6" s="234"/>
      <c r="NJ6" s="234"/>
      <c r="NK6" s="234"/>
      <c r="NL6" s="234"/>
      <c r="NM6" s="234"/>
      <c r="NN6" s="234"/>
      <c r="NO6" s="234"/>
    </row>
    <row r="7" spans="2:383" x14ac:dyDescent="0.3">
      <c r="B7" s="8">
        <v>43211</v>
      </c>
      <c r="C7" s="9">
        <v>35</v>
      </c>
      <c r="D7" s="206" t="s">
        <v>60</v>
      </c>
      <c r="E7" s="187" t="s">
        <v>26</v>
      </c>
      <c r="F7" s="351" t="s">
        <v>9</v>
      </c>
      <c r="G7" s="355" t="s">
        <v>1284</v>
      </c>
      <c r="H7" s="154" t="s">
        <v>1285</v>
      </c>
      <c r="I7" s="125"/>
      <c r="J7" s="41"/>
      <c r="K7" s="41"/>
      <c r="L7" s="41"/>
      <c r="M7" s="41"/>
      <c r="N7" s="234"/>
      <c r="O7" s="234"/>
      <c r="P7" s="41"/>
      <c r="Q7" s="41"/>
      <c r="R7" s="41"/>
      <c r="S7" s="41"/>
      <c r="T7" s="41"/>
      <c r="U7" s="230"/>
      <c r="V7" s="230"/>
      <c r="W7" s="41"/>
      <c r="X7" s="41"/>
      <c r="Y7" s="41"/>
      <c r="Z7" s="41"/>
      <c r="AA7" s="41"/>
      <c r="AB7" s="230"/>
      <c r="AC7" s="230"/>
      <c r="AD7" s="41"/>
      <c r="AE7" s="41"/>
      <c r="AF7" s="41"/>
      <c r="AG7" s="41"/>
      <c r="AH7" s="41"/>
      <c r="AI7" s="230"/>
      <c r="AJ7" s="230"/>
      <c r="AK7" s="41"/>
      <c r="AL7" s="41"/>
      <c r="AM7" s="41"/>
      <c r="AN7" s="41"/>
      <c r="AO7" s="41"/>
      <c r="AP7" s="230"/>
      <c r="AQ7" s="230"/>
      <c r="AR7" s="41"/>
      <c r="AS7" s="41"/>
      <c r="AT7" s="41"/>
      <c r="AU7" s="41"/>
      <c r="AV7" s="41"/>
      <c r="AW7" s="230"/>
      <c r="AX7" s="230"/>
      <c r="AY7" s="41"/>
      <c r="AZ7" s="41"/>
      <c r="BA7" s="41"/>
      <c r="BB7" s="41"/>
      <c r="BC7" s="41"/>
      <c r="BD7" s="230"/>
      <c r="BE7" s="230"/>
      <c r="BF7" s="41"/>
      <c r="BG7" s="41"/>
      <c r="BH7" s="41"/>
      <c r="BI7" s="41"/>
      <c r="BJ7" s="41"/>
      <c r="BK7" s="230"/>
      <c r="BL7" s="230"/>
      <c r="BM7" s="41"/>
      <c r="BN7" s="41"/>
      <c r="BO7" s="41"/>
      <c r="BP7" s="41"/>
      <c r="BQ7" s="41"/>
      <c r="BR7" s="234"/>
      <c r="BS7" s="234"/>
      <c r="BT7" s="41"/>
      <c r="BU7" s="41"/>
      <c r="BV7" s="41"/>
      <c r="BW7" s="41"/>
      <c r="BX7" s="41"/>
      <c r="BY7" s="234"/>
      <c r="BZ7" s="234"/>
      <c r="CA7" s="41"/>
      <c r="CB7" s="41"/>
      <c r="CC7" s="41"/>
      <c r="CD7" s="41"/>
      <c r="CE7" s="41"/>
      <c r="CF7" s="234"/>
      <c r="CG7" s="234"/>
      <c r="CH7" s="41"/>
      <c r="CI7" s="41"/>
      <c r="CJ7" s="41"/>
      <c r="CK7" s="41"/>
      <c r="CL7" s="41"/>
      <c r="CM7" s="234"/>
      <c r="CN7" s="234"/>
      <c r="CO7" s="41"/>
      <c r="CP7" s="41"/>
      <c r="CQ7" s="41"/>
      <c r="CR7" s="41"/>
      <c r="CS7" s="41"/>
      <c r="CT7" s="234"/>
      <c r="CU7" s="234"/>
      <c r="CV7" s="41"/>
      <c r="CW7" s="41"/>
      <c r="CX7" s="41"/>
      <c r="CY7" s="41"/>
      <c r="CZ7" s="41"/>
      <c r="DA7" s="234"/>
      <c r="DB7" s="234"/>
      <c r="DC7" s="41"/>
      <c r="DD7" s="41"/>
      <c r="DE7" s="41"/>
      <c r="DF7" s="41"/>
      <c r="DG7" s="41"/>
      <c r="DH7" s="234"/>
      <c r="DI7" s="234"/>
      <c r="DJ7" s="41"/>
      <c r="DK7" s="41"/>
      <c r="DL7" s="41"/>
      <c r="DM7" s="41"/>
      <c r="DN7" s="41"/>
      <c r="DO7" s="234"/>
      <c r="DP7" s="234"/>
      <c r="DQ7" s="41"/>
      <c r="DR7" s="41"/>
      <c r="DS7" s="41"/>
      <c r="DT7" s="41"/>
      <c r="DU7" s="41"/>
      <c r="DV7" s="234"/>
      <c r="DW7" s="234"/>
      <c r="DX7" s="41"/>
      <c r="DY7" s="41"/>
      <c r="DZ7" s="41"/>
      <c r="EA7" s="41"/>
      <c r="EB7" s="41"/>
      <c r="EC7" s="234"/>
      <c r="ED7" s="234"/>
      <c r="EE7" s="41"/>
      <c r="EF7" s="41"/>
      <c r="EG7" s="41"/>
      <c r="EH7" s="41"/>
      <c r="EI7" s="41"/>
      <c r="EJ7" s="234"/>
      <c r="EK7" s="234"/>
      <c r="EL7" s="41"/>
      <c r="EM7" s="41"/>
      <c r="EN7" s="41"/>
      <c r="EO7" s="41"/>
      <c r="EP7" s="41"/>
      <c r="EQ7" s="234"/>
      <c r="ER7" s="234"/>
      <c r="ES7" s="41"/>
      <c r="ET7" s="41"/>
      <c r="EU7" s="41"/>
      <c r="EV7" s="41"/>
      <c r="EW7" s="41"/>
      <c r="EX7" s="234"/>
      <c r="EY7" s="234"/>
      <c r="EZ7" s="41"/>
      <c r="FA7" s="41"/>
      <c r="FB7" s="41"/>
      <c r="FC7" s="41"/>
      <c r="FD7" s="41"/>
      <c r="FE7" s="234"/>
      <c r="FF7" s="234"/>
      <c r="FG7" s="41"/>
      <c r="FH7" s="41"/>
      <c r="FI7" s="41"/>
      <c r="FJ7" s="41"/>
      <c r="FK7" s="41"/>
      <c r="FL7" s="234"/>
      <c r="FM7" s="234"/>
      <c r="FN7" s="41"/>
      <c r="FO7" s="41"/>
      <c r="FP7" s="41"/>
      <c r="FQ7" s="41"/>
      <c r="FR7" s="41"/>
      <c r="FS7" s="234"/>
      <c r="FT7" s="234"/>
      <c r="FU7" s="41"/>
      <c r="FV7" s="41"/>
      <c r="FW7" s="41"/>
      <c r="FX7" s="41"/>
      <c r="FY7" s="41"/>
      <c r="FZ7" s="234"/>
      <c r="GA7" s="234"/>
      <c r="GB7" s="41"/>
      <c r="GC7" s="41"/>
      <c r="GD7" s="41"/>
      <c r="GE7" s="41"/>
      <c r="GF7" s="41"/>
      <c r="GG7" s="234"/>
      <c r="GH7" s="234"/>
      <c r="GI7" s="41"/>
      <c r="GJ7" s="41"/>
      <c r="GK7" s="41"/>
      <c r="GL7" s="41"/>
      <c r="GM7" s="41"/>
      <c r="GN7" s="234"/>
      <c r="GO7" s="234"/>
      <c r="GP7" s="41"/>
      <c r="GQ7" s="41"/>
      <c r="GR7" s="41"/>
      <c r="GS7" s="41"/>
      <c r="GT7" s="41"/>
      <c r="GU7" s="234"/>
      <c r="GV7" s="234"/>
      <c r="GW7" s="41" t="s">
        <v>460</v>
      </c>
      <c r="GX7" s="41"/>
      <c r="GY7" s="41"/>
      <c r="GZ7" s="41"/>
      <c r="HA7" s="41"/>
      <c r="HB7" s="230"/>
      <c r="HC7" s="230"/>
      <c r="HD7" s="372"/>
      <c r="HE7" s="372"/>
      <c r="HF7" s="372"/>
      <c r="HG7" s="372"/>
      <c r="HH7" s="372"/>
      <c r="HI7" s="230"/>
      <c r="HJ7" s="230"/>
      <c r="HK7" s="372"/>
      <c r="HL7" s="372"/>
      <c r="HM7" s="372"/>
      <c r="HN7" s="372"/>
      <c r="HO7" s="372"/>
      <c r="HP7" s="230"/>
      <c r="HQ7" s="230"/>
      <c r="HR7" s="372"/>
      <c r="HS7" s="372"/>
      <c r="HT7" s="372"/>
      <c r="HU7" s="372"/>
      <c r="HV7" s="372"/>
      <c r="HW7" s="230"/>
      <c r="HX7" s="230"/>
      <c r="HY7" s="372"/>
      <c r="HZ7" s="372"/>
      <c r="IA7" s="372"/>
      <c r="IB7" s="372"/>
      <c r="IC7" s="372"/>
      <c r="ID7" s="230"/>
      <c r="IE7" s="230"/>
      <c r="IF7" s="372"/>
      <c r="IG7" s="372"/>
      <c r="IH7" s="372"/>
      <c r="II7" s="372"/>
      <c r="IJ7" s="372"/>
      <c r="IK7" s="230"/>
      <c r="IL7" s="230"/>
      <c r="IM7" s="372"/>
      <c r="IN7" s="372"/>
      <c r="IO7" s="372"/>
      <c r="IP7" s="372"/>
      <c r="IQ7" s="372"/>
      <c r="IR7" s="234"/>
      <c r="IS7" s="234"/>
      <c r="IT7" s="372"/>
      <c r="IU7" s="372"/>
      <c r="IV7" s="372"/>
      <c r="IW7" s="372"/>
      <c r="IX7" s="372"/>
      <c r="IY7" s="234"/>
      <c r="IZ7" s="234"/>
      <c r="JA7" s="372"/>
      <c r="JB7" s="372"/>
      <c r="JC7" s="372"/>
      <c r="JD7" s="372"/>
      <c r="JE7" s="372"/>
      <c r="JF7" s="234"/>
      <c r="JG7" s="234"/>
      <c r="JH7" s="234"/>
      <c r="JI7" s="234"/>
      <c r="JJ7" s="234"/>
      <c r="JK7" s="234"/>
      <c r="JL7" s="234"/>
      <c r="JM7" s="234"/>
      <c r="JN7" s="234"/>
      <c r="JO7" s="234"/>
      <c r="JP7" s="234"/>
      <c r="JQ7" s="234"/>
      <c r="JR7" s="234"/>
      <c r="JS7" s="234"/>
      <c r="JT7" s="234"/>
      <c r="JU7" s="234"/>
      <c r="JV7" s="234"/>
      <c r="JW7" s="234"/>
      <c r="JX7" s="234"/>
      <c r="JY7" s="234"/>
      <c r="JZ7" s="234"/>
      <c r="KA7" s="234"/>
      <c r="KB7" s="234"/>
      <c r="KC7" s="234"/>
      <c r="KD7" s="234"/>
      <c r="KE7" s="234"/>
      <c r="KF7" s="234"/>
      <c r="KG7" s="234"/>
      <c r="KH7" s="234"/>
      <c r="KI7" s="234"/>
      <c r="KJ7" s="234"/>
      <c r="KK7" s="234"/>
      <c r="KL7" s="234"/>
      <c r="KM7" s="234"/>
      <c r="KN7" s="234"/>
      <c r="KO7" s="234"/>
      <c r="KP7" s="234"/>
      <c r="KQ7" s="234"/>
      <c r="KR7" s="234"/>
      <c r="KS7" s="234"/>
      <c r="KT7" s="234"/>
      <c r="KU7" s="234"/>
      <c r="KV7" s="234"/>
      <c r="KW7" s="234"/>
      <c r="KX7" s="234"/>
      <c r="KY7" s="234"/>
      <c r="KZ7" s="234"/>
      <c r="LA7" s="234"/>
      <c r="LB7" s="234"/>
      <c r="LC7" s="234"/>
      <c r="LD7" s="234"/>
      <c r="LE7" s="234"/>
      <c r="LF7" s="234"/>
      <c r="LG7" s="234"/>
      <c r="LH7" s="234"/>
      <c r="LI7" s="234"/>
      <c r="LJ7" s="234"/>
      <c r="LK7" s="234"/>
      <c r="LL7" s="234"/>
      <c r="LM7" s="234"/>
      <c r="LN7" s="234"/>
      <c r="LO7" s="234"/>
      <c r="LP7" s="234"/>
      <c r="LQ7" s="234"/>
      <c r="LR7" s="234"/>
      <c r="LS7" s="234"/>
      <c r="LT7" s="234"/>
      <c r="LU7" s="234"/>
      <c r="LV7" s="234"/>
      <c r="LW7" s="234"/>
      <c r="LX7" s="234"/>
      <c r="LY7" s="234"/>
      <c r="LZ7" s="234"/>
      <c r="MA7" s="234"/>
      <c r="MB7" s="234"/>
      <c r="MC7" s="234"/>
      <c r="MD7" s="234"/>
      <c r="ME7" s="234"/>
      <c r="MF7" s="234"/>
      <c r="MG7" s="234"/>
      <c r="MH7" s="234"/>
      <c r="MI7" s="234"/>
      <c r="MJ7" s="234"/>
      <c r="MK7" s="234"/>
      <c r="ML7" s="234"/>
      <c r="MM7" s="234"/>
      <c r="MN7" s="234"/>
      <c r="MO7" s="234"/>
      <c r="MP7" s="234"/>
      <c r="MQ7" s="234"/>
      <c r="MR7" s="234"/>
      <c r="MS7" s="234"/>
      <c r="MT7" s="234"/>
      <c r="MU7" s="234"/>
      <c r="MV7" s="234"/>
      <c r="MW7" s="234"/>
      <c r="MX7" s="234"/>
      <c r="MY7" s="234"/>
      <c r="MZ7" s="234"/>
      <c r="NA7" s="234"/>
      <c r="NB7" s="234"/>
      <c r="NC7" s="234"/>
      <c r="ND7" s="234"/>
      <c r="NE7" s="234"/>
      <c r="NF7" s="234"/>
      <c r="NG7" s="234"/>
      <c r="NH7" s="234"/>
      <c r="NI7" s="234"/>
      <c r="NJ7" s="234"/>
      <c r="NK7" s="234"/>
      <c r="NL7" s="234"/>
      <c r="NM7" s="234"/>
      <c r="NN7" s="234"/>
      <c r="NO7" s="234"/>
    </row>
    <row r="8" spans="2:383" x14ac:dyDescent="0.3">
      <c r="B8" s="38">
        <v>16882</v>
      </c>
      <c r="C8" s="9">
        <v>35</v>
      </c>
      <c r="D8" s="206" t="s">
        <v>60</v>
      </c>
      <c r="E8" s="187" t="s">
        <v>26</v>
      </c>
      <c r="F8" s="351" t="s">
        <v>9</v>
      </c>
      <c r="G8" s="363" t="s">
        <v>917</v>
      </c>
      <c r="H8" s="156" t="s">
        <v>896</v>
      </c>
      <c r="I8" s="125"/>
      <c r="J8" s="41"/>
      <c r="K8" s="41"/>
      <c r="L8" s="41"/>
      <c r="M8" s="41"/>
      <c r="N8" s="230"/>
      <c r="O8" s="230"/>
      <c r="P8" s="41"/>
      <c r="Q8" s="41"/>
      <c r="R8" s="41"/>
      <c r="S8" s="41"/>
      <c r="T8" s="41"/>
      <c r="U8" s="230"/>
      <c r="V8" s="230"/>
      <c r="W8" s="41"/>
      <c r="X8" s="41"/>
      <c r="Y8" s="41"/>
      <c r="Z8" s="41"/>
      <c r="AA8" s="41"/>
      <c r="AB8" s="230"/>
      <c r="AC8" s="230"/>
      <c r="AD8" s="41"/>
      <c r="AE8" s="41"/>
      <c r="AF8" s="41"/>
      <c r="AG8" s="41"/>
      <c r="AH8" s="41"/>
      <c r="AI8" s="230"/>
      <c r="AJ8" s="230"/>
      <c r="AK8" s="41"/>
      <c r="AL8" s="41"/>
      <c r="AM8" s="41"/>
      <c r="AN8" s="41"/>
      <c r="AO8" s="41"/>
      <c r="AP8" s="230"/>
      <c r="AQ8" s="230"/>
      <c r="AR8" s="41"/>
      <c r="AS8" s="41"/>
      <c r="AT8" s="41"/>
      <c r="AU8" s="41"/>
      <c r="AV8" s="41"/>
      <c r="AW8" s="230"/>
      <c r="AX8" s="230"/>
      <c r="AY8" s="41"/>
      <c r="AZ8" s="41"/>
      <c r="BA8" s="41"/>
      <c r="BB8" s="41"/>
      <c r="BC8" s="41"/>
      <c r="BD8" s="230"/>
      <c r="BE8" s="230"/>
      <c r="BF8" s="41"/>
      <c r="BG8" s="41"/>
      <c r="BH8" s="41"/>
      <c r="BI8" s="41"/>
      <c r="BJ8" s="41"/>
      <c r="BK8" s="230"/>
      <c r="BL8" s="230"/>
      <c r="BM8" s="41"/>
      <c r="BN8" s="41"/>
      <c r="BO8" s="41"/>
      <c r="BP8" s="41"/>
      <c r="BQ8" s="41"/>
      <c r="BR8" s="230"/>
      <c r="BS8" s="230"/>
      <c r="BT8" s="41"/>
      <c r="BU8" s="41"/>
      <c r="BV8" s="41"/>
      <c r="BW8" s="41"/>
      <c r="BX8" s="41"/>
      <c r="BY8" s="230"/>
      <c r="BZ8" s="230"/>
      <c r="CA8" s="41"/>
      <c r="CB8" s="41"/>
      <c r="CC8" s="41"/>
      <c r="CD8" s="41"/>
      <c r="CE8" s="41"/>
      <c r="CF8" s="234"/>
      <c r="CG8" s="234"/>
      <c r="CH8" s="41"/>
      <c r="CI8" s="41"/>
      <c r="CJ8" s="41"/>
      <c r="CK8" s="41"/>
      <c r="CL8" s="41"/>
      <c r="CM8" s="230"/>
      <c r="CN8" s="230"/>
      <c r="CO8" s="41"/>
      <c r="CP8" s="41"/>
      <c r="CQ8" s="41"/>
      <c r="CR8" s="41"/>
      <c r="CS8" s="41"/>
      <c r="CT8" s="230"/>
      <c r="CU8" s="230"/>
      <c r="CV8" s="41"/>
      <c r="CW8" s="41"/>
      <c r="CX8" s="41"/>
      <c r="CY8" s="41"/>
      <c r="CZ8" s="41"/>
      <c r="DA8" s="230"/>
      <c r="DB8" s="230"/>
      <c r="DC8" s="41"/>
      <c r="DD8" s="41"/>
      <c r="DE8" s="41"/>
      <c r="DF8" s="41"/>
      <c r="DG8" s="41"/>
      <c r="DH8" s="230"/>
      <c r="DI8" s="230"/>
      <c r="DJ8" s="41"/>
      <c r="DK8" s="41"/>
      <c r="DL8" s="41"/>
      <c r="DM8" s="41"/>
      <c r="DN8" s="41"/>
      <c r="DO8" s="230"/>
      <c r="DP8" s="230"/>
      <c r="DQ8" s="41" t="s">
        <v>460</v>
      </c>
      <c r="DR8" s="41"/>
      <c r="DS8" s="41"/>
      <c r="DT8" s="41"/>
      <c r="DU8" s="41"/>
      <c r="DV8" s="230"/>
      <c r="DW8" s="234"/>
      <c r="DX8" s="41"/>
      <c r="DY8" s="41"/>
      <c r="DZ8" s="41"/>
      <c r="EA8" s="41" t="s">
        <v>460</v>
      </c>
      <c r="EB8" s="41"/>
      <c r="EC8" s="230"/>
      <c r="ED8" s="230"/>
      <c r="EE8" s="41"/>
      <c r="EF8" s="41"/>
      <c r="EG8" s="41"/>
      <c r="EH8" s="41"/>
      <c r="EI8" s="41"/>
      <c r="EJ8" s="230"/>
      <c r="EK8" s="230"/>
      <c r="EL8" s="41"/>
      <c r="EM8" s="41"/>
      <c r="EN8" s="41"/>
      <c r="EO8" s="41"/>
      <c r="EP8" s="41"/>
      <c r="EQ8" s="230"/>
      <c r="ER8" s="230"/>
      <c r="ES8" s="41"/>
      <c r="ET8" s="41"/>
      <c r="EU8" s="41"/>
      <c r="EV8" s="41"/>
      <c r="EW8" s="41"/>
      <c r="EX8" s="230"/>
      <c r="EY8" s="230"/>
      <c r="EZ8" s="41"/>
      <c r="FA8" s="41"/>
      <c r="FB8" s="41"/>
      <c r="FC8" s="41"/>
      <c r="FD8" s="41"/>
      <c r="FE8" s="230"/>
      <c r="FF8" s="230"/>
      <c r="FG8" s="41"/>
      <c r="FH8" s="41"/>
      <c r="FI8" s="41"/>
      <c r="FJ8" s="41"/>
      <c r="FK8" s="41"/>
      <c r="FL8" s="230"/>
      <c r="FM8" s="230"/>
      <c r="FN8" s="41" t="s">
        <v>460</v>
      </c>
      <c r="FO8" s="41"/>
      <c r="FP8" s="41"/>
      <c r="FQ8" s="41"/>
      <c r="FR8" s="41"/>
      <c r="FS8" s="230"/>
      <c r="FT8" s="230"/>
      <c r="FU8" s="41"/>
      <c r="FV8" s="41"/>
      <c r="FW8" s="41"/>
      <c r="FX8" s="41"/>
      <c r="FY8" s="41"/>
      <c r="FZ8" s="230"/>
      <c r="GA8" s="230"/>
      <c r="GB8" s="41"/>
      <c r="GC8" s="41"/>
      <c r="GD8" s="41"/>
      <c r="GE8" s="41"/>
      <c r="GF8" s="41"/>
      <c r="GG8" s="230"/>
      <c r="GH8" s="230"/>
      <c r="GI8" s="41"/>
      <c r="GJ8" s="41"/>
      <c r="GK8" s="41"/>
      <c r="GL8" s="41"/>
      <c r="GM8" s="41"/>
      <c r="GN8" s="230"/>
      <c r="GO8" s="230"/>
      <c r="GP8" s="41"/>
      <c r="GQ8" s="41"/>
      <c r="GR8" s="41"/>
      <c r="GS8" s="41"/>
      <c r="GT8" s="41"/>
      <c r="GU8" s="230"/>
      <c r="GV8" s="230"/>
      <c r="GW8" s="41" t="s">
        <v>460</v>
      </c>
      <c r="GX8" s="41"/>
      <c r="GY8" s="41"/>
      <c r="GZ8" s="41"/>
      <c r="HA8" s="41"/>
      <c r="HB8" s="230"/>
      <c r="HC8" s="230"/>
      <c r="HD8" s="372"/>
      <c r="HE8" s="372"/>
      <c r="HF8" s="372"/>
      <c r="HG8" s="372"/>
      <c r="HH8" s="372"/>
      <c r="HI8" s="230"/>
      <c r="HJ8" s="230"/>
      <c r="HK8" s="372"/>
      <c r="HL8" s="372"/>
      <c r="HM8" s="372"/>
      <c r="HN8" s="372"/>
      <c r="HO8" s="372"/>
      <c r="HP8" s="230"/>
      <c r="HQ8" s="230"/>
      <c r="HR8" s="372"/>
      <c r="HS8" s="372"/>
      <c r="HT8" s="372"/>
      <c r="HU8" s="372"/>
      <c r="HV8" s="372"/>
      <c r="HW8" s="230"/>
      <c r="HX8" s="230"/>
      <c r="HY8" s="372"/>
      <c r="HZ8" s="372"/>
      <c r="IA8" s="372"/>
      <c r="IB8" s="372"/>
      <c r="IC8" s="372"/>
      <c r="ID8" s="230"/>
      <c r="IE8" s="230"/>
      <c r="IF8" s="372"/>
      <c r="IG8" s="372"/>
      <c r="IH8" s="372"/>
      <c r="II8" s="372"/>
      <c r="IJ8" s="372"/>
      <c r="IK8" s="230"/>
      <c r="IL8" s="230"/>
      <c r="IM8" s="372"/>
      <c r="IN8" s="372"/>
      <c r="IO8" s="372"/>
      <c r="IP8" s="372"/>
      <c r="IQ8" s="372"/>
      <c r="IR8" s="234"/>
      <c r="IS8" s="234"/>
      <c r="IT8" s="372"/>
      <c r="IU8" s="372"/>
      <c r="IV8" s="372"/>
      <c r="IW8" s="372"/>
      <c r="IX8" s="372"/>
      <c r="IY8" s="234"/>
      <c r="IZ8" s="234"/>
      <c r="JA8" s="372"/>
      <c r="JB8" s="372"/>
      <c r="JC8" s="372"/>
      <c r="JD8" s="372"/>
      <c r="JE8" s="372"/>
      <c r="JF8" s="234"/>
      <c r="JG8" s="234"/>
      <c r="JH8" s="234"/>
      <c r="JI8" s="234"/>
      <c r="JJ8" s="234"/>
      <c r="JK8" s="234"/>
      <c r="JL8" s="234"/>
      <c r="JM8" s="234"/>
      <c r="JN8" s="234"/>
      <c r="JO8" s="234"/>
      <c r="JP8" s="234"/>
      <c r="JQ8" s="234"/>
      <c r="JR8" s="234"/>
      <c r="JS8" s="234"/>
      <c r="JT8" s="234"/>
      <c r="JU8" s="234"/>
      <c r="JV8" s="234"/>
      <c r="JW8" s="234"/>
      <c r="JX8" s="234"/>
      <c r="JY8" s="234"/>
      <c r="JZ8" s="234"/>
      <c r="KA8" s="234"/>
      <c r="KB8" s="234"/>
      <c r="KC8" s="234"/>
      <c r="KD8" s="234"/>
      <c r="KE8" s="234"/>
      <c r="KF8" s="234"/>
      <c r="KG8" s="234"/>
      <c r="KH8" s="234"/>
      <c r="KI8" s="234"/>
      <c r="KJ8" s="234"/>
      <c r="KK8" s="234"/>
      <c r="KL8" s="234"/>
      <c r="KM8" s="234"/>
      <c r="KN8" s="234"/>
      <c r="KO8" s="234"/>
      <c r="KP8" s="234"/>
      <c r="KQ8" s="234"/>
      <c r="KR8" s="234"/>
      <c r="KS8" s="234"/>
      <c r="KT8" s="234"/>
      <c r="KU8" s="234"/>
      <c r="KV8" s="234"/>
      <c r="KW8" s="234"/>
      <c r="KX8" s="234"/>
      <c r="KY8" s="234"/>
      <c r="KZ8" s="234"/>
      <c r="LA8" s="234"/>
      <c r="LB8" s="234"/>
      <c r="LC8" s="234"/>
      <c r="LD8" s="234"/>
      <c r="LE8" s="234"/>
      <c r="LF8" s="234"/>
      <c r="LG8" s="234"/>
      <c r="LH8" s="234"/>
      <c r="LI8" s="234"/>
      <c r="LJ8" s="234"/>
      <c r="LK8" s="234"/>
      <c r="LL8" s="234"/>
      <c r="LM8" s="234"/>
      <c r="LN8" s="234"/>
      <c r="LO8" s="234"/>
      <c r="LP8" s="234"/>
      <c r="LQ8" s="234"/>
      <c r="LR8" s="234"/>
      <c r="LS8" s="234"/>
      <c r="LT8" s="234"/>
      <c r="LU8" s="234"/>
      <c r="LV8" s="234"/>
      <c r="LW8" s="234"/>
      <c r="LX8" s="234"/>
      <c r="LY8" s="234"/>
      <c r="LZ8" s="234"/>
      <c r="MA8" s="234"/>
      <c r="MB8" s="234"/>
      <c r="MC8" s="234"/>
      <c r="MD8" s="234"/>
      <c r="ME8" s="234"/>
      <c r="MF8" s="234"/>
      <c r="MG8" s="234"/>
      <c r="MH8" s="234"/>
      <c r="MI8" s="234"/>
      <c r="MJ8" s="234"/>
      <c r="MK8" s="234"/>
      <c r="ML8" s="234"/>
      <c r="MM8" s="234"/>
      <c r="MN8" s="234"/>
      <c r="MO8" s="234"/>
      <c r="MP8" s="234"/>
      <c r="MQ8" s="234"/>
      <c r="MR8" s="234"/>
      <c r="MS8" s="234"/>
      <c r="MT8" s="234"/>
      <c r="MU8" s="234"/>
      <c r="MV8" s="234"/>
      <c r="MW8" s="234"/>
      <c r="MX8" s="234"/>
      <c r="MY8" s="234"/>
      <c r="MZ8" s="234"/>
      <c r="NA8" s="234"/>
      <c r="NB8" s="234"/>
      <c r="NC8" s="234"/>
      <c r="ND8" s="234"/>
      <c r="NE8" s="234"/>
      <c r="NF8" s="234"/>
      <c r="NG8" s="234"/>
      <c r="NH8" s="234"/>
      <c r="NI8" s="234"/>
      <c r="NJ8" s="234"/>
      <c r="NK8" s="234"/>
      <c r="NL8" s="234"/>
      <c r="NM8" s="234"/>
      <c r="NN8" s="234"/>
      <c r="NO8" s="234"/>
    </row>
    <row r="9" spans="2:383" x14ac:dyDescent="0.3">
      <c r="B9" s="8">
        <v>48567</v>
      </c>
      <c r="C9" s="9">
        <v>35</v>
      </c>
      <c r="D9" s="206" t="s">
        <v>60</v>
      </c>
      <c r="E9" s="187" t="s">
        <v>26</v>
      </c>
      <c r="F9" s="351" t="s">
        <v>9</v>
      </c>
      <c r="G9" s="363" t="s">
        <v>1299</v>
      </c>
      <c r="H9" s="156" t="s">
        <v>124</v>
      </c>
      <c r="I9" s="125"/>
      <c r="J9" s="41"/>
      <c r="K9" s="41"/>
      <c r="L9" s="41"/>
      <c r="M9" s="41"/>
      <c r="N9" s="230"/>
      <c r="O9" s="230"/>
      <c r="P9" s="41"/>
      <c r="Q9" s="41"/>
      <c r="R9" s="41"/>
      <c r="S9" s="41"/>
      <c r="T9" s="41"/>
      <c r="U9" s="230"/>
      <c r="V9" s="230"/>
      <c r="W9" s="41"/>
      <c r="X9" s="41"/>
      <c r="Y9" s="41"/>
      <c r="Z9" s="41"/>
      <c r="AA9" s="41"/>
      <c r="AB9" s="230"/>
      <c r="AC9" s="230"/>
      <c r="AD9" s="41"/>
      <c r="AE9" s="41"/>
      <c r="AF9" s="41"/>
      <c r="AG9" s="41"/>
      <c r="AH9" s="41"/>
      <c r="AI9" s="230"/>
      <c r="AJ9" s="230"/>
      <c r="AK9" s="41"/>
      <c r="AL9" s="41"/>
      <c r="AM9" s="41"/>
      <c r="AN9" s="41"/>
      <c r="AO9" s="41"/>
      <c r="AP9" s="230"/>
      <c r="AQ9" s="230"/>
      <c r="AR9" s="41"/>
      <c r="AS9" s="41"/>
      <c r="AT9" s="41"/>
      <c r="AU9" s="41"/>
      <c r="AV9" s="41"/>
      <c r="AW9" s="230"/>
      <c r="AX9" s="230"/>
      <c r="AY9" s="41"/>
      <c r="AZ9" s="41"/>
      <c r="BA9" s="41"/>
      <c r="BB9" s="41"/>
      <c r="BC9" s="41"/>
      <c r="BD9" s="230"/>
      <c r="BE9" s="230"/>
      <c r="BF9" s="41"/>
      <c r="BG9" s="41"/>
      <c r="BH9" s="41"/>
      <c r="BI9" s="41"/>
      <c r="BJ9" s="41"/>
      <c r="BK9" s="230"/>
      <c r="BL9" s="230"/>
      <c r="BM9" s="41"/>
      <c r="BN9" s="41"/>
      <c r="BO9" s="41"/>
      <c r="BP9" s="41"/>
      <c r="BQ9" s="41"/>
      <c r="BR9" s="230"/>
      <c r="BS9" s="230"/>
      <c r="BT9" s="41"/>
      <c r="BU9" s="41"/>
      <c r="BV9" s="41"/>
      <c r="BW9" s="41"/>
      <c r="BX9" s="41"/>
      <c r="BY9" s="230"/>
      <c r="BZ9" s="230"/>
      <c r="CA9" s="41"/>
      <c r="CB9" s="41"/>
      <c r="CC9" s="41"/>
      <c r="CD9" s="41"/>
      <c r="CE9" s="41"/>
      <c r="CF9" s="234"/>
      <c r="CG9" s="234"/>
      <c r="CH9" s="41"/>
      <c r="CI9" s="41"/>
      <c r="CJ9" s="41"/>
      <c r="CK9" s="41"/>
      <c r="CL9" s="41"/>
      <c r="CM9" s="230"/>
      <c r="CN9" s="230"/>
      <c r="CO9" s="41"/>
      <c r="CP9" s="41"/>
      <c r="CQ9" s="41"/>
      <c r="CR9" s="41"/>
      <c r="CS9" s="41"/>
      <c r="CT9" s="230"/>
      <c r="CU9" s="230"/>
      <c r="CV9" s="41"/>
      <c r="CW9" s="41"/>
      <c r="CX9" s="41"/>
      <c r="CY9" s="41"/>
      <c r="CZ9" s="41"/>
      <c r="DA9" s="230"/>
      <c r="DB9" s="230"/>
      <c r="DC9" s="41"/>
      <c r="DD9" s="41"/>
      <c r="DE9" s="41"/>
      <c r="DF9" s="41"/>
      <c r="DG9" s="41"/>
      <c r="DH9" s="230"/>
      <c r="DI9" s="230"/>
      <c r="DJ9" s="41"/>
      <c r="DK9" s="41"/>
      <c r="DL9" s="41"/>
      <c r="DM9" s="41"/>
      <c r="DN9" s="41"/>
      <c r="DO9" s="230"/>
      <c r="DP9" s="230"/>
      <c r="DQ9" s="41"/>
      <c r="DR9" s="41"/>
      <c r="DS9" s="41"/>
      <c r="DT9" s="41"/>
      <c r="DU9" s="41"/>
      <c r="DV9" s="230"/>
      <c r="DW9" s="234"/>
      <c r="DX9" s="41"/>
      <c r="DY9" s="41"/>
      <c r="DZ9" s="41"/>
      <c r="EA9" s="41"/>
      <c r="EB9" s="41"/>
      <c r="EC9" s="230"/>
      <c r="ED9" s="230"/>
      <c r="EE9" s="41"/>
      <c r="EF9" s="41"/>
      <c r="EG9" s="41"/>
      <c r="EH9" s="41"/>
      <c r="EI9" s="41"/>
      <c r="EJ9" s="230"/>
      <c r="EK9" s="230"/>
      <c r="EL9" s="41"/>
      <c r="EM9" s="41"/>
      <c r="EN9" s="41"/>
      <c r="EO9" s="41"/>
      <c r="EP9" s="41"/>
      <c r="EQ9" s="230"/>
      <c r="ER9" s="230"/>
      <c r="ES9" s="41"/>
      <c r="ET9" s="41"/>
      <c r="EU9" s="41"/>
      <c r="EV9" s="41"/>
      <c r="EW9" s="41"/>
      <c r="EX9" s="230"/>
      <c r="EY9" s="230"/>
      <c r="EZ9" s="41"/>
      <c r="FA9" s="41"/>
      <c r="FB9" s="41"/>
      <c r="FC9" s="41"/>
      <c r="FD9" s="41"/>
      <c r="FE9" s="230"/>
      <c r="FF9" s="230"/>
      <c r="FG9" s="41"/>
      <c r="FH9" s="41"/>
      <c r="FI9" s="41"/>
      <c r="FJ9" s="41"/>
      <c r="FK9" s="41"/>
      <c r="FL9" s="230"/>
      <c r="FM9" s="230"/>
      <c r="FN9" s="41"/>
      <c r="FO9" s="41"/>
      <c r="FP9" s="41"/>
      <c r="FQ9" s="41"/>
      <c r="FR9" s="41"/>
      <c r="FS9" s="230"/>
      <c r="FT9" s="230"/>
      <c r="FU9" s="41"/>
      <c r="FV9" s="41"/>
      <c r="FW9" s="41"/>
      <c r="FX9" s="41"/>
      <c r="FY9" s="41"/>
      <c r="FZ9" s="230"/>
      <c r="GA9" s="230"/>
      <c r="GB9" s="41"/>
      <c r="GC9" s="41"/>
      <c r="GD9" s="41"/>
      <c r="GE9" s="41"/>
      <c r="GF9" s="41"/>
      <c r="GG9" s="230"/>
      <c r="GH9" s="230"/>
      <c r="GI9" s="41"/>
      <c r="GJ9" s="41"/>
      <c r="GK9" s="41"/>
      <c r="GL9" s="41"/>
      <c r="GM9" s="41"/>
      <c r="GN9" s="230"/>
      <c r="GO9" s="230"/>
      <c r="GP9" s="41"/>
      <c r="GQ9" s="41"/>
      <c r="GR9" s="41"/>
      <c r="GS9" s="41"/>
      <c r="GT9" s="41"/>
      <c r="GU9" s="230"/>
      <c r="GV9" s="230"/>
      <c r="GW9" s="41" t="s">
        <v>460</v>
      </c>
      <c r="GX9" s="41"/>
      <c r="GY9" s="41"/>
      <c r="GZ9" s="41"/>
      <c r="HA9" s="41"/>
      <c r="HB9" s="230"/>
      <c r="HC9" s="230"/>
      <c r="HD9" s="372"/>
      <c r="HE9" s="372"/>
      <c r="HF9" s="372"/>
      <c r="HG9" s="372"/>
      <c r="HH9" s="372"/>
      <c r="HI9" s="230"/>
      <c r="HJ9" s="230"/>
      <c r="HK9" s="372" t="s">
        <v>460</v>
      </c>
      <c r="HL9" s="372" t="s">
        <v>460</v>
      </c>
      <c r="HM9" s="372" t="s">
        <v>460</v>
      </c>
      <c r="HN9" s="372" t="s">
        <v>460</v>
      </c>
      <c r="HO9" s="372" t="s">
        <v>460</v>
      </c>
      <c r="HP9" s="230"/>
      <c r="HQ9" s="230"/>
      <c r="HR9" s="372" t="s">
        <v>460</v>
      </c>
      <c r="HS9" s="372" t="s">
        <v>460</v>
      </c>
      <c r="HT9" s="372" t="s">
        <v>460</v>
      </c>
      <c r="HU9" s="372" t="s">
        <v>460</v>
      </c>
      <c r="HV9" s="372" t="s">
        <v>460</v>
      </c>
      <c r="HW9" s="230"/>
      <c r="HX9" s="230"/>
      <c r="HY9" s="372"/>
      <c r="HZ9" s="372"/>
      <c r="IA9" s="372"/>
      <c r="IB9" s="372"/>
      <c r="IC9" s="372"/>
      <c r="ID9" s="230"/>
      <c r="IE9" s="230"/>
      <c r="IF9" s="372"/>
      <c r="IG9" s="372"/>
      <c r="IH9" s="372"/>
      <c r="II9" s="372"/>
      <c r="IJ9" s="372"/>
      <c r="IK9" s="230"/>
      <c r="IL9" s="230"/>
      <c r="IM9" s="372"/>
      <c r="IN9" s="372"/>
      <c r="IO9" s="372"/>
      <c r="IP9" s="372"/>
      <c r="IQ9" s="372"/>
      <c r="IR9" s="234"/>
      <c r="IS9" s="234"/>
      <c r="IT9" s="372"/>
      <c r="IU9" s="372"/>
      <c r="IV9" s="372"/>
      <c r="IW9" s="372"/>
      <c r="IX9" s="372"/>
      <c r="IY9" s="234"/>
      <c r="IZ9" s="234"/>
      <c r="JA9" s="372"/>
      <c r="JB9" s="372"/>
      <c r="JC9" s="372"/>
      <c r="JD9" s="372"/>
      <c r="JE9" s="372"/>
      <c r="JF9" s="234"/>
      <c r="JG9" s="234"/>
      <c r="JH9" s="234"/>
      <c r="JI9" s="234"/>
      <c r="JJ9" s="234"/>
      <c r="JK9" s="234"/>
      <c r="JL9" s="234"/>
      <c r="JM9" s="234"/>
      <c r="JN9" s="234"/>
      <c r="JO9" s="234"/>
      <c r="JP9" s="234"/>
      <c r="JQ9" s="234"/>
      <c r="JR9" s="234"/>
      <c r="JS9" s="234"/>
      <c r="JT9" s="234"/>
      <c r="JU9" s="234"/>
      <c r="JV9" s="234"/>
      <c r="JW9" s="234"/>
      <c r="JX9" s="234"/>
      <c r="JY9" s="234"/>
      <c r="JZ9" s="234"/>
      <c r="KA9" s="234"/>
      <c r="KB9" s="234"/>
      <c r="KC9" s="234"/>
      <c r="KD9" s="234"/>
      <c r="KE9" s="234"/>
      <c r="KF9" s="234"/>
      <c r="KG9" s="234"/>
      <c r="KH9" s="234"/>
      <c r="KI9" s="234"/>
      <c r="KJ9" s="234"/>
      <c r="KK9" s="234"/>
      <c r="KL9" s="234"/>
      <c r="KM9" s="234"/>
      <c r="KN9" s="234"/>
      <c r="KO9" s="234"/>
      <c r="KP9" s="234"/>
      <c r="KQ9" s="234"/>
      <c r="KR9" s="234"/>
      <c r="KS9" s="234"/>
      <c r="KT9" s="234"/>
      <c r="KU9" s="234"/>
      <c r="KV9" s="234"/>
      <c r="KW9" s="234"/>
      <c r="KX9" s="234"/>
      <c r="KY9" s="234"/>
      <c r="KZ9" s="234"/>
      <c r="LA9" s="234"/>
      <c r="LB9" s="234"/>
      <c r="LC9" s="234"/>
      <c r="LD9" s="234"/>
      <c r="LE9" s="234"/>
      <c r="LF9" s="234"/>
      <c r="LG9" s="234"/>
      <c r="LH9" s="234"/>
      <c r="LI9" s="234"/>
      <c r="LJ9" s="234"/>
      <c r="LK9" s="234"/>
      <c r="LL9" s="234"/>
      <c r="LM9" s="234"/>
      <c r="LN9" s="234"/>
      <c r="LO9" s="234"/>
      <c r="LP9" s="234"/>
      <c r="LQ9" s="234"/>
      <c r="LR9" s="234"/>
      <c r="LS9" s="234"/>
      <c r="LT9" s="234"/>
      <c r="LU9" s="234"/>
      <c r="LV9" s="234"/>
      <c r="LW9" s="234"/>
      <c r="LX9" s="234"/>
      <c r="LY9" s="234"/>
      <c r="LZ9" s="234"/>
      <c r="MA9" s="234"/>
      <c r="MB9" s="234"/>
      <c r="MC9" s="234"/>
      <c r="MD9" s="234"/>
      <c r="ME9" s="234"/>
      <c r="MF9" s="234"/>
      <c r="MG9" s="234"/>
      <c r="MH9" s="234"/>
      <c r="MI9" s="234"/>
      <c r="MJ9" s="234"/>
      <c r="MK9" s="234"/>
      <c r="ML9" s="234"/>
      <c r="MM9" s="234"/>
      <c r="MN9" s="234"/>
      <c r="MO9" s="234"/>
      <c r="MP9" s="234"/>
      <c r="MQ9" s="234"/>
      <c r="MR9" s="234"/>
      <c r="MS9" s="234"/>
      <c r="MT9" s="234"/>
      <c r="MU9" s="234"/>
      <c r="MV9" s="234"/>
      <c r="MW9" s="234"/>
      <c r="MX9" s="234"/>
      <c r="MY9" s="234"/>
      <c r="MZ9" s="234"/>
      <c r="NA9" s="234"/>
      <c r="NB9" s="234"/>
      <c r="NC9" s="234"/>
      <c r="ND9" s="234"/>
      <c r="NE9" s="234"/>
      <c r="NF9" s="234"/>
      <c r="NG9" s="234"/>
      <c r="NH9" s="234"/>
      <c r="NI9" s="234"/>
      <c r="NJ9" s="234"/>
      <c r="NK9" s="234"/>
      <c r="NL9" s="234"/>
      <c r="NM9" s="234"/>
      <c r="NN9" s="234"/>
      <c r="NO9" s="234"/>
    </row>
    <row r="10" spans="2:383" x14ac:dyDescent="0.3">
      <c r="B10" s="8">
        <v>54903</v>
      </c>
      <c r="C10" s="9">
        <v>35</v>
      </c>
      <c r="D10" s="206" t="s">
        <v>60</v>
      </c>
      <c r="E10" s="187" t="s">
        <v>26</v>
      </c>
      <c r="F10" s="351" t="s">
        <v>9</v>
      </c>
      <c r="G10" s="379" t="s">
        <v>1283</v>
      </c>
      <c r="H10" s="167" t="s">
        <v>1286</v>
      </c>
      <c r="I10" s="125"/>
      <c r="J10" s="41"/>
      <c r="K10" s="41"/>
      <c r="L10" s="41"/>
      <c r="M10" s="41"/>
      <c r="N10" s="234"/>
      <c r="O10" s="234"/>
      <c r="P10" s="41"/>
      <c r="Q10" s="41"/>
      <c r="R10" s="41"/>
      <c r="S10" s="41"/>
      <c r="T10" s="41"/>
      <c r="U10" s="230"/>
      <c r="V10" s="230"/>
      <c r="W10" s="41"/>
      <c r="X10" s="41"/>
      <c r="Y10" s="41"/>
      <c r="Z10" s="41"/>
      <c r="AA10" s="41"/>
      <c r="AB10" s="230"/>
      <c r="AC10" s="230"/>
      <c r="AD10" s="41"/>
      <c r="AE10" s="41"/>
      <c r="AF10" s="41"/>
      <c r="AG10" s="41"/>
      <c r="AH10" s="41"/>
      <c r="AI10" s="230"/>
      <c r="AJ10" s="230"/>
      <c r="AK10" s="41"/>
      <c r="AL10" s="41"/>
      <c r="AM10" s="41"/>
      <c r="AN10" s="41"/>
      <c r="AO10" s="41"/>
      <c r="AP10" s="230"/>
      <c r="AQ10" s="230"/>
      <c r="AR10" s="41"/>
      <c r="AS10" s="41"/>
      <c r="AT10" s="41"/>
      <c r="AU10" s="41"/>
      <c r="AV10" s="41"/>
      <c r="AW10" s="230"/>
      <c r="AX10" s="230"/>
      <c r="AY10" s="41"/>
      <c r="AZ10" s="41"/>
      <c r="BA10" s="41"/>
      <c r="BB10" s="41"/>
      <c r="BC10" s="41"/>
      <c r="BD10" s="230"/>
      <c r="BE10" s="230"/>
      <c r="BF10" s="41"/>
      <c r="BG10" s="41"/>
      <c r="BH10" s="41"/>
      <c r="BI10" s="41"/>
      <c r="BJ10" s="41"/>
      <c r="BK10" s="230"/>
      <c r="BL10" s="230"/>
      <c r="BM10" s="41"/>
      <c r="BN10" s="41"/>
      <c r="BO10" s="41"/>
      <c r="BP10" s="41"/>
      <c r="BQ10" s="41"/>
      <c r="BR10" s="234"/>
      <c r="BS10" s="234"/>
      <c r="BT10" s="41"/>
      <c r="BU10" s="41"/>
      <c r="BV10" s="41"/>
      <c r="BW10" s="41"/>
      <c r="BX10" s="41"/>
      <c r="BY10" s="234"/>
      <c r="BZ10" s="234"/>
      <c r="CA10" s="41"/>
      <c r="CB10" s="41"/>
      <c r="CC10" s="41"/>
      <c r="CD10" s="41"/>
      <c r="CE10" s="41"/>
      <c r="CF10" s="234"/>
      <c r="CG10" s="234"/>
      <c r="CH10" s="41"/>
      <c r="CI10" s="41"/>
      <c r="CJ10" s="41"/>
      <c r="CK10" s="41"/>
      <c r="CL10" s="41"/>
      <c r="CM10" s="234"/>
      <c r="CN10" s="234"/>
      <c r="CO10" s="41"/>
      <c r="CP10" s="41"/>
      <c r="CQ10" s="41"/>
      <c r="CR10" s="41"/>
      <c r="CS10" s="41"/>
      <c r="CT10" s="234"/>
      <c r="CU10" s="234"/>
      <c r="CV10" s="41"/>
      <c r="CW10" s="41"/>
      <c r="CX10" s="41"/>
      <c r="CY10" s="41"/>
      <c r="CZ10" s="41"/>
      <c r="DA10" s="234"/>
      <c r="DB10" s="234"/>
      <c r="DC10" s="41"/>
      <c r="DD10" s="41"/>
      <c r="DE10" s="41"/>
      <c r="DF10" s="41"/>
      <c r="DG10" s="41"/>
      <c r="DH10" s="234"/>
      <c r="DI10" s="234"/>
      <c r="DJ10" s="41"/>
      <c r="DK10" s="41"/>
      <c r="DL10" s="41"/>
      <c r="DM10" s="41"/>
      <c r="DN10" s="41"/>
      <c r="DO10" s="234"/>
      <c r="DP10" s="234"/>
      <c r="DQ10" s="41"/>
      <c r="DR10" s="41"/>
      <c r="DS10" s="41"/>
      <c r="DT10" s="41"/>
      <c r="DU10" s="41"/>
      <c r="DV10" s="234"/>
      <c r="DW10" s="234"/>
      <c r="DX10" s="41"/>
      <c r="DY10" s="41"/>
      <c r="DZ10" s="41"/>
      <c r="EA10" s="41"/>
      <c r="EB10" s="41"/>
      <c r="EC10" s="234"/>
      <c r="ED10" s="234"/>
      <c r="EE10" s="41"/>
      <c r="EF10" s="41"/>
      <c r="EG10" s="41"/>
      <c r="EH10" s="41"/>
      <c r="EI10" s="41"/>
      <c r="EJ10" s="234"/>
      <c r="EK10" s="234"/>
      <c r="EL10" s="41"/>
      <c r="EM10" s="41"/>
      <c r="EN10" s="41"/>
      <c r="EO10" s="41"/>
      <c r="EP10" s="41"/>
      <c r="EQ10" s="234"/>
      <c r="ER10" s="234"/>
      <c r="ES10" s="41"/>
      <c r="ET10" s="41"/>
      <c r="EU10" s="41"/>
      <c r="EV10" s="41"/>
      <c r="EW10" s="41"/>
      <c r="EX10" s="234"/>
      <c r="EY10" s="234"/>
      <c r="EZ10" s="41"/>
      <c r="FA10" s="41"/>
      <c r="FB10" s="41"/>
      <c r="FC10" s="41"/>
      <c r="FD10" s="41"/>
      <c r="FE10" s="234"/>
      <c r="FF10" s="234"/>
      <c r="FG10" s="41"/>
      <c r="FH10" s="41"/>
      <c r="FI10" s="41"/>
      <c r="FJ10" s="41"/>
      <c r="FK10" s="41"/>
      <c r="FL10" s="234"/>
      <c r="FM10" s="234"/>
      <c r="FN10" s="41"/>
      <c r="FO10" s="41"/>
      <c r="FP10" s="41"/>
      <c r="FQ10" s="41"/>
      <c r="FR10" s="41"/>
      <c r="FS10" s="234"/>
      <c r="FT10" s="234"/>
      <c r="FU10" s="41"/>
      <c r="FV10" s="41"/>
      <c r="FW10" s="41"/>
      <c r="FX10" s="41"/>
      <c r="FY10" s="41"/>
      <c r="FZ10" s="234"/>
      <c r="GA10" s="234"/>
      <c r="GB10" s="41"/>
      <c r="GC10" s="41"/>
      <c r="GD10" s="41"/>
      <c r="GE10" s="41"/>
      <c r="GF10" s="41"/>
      <c r="GG10" s="234"/>
      <c r="GH10" s="234"/>
      <c r="GI10" s="41"/>
      <c r="GJ10" s="41"/>
      <c r="GK10" s="41"/>
      <c r="GL10" s="41"/>
      <c r="GM10" s="41"/>
      <c r="GN10" s="234"/>
      <c r="GO10" s="234"/>
      <c r="GP10" s="41"/>
      <c r="GQ10" s="41"/>
      <c r="GR10" s="41"/>
      <c r="GS10" s="41"/>
      <c r="GT10" s="41"/>
      <c r="GU10" s="234"/>
      <c r="GV10" s="234"/>
      <c r="GW10" s="41" t="s">
        <v>460</v>
      </c>
      <c r="GX10" s="41"/>
      <c r="GY10" s="41"/>
      <c r="GZ10" s="41"/>
      <c r="HA10" s="41"/>
      <c r="HB10" s="230"/>
      <c r="HC10" s="230"/>
      <c r="HD10" s="372"/>
      <c r="HE10" s="372"/>
      <c r="HF10" s="372"/>
      <c r="HG10" s="372"/>
      <c r="HH10" s="372"/>
      <c r="HI10" s="230"/>
      <c r="HJ10" s="230"/>
      <c r="HK10" s="372" t="s">
        <v>460</v>
      </c>
      <c r="HL10" s="372" t="s">
        <v>460</v>
      </c>
      <c r="HM10" s="372" t="s">
        <v>460</v>
      </c>
      <c r="HN10" s="372" t="s">
        <v>460</v>
      </c>
      <c r="HO10" s="372" t="s">
        <v>460</v>
      </c>
      <c r="HP10" s="230"/>
      <c r="HQ10" s="230"/>
      <c r="HR10" s="372" t="s">
        <v>460</v>
      </c>
      <c r="HS10" s="372" t="s">
        <v>460</v>
      </c>
      <c r="HT10" s="372" t="s">
        <v>460</v>
      </c>
      <c r="HU10" s="372" t="s">
        <v>460</v>
      </c>
      <c r="HV10" s="372" t="s">
        <v>460</v>
      </c>
      <c r="HW10" s="230"/>
      <c r="HX10" s="230"/>
      <c r="HY10" s="372"/>
      <c r="HZ10" s="372"/>
      <c r="IA10" s="372"/>
      <c r="IB10" s="372"/>
      <c r="IC10" s="372"/>
      <c r="ID10" s="230"/>
      <c r="IE10" s="230"/>
      <c r="IF10" s="372"/>
      <c r="IG10" s="372"/>
      <c r="IH10" s="372"/>
      <c r="II10" s="372"/>
      <c r="IJ10" s="372"/>
      <c r="IK10" s="230"/>
      <c r="IL10" s="230"/>
      <c r="IM10" s="372"/>
      <c r="IN10" s="372"/>
      <c r="IO10" s="372"/>
      <c r="IP10" s="372"/>
      <c r="IQ10" s="372"/>
      <c r="IR10" s="234"/>
      <c r="IS10" s="234"/>
      <c r="IT10" s="372"/>
      <c r="IU10" s="372"/>
      <c r="IV10" s="372"/>
      <c r="IW10" s="372"/>
      <c r="IX10" s="372"/>
      <c r="IY10" s="234"/>
      <c r="IZ10" s="234"/>
      <c r="JA10" s="372"/>
      <c r="JB10" s="372"/>
      <c r="JC10" s="372"/>
      <c r="JD10" s="372"/>
      <c r="JE10" s="372"/>
      <c r="JF10" s="234"/>
      <c r="JG10" s="234"/>
      <c r="JH10" s="234"/>
      <c r="JI10" s="234"/>
      <c r="JJ10" s="234"/>
      <c r="JK10" s="234"/>
      <c r="JL10" s="234"/>
      <c r="JM10" s="234"/>
      <c r="JN10" s="234"/>
      <c r="JO10" s="234"/>
      <c r="JP10" s="234"/>
      <c r="JQ10" s="234"/>
      <c r="JR10" s="234"/>
      <c r="JS10" s="234"/>
      <c r="JT10" s="234"/>
      <c r="JU10" s="234"/>
      <c r="JV10" s="234"/>
      <c r="JW10" s="234"/>
      <c r="JX10" s="234"/>
      <c r="JY10" s="234"/>
      <c r="JZ10" s="234"/>
      <c r="KA10" s="234"/>
      <c r="KB10" s="234"/>
      <c r="KC10" s="234"/>
      <c r="KD10" s="234"/>
      <c r="KE10" s="234"/>
      <c r="KF10" s="234"/>
      <c r="KG10" s="234"/>
      <c r="KH10" s="234"/>
      <c r="KI10" s="234"/>
      <c r="KJ10" s="234"/>
      <c r="KK10" s="234"/>
      <c r="KL10" s="234"/>
      <c r="KM10" s="234"/>
      <c r="KN10" s="234"/>
      <c r="KO10" s="234"/>
      <c r="KP10" s="234"/>
      <c r="KQ10" s="234"/>
      <c r="KR10" s="234"/>
      <c r="KS10" s="234"/>
      <c r="KT10" s="234"/>
      <c r="KU10" s="234"/>
      <c r="KV10" s="234"/>
      <c r="KW10" s="234"/>
      <c r="KX10" s="234"/>
      <c r="KY10" s="234"/>
      <c r="KZ10" s="234"/>
      <c r="LA10" s="234"/>
      <c r="LB10" s="234"/>
      <c r="LC10" s="234"/>
      <c r="LD10" s="234"/>
      <c r="LE10" s="234"/>
      <c r="LF10" s="234"/>
      <c r="LG10" s="234"/>
      <c r="LH10" s="234"/>
      <c r="LI10" s="234"/>
      <c r="LJ10" s="234"/>
      <c r="LK10" s="234"/>
      <c r="LL10" s="234"/>
      <c r="LM10" s="234"/>
      <c r="LN10" s="234"/>
      <c r="LO10" s="234"/>
      <c r="LP10" s="234"/>
      <c r="LQ10" s="234"/>
      <c r="LR10" s="234"/>
      <c r="LS10" s="234"/>
      <c r="LT10" s="234"/>
      <c r="LU10" s="234"/>
      <c r="LV10" s="234"/>
      <c r="LW10" s="234"/>
      <c r="LX10" s="234"/>
      <c r="LY10" s="234"/>
      <c r="LZ10" s="234"/>
      <c r="MA10" s="234"/>
      <c r="MB10" s="234"/>
      <c r="MC10" s="234"/>
      <c r="MD10" s="234"/>
      <c r="ME10" s="234"/>
      <c r="MF10" s="234"/>
      <c r="MG10" s="234"/>
      <c r="MH10" s="234"/>
      <c r="MI10" s="234"/>
      <c r="MJ10" s="234"/>
      <c r="MK10" s="234"/>
      <c r="ML10" s="234"/>
      <c r="MM10" s="234"/>
      <c r="MN10" s="234"/>
      <c r="MO10" s="234"/>
      <c r="MP10" s="234"/>
      <c r="MQ10" s="234"/>
      <c r="MR10" s="234"/>
      <c r="MS10" s="234"/>
      <c r="MT10" s="234"/>
      <c r="MU10" s="234"/>
      <c r="MV10" s="234"/>
      <c r="MW10" s="234"/>
      <c r="MX10" s="234"/>
      <c r="MY10" s="234"/>
      <c r="MZ10" s="234"/>
      <c r="NA10" s="234"/>
      <c r="NB10" s="234"/>
      <c r="NC10" s="234"/>
      <c r="ND10" s="234"/>
      <c r="NE10" s="234"/>
      <c r="NF10" s="234"/>
      <c r="NG10" s="234"/>
      <c r="NH10" s="234"/>
      <c r="NI10" s="234"/>
      <c r="NJ10" s="234"/>
      <c r="NK10" s="234"/>
      <c r="NL10" s="234"/>
      <c r="NM10" s="234"/>
      <c r="NN10" s="234"/>
      <c r="NO10" s="234"/>
    </row>
    <row r="11" spans="2:383" x14ac:dyDescent="0.3">
      <c r="B11" s="38">
        <v>48569</v>
      </c>
      <c r="C11" s="9">
        <v>35</v>
      </c>
      <c r="D11" s="206" t="s">
        <v>60</v>
      </c>
      <c r="E11" s="187" t="s">
        <v>26</v>
      </c>
      <c r="F11" s="344" t="s">
        <v>9</v>
      </c>
      <c r="G11" s="368" t="s">
        <v>1302</v>
      </c>
      <c r="H11" s="368" t="s">
        <v>69</v>
      </c>
      <c r="I11" s="239"/>
      <c r="J11" s="41"/>
      <c r="K11" s="41"/>
      <c r="L11" s="41"/>
      <c r="M11" s="41"/>
      <c r="N11" s="230"/>
      <c r="O11" s="230"/>
      <c r="P11" s="41"/>
      <c r="Q11" s="41"/>
      <c r="R11" s="41"/>
      <c r="S11" s="41"/>
      <c r="T11" s="41"/>
      <c r="U11" s="230"/>
      <c r="V11" s="230"/>
      <c r="W11" s="41"/>
      <c r="X11" s="41"/>
      <c r="Y11" s="41"/>
      <c r="Z11" s="41"/>
      <c r="AA11" s="41"/>
      <c r="AB11" s="230"/>
      <c r="AC11" s="230"/>
      <c r="AD11" s="41"/>
      <c r="AE11" s="41"/>
      <c r="AF11" s="41"/>
      <c r="AG11" s="41"/>
      <c r="AH11" s="41"/>
      <c r="AI11" s="230"/>
      <c r="AJ11" s="230"/>
      <c r="AK11" s="41"/>
      <c r="AL11" s="41"/>
      <c r="AM11" s="41"/>
      <c r="AN11" s="41"/>
      <c r="AO11" s="41"/>
      <c r="AP11" s="230"/>
      <c r="AQ11" s="230"/>
      <c r="AR11" s="41"/>
      <c r="AS11" s="41"/>
      <c r="AT11" s="41"/>
      <c r="AU11" s="41"/>
      <c r="AV11" s="41"/>
      <c r="AW11" s="230"/>
      <c r="AX11" s="230"/>
      <c r="AY11" s="41"/>
      <c r="AZ11" s="41"/>
      <c r="BA11" s="41"/>
      <c r="BB11" s="41"/>
      <c r="BC11" s="41"/>
      <c r="BD11" s="230"/>
      <c r="BE11" s="230"/>
      <c r="BF11" s="41"/>
      <c r="BG11" s="41"/>
      <c r="BH11" s="41"/>
      <c r="BI11" s="41"/>
      <c r="BJ11" s="41"/>
      <c r="BK11" s="230"/>
      <c r="BL11" s="230"/>
      <c r="BM11" s="41"/>
      <c r="BN11" s="41"/>
      <c r="BO11" s="41"/>
      <c r="BP11" s="41"/>
      <c r="BQ11" s="41"/>
      <c r="BR11" s="230"/>
      <c r="BS11" s="230"/>
      <c r="BT11" s="41"/>
      <c r="BU11" s="41"/>
      <c r="BV11" s="41"/>
      <c r="BW11" s="41"/>
      <c r="BX11" s="41"/>
      <c r="BY11" s="230"/>
      <c r="BZ11" s="230"/>
      <c r="CA11" s="41"/>
      <c r="CB11" s="41"/>
      <c r="CC11" s="41"/>
      <c r="CD11" s="41"/>
      <c r="CE11" s="41"/>
      <c r="CF11" s="230"/>
      <c r="CG11" s="230"/>
      <c r="CH11" s="41"/>
      <c r="CI11" s="41"/>
      <c r="CJ11" s="41"/>
      <c r="CK11" s="41"/>
      <c r="CL11" s="41"/>
      <c r="CM11" s="230"/>
      <c r="CN11" s="230"/>
      <c r="CO11" s="41"/>
      <c r="CP11" s="41"/>
      <c r="CQ11" s="41"/>
      <c r="CR11" s="41"/>
      <c r="CS11" s="41"/>
      <c r="CT11" s="230"/>
      <c r="CU11" s="230"/>
      <c r="CV11" s="41"/>
      <c r="CW11" s="41"/>
      <c r="CX11" s="41"/>
      <c r="CY11" s="41"/>
      <c r="CZ11" s="41"/>
      <c r="DA11" s="230"/>
      <c r="DB11" s="230"/>
      <c r="DC11" s="41"/>
      <c r="DD11" s="41"/>
      <c r="DE11" s="41"/>
      <c r="DF11" s="41"/>
      <c r="DG11" s="41"/>
      <c r="DH11" s="230"/>
      <c r="DI11" s="230"/>
      <c r="DJ11" s="41"/>
      <c r="DK11" s="41"/>
      <c r="DL11" s="41"/>
      <c r="DM11" s="41"/>
      <c r="DN11" s="41"/>
      <c r="DO11" s="230"/>
      <c r="DP11" s="230"/>
      <c r="DQ11" s="41"/>
      <c r="DR11" s="41"/>
      <c r="DS11" s="41"/>
      <c r="DT11" s="41"/>
      <c r="DU11" s="41"/>
      <c r="DV11" s="230"/>
      <c r="DW11" s="234"/>
      <c r="DX11" s="41"/>
      <c r="DY11" s="41"/>
      <c r="DZ11" s="41"/>
      <c r="EA11" s="41"/>
      <c r="EB11" s="41"/>
      <c r="EC11" s="230"/>
      <c r="ED11" s="230"/>
      <c r="EE11" s="41"/>
      <c r="EF11" s="41"/>
      <c r="EG11" s="41"/>
      <c r="EH11" s="41"/>
      <c r="EI11" s="41"/>
      <c r="EJ11" s="230"/>
      <c r="EK11" s="230"/>
      <c r="EL11" s="41"/>
      <c r="EM11" s="41"/>
      <c r="EN11" s="41"/>
      <c r="EO11" s="41"/>
      <c r="EP11" s="41"/>
      <c r="EQ11" s="230"/>
      <c r="ER11" s="230"/>
      <c r="ES11" s="41"/>
      <c r="ET11" s="41"/>
      <c r="EU11" s="41"/>
      <c r="EV11" s="41"/>
      <c r="EW11" s="41"/>
      <c r="EX11" s="230"/>
      <c r="EY11" s="230"/>
      <c r="EZ11" s="41"/>
      <c r="FA11" s="41"/>
      <c r="FB11" s="41"/>
      <c r="FC11" s="41"/>
      <c r="FD11" s="41"/>
      <c r="FE11" s="230"/>
      <c r="FF11" s="230"/>
      <c r="FG11" s="41"/>
      <c r="FH11" s="41"/>
      <c r="FI11" s="41"/>
      <c r="FJ11" s="41"/>
      <c r="FK11" s="41"/>
      <c r="FL11" s="230"/>
      <c r="FM11" s="230"/>
      <c r="FN11" s="41"/>
      <c r="FO11" s="41"/>
      <c r="FP11" s="41"/>
      <c r="FQ11" s="41"/>
      <c r="FR11" s="41"/>
      <c r="FS11" s="230"/>
      <c r="FT11" s="230"/>
      <c r="FU11" s="41"/>
      <c r="FV11" s="41"/>
      <c r="FW11" s="41"/>
      <c r="FX11" s="41"/>
      <c r="FY11" s="41"/>
      <c r="FZ11" s="230"/>
      <c r="GA11" s="230"/>
      <c r="GB11" s="41"/>
      <c r="GC11" s="41"/>
      <c r="GD11" s="41"/>
      <c r="GE11" s="41"/>
      <c r="GF11" s="41"/>
      <c r="GG11" s="230"/>
      <c r="GH11" s="230"/>
      <c r="GI11" s="41"/>
      <c r="GJ11" s="41"/>
      <c r="GK11" s="41"/>
      <c r="GL11" s="41"/>
      <c r="GM11" s="41"/>
      <c r="GN11" s="230"/>
      <c r="GO11" s="230"/>
      <c r="GP11" s="41"/>
      <c r="GQ11" s="41"/>
      <c r="GR11" s="41"/>
      <c r="GS11" s="41"/>
      <c r="GT11" s="41"/>
      <c r="GU11" s="230"/>
      <c r="GV11" s="230"/>
      <c r="GW11" s="41" t="s">
        <v>460</v>
      </c>
      <c r="GX11" s="41"/>
      <c r="GY11" s="41"/>
      <c r="GZ11" s="41"/>
      <c r="HA11" s="41"/>
      <c r="HB11" s="230"/>
      <c r="HC11" s="230"/>
      <c r="HD11" s="372"/>
      <c r="HE11" s="372"/>
      <c r="HF11" s="372"/>
      <c r="HG11" s="372"/>
      <c r="HH11" s="372"/>
      <c r="HI11" s="230"/>
      <c r="HJ11" s="230"/>
      <c r="HK11" s="372"/>
      <c r="HL11" s="372"/>
      <c r="HM11" s="372"/>
      <c r="HN11" s="372"/>
      <c r="HO11" s="372"/>
      <c r="HP11" s="230"/>
      <c r="HQ11" s="230"/>
      <c r="HR11" s="372"/>
      <c r="HS11" s="372"/>
      <c r="HT11" s="372"/>
      <c r="HU11" s="372"/>
      <c r="HV11" s="372"/>
      <c r="HW11" s="230"/>
      <c r="HX11" s="230"/>
      <c r="HY11" s="372"/>
      <c r="HZ11" s="372"/>
      <c r="IA11" s="372"/>
      <c r="IB11" s="372"/>
      <c r="IC11" s="372"/>
      <c r="ID11" s="230"/>
      <c r="IE11" s="230"/>
      <c r="IF11" s="372"/>
      <c r="IG11" s="372"/>
      <c r="IH11" s="372"/>
      <c r="II11" s="372"/>
      <c r="IJ11" s="372"/>
      <c r="IK11" s="230"/>
      <c r="IL11" s="230"/>
      <c r="IM11" s="372"/>
      <c r="IN11" s="372"/>
      <c r="IO11" s="372"/>
      <c r="IP11" s="372"/>
      <c r="IQ11" s="372"/>
      <c r="IR11" s="234"/>
      <c r="IS11" s="234"/>
      <c r="IT11" s="372"/>
      <c r="IU11" s="372"/>
      <c r="IV11" s="372"/>
      <c r="IW11" s="372"/>
      <c r="IX11" s="372"/>
      <c r="IY11" s="234"/>
      <c r="IZ11" s="234"/>
      <c r="JA11" s="372"/>
      <c r="JB11" s="372"/>
      <c r="JC11" s="372"/>
      <c r="JD11" s="372"/>
      <c r="JE11" s="372"/>
      <c r="JF11" s="234"/>
      <c r="JG11" s="234"/>
      <c r="JH11" s="234"/>
      <c r="JI11" s="234"/>
      <c r="JJ11" s="234"/>
      <c r="JK11" s="234"/>
      <c r="JL11" s="234"/>
      <c r="JM11" s="234"/>
      <c r="JN11" s="234"/>
      <c r="JO11" s="234"/>
      <c r="JP11" s="234"/>
      <c r="JQ11" s="234"/>
      <c r="JR11" s="234"/>
      <c r="JS11" s="234"/>
      <c r="JT11" s="234"/>
      <c r="JU11" s="234"/>
      <c r="JV11" s="234"/>
      <c r="JW11" s="234"/>
      <c r="JX11" s="234"/>
      <c r="JY11" s="234"/>
      <c r="JZ11" s="234"/>
      <c r="KA11" s="234"/>
      <c r="KB11" s="234"/>
      <c r="KC11" s="234"/>
      <c r="KD11" s="234"/>
      <c r="KE11" s="234"/>
      <c r="KF11" s="234"/>
      <c r="KG11" s="234"/>
      <c r="KH11" s="234"/>
      <c r="KI11" s="234"/>
      <c r="KJ11" s="234"/>
      <c r="KK11" s="234"/>
      <c r="KL11" s="234"/>
      <c r="KM11" s="234"/>
      <c r="KN11" s="234"/>
      <c r="KO11" s="234"/>
      <c r="KP11" s="234"/>
      <c r="KQ11" s="234"/>
      <c r="KR11" s="234"/>
      <c r="KS11" s="234"/>
      <c r="KT11" s="234"/>
      <c r="KU11" s="234"/>
      <c r="KV11" s="234"/>
      <c r="KW11" s="234"/>
      <c r="KX11" s="234"/>
      <c r="KY11" s="234"/>
      <c r="KZ11" s="234"/>
      <c r="LA11" s="234"/>
      <c r="LB11" s="234"/>
      <c r="LC11" s="234"/>
      <c r="LD11" s="234"/>
      <c r="LE11" s="234"/>
      <c r="LF11" s="234"/>
      <c r="LG11" s="234"/>
      <c r="LH11" s="234"/>
      <c r="LI11" s="234"/>
      <c r="LJ11" s="234"/>
      <c r="LK11" s="234"/>
      <c r="LL11" s="234"/>
      <c r="LM11" s="234"/>
      <c r="LN11" s="234"/>
      <c r="LO11" s="234"/>
      <c r="LP11" s="234"/>
      <c r="LQ11" s="234"/>
      <c r="LR11" s="234"/>
      <c r="LS11" s="234"/>
      <c r="LT11" s="234"/>
      <c r="LU11" s="234"/>
      <c r="LV11" s="234"/>
      <c r="LW11" s="234"/>
      <c r="LX11" s="234"/>
      <c r="LY11" s="234"/>
      <c r="LZ11" s="234"/>
      <c r="MA11" s="234"/>
      <c r="MB11" s="234"/>
      <c r="MC11" s="234"/>
      <c r="MD11" s="234"/>
      <c r="ME11" s="234"/>
      <c r="MF11" s="234"/>
      <c r="MG11" s="234"/>
      <c r="MH11" s="234"/>
      <c r="MI11" s="234"/>
      <c r="MJ11" s="234"/>
      <c r="MK11" s="234"/>
      <c r="ML11" s="234"/>
      <c r="MM11" s="234"/>
      <c r="MN11" s="234"/>
      <c r="MO11" s="234"/>
      <c r="MP11" s="234"/>
      <c r="MQ11" s="234"/>
      <c r="MR11" s="234"/>
      <c r="MS11" s="234"/>
      <c r="MT11" s="234"/>
      <c r="MU11" s="234"/>
      <c r="MV11" s="234"/>
      <c r="MW11" s="234"/>
      <c r="MX11" s="234"/>
      <c r="MY11" s="234"/>
      <c r="MZ11" s="234"/>
      <c r="NA11" s="234"/>
      <c r="NB11" s="234"/>
      <c r="NC11" s="234"/>
      <c r="ND11" s="234"/>
      <c r="NE11" s="234"/>
      <c r="NF11" s="234"/>
      <c r="NG11" s="234"/>
      <c r="NH11" s="234"/>
      <c r="NI11" s="234"/>
      <c r="NJ11" s="234"/>
      <c r="NK11" s="234"/>
      <c r="NL11" s="234"/>
      <c r="NM11" s="234"/>
      <c r="NN11" s="234"/>
      <c r="NO11" s="234"/>
    </row>
    <row r="12" spans="2:383" x14ac:dyDescent="0.3">
      <c r="B12" s="8">
        <v>101354</v>
      </c>
      <c r="C12" s="9">
        <v>35</v>
      </c>
      <c r="D12" s="206" t="s">
        <v>60</v>
      </c>
      <c r="E12" s="187" t="s">
        <v>26</v>
      </c>
      <c r="F12" s="344" t="s">
        <v>9</v>
      </c>
      <c r="G12" s="369" t="s">
        <v>1287</v>
      </c>
      <c r="H12" s="369" t="s">
        <v>1288</v>
      </c>
      <c r="I12" s="239"/>
      <c r="J12" s="41"/>
      <c r="K12" s="41"/>
      <c r="L12" s="41"/>
      <c r="M12" s="41"/>
      <c r="N12" s="234"/>
      <c r="O12" s="234"/>
      <c r="P12" s="41"/>
      <c r="Q12" s="41"/>
      <c r="R12" s="41"/>
      <c r="S12" s="41"/>
      <c r="T12" s="41"/>
      <c r="U12" s="230"/>
      <c r="V12" s="230"/>
      <c r="W12" s="41"/>
      <c r="X12" s="41"/>
      <c r="Y12" s="41"/>
      <c r="Z12" s="41"/>
      <c r="AA12" s="41"/>
      <c r="AB12" s="230"/>
      <c r="AC12" s="230"/>
      <c r="AD12" s="41"/>
      <c r="AE12" s="41"/>
      <c r="AF12" s="41"/>
      <c r="AG12" s="41"/>
      <c r="AH12" s="41"/>
      <c r="AI12" s="230"/>
      <c r="AJ12" s="230"/>
      <c r="AK12" s="41"/>
      <c r="AL12" s="41"/>
      <c r="AM12" s="41"/>
      <c r="AN12" s="41"/>
      <c r="AO12" s="41"/>
      <c r="AP12" s="230"/>
      <c r="AQ12" s="230"/>
      <c r="AR12" s="41"/>
      <c r="AS12" s="41"/>
      <c r="AT12" s="41"/>
      <c r="AU12" s="41"/>
      <c r="AV12" s="41"/>
      <c r="AW12" s="230"/>
      <c r="AX12" s="230"/>
      <c r="AY12" s="41"/>
      <c r="AZ12" s="41"/>
      <c r="BA12" s="41"/>
      <c r="BB12" s="41"/>
      <c r="BC12" s="41"/>
      <c r="BD12" s="230"/>
      <c r="BE12" s="230"/>
      <c r="BF12" s="41"/>
      <c r="BG12" s="41"/>
      <c r="BH12" s="41"/>
      <c r="BI12" s="41"/>
      <c r="BJ12" s="41"/>
      <c r="BK12" s="230"/>
      <c r="BL12" s="230"/>
      <c r="BM12" s="41"/>
      <c r="BN12" s="41"/>
      <c r="BO12" s="41"/>
      <c r="BP12" s="41"/>
      <c r="BQ12" s="41"/>
      <c r="BR12" s="234"/>
      <c r="BS12" s="234"/>
      <c r="BT12" s="41"/>
      <c r="BU12" s="41"/>
      <c r="BV12" s="41"/>
      <c r="BW12" s="41"/>
      <c r="BX12" s="41"/>
      <c r="BY12" s="234"/>
      <c r="BZ12" s="234"/>
      <c r="CA12" s="41"/>
      <c r="CB12" s="41"/>
      <c r="CC12" s="41"/>
      <c r="CD12" s="41"/>
      <c r="CE12" s="41"/>
      <c r="CF12" s="234"/>
      <c r="CG12" s="234"/>
      <c r="CH12" s="41"/>
      <c r="CI12" s="41"/>
      <c r="CJ12" s="41"/>
      <c r="CK12" s="41"/>
      <c r="CL12" s="41"/>
      <c r="CM12" s="234"/>
      <c r="CN12" s="234"/>
      <c r="CO12" s="41"/>
      <c r="CP12" s="41"/>
      <c r="CQ12" s="41"/>
      <c r="CR12" s="41"/>
      <c r="CS12" s="41"/>
      <c r="CT12" s="234"/>
      <c r="CU12" s="234"/>
      <c r="CV12" s="41"/>
      <c r="CW12" s="41"/>
      <c r="CX12" s="41"/>
      <c r="CY12" s="41"/>
      <c r="CZ12" s="41"/>
      <c r="DA12" s="234"/>
      <c r="DB12" s="234"/>
      <c r="DC12" s="41"/>
      <c r="DD12" s="41"/>
      <c r="DE12" s="41"/>
      <c r="DF12" s="41"/>
      <c r="DG12" s="41"/>
      <c r="DH12" s="234"/>
      <c r="DI12" s="234"/>
      <c r="DJ12" s="41"/>
      <c r="DK12" s="41"/>
      <c r="DL12" s="41"/>
      <c r="DM12" s="41"/>
      <c r="DN12" s="41"/>
      <c r="DO12" s="234"/>
      <c r="DP12" s="234"/>
      <c r="DQ12" s="41"/>
      <c r="DR12" s="41"/>
      <c r="DS12" s="41"/>
      <c r="DT12" s="41"/>
      <c r="DU12" s="41"/>
      <c r="DV12" s="234"/>
      <c r="DW12" s="234"/>
      <c r="DX12" s="41"/>
      <c r="DY12" s="41"/>
      <c r="DZ12" s="41"/>
      <c r="EA12" s="41"/>
      <c r="EB12" s="41"/>
      <c r="EC12" s="234"/>
      <c r="ED12" s="234"/>
      <c r="EE12" s="41"/>
      <c r="EF12" s="41"/>
      <c r="EG12" s="41"/>
      <c r="EH12" s="41"/>
      <c r="EI12" s="41"/>
      <c r="EJ12" s="234"/>
      <c r="EK12" s="234"/>
      <c r="EL12" s="41"/>
      <c r="EM12" s="41"/>
      <c r="EN12" s="41"/>
      <c r="EO12" s="41"/>
      <c r="EP12" s="41"/>
      <c r="EQ12" s="234"/>
      <c r="ER12" s="234"/>
      <c r="ES12" s="41"/>
      <c r="ET12" s="41"/>
      <c r="EU12" s="41"/>
      <c r="EV12" s="41"/>
      <c r="EW12" s="41"/>
      <c r="EX12" s="234"/>
      <c r="EY12" s="234"/>
      <c r="EZ12" s="41"/>
      <c r="FA12" s="41"/>
      <c r="FB12" s="41"/>
      <c r="FC12" s="41"/>
      <c r="FD12" s="41"/>
      <c r="FE12" s="234"/>
      <c r="FF12" s="234"/>
      <c r="FG12" s="41"/>
      <c r="FH12" s="41"/>
      <c r="FI12" s="41"/>
      <c r="FJ12" s="41"/>
      <c r="FK12" s="41"/>
      <c r="FL12" s="234"/>
      <c r="FM12" s="234"/>
      <c r="FN12" s="41"/>
      <c r="FO12" s="41"/>
      <c r="FP12" s="41"/>
      <c r="FQ12" s="41"/>
      <c r="FR12" s="41"/>
      <c r="FS12" s="234"/>
      <c r="FT12" s="234"/>
      <c r="FU12" s="41"/>
      <c r="FV12" s="41"/>
      <c r="FW12" s="41"/>
      <c r="FX12" s="41"/>
      <c r="FY12" s="41"/>
      <c r="FZ12" s="234"/>
      <c r="GA12" s="234"/>
      <c r="GB12" s="41"/>
      <c r="GC12" s="41"/>
      <c r="GD12" s="41"/>
      <c r="GE12" s="41"/>
      <c r="GF12" s="41"/>
      <c r="GG12" s="234"/>
      <c r="GH12" s="234"/>
      <c r="GI12" s="41"/>
      <c r="GJ12" s="41"/>
      <c r="GK12" s="41"/>
      <c r="GL12" s="41"/>
      <c r="GM12" s="41"/>
      <c r="GN12" s="234"/>
      <c r="GO12" s="234"/>
      <c r="GP12" s="41"/>
      <c r="GQ12" s="41"/>
      <c r="GR12" s="41"/>
      <c r="GS12" s="41"/>
      <c r="GT12" s="41"/>
      <c r="GU12" s="234"/>
      <c r="GV12" s="234"/>
      <c r="GW12" s="41" t="s">
        <v>460</v>
      </c>
      <c r="GX12" s="41"/>
      <c r="GY12" s="41"/>
      <c r="GZ12" s="41"/>
      <c r="HA12" s="41"/>
      <c r="HB12" s="230"/>
      <c r="HC12" s="230"/>
      <c r="HD12" s="372"/>
      <c r="HE12" s="372"/>
      <c r="HF12" s="372"/>
      <c r="HG12" s="372"/>
      <c r="HH12" s="372"/>
      <c r="HI12" s="230"/>
      <c r="HJ12" s="230"/>
      <c r="HK12" s="372"/>
      <c r="HL12" s="372"/>
      <c r="HM12" s="372"/>
      <c r="HN12" s="372"/>
      <c r="HO12" s="372"/>
      <c r="HP12" s="230"/>
      <c r="HQ12" s="230"/>
      <c r="HR12" s="372"/>
      <c r="HS12" s="372"/>
      <c r="HT12" s="372"/>
      <c r="HU12" s="372"/>
      <c r="HV12" s="372"/>
      <c r="HW12" s="230"/>
      <c r="HX12" s="230"/>
      <c r="HY12" s="372"/>
      <c r="HZ12" s="372"/>
      <c r="IA12" s="372"/>
      <c r="IB12" s="372"/>
      <c r="IC12" s="372"/>
      <c r="ID12" s="230"/>
      <c r="IE12" s="230"/>
      <c r="IF12" s="372"/>
      <c r="IG12" s="372"/>
      <c r="IH12" s="372"/>
      <c r="II12" s="372"/>
      <c r="IJ12" s="372"/>
      <c r="IK12" s="230"/>
      <c r="IL12" s="230"/>
      <c r="IM12" s="372"/>
      <c r="IN12" s="372"/>
      <c r="IO12" s="372"/>
      <c r="IP12" s="372"/>
      <c r="IQ12" s="372"/>
      <c r="IR12" s="234"/>
      <c r="IS12" s="234"/>
      <c r="IT12" s="372"/>
      <c r="IU12" s="372"/>
      <c r="IV12" s="372"/>
      <c r="IW12" s="372"/>
      <c r="IX12" s="372"/>
      <c r="IY12" s="234"/>
      <c r="IZ12" s="234"/>
      <c r="JA12" s="372"/>
      <c r="JB12" s="372"/>
      <c r="JC12" s="372"/>
      <c r="JD12" s="372"/>
      <c r="JE12" s="372"/>
      <c r="JF12" s="234"/>
      <c r="JG12" s="234"/>
      <c r="JH12" s="234"/>
      <c r="JI12" s="234"/>
      <c r="JJ12" s="234"/>
      <c r="JK12" s="234"/>
      <c r="JL12" s="234"/>
      <c r="JM12" s="234"/>
      <c r="JN12" s="234"/>
      <c r="JO12" s="234"/>
      <c r="JP12" s="234"/>
      <c r="JQ12" s="234"/>
      <c r="JR12" s="234"/>
      <c r="JS12" s="234"/>
      <c r="JT12" s="234"/>
      <c r="JU12" s="234"/>
      <c r="JV12" s="234"/>
      <c r="JW12" s="234"/>
      <c r="JX12" s="234"/>
      <c r="JY12" s="234"/>
      <c r="JZ12" s="234"/>
      <c r="KA12" s="234"/>
      <c r="KB12" s="234"/>
      <c r="KC12" s="234"/>
      <c r="KD12" s="234"/>
      <c r="KE12" s="234"/>
      <c r="KF12" s="234"/>
      <c r="KG12" s="234"/>
      <c r="KH12" s="234"/>
      <c r="KI12" s="234"/>
      <c r="KJ12" s="234"/>
      <c r="KK12" s="234"/>
      <c r="KL12" s="234"/>
      <c r="KM12" s="234"/>
      <c r="KN12" s="234"/>
      <c r="KO12" s="234"/>
      <c r="KP12" s="234"/>
      <c r="KQ12" s="234"/>
      <c r="KR12" s="234"/>
      <c r="KS12" s="234"/>
      <c r="KT12" s="234"/>
      <c r="KU12" s="234"/>
      <c r="KV12" s="234"/>
      <c r="KW12" s="234"/>
      <c r="KX12" s="234"/>
      <c r="KY12" s="234"/>
      <c r="KZ12" s="234"/>
      <c r="LA12" s="234"/>
      <c r="LB12" s="234"/>
      <c r="LC12" s="234"/>
      <c r="LD12" s="234"/>
      <c r="LE12" s="234"/>
      <c r="LF12" s="234"/>
      <c r="LG12" s="234"/>
      <c r="LH12" s="234"/>
      <c r="LI12" s="234"/>
      <c r="LJ12" s="234"/>
      <c r="LK12" s="234"/>
      <c r="LL12" s="234"/>
      <c r="LM12" s="234"/>
      <c r="LN12" s="234"/>
      <c r="LO12" s="234"/>
      <c r="LP12" s="234"/>
      <c r="LQ12" s="234"/>
      <c r="LR12" s="234"/>
      <c r="LS12" s="234"/>
      <c r="LT12" s="234"/>
      <c r="LU12" s="234"/>
      <c r="LV12" s="234"/>
      <c r="LW12" s="234"/>
      <c r="LX12" s="234"/>
      <c r="LY12" s="234"/>
      <c r="LZ12" s="234"/>
      <c r="MA12" s="234"/>
      <c r="MB12" s="234"/>
      <c r="MC12" s="234"/>
      <c r="MD12" s="234"/>
      <c r="ME12" s="234"/>
      <c r="MF12" s="234"/>
      <c r="MG12" s="234"/>
      <c r="MH12" s="234"/>
      <c r="MI12" s="234"/>
      <c r="MJ12" s="234"/>
      <c r="MK12" s="234"/>
      <c r="ML12" s="234"/>
      <c r="MM12" s="234"/>
      <c r="MN12" s="234"/>
      <c r="MO12" s="234"/>
      <c r="MP12" s="234"/>
      <c r="MQ12" s="234"/>
      <c r="MR12" s="234"/>
      <c r="MS12" s="234"/>
      <c r="MT12" s="234"/>
      <c r="MU12" s="234"/>
      <c r="MV12" s="234"/>
      <c r="MW12" s="234"/>
      <c r="MX12" s="234"/>
      <c r="MY12" s="234"/>
      <c r="MZ12" s="234"/>
      <c r="NA12" s="234"/>
      <c r="NB12" s="234"/>
      <c r="NC12" s="234"/>
      <c r="ND12" s="234"/>
      <c r="NE12" s="234"/>
      <c r="NF12" s="234"/>
      <c r="NG12" s="234"/>
      <c r="NH12" s="234"/>
      <c r="NI12" s="234"/>
      <c r="NJ12" s="234"/>
      <c r="NK12" s="234"/>
      <c r="NL12" s="234"/>
      <c r="NM12" s="234"/>
      <c r="NN12" s="234"/>
      <c r="NO12" s="234"/>
    </row>
    <row r="13" spans="2:383" x14ac:dyDescent="0.3">
      <c r="B13" s="71">
        <v>107007</v>
      </c>
      <c r="C13" s="9">
        <v>35</v>
      </c>
      <c r="D13" s="207" t="s">
        <v>60</v>
      </c>
      <c r="E13" s="183" t="s">
        <v>8</v>
      </c>
      <c r="F13" s="344" t="s">
        <v>9</v>
      </c>
      <c r="G13" s="368" t="s">
        <v>899</v>
      </c>
      <c r="H13" s="368" t="s">
        <v>256</v>
      </c>
      <c r="I13" s="239" t="s">
        <v>460</v>
      </c>
      <c r="J13" s="41" t="s">
        <v>460</v>
      </c>
      <c r="K13" s="41" t="s">
        <v>460</v>
      </c>
      <c r="L13" s="41" t="s">
        <v>460</v>
      </c>
      <c r="M13" s="41" t="s">
        <v>460</v>
      </c>
      <c r="N13" s="230"/>
      <c r="O13" s="230"/>
      <c r="P13" s="41" t="s">
        <v>460</v>
      </c>
      <c r="Q13" s="41" t="s">
        <v>460</v>
      </c>
      <c r="R13" s="41" t="s">
        <v>460</v>
      </c>
      <c r="S13" s="41" t="s">
        <v>460</v>
      </c>
      <c r="T13" s="41" t="s">
        <v>460</v>
      </c>
      <c r="U13" s="230"/>
      <c r="V13" s="230"/>
      <c r="W13" s="41" t="s">
        <v>460</v>
      </c>
      <c r="X13" s="41" t="s">
        <v>460</v>
      </c>
      <c r="Y13" s="41" t="s">
        <v>460</v>
      </c>
      <c r="Z13" s="41" t="s">
        <v>460</v>
      </c>
      <c r="AA13" s="41" t="s">
        <v>460</v>
      </c>
      <c r="AB13" s="230"/>
      <c r="AC13" s="230"/>
      <c r="AD13" s="41" t="s">
        <v>460</v>
      </c>
      <c r="AE13" s="41" t="s">
        <v>460</v>
      </c>
      <c r="AF13" s="41" t="s">
        <v>460</v>
      </c>
      <c r="AG13" s="41" t="s">
        <v>460</v>
      </c>
      <c r="AH13" s="41" t="s">
        <v>460</v>
      </c>
      <c r="AI13" s="230"/>
      <c r="AJ13" s="230"/>
      <c r="AK13" s="41" t="s">
        <v>460</v>
      </c>
      <c r="AL13" s="41" t="s">
        <v>460</v>
      </c>
      <c r="AM13" s="41" t="s">
        <v>460</v>
      </c>
      <c r="AN13" s="41" t="s">
        <v>460</v>
      </c>
      <c r="AO13" s="41" t="s">
        <v>460</v>
      </c>
      <c r="AP13" s="230"/>
      <c r="AQ13" s="230"/>
      <c r="AR13" s="41" t="s">
        <v>460</v>
      </c>
      <c r="AS13" s="41" t="s">
        <v>460</v>
      </c>
      <c r="AT13" s="41" t="s">
        <v>460</v>
      </c>
      <c r="AU13" s="41" t="s">
        <v>460</v>
      </c>
      <c r="AV13" s="41" t="s">
        <v>460</v>
      </c>
      <c r="AW13" s="230"/>
      <c r="AX13" s="230"/>
      <c r="AY13" s="41" t="s">
        <v>460</v>
      </c>
      <c r="AZ13" s="41" t="s">
        <v>460</v>
      </c>
      <c r="BA13" s="41" t="s">
        <v>460</v>
      </c>
      <c r="BB13" s="41" t="s">
        <v>460</v>
      </c>
      <c r="BC13" s="41" t="s">
        <v>460</v>
      </c>
      <c r="BD13" s="230"/>
      <c r="BE13" s="230"/>
      <c r="BF13" s="41" t="s">
        <v>460</v>
      </c>
      <c r="BG13" s="41" t="s">
        <v>460</v>
      </c>
      <c r="BH13" s="41" t="s">
        <v>460</v>
      </c>
      <c r="BI13" s="41" t="s">
        <v>460</v>
      </c>
      <c r="BJ13" s="41" t="s">
        <v>460</v>
      </c>
      <c r="BK13" s="230"/>
      <c r="BL13" s="230"/>
      <c r="BM13" s="41"/>
      <c r="BN13" s="41"/>
      <c r="BO13" s="41"/>
      <c r="BP13" s="41"/>
      <c r="BQ13" s="41"/>
      <c r="BR13" s="230"/>
      <c r="BS13" s="230"/>
      <c r="BT13" s="41" t="s">
        <v>460</v>
      </c>
      <c r="BU13" s="41" t="s">
        <v>460</v>
      </c>
      <c r="BV13" s="41" t="s">
        <v>460</v>
      </c>
      <c r="BW13" s="41" t="s">
        <v>460</v>
      </c>
      <c r="BX13" s="41" t="s">
        <v>460</v>
      </c>
      <c r="BY13" s="230"/>
      <c r="BZ13" s="230"/>
      <c r="CA13" s="41" t="s">
        <v>460</v>
      </c>
      <c r="CB13" s="41" t="s">
        <v>460</v>
      </c>
      <c r="CC13" s="41" t="s">
        <v>460</v>
      </c>
      <c r="CD13" s="41" t="s">
        <v>460</v>
      </c>
      <c r="CE13" s="41" t="s">
        <v>460</v>
      </c>
      <c r="CF13" s="230"/>
      <c r="CG13" s="230"/>
      <c r="CH13" s="41" t="s">
        <v>460</v>
      </c>
      <c r="CI13" s="41" t="s">
        <v>460</v>
      </c>
      <c r="CJ13" s="41" t="s">
        <v>460</v>
      </c>
      <c r="CK13" s="41" t="s">
        <v>460</v>
      </c>
      <c r="CL13" s="41" t="s">
        <v>460</v>
      </c>
      <c r="CM13" s="230"/>
      <c r="CN13" s="230"/>
      <c r="CO13" s="41" t="s">
        <v>460</v>
      </c>
      <c r="CP13" s="41" t="s">
        <v>460</v>
      </c>
      <c r="CQ13" s="41" t="s">
        <v>460</v>
      </c>
      <c r="CR13" s="41" t="s">
        <v>460</v>
      </c>
      <c r="CS13" s="41" t="s">
        <v>460</v>
      </c>
      <c r="CT13" s="230"/>
      <c r="CU13" s="230"/>
      <c r="CV13" s="41" t="s">
        <v>460</v>
      </c>
      <c r="CW13" s="41" t="s">
        <v>460</v>
      </c>
      <c r="CX13" s="41" t="s">
        <v>460</v>
      </c>
      <c r="CY13" s="41" t="s">
        <v>460</v>
      </c>
      <c r="CZ13" s="41" t="s">
        <v>460</v>
      </c>
      <c r="DA13" s="230"/>
      <c r="DB13" s="230"/>
      <c r="DC13" s="41" t="s">
        <v>460</v>
      </c>
      <c r="DD13" s="41" t="s">
        <v>460</v>
      </c>
      <c r="DE13" s="41" t="s">
        <v>460</v>
      </c>
      <c r="DF13" s="41" t="s">
        <v>460</v>
      </c>
      <c r="DG13" s="41" t="s">
        <v>460</v>
      </c>
      <c r="DH13" s="230"/>
      <c r="DI13" s="230"/>
      <c r="DJ13" s="41" t="s">
        <v>460</v>
      </c>
      <c r="DK13" s="41" t="s">
        <v>460</v>
      </c>
      <c r="DL13" s="41" t="s">
        <v>460</v>
      </c>
      <c r="DM13" s="41" t="s">
        <v>460</v>
      </c>
      <c r="DN13" s="41" t="s">
        <v>460</v>
      </c>
      <c r="DO13" s="230"/>
      <c r="DP13" s="230"/>
      <c r="DQ13" s="41" t="s">
        <v>460</v>
      </c>
      <c r="DR13" s="41" t="s">
        <v>460</v>
      </c>
      <c r="DS13" s="41" t="s">
        <v>460</v>
      </c>
      <c r="DT13" s="41" t="s">
        <v>460</v>
      </c>
      <c r="DU13" s="41" t="s">
        <v>460</v>
      </c>
      <c r="DV13" s="230"/>
      <c r="DW13" s="230"/>
      <c r="DX13" s="41" t="s">
        <v>460</v>
      </c>
      <c r="DY13" s="41" t="s">
        <v>460</v>
      </c>
      <c r="DZ13" s="41" t="s">
        <v>460</v>
      </c>
      <c r="EA13" s="41" t="s">
        <v>460</v>
      </c>
      <c r="EB13" s="41" t="s">
        <v>460</v>
      </c>
      <c r="EC13" s="230"/>
      <c r="ED13" s="230"/>
      <c r="EE13" s="41" t="s">
        <v>460</v>
      </c>
      <c r="EF13" s="41" t="s">
        <v>460</v>
      </c>
      <c r="EG13" s="41" t="s">
        <v>460</v>
      </c>
      <c r="EH13" s="41" t="s">
        <v>460</v>
      </c>
      <c r="EI13" s="41" t="s">
        <v>460</v>
      </c>
      <c r="EJ13" s="230"/>
      <c r="EK13" s="230"/>
      <c r="EL13" s="41" t="s">
        <v>460</v>
      </c>
      <c r="EM13" s="41" t="s">
        <v>460</v>
      </c>
      <c r="EN13" s="41" t="s">
        <v>460</v>
      </c>
      <c r="EO13" s="41" t="s">
        <v>460</v>
      </c>
      <c r="EP13" s="41" t="s">
        <v>460</v>
      </c>
      <c r="EQ13" s="230"/>
      <c r="ER13" s="230"/>
      <c r="ES13" s="41" t="s">
        <v>460</v>
      </c>
      <c r="ET13" s="41" t="s">
        <v>460</v>
      </c>
      <c r="EU13" s="41" t="s">
        <v>460</v>
      </c>
      <c r="EV13" s="41" t="s">
        <v>460</v>
      </c>
      <c r="EW13" s="41" t="s">
        <v>460</v>
      </c>
      <c r="EX13" s="230"/>
      <c r="EY13" s="230"/>
      <c r="EZ13" s="41" t="s">
        <v>460</v>
      </c>
      <c r="FA13" s="41" t="s">
        <v>460</v>
      </c>
      <c r="FB13" s="41" t="s">
        <v>460</v>
      </c>
      <c r="FC13" s="41" t="s">
        <v>460</v>
      </c>
      <c r="FD13" s="41" t="s">
        <v>460</v>
      </c>
      <c r="FE13" s="230"/>
      <c r="FF13" s="230"/>
      <c r="FG13" s="41" t="s">
        <v>460</v>
      </c>
      <c r="FH13" s="41" t="s">
        <v>460</v>
      </c>
      <c r="FI13" s="41" t="s">
        <v>460</v>
      </c>
      <c r="FJ13" s="41" t="s">
        <v>460</v>
      </c>
      <c r="FK13" s="41" t="s">
        <v>460</v>
      </c>
      <c r="FL13" s="230"/>
      <c r="FM13" s="230"/>
      <c r="FN13" s="41" t="s">
        <v>460</v>
      </c>
      <c r="FO13" s="41" t="s">
        <v>460</v>
      </c>
      <c r="FP13" s="41" t="s">
        <v>460</v>
      </c>
      <c r="FQ13" s="41" t="s">
        <v>460</v>
      </c>
      <c r="FR13" s="41" t="s">
        <v>460</v>
      </c>
      <c r="FS13" s="230"/>
      <c r="FT13" s="230"/>
      <c r="FU13" s="41" t="s">
        <v>460</v>
      </c>
      <c r="FV13" s="41" t="s">
        <v>460</v>
      </c>
      <c r="FW13" s="41" t="s">
        <v>460</v>
      </c>
      <c r="FX13" s="41" t="s">
        <v>460</v>
      </c>
      <c r="FY13" s="41" t="s">
        <v>460</v>
      </c>
      <c r="FZ13" s="230"/>
      <c r="GA13" s="230"/>
      <c r="GB13" s="41" t="s">
        <v>460</v>
      </c>
      <c r="GC13" s="41" t="s">
        <v>460</v>
      </c>
      <c r="GD13" s="41" t="s">
        <v>460</v>
      </c>
      <c r="GE13" s="41" t="s">
        <v>460</v>
      </c>
      <c r="GF13" s="41" t="s">
        <v>460</v>
      </c>
      <c r="GG13" s="230"/>
      <c r="GH13" s="230"/>
      <c r="GI13" s="41" t="s">
        <v>460</v>
      </c>
      <c r="GJ13" s="41" t="s">
        <v>460</v>
      </c>
      <c r="GK13" s="41" t="s">
        <v>460</v>
      </c>
      <c r="GL13" s="41" t="s">
        <v>460</v>
      </c>
      <c r="GM13" s="41" t="s">
        <v>460</v>
      </c>
      <c r="GN13" s="230"/>
      <c r="GO13" s="230"/>
      <c r="GP13" s="41" t="s">
        <v>460</v>
      </c>
      <c r="GQ13" s="41" t="s">
        <v>460</v>
      </c>
      <c r="GR13" s="41" t="s">
        <v>460</v>
      </c>
      <c r="GS13" s="41" t="s">
        <v>460</v>
      </c>
      <c r="GT13" s="41" t="s">
        <v>460</v>
      </c>
      <c r="GU13" s="230"/>
      <c r="GV13" s="230"/>
      <c r="GW13" s="41" t="s">
        <v>460</v>
      </c>
      <c r="GX13" s="41" t="s">
        <v>460</v>
      </c>
      <c r="GY13" s="41" t="s">
        <v>460</v>
      </c>
      <c r="GZ13" s="41" t="s">
        <v>460</v>
      </c>
      <c r="HA13" s="41" t="s">
        <v>460</v>
      </c>
      <c r="HB13" s="230"/>
      <c r="HC13" s="230"/>
      <c r="HD13" s="372" t="s">
        <v>460</v>
      </c>
      <c r="HE13" s="372" t="s">
        <v>460</v>
      </c>
      <c r="HF13" s="372" t="s">
        <v>460</v>
      </c>
      <c r="HG13" s="372" t="s">
        <v>460</v>
      </c>
      <c r="HH13" s="372" t="s">
        <v>460</v>
      </c>
      <c r="HI13" s="230"/>
      <c r="HJ13" s="230"/>
      <c r="HK13" s="372" t="s">
        <v>460</v>
      </c>
      <c r="HL13" s="372" t="s">
        <v>460</v>
      </c>
      <c r="HM13" s="372" t="s">
        <v>460</v>
      </c>
      <c r="HN13" s="372" t="s">
        <v>460</v>
      </c>
      <c r="HO13" s="372" t="s">
        <v>460</v>
      </c>
      <c r="HP13" s="230"/>
      <c r="HQ13" s="230"/>
      <c r="HR13" s="372" t="s">
        <v>460</v>
      </c>
      <c r="HS13" s="372" t="s">
        <v>460</v>
      </c>
      <c r="HT13" s="372" t="s">
        <v>460</v>
      </c>
      <c r="HU13" s="372" t="s">
        <v>460</v>
      </c>
      <c r="HV13" s="372" t="s">
        <v>460</v>
      </c>
      <c r="HW13" s="230"/>
      <c r="HX13" s="230"/>
      <c r="HY13" s="372" t="s">
        <v>460</v>
      </c>
      <c r="HZ13" s="372" t="s">
        <v>460</v>
      </c>
      <c r="IA13" s="372" t="s">
        <v>460</v>
      </c>
      <c r="IB13" s="372" t="s">
        <v>460</v>
      </c>
      <c r="IC13" s="372" t="s">
        <v>460</v>
      </c>
      <c r="ID13" s="230"/>
      <c r="IE13" s="230"/>
      <c r="IF13" s="372"/>
      <c r="IG13" s="372"/>
      <c r="IH13" s="372"/>
      <c r="II13" s="372"/>
      <c r="IJ13" s="372"/>
      <c r="IK13" s="230"/>
      <c r="IL13" s="230"/>
      <c r="IM13" s="372"/>
      <c r="IN13" s="372"/>
      <c r="IO13" s="372"/>
      <c r="IP13" s="372"/>
      <c r="IQ13" s="372"/>
      <c r="IR13" s="230"/>
      <c r="IS13" s="230"/>
      <c r="IT13" s="372"/>
      <c r="IU13" s="372"/>
      <c r="IV13" s="372"/>
      <c r="IW13" s="372"/>
      <c r="IX13" s="372"/>
      <c r="IY13" s="230"/>
      <c r="IZ13" s="230"/>
      <c r="JA13" s="372"/>
      <c r="JB13" s="372"/>
      <c r="JC13" s="372"/>
      <c r="JD13" s="372"/>
      <c r="JE13" s="372"/>
      <c r="JF13" s="230"/>
      <c r="JG13" s="230"/>
      <c r="JH13" s="41"/>
      <c r="JI13" s="41"/>
      <c r="JJ13" s="41"/>
      <c r="JK13" s="41"/>
      <c r="JL13" s="41"/>
      <c r="JM13" s="230"/>
      <c r="JN13" s="230"/>
      <c r="JO13" s="41"/>
      <c r="JP13" s="41"/>
      <c r="JQ13" s="41"/>
      <c r="JR13" s="41"/>
      <c r="JS13" s="41"/>
      <c r="JT13" s="230"/>
      <c r="JU13" s="230"/>
      <c r="JV13" s="41"/>
      <c r="JW13" s="41"/>
      <c r="JX13" s="41"/>
      <c r="JY13" s="41"/>
      <c r="JZ13" s="41"/>
      <c r="KA13" s="230"/>
      <c r="KB13" s="230"/>
      <c r="KC13" s="41"/>
      <c r="KD13" s="41"/>
      <c r="KE13" s="41"/>
      <c r="KF13" s="41"/>
      <c r="KG13" s="41"/>
      <c r="KH13" s="230"/>
      <c r="KI13" s="230"/>
      <c r="KJ13" s="41"/>
      <c r="KK13" s="41"/>
      <c r="KL13" s="41"/>
      <c r="KM13" s="41"/>
      <c r="KN13" s="41"/>
      <c r="KO13" s="230"/>
      <c r="KP13" s="230"/>
      <c r="KQ13" s="41"/>
      <c r="KR13" s="41"/>
      <c r="KS13" s="41"/>
      <c r="KT13" s="41"/>
      <c r="KU13" s="41"/>
      <c r="KV13" s="230"/>
      <c r="KW13" s="230"/>
      <c r="KX13" s="41"/>
      <c r="KY13" s="41"/>
      <c r="KZ13" s="41"/>
      <c r="LA13" s="41"/>
      <c r="LB13" s="41"/>
      <c r="LC13" s="230"/>
      <c r="LD13" s="230"/>
      <c r="LE13" s="41"/>
      <c r="LF13" s="41"/>
      <c r="LG13" s="41"/>
      <c r="LH13" s="41"/>
      <c r="LI13" s="41"/>
      <c r="LJ13" s="230"/>
      <c r="LK13" s="230"/>
      <c r="LL13" s="41"/>
      <c r="LM13" s="41"/>
      <c r="LN13" s="41"/>
      <c r="LO13" s="41"/>
      <c r="LP13" s="41"/>
      <c r="LQ13" s="230"/>
      <c r="LR13" s="230"/>
      <c r="LS13" s="41"/>
      <c r="LT13" s="41"/>
      <c r="LU13" s="41"/>
      <c r="LV13" s="41"/>
      <c r="LW13" s="41"/>
      <c r="LX13" s="230"/>
      <c r="LY13" s="230"/>
      <c r="LZ13" s="41"/>
      <c r="MA13" s="41"/>
      <c r="MB13" s="41"/>
      <c r="MC13" s="41"/>
      <c r="MD13" s="41"/>
      <c r="ME13" s="230"/>
      <c r="MF13" s="230"/>
      <c r="MG13" s="41"/>
      <c r="MH13" s="41"/>
      <c r="MI13" s="41"/>
      <c r="MJ13" s="41"/>
      <c r="MK13" s="41"/>
      <c r="ML13" s="230"/>
      <c r="MM13" s="230"/>
      <c r="MN13" s="41"/>
      <c r="MO13" s="41"/>
      <c r="MP13" s="41"/>
      <c r="MQ13" s="41"/>
      <c r="MR13" s="41"/>
      <c r="MS13" s="230"/>
      <c r="MT13" s="230"/>
      <c r="MU13" s="41"/>
      <c r="MV13" s="41"/>
      <c r="MW13" s="41"/>
      <c r="MX13" s="41"/>
      <c r="MY13" s="41"/>
      <c r="MZ13" s="230"/>
      <c r="NA13" s="230"/>
      <c r="NB13" s="41"/>
      <c r="NC13" s="41"/>
      <c r="ND13" s="41"/>
      <c r="NE13" s="41"/>
      <c r="NF13" s="41"/>
      <c r="NG13" s="230"/>
      <c r="NH13" s="230"/>
      <c r="NI13" s="41"/>
      <c r="NJ13" s="41"/>
      <c r="NK13" s="41"/>
      <c r="NL13" s="41"/>
      <c r="NM13" s="41"/>
      <c r="NN13" s="230"/>
      <c r="NO13" s="230"/>
    </row>
    <row r="14" spans="2:383" x14ac:dyDescent="0.3">
      <c r="B14" s="38">
        <v>44176</v>
      </c>
      <c r="C14" s="9">
        <v>35</v>
      </c>
      <c r="D14" s="206" t="s">
        <v>60</v>
      </c>
      <c r="E14" s="183" t="s">
        <v>8</v>
      </c>
      <c r="F14" s="344" t="s">
        <v>113</v>
      </c>
      <c r="G14" s="377" t="s">
        <v>61</v>
      </c>
      <c r="H14" s="377" t="s">
        <v>23</v>
      </c>
      <c r="I14" s="239"/>
      <c r="J14" s="41"/>
      <c r="K14" s="41"/>
      <c r="L14" s="41"/>
      <c r="M14" s="41"/>
      <c r="N14" s="238"/>
      <c r="O14" s="230"/>
      <c r="P14" s="41"/>
      <c r="Q14" s="41"/>
      <c r="R14" s="41"/>
      <c r="S14" s="41"/>
      <c r="T14" s="41"/>
      <c r="U14" s="238"/>
      <c r="V14" s="230"/>
      <c r="W14" s="41"/>
      <c r="X14" s="41"/>
      <c r="Y14" s="41"/>
      <c r="Z14" s="41"/>
      <c r="AA14" s="41"/>
      <c r="AB14" s="238"/>
      <c r="AC14" s="230"/>
      <c r="AD14" s="41"/>
      <c r="AE14" s="41"/>
      <c r="AF14" s="41"/>
      <c r="AG14" s="41"/>
      <c r="AH14" s="41"/>
      <c r="AI14" s="238"/>
      <c r="AJ14" s="230"/>
      <c r="AK14" s="41"/>
      <c r="AL14" s="41"/>
      <c r="AM14" s="41"/>
      <c r="AN14" s="41"/>
      <c r="AO14" s="41"/>
      <c r="AP14" s="238"/>
      <c r="AQ14" s="230"/>
      <c r="AR14" s="41"/>
      <c r="AS14" s="41"/>
      <c r="AT14" s="41"/>
      <c r="AU14" s="41"/>
      <c r="AV14" s="41"/>
      <c r="AW14" s="238"/>
      <c r="AX14" s="230"/>
      <c r="AY14" s="41"/>
      <c r="AZ14" s="41"/>
      <c r="BA14" s="41"/>
      <c r="BB14" s="41"/>
      <c r="BC14" s="41"/>
      <c r="BD14" s="238"/>
      <c r="BE14" s="230"/>
      <c r="BF14" s="41"/>
      <c r="BG14" s="41"/>
      <c r="BH14" s="41"/>
      <c r="BI14" s="41"/>
      <c r="BJ14" s="41"/>
      <c r="BK14" s="238"/>
      <c r="BL14" s="230"/>
      <c r="BM14" s="41"/>
      <c r="BN14" s="41"/>
      <c r="BO14" s="41"/>
      <c r="BP14" s="41"/>
      <c r="BQ14" s="41"/>
      <c r="BR14" s="238"/>
      <c r="BS14" s="230"/>
      <c r="BT14" s="41"/>
      <c r="BU14" s="41"/>
      <c r="BV14" s="41"/>
      <c r="BW14" s="41"/>
      <c r="BX14" s="41"/>
      <c r="BY14" s="238"/>
      <c r="BZ14" s="230"/>
      <c r="CA14" s="41"/>
      <c r="CB14" s="41"/>
      <c r="CC14" s="41"/>
      <c r="CD14" s="41"/>
      <c r="CE14" s="41"/>
      <c r="CF14" s="238"/>
      <c r="CG14" s="230"/>
      <c r="CH14" s="41"/>
      <c r="CI14" s="41"/>
      <c r="CJ14" s="41"/>
      <c r="CK14" s="41"/>
      <c r="CL14" s="41"/>
      <c r="CM14" s="238"/>
      <c r="CN14" s="230"/>
      <c r="CO14" s="41"/>
      <c r="CP14" s="41"/>
      <c r="CQ14" s="41"/>
      <c r="CR14" s="41"/>
      <c r="CS14" s="41"/>
      <c r="CT14" s="238"/>
      <c r="CU14" s="230"/>
      <c r="CV14" s="41"/>
      <c r="CW14" s="41"/>
      <c r="CX14" s="41"/>
      <c r="CY14" s="41"/>
      <c r="CZ14" s="41"/>
      <c r="DA14" s="238"/>
      <c r="DB14" s="230"/>
      <c r="DC14" s="41"/>
      <c r="DD14" s="41"/>
      <c r="DE14" s="41"/>
      <c r="DF14" s="41"/>
      <c r="DG14" s="41"/>
      <c r="DH14" s="238"/>
      <c r="DI14" s="230"/>
      <c r="DJ14" s="41"/>
      <c r="DK14" s="41"/>
      <c r="DL14" s="41"/>
      <c r="DM14" s="41"/>
      <c r="DN14" s="41"/>
      <c r="DO14" s="238"/>
      <c r="DP14" s="230"/>
      <c r="DQ14" s="41" t="s">
        <v>460</v>
      </c>
      <c r="DR14" s="41"/>
      <c r="DS14" s="41"/>
      <c r="DT14" s="41"/>
      <c r="DU14" s="41"/>
      <c r="DV14" s="238"/>
      <c r="DW14" s="230"/>
      <c r="DX14" s="41"/>
      <c r="DY14" s="41"/>
      <c r="DZ14" s="41"/>
      <c r="EA14" s="41" t="s">
        <v>460</v>
      </c>
      <c r="EB14" s="41"/>
      <c r="EC14" s="238"/>
      <c r="ED14" s="230"/>
      <c r="EE14" s="41"/>
      <c r="EF14" s="41"/>
      <c r="EG14" s="41"/>
      <c r="EH14" s="41"/>
      <c r="EI14" s="41"/>
      <c r="EJ14" s="238"/>
      <c r="EK14" s="230"/>
      <c r="EL14" s="41"/>
      <c r="EM14" s="41"/>
      <c r="EN14" s="41"/>
      <c r="EO14" s="41"/>
      <c r="EP14" s="41"/>
      <c r="EQ14" s="238"/>
      <c r="ER14" s="230"/>
      <c r="ES14" s="41"/>
      <c r="ET14" s="41"/>
      <c r="EU14" s="41"/>
      <c r="EV14" s="41"/>
      <c r="EW14" s="41"/>
      <c r="EX14" s="238"/>
      <c r="EY14" s="230"/>
      <c r="EZ14" s="41"/>
      <c r="FA14" s="41"/>
      <c r="FB14" s="41"/>
      <c r="FC14" s="41"/>
      <c r="FD14" s="41"/>
      <c r="FE14" s="238"/>
      <c r="FF14" s="230"/>
      <c r="FG14" s="41"/>
      <c r="FH14" s="41"/>
      <c r="FI14" s="41"/>
      <c r="FJ14" s="41"/>
      <c r="FK14" s="41"/>
      <c r="FL14" s="238"/>
      <c r="FM14" s="230"/>
      <c r="FN14" s="41" t="s">
        <v>460</v>
      </c>
      <c r="FO14" s="41"/>
      <c r="FP14" s="41"/>
      <c r="FQ14" s="41"/>
      <c r="FR14" s="41"/>
      <c r="FS14" s="238"/>
      <c r="FT14" s="230"/>
      <c r="FU14" s="41"/>
      <c r="FV14" s="41"/>
      <c r="FW14" s="41"/>
      <c r="FX14" s="41"/>
      <c r="FY14" s="41"/>
      <c r="FZ14" s="238"/>
      <c r="GA14" s="230"/>
      <c r="GB14" s="41"/>
      <c r="GC14" s="41"/>
      <c r="GD14" s="41"/>
      <c r="GE14" s="41"/>
      <c r="GF14" s="41"/>
      <c r="GG14" s="238"/>
      <c r="GH14" s="230"/>
      <c r="GI14" s="41"/>
      <c r="GJ14" s="41"/>
      <c r="GK14" s="41"/>
      <c r="GL14" s="41"/>
      <c r="GM14" s="41"/>
      <c r="GN14" s="238"/>
      <c r="GO14" s="230"/>
      <c r="GP14" s="41"/>
      <c r="GQ14" s="41"/>
      <c r="GR14" s="41"/>
      <c r="GS14" s="41"/>
      <c r="GT14" s="41"/>
      <c r="GU14" s="238"/>
      <c r="GV14" s="230"/>
      <c r="GW14" s="41" t="s">
        <v>460</v>
      </c>
      <c r="GX14" s="41"/>
      <c r="GY14" s="41"/>
      <c r="GZ14" s="41"/>
      <c r="HA14" s="41"/>
      <c r="HB14" s="238"/>
      <c r="HC14" s="230"/>
      <c r="HD14" s="372"/>
      <c r="HE14" s="372"/>
      <c r="HF14" s="372"/>
      <c r="HG14" s="372"/>
      <c r="HH14" s="372"/>
      <c r="HI14" s="238"/>
      <c r="HJ14" s="230"/>
      <c r="HK14" s="372" t="s">
        <v>458</v>
      </c>
      <c r="HL14" s="372" t="s">
        <v>458</v>
      </c>
      <c r="HM14" s="372" t="s">
        <v>458</v>
      </c>
      <c r="HN14" s="372" t="s">
        <v>458</v>
      </c>
      <c r="HO14" s="372" t="s">
        <v>458</v>
      </c>
      <c r="HP14" s="238"/>
      <c r="HQ14" s="230"/>
      <c r="HR14" s="372" t="s">
        <v>458</v>
      </c>
      <c r="HS14" s="372" t="s">
        <v>458</v>
      </c>
      <c r="HT14" s="372" t="s">
        <v>458</v>
      </c>
      <c r="HU14" s="372" t="s">
        <v>458</v>
      </c>
      <c r="HV14" s="372" t="s">
        <v>458</v>
      </c>
      <c r="HW14" s="238"/>
      <c r="HX14" s="230"/>
      <c r="HY14" s="372" t="s">
        <v>460</v>
      </c>
      <c r="HZ14" s="372" t="s">
        <v>460</v>
      </c>
      <c r="IA14" s="372" t="s">
        <v>460</v>
      </c>
      <c r="IB14" s="372" t="s">
        <v>460</v>
      </c>
      <c r="IC14" s="372" t="s">
        <v>460</v>
      </c>
      <c r="ID14" s="238"/>
      <c r="IE14" s="230"/>
      <c r="IF14" s="372" t="s">
        <v>460</v>
      </c>
      <c r="IG14" s="372" t="s">
        <v>460</v>
      </c>
      <c r="IH14" s="372" t="s">
        <v>460</v>
      </c>
      <c r="II14" s="372" t="s">
        <v>460</v>
      </c>
      <c r="IJ14" s="372" t="s">
        <v>460</v>
      </c>
      <c r="IK14" s="238"/>
      <c r="IL14" s="230"/>
      <c r="IM14" s="41" t="s">
        <v>460</v>
      </c>
      <c r="IN14" s="41" t="s">
        <v>460</v>
      </c>
      <c r="IO14" s="41" t="s">
        <v>460</v>
      </c>
      <c r="IP14" s="41" t="s">
        <v>460</v>
      </c>
      <c r="IQ14" s="41" t="s">
        <v>460</v>
      </c>
      <c r="IR14" s="238"/>
      <c r="IS14" s="230"/>
      <c r="IT14" s="372" t="s">
        <v>458</v>
      </c>
      <c r="IU14" s="372" t="s">
        <v>458</v>
      </c>
      <c r="IV14" s="372" t="s">
        <v>458</v>
      </c>
      <c r="IW14" s="372" t="s">
        <v>458</v>
      </c>
      <c r="IX14" s="372" t="s">
        <v>458</v>
      </c>
      <c r="IY14" s="238"/>
      <c r="IZ14" s="230"/>
      <c r="JA14" s="372" t="s">
        <v>458</v>
      </c>
      <c r="JB14" s="372" t="s">
        <v>458</v>
      </c>
      <c r="JC14" s="372" t="s">
        <v>458</v>
      </c>
      <c r="JD14" s="372" t="s">
        <v>458</v>
      </c>
      <c r="JE14" s="372" t="s">
        <v>458</v>
      </c>
      <c r="JF14" s="238"/>
      <c r="JG14" s="230"/>
      <c r="JH14" s="41"/>
      <c r="JI14" s="41"/>
      <c r="JJ14" s="41"/>
      <c r="JK14" s="41"/>
      <c r="JL14" s="41"/>
      <c r="JM14" s="238"/>
      <c r="JN14" s="230"/>
      <c r="JO14" s="41"/>
      <c r="JP14" s="41"/>
      <c r="JQ14" s="41"/>
      <c r="JR14" s="41"/>
      <c r="JS14" s="41"/>
      <c r="JT14" s="238"/>
      <c r="JU14" s="230"/>
      <c r="JV14" s="41"/>
      <c r="JW14" s="41"/>
      <c r="JX14" s="41"/>
      <c r="JY14" s="41"/>
      <c r="JZ14" s="41"/>
      <c r="KA14" s="238"/>
      <c r="KB14" s="230"/>
      <c r="KC14" s="41"/>
      <c r="KD14" s="41"/>
      <c r="KE14" s="41"/>
      <c r="KF14" s="41"/>
      <c r="KG14" s="41"/>
      <c r="KH14" s="238"/>
      <c r="KI14" s="230"/>
      <c r="KJ14" s="41"/>
      <c r="KK14" s="41"/>
      <c r="KL14" s="41"/>
      <c r="KM14" s="41"/>
      <c r="KN14" s="41"/>
      <c r="KO14" s="238"/>
      <c r="KP14" s="230"/>
      <c r="KQ14" s="41"/>
      <c r="KR14" s="41"/>
      <c r="KS14" s="41"/>
      <c r="KT14" s="41"/>
      <c r="KU14" s="41"/>
      <c r="KV14" s="238"/>
      <c r="KW14" s="230"/>
      <c r="KX14" s="41"/>
      <c r="KY14" s="41"/>
      <c r="KZ14" s="41"/>
      <c r="LA14" s="41"/>
      <c r="LB14" s="41"/>
      <c r="LC14" s="238"/>
      <c r="LD14" s="230"/>
      <c r="LE14" s="41"/>
      <c r="LF14" s="41"/>
      <c r="LG14" s="41"/>
      <c r="LH14" s="41"/>
      <c r="LI14" s="41"/>
      <c r="LJ14" s="238"/>
      <c r="LK14" s="230"/>
      <c r="LL14" s="41"/>
      <c r="LM14" s="41"/>
      <c r="LN14" s="41"/>
      <c r="LO14" s="41"/>
      <c r="LP14" s="41"/>
      <c r="LQ14" s="238"/>
      <c r="LR14" s="230"/>
      <c r="LS14" s="41"/>
      <c r="LT14" s="41"/>
      <c r="LU14" s="41"/>
      <c r="LV14" s="41"/>
      <c r="LW14" s="41"/>
      <c r="LX14" s="238"/>
      <c r="LY14" s="230"/>
      <c r="LZ14" s="41"/>
      <c r="MA14" s="41"/>
      <c r="MB14" s="41"/>
      <c r="MC14" s="41"/>
      <c r="MD14" s="41"/>
      <c r="ME14" s="238"/>
      <c r="MF14" s="230"/>
      <c r="MG14" s="41"/>
      <c r="MH14" s="41"/>
      <c r="MI14" s="41"/>
      <c r="MJ14" s="41"/>
      <c r="MK14" s="41"/>
      <c r="ML14" s="238"/>
      <c r="MM14" s="230"/>
      <c r="MN14" s="41"/>
      <c r="MO14" s="41"/>
      <c r="MP14" s="41"/>
      <c r="MQ14" s="41"/>
      <c r="MR14" s="41"/>
      <c r="MS14" s="238"/>
      <c r="MT14" s="230"/>
      <c r="MU14" s="41"/>
      <c r="MV14" s="41"/>
      <c r="MW14" s="41"/>
      <c r="MX14" s="41"/>
      <c r="MY14" s="41"/>
      <c r="MZ14" s="238"/>
      <c r="NA14" s="230"/>
      <c r="NB14" s="41"/>
      <c r="NC14" s="41"/>
      <c r="ND14" s="41"/>
      <c r="NE14" s="41"/>
      <c r="NF14" s="41"/>
      <c r="NG14" s="238"/>
      <c r="NH14" s="230"/>
      <c r="NI14" s="41"/>
      <c r="NJ14" s="41"/>
      <c r="NK14" s="41"/>
      <c r="NL14" s="41"/>
      <c r="NM14" s="41"/>
      <c r="NN14" s="238"/>
      <c r="NO14" s="230"/>
    </row>
    <row r="15" spans="2:383" x14ac:dyDescent="0.3">
      <c r="B15" s="49">
        <v>17098</v>
      </c>
      <c r="C15" s="50">
        <v>35</v>
      </c>
      <c r="D15" s="206" t="s">
        <v>60</v>
      </c>
      <c r="E15" s="187" t="s">
        <v>8</v>
      </c>
      <c r="F15" s="344" t="s">
        <v>9</v>
      </c>
      <c r="G15" s="369" t="s">
        <v>913</v>
      </c>
      <c r="H15" s="369" t="s">
        <v>174</v>
      </c>
      <c r="I15" s="239"/>
      <c r="J15" s="41"/>
      <c r="K15" s="41"/>
      <c r="L15" s="41"/>
      <c r="M15" s="41"/>
      <c r="N15" s="230"/>
      <c r="O15" s="230"/>
      <c r="P15" s="41"/>
      <c r="Q15" s="41"/>
      <c r="R15" s="41"/>
      <c r="S15" s="41"/>
      <c r="T15" s="41"/>
      <c r="U15" s="234"/>
      <c r="V15" s="234"/>
      <c r="W15" s="41"/>
      <c r="X15" s="41"/>
      <c r="Y15" s="41"/>
      <c r="Z15" s="41"/>
      <c r="AA15" s="41"/>
      <c r="AB15" s="230"/>
      <c r="AC15" s="230"/>
      <c r="AD15" s="41"/>
      <c r="AE15" s="41"/>
      <c r="AF15" s="41"/>
      <c r="AG15" s="41"/>
      <c r="AH15" s="41"/>
      <c r="AI15" s="230"/>
      <c r="AJ15" s="230"/>
      <c r="AK15" s="41"/>
      <c r="AL15" s="41"/>
      <c r="AM15" s="41"/>
      <c r="AN15" s="41"/>
      <c r="AO15" s="41"/>
      <c r="AP15" s="230"/>
      <c r="AQ15" s="230"/>
      <c r="AR15" s="41"/>
      <c r="AS15" s="41"/>
      <c r="AT15" s="41"/>
      <c r="AU15" s="41"/>
      <c r="AV15" s="41"/>
      <c r="AW15" s="230"/>
      <c r="AX15" s="230"/>
      <c r="AY15" s="41"/>
      <c r="AZ15" s="41"/>
      <c r="BA15" s="41"/>
      <c r="BB15" s="41"/>
      <c r="BC15" s="41"/>
      <c r="BD15" s="230"/>
      <c r="BE15" s="230"/>
      <c r="BF15" s="41"/>
      <c r="BG15" s="41"/>
      <c r="BH15" s="41"/>
      <c r="BI15" s="41"/>
      <c r="BJ15" s="41"/>
      <c r="BK15" s="230"/>
      <c r="BL15" s="230"/>
      <c r="BM15" s="41"/>
      <c r="BN15" s="41"/>
      <c r="BO15" s="41"/>
      <c r="BP15" s="41"/>
      <c r="BQ15" s="41"/>
      <c r="BR15" s="230"/>
      <c r="BS15" s="230"/>
      <c r="BT15" s="41"/>
      <c r="BU15" s="41"/>
      <c r="BV15" s="41"/>
      <c r="BW15" s="41"/>
      <c r="BX15" s="41"/>
      <c r="BY15" s="230"/>
      <c r="BZ15" s="230"/>
      <c r="CA15" s="41"/>
      <c r="CB15" s="41"/>
      <c r="CC15" s="41"/>
      <c r="CD15" s="41"/>
      <c r="CE15" s="41"/>
      <c r="CF15" s="230"/>
      <c r="CG15" s="230"/>
      <c r="CH15" s="41"/>
      <c r="CI15" s="41"/>
      <c r="CJ15" s="41"/>
      <c r="CK15" s="41"/>
      <c r="CL15" s="41"/>
      <c r="CM15" s="230"/>
      <c r="CN15" s="230"/>
      <c r="CO15" s="41"/>
      <c r="CP15" s="41"/>
      <c r="CQ15" s="41"/>
      <c r="CR15" s="41"/>
      <c r="CS15" s="41"/>
      <c r="CT15" s="230"/>
      <c r="CU15" s="230"/>
      <c r="CV15" s="41"/>
      <c r="CW15" s="41"/>
      <c r="CX15" s="41"/>
      <c r="CY15" s="41"/>
      <c r="CZ15" s="41"/>
      <c r="DA15" s="230"/>
      <c r="DB15" s="230"/>
      <c r="DC15" s="41"/>
      <c r="DD15" s="41"/>
      <c r="DE15" s="41"/>
      <c r="DF15" s="41"/>
      <c r="DG15" s="41"/>
      <c r="DH15" s="230"/>
      <c r="DI15" s="230"/>
      <c r="DJ15" s="41"/>
      <c r="DK15" s="41"/>
      <c r="DL15" s="41"/>
      <c r="DM15" s="41"/>
      <c r="DN15" s="41"/>
      <c r="DO15" s="230"/>
      <c r="DP15" s="230"/>
      <c r="DQ15" s="41" t="s">
        <v>460</v>
      </c>
      <c r="DR15" s="41"/>
      <c r="DS15" s="41"/>
      <c r="DT15" s="41"/>
      <c r="DU15" s="41"/>
      <c r="DV15" s="230"/>
      <c r="DW15" s="234"/>
      <c r="DX15" s="41"/>
      <c r="DY15" s="41"/>
      <c r="DZ15" s="41"/>
      <c r="EA15" s="41" t="s">
        <v>460</v>
      </c>
      <c r="EB15" s="41"/>
      <c r="EC15" s="230"/>
      <c r="ED15" s="230"/>
      <c r="EE15" s="41"/>
      <c r="EF15" s="41"/>
      <c r="EG15" s="41"/>
      <c r="EH15" s="41"/>
      <c r="EI15" s="41"/>
      <c r="EJ15" s="230"/>
      <c r="EK15" s="230"/>
      <c r="EL15" s="41"/>
      <c r="EM15" s="41"/>
      <c r="EN15" s="41"/>
      <c r="EO15" s="41"/>
      <c r="EP15" s="41"/>
      <c r="EQ15" s="230"/>
      <c r="ER15" s="230"/>
      <c r="ES15" s="41"/>
      <c r="ET15" s="41"/>
      <c r="EU15" s="41"/>
      <c r="EV15" s="41"/>
      <c r="EW15" s="41"/>
      <c r="EX15" s="230"/>
      <c r="EY15" s="230"/>
      <c r="EZ15" s="41"/>
      <c r="FA15" s="41"/>
      <c r="FB15" s="41"/>
      <c r="FC15" s="41"/>
      <c r="FD15" s="41"/>
      <c r="FE15" s="230"/>
      <c r="FF15" s="230"/>
      <c r="FG15" s="41"/>
      <c r="FH15" s="41"/>
      <c r="FI15" s="41"/>
      <c r="FJ15" s="41"/>
      <c r="FK15" s="41"/>
      <c r="FL15" s="230"/>
      <c r="FM15" s="230"/>
      <c r="FN15" s="41" t="s">
        <v>460</v>
      </c>
      <c r="FO15" s="41"/>
      <c r="FP15" s="41"/>
      <c r="FQ15" s="41"/>
      <c r="FR15" s="41"/>
      <c r="FS15" s="230"/>
      <c r="FT15" s="230"/>
      <c r="FU15" s="41"/>
      <c r="FV15" s="41"/>
      <c r="FW15" s="41"/>
      <c r="FX15" s="41"/>
      <c r="FY15" s="41"/>
      <c r="FZ15" s="230"/>
      <c r="GA15" s="230"/>
      <c r="GB15" s="41"/>
      <c r="GC15" s="41"/>
      <c r="GD15" s="41"/>
      <c r="GE15" s="41"/>
      <c r="GF15" s="41"/>
      <c r="GG15" s="230"/>
      <c r="GH15" s="230"/>
      <c r="GI15" s="41"/>
      <c r="GJ15" s="41"/>
      <c r="GK15" s="41"/>
      <c r="GL15" s="41"/>
      <c r="GM15" s="41"/>
      <c r="GN15" s="230"/>
      <c r="GO15" s="230"/>
      <c r="GP15" s="41"/>
      <c r="GQ15" s="41"/>
      <c r="GR15" s="41"/>
      <c r="GS15" s="41"/>
      <c r="GT15" s="41"/>
      <c r="GU15" s="230"/>
      <c r="GV15" s="230"/>
      <c r="GW15" s="41" t="s">
        <v>460</v>
      </c>
      <c r="GX15" s="41"/>
      <c r="GY15" s="41"/>
      <c r="GZ15" s="41"/>
      <c r="HA15" s="41"/>
      <c r="HB15" s="230"/>
      <c r="HC15" s="230"/>
      <c r="HD15" s="372"/>
      <c r="HE15" s="372"/>
      <c r="HF15" s="372"/>
      <c r="HG15" s="372"/>
      <c r="HH15" s="372"/>
      <c r="HI15" s="230"/>
      <c r="HJ15" s="230"/>
      <c r="HK15" s="372"/>
      <c r="HL15" s="372"/>
      <c r="HM15" s="372"/>
      <c r="HN15" s="372"/>
      <c r="HO15" s="372"/>
      <c r="HP15" s="230"/>
      <c r="HQ15" s="230"/>
      <c r="HR15" s="372"/>
      <c r="HS15" s="372"/>
      <c r="HT15" s="372"/>
      <c r="HU15" s="372"/>
      <c r="HV15" s="372"/>
      <c r="HW15" s="230"/>
      <c r="HX15" s="230"/>
      <c r="HY15" s="372"/>
      <c r="HZ15" s="372"/>
      <c r="IA15" s="372"/>
      <c r="IB15" s="372"/>
      <c r="IC15" s="372"/>
      <c r="ID15" s="230"/>
      <c r="IE15" s="230"/>
      <c r="IF15" s="372"/>
      <c r="IG15" s="372"/>
      <c r="IH15" s="372"/>
      <c r="II15" s="372"/>
      <c r="IJ15" s="372"/>
      <c r="IK15" s="230"/>
      <c r="IL15" s="230"/>
      <c r="IM15" s="372"/>
      <c r="IN15" s="372"/>
      <c r="IO15" s="372"/>
      <c r="IP15" s="372"/>
      <c r="IQ15" s="372"/>
      <c r="IR15" s="234"/>
      <c r="IS15" s="234"/>
      <c r="IT15" s="372"/>
      <c r="IU15" s="372"/>
      <c r="IV15" s="372"/>
      <c r="IW15" s="372"/>
      <c r="IX15" s="372"/>
      <c r="IY15" s="234"/>
      <c r="IZ15" s="234"/>
      <c r="JA15" s="372"/>
      <c r="JB15" s="372"/>
      <c r="JC15" s="372"/>
      <c r="JD15" s="372"/>
      <c r="JE15" s="372"/>
      <c r="JF15" s="234"/>
      <c r="JG15" s="234"/>
      <c r="JH15" s="234"/>
      <c r="JI15" s="234"/>
      <c r="JJ15" s="234"/>
      <c r="JK15" s="234"/>
      <c r="JL15" s="234"/>
      <c r="JM15" s="234"/>
      <c r="JN15" s="234"/>
      <c r="JO15" s="234"/>
      <c r="JP15" s="234"/>
      <c r="JQ15" s="234"/>
      <c r="JR15" s="234"/>
      <c r="JS15" s="234"/>
      <c r="JT15" s="234"/>
      <c r="JU15" s="234"/>
      <c r="JV15" s="234"/>
      <c r="JW15" s="234"/>
      <c r="JX15" s="234"/>
      <c r="JY15" s="234"/>
      <c r="JZ15" s="234"/>
      <c r="KA15" s="234"/>
      <c r="KB15" s="234"/>
      <c r="KC15" s="234"/>
      <c r="KD15" s="234"/>
      <c r="KE15" s="234"/>
      <c r="KF15" s="234"/>
      <c r="KG15" s="234"/>
      <c r="KH15" s="234"/>
      <c r="KI15" s="234"/>
      <c r="KJ15" s="234"/>
      <c r="KK15" s="234"/>
      <c r="KL15" s="234"/>
      <c r="KM15" s="234"/>
      <c r="KN15" s="234"/>
      <c r="KO15" s="234"/>
      <c r="KP15" s="234"/>
      <c r="KQ15" s="234"/>
      <c r="KR15" s="234"/>
      <c r="KS15" s="234"/>
      <c r="KT15" s="234"/>
      <c r="KU15" s="234"/>
      <c r="KV15" s="234"/>
      <c r="KW15" s="234"/>
      <c r="KX15" s="234"/>
      <c r="KY15" s="234"/>
      <c r="KZ15" s="234"/>
      <c r="LA15" s="234"/>
      <c r="LB15" s="234"/>
      <c r="LC15" s="234"/>
      <c r="LD15" s="234"/>
      <c r="LE15" s="234"/>
      <c r="LF15" s="234"/>
      <c r="LG15" s="234"/>
      <c r="LH15" s="234"/>
      <c r="LI15" s="234"/>
      <c r="LJ15" s="234"/>
      <c r="LK15" s="234"/>
      <c r="LL15" s="234"/>
      <c r="LM15" s="234"/>
      <c r="LN15" s="234"/>
      <c r="LO15" s="234"/>
      <c r="LP15" s="234"/>
      <c r="LQ15" s="234"/>
      <c r="LR15" s="234"/>
      <c r="LS15" s="234"/>
      <c r="LT15" s="234"/>
      <c r="LU15" s="234"/>
      <c r="LV15" s="234"/>
      <c r="LW15" s="234"/>
      <c r="LX15" s="234"/>
      <c r="LY15" s="234"/>
      <c r="LZ15" s="234"/>
      <c r="MA15" s="234"/>
      <c r="MB15" s="234"/>
      <c r="MC15" s="234"/>
      <c r="MD15" s="234"/>
      <c r="ME15" s="234"/>
      <c r="MF15" s="234"/>
      <c r="MG15" s="234"/>
      <c r="MH15" s="234"/>
      <c r="MI15" s="234"/>
      <c r="MJ15" s="234"/>
      <c r="MK15" s="234"/>
      <c r="ML15" s="234"/>
      <c r="MM15" s="234"/>
      <c r="MN15" s="234"/>
      <c r="MO15" s="234"/>
      <c r="MP15" s="234"/>
      <c r="MQ15" s="234"/>
      <c r="MR15" s="234"/>
      <c r="MS15" s="234"/>
      <c r="MT15" s="234"/>
      <c r="MU15" s="234"/>
      <c r="MV15" s="234"/>
      <c r="MW15" s="234"/>
      <c r="MX15" s="234"/>
      <c r="MY15" s="234"/>
      <c r="MZ15" s="234"/>
      <c r="NA15" s="234"/>
      <c r="NB15" s="234"/>
      <c r="NC15" s="234"/>
      <c r="ND15" s="234"/>
      <c r="NE15" s="234"/>
      <c r="NF15" s="234"/>
      <c r="NG15" s="234"/>
      <c r="NH15" s="234"/>
      <c r="NI15" s="234"/>
      <c r="NJ15" s="234"/>
      <c r="NK15" s="234"/>
      <c r="NL15" s="234"/>
      <c r="NM15" s="234"/>
      <c r="NN15" s="234"/>
      <c r="NO15" s="234"/>
    </row>
    <row r="16" spans="2:383" x14ac:dyDescent="0.3">
      <c r="B16" s="67">
        <v>105558</v>
      </c>
      <c r="C16" s="9">
        <v>35</v>
      </c>
      <c r="D16" s="206" t="s">
        <v>60</v>
      </c>
      <c r="E16" s="183" t="s">
        <v>8</v>
      </c>
      <c r="F16" s="351" t="s">
        <v>113</v>
      </c>
      <c r="G16" s="354" t="s">
        <v>86</v>
      </c>
      <c r="H16" s="156" t="s">
        <v>87</v>
      </c>
      <c r="I16" s="125"/>
      <c r="J16" s="41"/>
      <c r="K16" s="41"/>
      <c r="L16" s="41"/>
      <c r="M16" s="41"/>
      <c r="N16" s="230"/>
      <c r="O16" s="230"/>
      <c r="P16" s="41"/>
      <c r="Q16" s="41"/>
      <c r="R16" s="41"/>
      <c r="S16" s="41"/>
      <c r="T16" s="41"/>
      <c r="U16" s="230"/>
      <c r="V16" s="230"/>
      <c r="W16" s="41"/>
      <c r="X16" s="41"/>
      <c r="Y16" s="41"/>
      <c r="Z16" s="41"/>
      <c r="AA16" s="41"/>
      <c r="AB16" s="230"/>
      <c r="AC16" s="230"/>
      <c r="AD16" s="41"/>
      <c r="AE16" s="41"/>
      <c r="AF16" s="41"/>
      <c r="AG16" s="41"/>
      <c r="AH16" s="41"/>
      <c r="AI16" s="230"/>
      <c r="AJ16" s="230"/>
      <c r="AK16" s="41"/>
      <c r="AL16" s="41"/>
      <c r="AM16" s="41"/>
      <c r="AN16" s="41"/>
      <c r="AO16" s="41"/>
      <c r="AP16" s="230"/>
      <c r="AQ16" s="230"/>
      <c r="AR16" s="41"/>
      <c r="AS16" s="41"/>
      <c r="AT16" s="41"/>
      <c r="AU16" s="41"/>
      <c r="AV16" s="41"/>
      <c r="AW16" s="230"/>
      <c r="AX16" s="230"/>
      <c r="AY16" s="41"/>
      <c r="AZ16" s="41"/>
      <c r="BA16" s="41"/>
      <c r="BB16" s="41"/>
      <c r="BC16" s="41"/>
      <c r="BD16" s="230"/>
      <c r="BE16" s="230"/>
      <c r="BF16" s="41"/>
      <c r="BG16" s="41"/>
      <c r="BH16" s="41"/>
      <c r="BI16" s="41"/>
      <c r="BJ16" s="41"/>
      <c r="BK16" s="230"/>
      <c r="BL16" s="230"/>
      <c r="BM16" s="41"/>
      <c r="BN16" s="41"/>
      <c r="BO16" s="41"/>
      <c r="BP16" s="41"/>
      <c r="BQ16" s="41"/>
      <c r="BR16" s="230"/>
      <c r="BS16" s="230"/>
      <c r="BT16" s="41"/>
      <c r="BU16" s="41"/>
      <c r="BV16" s="41"/>
      <c r="BW16" s="41"/>
      <c r="BX16" s="41"/>
      <c r="BY16" s="230"/>
      <c r="BZ16" s="230"/>
      <c r="CA16" s="41"/>
      <c r="CB16" s="41"/>
      <c r="CC16" s="41"/>
      <c r="CD16" s="41"/>
      <c r="CE16" s="41"/>
      <c r="CF16" s="230"/>
      <c r="CG16" s="230"/>
      <c r="CH16" s="41"/>
      <c r="CI16" s="41"/>
      <c r="CJ16" s="41"/>
      <c r="CK16" s="41"/>
      <c r="CL16" s="41"/>
      <c r="CM16" s="230"/>
      <c r="CN16" s="230"/>
      <c r="CO16" s="41"/>
      <c r="CP16" s="41"/>
      <c r="CQ16" s="41"/>
      <c r="CR16" s="41"/>
      <c r="CS16" s="41"/>
      <c r="CT16" s="230"/>
      <c r="CU16" s="230"/>
      <c r="CV16" s="41"/>
      <c r="CW16" s="41"/>
      <c r="CX16" s="41"/>
      <c r="CY16" s="41"/>
      <c r="CZ16" s="41"/>
      <c r="DA16" s="230"/>
      <c r="DB16" s="230"/>
      <c r="DC16" s="41"/>
      <c r="DD16" s="41"/>
      <c r="DE16" s="41"/>
      <c r="DF16" s="41"/>
      <c r="DG16" s="41"/>
      <c r="DH16" s="230"/>
      <c r="DI16" s="230"/>
      <c r="DJ16" s="41"/>
      <c r="DK16" s="41"/>
      <c r="DL16" s="41"/>
      <c r="DM16" s="41"/>
      <c r="DN16" s="41"/>
      <c r="DO16" s="230"/>
      <c r="DP16" s="230"/>
      <c r="DQ16" s="41" t="s">
        <v>460</v>
      </c>
      <c r="DR16" s="41" t="s">
        <v>460</v>
      </c>
      <c r="DS16" s="41" t="s">
        <v>460</v>
      </c>
      <c r="DT16" s="41" t="s">
        <v>460</v>
      </c>
      <c r="DU16" s="41" t="s">
        <v>460</v>
      </c>
      <c r="DV16" s="230"/>
      <c r="DW16" s="230"/>
      <c r="DX16" s="41" t="s">
        <v>460</v>
      </c>
      <c r="DY16" s="41" t="s">
        <v>460</v>
      </c>
      <c r="DZ16" s="41" t="s">
        <v>460</v>
      </c>
      <c r="EA16" s="41" t="s">
        <v>460</v>
      </c>
      <c r="EB16" s="41" t="s">
        <v>460</v>
      </c>
      <c r="EC16" s="230"/>
      <c r="ED16" s="230"/>
      <c r="EE16" s="41" t="s">
        <v>458</v>
      </c>
      <c r="EF16" s="41" t="s">
        <v>458</v>
      </c>
      <c r="EG16" s="41" t="s">
        <v>458</v>
      </c>
      <c r="EH16" s="41" t="s">
        <v>458</v>
      </c>
      <c r="EI16" s="41" t="s">
        <v>458</v>
      </c>
      <c r="EJ16" s="230"/>
      <c r="EK16" s="230"/>
      <c r="EL16" s="41"/>
      <c r="EM16" s="41"/>
      <c r="EN16" s="41"/>
      <c r="EO16" s="41"/>
      <c r="EP16" s="41"/>
      <c r="EQ16" s="230"/>
      <c r="ER16" s="230"/>
      <c r="ES16" s="41" t="s">
        <v>458</v>
      </c>
      <c r="ET16" s="41" t="s">
        <v>458</v>
      </c>
      <c r="EU16" s="41" t="s">
        <v>458</v>
      </c>
      <c r="EV16" s="41" t="s">
        <v>458</v>
      </c>
      <c r="EW16" s="41" t="s">
        <v>458</v>
      </c>
      <c r="EX16" s="230"/>
      <c r="EY16" s="230"/>
      <c r="EZ16" s="41" t="s">
        <v>458</v>
      </c>
      <c r="FA16" s="41" t="s">
        <v>458</v>
      </c>
      <c r="FB16" s="41" t="s">
        <v>458</v>
      </c>
      <c r="FC16" s="41" t="s">
        <v>458</v>
      </c>
      <c r="FD16" s="41" t="s">
        <v>458</v>
      </c>
      <c r="FE16" s="230"/>
      <c r="FF16" s="230"/>
      <c r="FG16" s="41" t="s">
        <v>458</v>
      </c>
      <c r="FH16" s="41" t="s">
        <v>458</v>
      </c>
      <c r="FI16" s="41" t="s">
        <v>458</v>
      </c>
      <c r="FJ16" s="41" t="s">
        <v>458</v>
      </c>
      <c r="FK16" s="41" t="s">
        <v>458</v>
      </c>
      <c r="FL16" s="230"/>
      <c r="FM16" s="230"/>
      <c r="FN16" s="41" t="s">
        <v>460</v>
      </c>
      <c r="FO16" s="41" t="s">
        <v>458</v>
      </c>
      <c r="FP16" s="41" t="s">
        <v>458</v>
      </c>
      <c r="FQ16" s="41" t="s">
        <v>458</v>
      </c>
      <c r="FR16" s="41" t="s">
        <v>458</v>
      </c>
      <c r="FS16" s="230"/>
      <c r="FT16" s="230"/>
      <c r="FU16" s="41" t="s">
        <v>458</v>
      </c>
      <c r="FV16" s="41" t="s">
        <v>458</v>
      </c>
      <c r="FW16" s="41" t="s">
        <v>458</v>
      </c>
      <c r="FX16" s="41" t="s">
        <v>458</v>
      </c>
      <c r="FY16" s="41" t="s">
        <v>458</v>
      </c>
      <c r="FZ16" s="230"/>
      <c r="GA16" s="230"/>
      <c r="GB16" s="41" t="s">
        <v>458</v>
      </c>
      <c r="GC16" s="41" t="s">
        <v>458</v>
      </c>
      <c r="GD16" s="41" t="s">
        <v>458</v>
      </c>
      <c r="GE16" s="41" t="s">
        <v>458</v>
      </c>
      <c r="GF16" s="41" t="s">
        <v>458</v>
      </c>
      <c r="GG16" s="230"/>
      <c r="GH16" s="230"/>
      <c r="GI16" s="41" t="s">
        <v>458</v>
      </c>
      <c r="GJ16" s="41" t="s">
        <v>458</v>
      </c>
      <c r="GK16" s="41" t="s">
        <v>458</v>
      </c>
      <c r="GL16" s="41" t="s">
        <v>458</v>
      </c>
      <c r="GM16" s="41" t="s">
        <v>458</v>
      </c>
      <c r="GN16" s="230"/>
      <c r="GO16" s="230"/>
      <c r="GP16" s="41" t="s">
        <v>458</v>
      </c>
      <c r="GQ16" s="41" t="s">
        <v>458</v>
      </c>
      <c r="GR16" s="41" t="s">
        <v>458</v>
      </c>
      <c r="GS16" s="41" t="s">
        <v>458</v>
      </c>
      <c r="GT16" s="41" t="s">
        <v>458</v>
      </c>
      <c r="GU16" s="230"/>
      <c r="GV16" s="230"/>
      <c r="GW16" s="41" t="s">
        <v>460</v>
      </c>
      <c r="GX16" s="41" t="s">
        <v>458</v>
      </c>
      <c r="GY16" s="41" t="s">
        <v>458</v>
      </c>
      <c r="GZ16" s="41" t="s">
        <v>458</v>
      </c>
      <c r="HA16" s="41" t="s">
        <v>458</v>
      </c>
      <c r="HB16" s="230"/>
      <c r="HC16" s="230"/>
      <c r="HD16" s="372" t="s">
        <v>458</v>
      </c>
      <c r="HE16" s="372" t="s">
        <v>458</v>
      </c>
      <c r="HF16" s="372" t="s">
        <v>458</v>
      </c>
      <c r="HG16" s="372" t="s">
        <v>458</v>
      </c>
      <c r="HH16" s="372" t="s">
        <v>458</v>
      </c>
      <c r="HI16" s="230"/>
      <c r="HJ16" s="230"/>
      <c r="HK16" s="372" t="s">
        <v>458</v>
      </c>
      <c r="HL16" s="372" t="s">
        <v>458</v>
      </c>
      <c r="HM16" s="372" t="s">
        <v>458</v>
      </c>
      <c r="HN16" s="372" t="s">
        <v>458</v>
      </c>
      <c r="HO16" s="372" t="s">
        <v>458</v>
      </c>
      <c r="HP16" s="230"/>
      <c r="HQ16" s="230"/>
      <c r="HR16" s="372" t="s">
        <v>458</v>
      </c>
      <c r="HS16" s="372" t="s">
        <v>458</v>
      </c>
      <c r="HT16" s="372" t="s">
        <v>458</v>
      </c>
      <c r="HU16" s="372" t="s">
        <v>458</v>
      </c>
      <c r="HV16" s="372" t="s">
        <v>458</v>
      </c>
      <c r="HW16" s="230"/>
      <c r="HX16" s="230"/>
      <c r="HY16" s="372" t="s">
        <v>458</v>
      </c>
      <c r="HZ16" s="372" t="s">
        <v>458</v>
      </c>
      <c r="IA16" s="372" t="s">
        <v>458</v>
      </c>
      <c r="IB16" s="372" t="s">
        <v>458</v>
      </c>
      <c r="IC16" s="372" t="s">
        <v>458</v>
      </c>
      <c r="ID16" s="230"/>
      <c r="IE16" s="230"/>
      <c r="IF16" s="372" t="s">
        <v>458</v>
      </c>
      <c r="IG16" s="372" t="s">
        <v>458</v>
      </c>
      <c r="IH16" s="372" t="s">
        <v>458</v>
      </c>
      <c r="II16" s="372" t="s">
        <v>458</v>
      </c>
      <c r="IJ16" s="372" t="s">
        <v>458</v>
      </c>
      <c r="IK16" s="230"/>
      <c r="IL16" s="230"/>
      <c r="IM16" s="372" t="s">
        <v>458</v>
      </c>
      <c r="IN16" s="372" t="s">
        <v>458</v>
      </c>
      <c r="IO16" s="372" t="s">
        <v>458</v>
      </c>
      <c r="IP16" s="372" t="s">
        <v>458</v>
      </c>
      <c r="IQ16" s="372" t="s">
        <v>458</v>
      </c>
      <c r="IR16" s="230"/>
      <c r="IS16" s="230"/>
      <c r="IT16" s="372" t="s">
        <v>460</v>
      </c>
      <c r="IU16" s="372" t="s">
        <v>460</v>
      </c>
      <c r="IV16" s="372" t="s">
        <v>460</v>
      </c>
      <c r="IW16" s="372" t="s">
        <v>460</v>
      </c>
      <c r="IX16" s="372" t="s">
        <v>460</v>
      </c>
      <c r="IY16" s="230"/>
      <c r="IZ16" s="230"/>
      <c r="JA16" s="372" t="s">
        <v>460</v>
      </c>
      <c r="JB16" s="372" t="s">
        <v>460</v>
      </c>
      <c r="JC16" s="372" t="s">
        <v>460</v>
      </c>
      <c r="JD16" s="372" t="s">
        <v>460</v>
      </c>
      <c r="JE16" s="372" t="s">
        <v>460</v>
      </c>
      <c r="JF16" s="230"/>
      <c r="JG16" s="230"/>
      <c r="JH16" s="41"/>
      <c r="JI16" s="41"/>
      <c r="JJ16" s="41"/>
      <c r="JK16" s="41"/>
      <c r="JL16" s="41"/>
      <c r="JM16" s="230"/>
      <c r="JN16" s="230"/>
      <c r="JO16" s="41"/>
      <c r="JP16" s="41"/>
      <c r="JQ16" s="41"/>
      <c r="JR16" s="41"/>
      <c r="JS16" s="41"/>
      <c r="JT16" s="230"/>
      <c r="JU16" s="230"/>
      <c r="JV16" s="41"/>
      <c r="JW16" s="41"/>
      <c r="JX16" s="41"/>
      <c r="JY16" s="41"/>
      <c r="JZ16" s="41"/>
      <c r="KA16" s="230"/>
      <c r="KB16" s="230"/>
      <c r="KC16" s="41"/>
      <c r="KD16" s="41"/>
      <c r="KE16" s="41"/>
      <c r="KF16" s="41"/>
      <c r="KG16" s="41"/>
      <c r="KH16" s="230"/>
      <c r="KI16" s="230"/>
      <c r="KJ16" s="41"/>
      <c r="KK16" s="41"/>
      <c r="KL16" s="41"/>
      <c r="KM16" s="41"/>
      <c r="KN16" s="41"/>
      <c r="KO16" s="230"/>
      <c r="KP16" s="230"/>
      <c r="KQ16" s="41"/>
      <c r="KR16" s="41"/>
      <c r="KS16" s="41"/>
      <c r="KT16" s="41"/>
      <c r="KU16" s="41"/>
      <c r="KV16" s="230"/>
      <c r="KW16" s="230"/>
      <c r="KX16" s="41"/>
      <c r="KY16" s="41"/>
      <c r="KZ16" s="41"/>
      <c r="LA16" s="41"/>
      <c r="LB16" s="41"/>
      <c r="LC16" s="230"/>
      <c r="LD16" s="230"/>
      <c r="LE16" s="41"/>
      <c r="LF16" s="41"/>
      <c r="LG16" s="41"/>
      <c r="LH16" s="41"/>
      <c r="LI16" s="41"/>
      <c r="LJ16" s="230"/>
      <c r="LK16" s="230"/>
      <c r="LL16" s="41"/>
      <c r="LM16" s="41"/>
      <c r="LN16" s="41"/>
      <c r="LO16" s="41"/>
      <c r="LP16" s="41"/>
      <c r="LQ16" s="230"/>
      <c r="LR16" s="230"/>
      <c r="LS16" s="41"/>
      <c r="LT16" s="41"/>
      <c r="LU16" s="41"/>
      <c r="LV16" s="41"/>
      <c r="LW16" s="41"/>
      <c r="LX16" s="230"/>
      <c r="LY16" s="230"/>
      <c r="LZ16" s="41"/>
      <c r="MA16" s="41"/>
      <c r="MB16" s="41"/>
      <c r="MC16" s="41"/>
      <c r="MD16" s="41"/>
      <c r="ME16" s="230"/>
      <c r="MF16" s="230"/>
      <c r="MG16" s="41"/>
      <c r="MH16" s="41"/>
      <c r="MI16" s="41"/>
      <c r="MJ16" s="41"/>
      <c r="MK16" s="41"/>
      <c r="ML16" s="230"/>
      <c r="MM16" s="230"/>
      <c r="MN16" s="41"/>
      <c r="MO16" s="41"/>
      <c r="MP16" s="41"/>
      <c r="MQ16" s="41"/>
      <c r="MR16" s="41"/>
      <c r="MS16" s="230"/>
      <c r="MT16" s="230"/>
      <c r="MU16" s="41"/>
      <c r="MV16" s="41"/>
      <c r="MW16" s="41"/>
      <c r="MX16" s="41"/>
      <c r="MY16" s="41"/>
      <c r="MZ16" s="230"/>
      <c r="NA16" s="230"/>
      <c r="NB16" s="41"/>
      <c r="NC16" s="41"/>
      <c r="ND16" s="41"/>
      <c r="NE16" s="41"/>
      <c r="NF16" s="41"/>
      <c r="NG16" s="230"/>
      <c r="NH16" s="230"/>
      <c r="NI16" s="41"/>
      <c r="NJ16" s="41"/>
      <c r="NK16" s="41"/>
      <c r="NL16" s="41"/>
      <c r="NM16" s="41"/>
      <c r="NN16" s="230"/>
      <c r="NO16" s="230"/>
    </row>
    <row r="17" spans="2:379" x14ac:dyDescent="0.3">
      <c r="B17" s="38">
        <v>53018</v>
      </c>
      <c r="C17" s="9">
        <v>35</v>
      </c>
      <c r="D17" s="206" t="s">
        <v>60</v>
      </c>
      <c r="E17" s="187" t="s">
        <v>8</v>
      </c>
      <c r="F17" s="351" t="s">
        <v>9</v>
      </c>
      <c r="G17" s="353" t="s">
        <v>103</v>
      </c>
      <c r="H17" s="154" t="s">
        <v>720</v>
      </c>
      <c r="I17" s="125"/>
      <c r="J17" s="41"/>
      <c r="K17" s="41"/>
      <c r="L17" s="41"/>
      <c r="M17" s="41"/>
      <c r="N17" s="234"/>
      <c r="O17" s="234"/>
      <c r="P17" s="41"/>
      <c r="Q17" s="41"/>
      <c r="R17" s="41"/>
      <c r="S17" s="41"/>
      <c r="T17" s="41"/>
      <c r="U17" s="234"/>
      <c r="V17" s="234"/>
      <c r="W17" s="41"/>
      <c r="X17" s="41"/>
      <c r="Y17" s="41"/>
      <c r="Z17" s="41"/>
      <c r="AA17" s="41"/>
      <c r="AB17" s="230"/>
      <c r="AC17" s="230"/>
      <c r="AD17" s="41"/>
      <c r="AE17" s="41"/>
      <c r="AF17" s="41"/>
      <c r="AG17" s="41"/>
      <c r="AH17" s="41"/>
      <c r="AI17" s="234"/>
      <c r="AJ17" s="234"/>
      <c r="AK17" s="41"/>
      <c r="AL17" s="41"/>
      <c r="AM17" s="41"/>
      <c r="AN17" s="41"/>
      <c r="AO17" s="41"/>
      <c r="AP17" s="234"/>
      <c r="AQ17" s="234"/>
      <c r="AR17" s="41"/>
      <c r="AS17" s="41"/>
      <c r="AT17" s="41"/>
      <c r="AU17" s="41"/>
      <c r="AV17" s="41"/>
      <c r="AW17" s="234"/>
      <c r="AX17" s="234"/>
      <c r="AY17" s="41"/>
      <c r="AZ17" s="41"/>
      <c r="BA17" s="41"/>
      <c r="BB17" s="41"/>
      <c r="BC17" s="41"/>
      <c r="BD17" s="234"/>
      <c r="BE17" s="234"/>
      <c r="BF17" s="41"/>
      <c r="BG17" s="41"/>
      <c r="BH17" s="41"/>
      <c r="BI17" s="41"/>
      <c r="BJ17" s="41"/>
      <c r="BK17" s="234"/>
      <c r="BL17" s="234"/>
      <c r="BM17" s="41"/>
      <c r="BN17" s="41"/>
      <c r="BO17" s="41"/>
      <c r="BP17" s="41"/>
      <c r="BQ17" s="41"/>
      <c r="BR17" s="234"/>
      <c r="BS17" s="234"/>
      <c r="BT17" s="41"/>
      <c r="BU17" s="41"/>
      <c r="BV17" s="41"/>
      <c r="BW17" s="41"/>
      <c r="BX17" s="41"/>
      <c r="BY17" s="230"/>
      <c r="BZ17" s="230"/>
      <c r="CA17" s="41"/>
      <c r="CB17" s="41"/>
      <c r="CC17" s="41"/>
      <c r="CD17" s="41"/>
      <c r="CE17" s="41"/>
      <c r="CF17" s="234"/>
      <c r="CG17" s="234"/>
      <c r="CH17" s="41"/>
      <c r="CI17" s="41"/>
      <c r="CJ17" s="41"/>
      <c r="CK17" s="41"/>
      <c r="CL17" s="41"/>
      <c r="CM17" s="230"/>
      <c r="CN17" s="230"/>
      <c r="CO17" s="41"/>
      <c r="CP17" s="41"/>
      <c r="CQ17" s="41"/>
      <c r="CR17" s="41"/>
      <c r="CS17" s="41"/>
      <c r="CT17" s="234"/>
      <c r="CU17" s="234"/>
      <c r="CV17" s="41"/>
      <c r="CW17" s="41"/>
      <c r="CX17" s="41"/>
      <c r="CY17" s="41"/>
      <c r="CZ17" s="41"/>
      <c r="DA17" s="234"/>
      <c r="DB17" s="234"/>
      <c r="DC17" s="41"/>
      <c r="DD17" s="41"/>
      <c r="DE17" s="41"/>
      <c r="DF17" s="41"/>
      <c r="DG17" s="41"/>
      <c r="DH17" s="234"/>
      <c r="DI17" s="234"/>
      <c r="DJ17" s="41"/>
      <c r="DK17" s="41"/>
      <c r="DL17" s="41"/>
      <c r="DM17" s="41"/>
      <c r="DN17" s="41"/>
      <c r="DO17" s="234"/>
      <c r="DP17" s="234"/>
      <c r="DQ17" s="41" t="s">
        <v>460</v>
      </c>
      <c r="DR17" s="41"/>
      <c r="DS17" s="41"/>
      <c r="DT17" s="41"/>
      <c r="DU17" s="41"/>
      <c r="DV17" s="234"/>
      <c r="DW17" s="234"/>
      <c r="DX17" s="41"/>
      <c r="DY17" s="41"/>
      <c r="DZ17" s="41"/>
      <c r="EA17" s="41" t="s">
        <v>460</v>
      </c>
      <c r="EB17" s="41"/>
      <c r="EC17" s="234"/>
      <c r="ED17" s="234"/>
      <c r="EE17" s="41" t="s">
        <v>460</v>
      </c>
      <c r="EF17" s="41" t="s">
        <v>460</v>
      </c>
      <c r="EG17" s="41" t="s">
        <v>460</v>
      </c>
      <c r="EH17" s="41" t="s">
        <v>460</v>
      </c>
      <c r="EI17" s="41" t="s">
        <v>460</v>
      </c>
      <c r="EJ17" s="234"/>
      <c r="EK17" s="234"/>
      <c r="EL17" s="41"/>
      <c r="EM17" s="41"/>
      <c r="EN17" s="41"/>
      <c r="EO17" s="41"/>
      <c r="EP17" s="41"/>
      <c r="EQ17" s="234"/>
      <c r="ER17" s="234"/>
      <c r="ES17" s="41"/>
      <c r="ET17" s="41"/>
      <c r="EU17" s="41"/>
      <c r="EV17" s="41"/>
      <c r="EW17" s="41"/>
      <c r="EX17" s="234"/>
      <c r="EY17" s="234"/>
      <c r="EZ17" s="41"/>
      <c r="FA17" s="41"/>
      <c r="FB17" s="41"/>
      <c r="FC17" s="41"/>
      <c r="FD17" s="41"/>
      <c r="FE17" s="234"/>
      <c r="FF17" s="234"/>
      <c r="FG17" s="41"/>
      <c r="FH17" s="41"/>
      <c r="FI17" s="41"/>
      <c r="FJ17" s="41"/>
      <c r="FK17" s="41"/>
      <c r="FL17" s="234"/>
      <c r="FM17" s="234"/>
      <c r="FN17" s="41" t="s">
        <v>460</v>
      </c>
      <c r="FO17" s="41" t="s">
        <v>460</v>
      </c>
      <c r="FP17" s="41" t="s">
        <v>460</v>
      </c>
      <c r="FQ17" s="41" t="s">
        <v>460</v>
      </c>
      <c r="FR17" s="41" t="s">
        <v>460</v>
      </c>
      <c r="FS17" s="234"/>
      <c r="FT17" s="234"/>
      <c r="FU17" s="41"/>
      <c r="FV17" s="41"/>
      <c r="FW17" s="41"/>
      <c r="FX17" s="41"/>
      <c r="FY17" s="41"/>
      <c r="FZ17" s="234"/>
      <c r="GA17" s="234"/>
      <c r="GB17" s="41"/>
      <c r="GC17" s="41"/>
      <c r="GD17" s="41"/>
      <c r="GE17" s="41"/>
      <c r="GF17" s="41"/>
      <c r="GG17" s="234"/>
      <c r="GH17" s="234"/>
      <c r="GI17" s="41"/>
      <c r="GJ17" s="41"/>
      <c r="GK17" s="41"/>
      <c r="GL17" s="41"/>
      <c r="GM17" s="41"/>
      <c r="GN17" s="234"/>
      <c r="GO17" s="234"/>
      <c r="GP17" s="41"/>
      <c r="GQ17" s="41"/>
      <c r="GR17" s="41"/>
      <c r="GS17" s="41"/>
      <c r="GT17" s="41"/>
      <c r="GU17" s="234"/>
      <c r="GV17" s="234"/>
      <c r="GW17" s="41" t="s">
        <v>460</v>
      </c>
      <c r="GX17" s="41"/>
      <c r="GY17" s="41"/>
      <c r="GZ17" s="41"/>
      <c r="HA17" s="41"/>
      <c r="HB17" s="230"/>
      <c r="HC17" s="230"/>
      <c r="HD17" s="372"/>
      <c r="HE17" s="372"/>
      <c r="HF17" s="372"/>
      <c r="HG17" s="372"/>
      <c r="HH17" s="372"/>
      <c r="HI17" s="234"/>
      <c r="HJ17" s="234"/>
      <c r="HK17" s="372"/>
      <c r="HL17" s="372"/>
      <c r="HM17" s="372"/>
      <c r="HN17" s="372"/>
      <c r="HO17" s="372"/>
      <c r="HP17" s="234"/>
      <c r="HQ17" s="234"/>
      <c r="HR17" s="372"/>
      <c r="HS17" s="372"/>
      <c r="HT17" s="372"/>
      <c r="HU17" s="372"/>
      <c r="HV17" s="372"/>
      <c r="HW17" s="234"/>
      <c r="HX17" s="234"/>
      <c r="HY17" s="372"/>
      <c r="HZ17" s="372"/>
      <c r="IA17" s="372"/>
      <c r="IB17" s="372"/>
      <c r="IC17" s="372"/>
      <c r="ID17" s="234"/>
      <c r="IE17" s="234"/>
      <c r="IF17" s="372"/>
      <c r="IG17" s="372"/>
      <c r="IH17" s="372"/>
      <c r="II17" s="372"/>
      <c r="IJ17" s="372"/>
      <c r="IK17" s="234"/>
      <c r="IL17" s="234"/>
      <c r="IM17" s="372"/>
      <c r="IN17" s="372"/>
      <c r="IO17" s="372"/>
      <c r="IP17" s="372"/>
      <c r="IQ17" s="372"/>
      <c r="IR17" s="234"/>
      <c r="IS17" s="234"/>
      <c r="IT17" s="372"/>
      <c r="IU17" s="372"/>
      <c r="IV17" s="372"/>
      <c r="IW17" s="372"/>
      <c r="IX17" s="372"/>
      <c r="IY17" s="230"/>
      <c r="IZ17" s="230"/>
      <c r="JA17" s="372"/>
      <c r="JB17" s="372"/>
      <c r="JC17" s="372"/>
      <c r="JD17" s="372"/>
      <c r="JE17" s="372"/>
      <c r="JF17" s="234"/>
      <c r="JG17" s="234"/>
      <c r="JH17" s="41"/>
      <c r="JI17" s="41"/>
      <c r="JJ17" s="41"/>
      <c r="JK17" s="41"/>
      <c r="JL17" s="41"/>
      <c r="JM17" s="230"/>
      <c r="JN17" s="230"/>
      <c r="JO17" s="41"/>
      <c r="JP17" s="41"/>
      <c r="JQ17" s="41"/>
      <c r="JR17" s="41"/>
      <c r="JS17" s="41"/>
      <c r="JT17" s="234"/>
      <c r="JU17" s="234"/>
      <c r="JV17" s="41"/>
      <c r="JW17" s="41"/>
      <c r="JX17" s="41"/>
      <c r="JY17" s="41"/>
      <c r="JZ17" s="41"/>
      <c r="KA17" s="234"/>
      <c r="KB17" s="234"/>
      <c r="KC17" s="41"/>
      <c r="KD17" s="41"/>
      <c r="KE17" s="41"/>
      <c r="KF17" s="41"/>
      <c r="KG17" s="41"/>
      <c r="KH17" s="234"/>
      <c r="KI17" s="234"/>
      <c r="KJ17" s="41"/>
      <c r="KK17" s="41"/>
      <c r="KL17" s="41"/>
      <c r="KM17" s="41"/>
      <c r="KN17" s="41"/>
      <c r="KO17" s="234"/>
      <c r="KP17" s="234"/>
      <c r="KQ17" s="41"/>
      <c r="KR17" s="41"/>
      <c r="KS17" s="41"/>
      <c r="KT17" s="41"/>
      <c r="KU17" s="41"/>
      <c r="KV17" s="234"/>
      <c r="KW17" s="234"/>
      <c r="KX17" s="41"/>
      <c r="KY17" s="41"/>
      <c r="KZ17" s="41"/>
      <c r="LA17" s="41"/>
      <c r="LB17" s="41"/>
      <c r="LC17" s="234"/>
      <c r="LD17" s="234"/>
      <c r="LE17" s="41"/>
      <c r="LF17" s="41"/>
      <c r="LG17" s="41"/>
      <c r="LH17" s="41"/>
      <c r="LI17" s="41"/>
      <c r="LJ17" s="234"/>
      <c r="LK17" s="234"/>
      <c r="LL17" s="41"/>
      <c r="LM17" s="41"/>
      <c r="LN17" s="41"/>
      <c r="LO17" s="41"/>
      <c r="LP17" s="41"/>
      <c r="LQ17" s="234"/>
      <c r="LR17" s="234"/>
      <c r="LS17" s="41"/>
      <c r="LT17" s="41"/>
      <c r="LU17" s="41"/>
      <c r="LV17" s="41"/>
      <c r="LW17" s="41"/>
      <c r="LX17" s="234"/>
      <c r="LY17" s="234"/>
      <c r="LZ17" s="41"/>
      <c r="MA17" s="41"/>
      <c r="MB17" s="41"/>
      <c r="MC17" s="41"/>
      <c r="MD17" s="41"/>
      <c r="ME17" s="234"/>
      <c r="MF17" s="234"/>
      <c r="MG17" s="41"/>
      <c r="MH17" s="41"/>
      <c r="MI17" s="41"/>
      <c r="MJ17" s="41"/>
      <c r="MK17" s="41"/>
      <c r="ML17" s="234"/>
      <c r="MM17" s="234"/>
      <c r="MN17" s="41"/>
      <c r="MO17" s="41"/>
      <c r="MP17" s="41"/>
      <c r="MQ17" s="41"/>
      <c r="MR17" s="41"/>
      <c r="MS17" s="234"/>
      <c r="MT17" s="234"/>
      <c r="MU17" s="41"/>
      <c r="MV17" s="41"/>
      <c r="MW17" s="41"/>
      <c r="MX17" s="41"/>
      <c r="MY17" s="41"/>
      <c r="MZ17" s="234"/>
      <c r="NA17" s="234"/>
      <c r="NB17" s="41"/>
      <c r="NC17" s="41"/>
      <c r="ND17" s="41"/>
      <c r="NE17" s="41"/>
      <c r="NF17" s="41"/>
      <c r="NG17" s="234"/>
      <c r="NH17" s="234"/>
      <c r="NI17" s="41"/>
      <c r="NJ17" s="41"/>
      <c r="NK17" s="41"/>
      <c r="NL17" s="41"/>
      <c r="NM17" s="41"/>
      <c r="NN17" s="234"/>
      <c r="NO17" s="234"/>
    </row>
    <row r="18" spans="2:379" x14ac:dyDescent="0.3">
      <c r="B18" s="54">
        <v>105861</v>
      </c>
      <c r="C18" s="55">
        <v>35</v>
      </c>
      <c r="D18" s="206" t="s">
        <v>60</v>
      </c>
      <c r="E18" s="187" t="s">
        <v>8</v>
      </c>
      <c r="F18" s="351" t="s">
        <v>9</v>
      </c>
      <c r="G18" s="363" t="s">
        <v>925</v>
      </c>
      <c r="H18" s="156" t="s">
        <v>926</v>
      </c>
      <c r="I18" s="125"/>
      <c r="J18" s="41"/>
      <c r="K18" s="41"/>
      <c r="L18" s="41"/>
      <c r="M18" s="41"/>
      <c r="N18" s="230"/>
      <c r="O18" s="230"/>
      <c r="P18" s="41"/>
      <c r="Q18" s="41"/>
      <c r="R18" s="41"/>
      <c r="S18" s="41"/>
      <c r="T18" s="41"/>
      <c r="U18" s="230"/>
      <c r="V18" s="230"/>
      <c r="W18" s="41"/>
      <c r="X18" s="41"/>
      <c r="Y18" s="41"/>
      <c r="Z18" s="41"/>
      <c r="AA18" s="41"/>
      <c r="AB18" s="230"/>
      <c r="AC18" s="230"/>
      <c r="AD18" s="41"/>
      <c r="AE18" s="41"/>
      <c r="AF18" s="41"/>
      <c r="AG18" s="41"/>
      <c r="AH18" s="41"/>
      <c r="AI18" s="230"/>
      <c r="AJ18" s="230"/>
      <c r="AK18" s="41"/>
      <c r="AL18" s="41"/>
      <c r="AM18" s="41"/>
      <c r="AN18" s="41"/>
      <c r="AO18" s="41"/>
      <c r="AP18" s="230"/>
      <c r="AQ18" s="230"/>
      <c r="AR18" s="41"/>
      <c r="AS18" s="41"/>
      <c r="AT18" s="41"/>
      <c r="AU18" s="41"/>
      <c r="AV18" s="41"/>
      <c r="AW18" s="230"/>
      <c r="AX18" s="230"/>
      <c r="AY18" s="41"/>
      <c r="AZ18" s="41"/>
      <c r="BA18" s="41"/>
      <c r="BB18" s="41"/>
      <c r="BC18" s="41"/>
      <c r="BD18" s="230"/>
      <c r="BE18" s="230"/>
      <c r="BF18" s="41"/>
      <c r="BG18" s="41"/>
      <c r="BH18" s="41"/>
      <c r="BI18" s="41"/>
      <c r="BJ18" s="41"/>
      <c r="BK18" s="230"/>
      <c r="BL18" s="230"/>
      <c r="BM18" s="41"/>
      <c r="BN18" s="41"/>
      <c r="BO18" s="41"/>
      <c r="BP18" s="41"/>
      <c r="BQ18" s="41"/>
      <c r="BR18" s="230"/>
      <c r="BS18" s="230"/>
      <c r="BT18" s="41"/>
      <c r="BU18" s="41"/>
      <c r="BV18" s="41"/>
      <c r="BW18" s="41"/>
      <c r="BX18" s="41"/>
      <c r="BY18" s="230"/>
      <c r="BZ18" s="230"/>
      <c r="CA18" s="41"/>
      <c r="CB18" s="41"/>
      <c r="CC18" s="41"/>
      <c r="CD18" s="41"/>
      <c r="CE18" s="41"/>
      <c r="CF18" s="230"/>
      <c r="CG18" s="230"/>
      <c r="CH18" s="41"/>
      <c r="CI18" s="41"/>
      <c r="CJ18" s="41"/>
      <c r="CK18" s="41"/>
      <c r="CL18" s="41"/>
      <c r="CM18" s="230"/>
      <c r="CN18" s="230"/>
      <c r="CO18" s="41"/>
      <c r="CP18" s="41"/>
      <c r="CQ18" s="41"/>
      <c r="CR18" s="41"/>
      <c r="CS18" s="41"/>
      <c r="CT18" s="230"/>
      <c r="CU18" s="230"/>
      <c r="CV18" s="41"/>
      <c r="CW18" s="41"/>
      <c r="CX18" s="41"/>
      <c r="CY18" s="41"/>
      <c r="CZ18" s="41"/>
      <c r="DA18" s="230"/>
      <c r="DB18" s="230"/>
      <c r="DC18" s="41"/>
      <c r="DD18" s="41"/>
      <c r="DE18" s="41"/>
      <c r="DF18" s="41"/>
      <c r="DG18" s="41"/>
      <c r="DH18" s="230"/>
      <c r="DI18" s="230"/>
      <c r="DJ18" s="41"/>
      <c r="DK18" s="41"/>
      <c r="DL18" s="41"/>
      <c r="DM18" s="41"/>
      <c r="DN18" s="41"/>
      <c r="DO18" s="230"/>
      <c r="DP18" s="230"/>
      <c r="DQ18" s="41" t="s">
        <v>460</v>
      </c>
      <c r="DR18" s="41"/>
      <c r="DS18" s="41"/>
      <c r="DT18" s="41"/>
      <c r="DU18" s="41"/>
      <c r="DV18" s="230"/>
      <c r="DW18" s="234"/>
      <c r="DX18" s="41"/>
      <c r="DY18" s="41"/>
      <c r="DZ18" s="41"/>
      <c r="EA18" s="41" t="s">
        <v>460</v>
      </c>
      <c r="EB18" s="41"/>
      <c r="EC18" s="230"/>
      <c r="ED18" s="230"/>
      <c r="EE18" s="41"/>
      <c r="EF18" s="41"/>
      <c r="EG18" s="41"/>
      <c r="EH18" s="41"/>
      <c r="EI18" s="41"/>
      <c r="EJ18" s="230"/>
      <c r="EK18" s="230"/>
      <c r="EL18" s="41"/>
      <c r="EM18" s="41"/>
      <c r="EN18" s="41"/>
      <c r="EO18" s="41"/>
      <c r="EP18" s="41"/>
      <c r="EQ18" s="230"/>
      <c r="ER18" s="230"/>
      <c r="ES18" s="41"/>
      <c r="ET18" s="41"/>
      <c r="EU18" s="41"/>
      <c r="EV18" s="41"/>
      <c r="EW18" s="41"/>
      <c r="EX18" s="230"/>
      <c r="EY18" s="230"/>
      <c r="EZ18" s="41"/>
      <c r="FA18" s="41"/>
      <c r="FB18" s="41"/>
      <c r="FC18" s="41"/>
      <c r="FD18" s="41"/>
      <c r="FE18" s="230"/>
      <c r="FF18" s="230"/>
      <c r="FG18" s="41"/>
      <c r="FH18" s="41"/>
      <c r="FI18" s="41"/>
      <c r="FJ18" s="41"/>
      <c r="FK18" s="41"/>
      <c r="FL18" s="230"/>
      <c r="FM18" s="230"/>
      <c r="FN18" s="41" t="s">
        <v>460</v>
      </c>
      <c r="FO18" s="41"/>
      <c r="FP18" s="41"/>
      <c r="FQ18" s="41"/>
      <c r="FR18" s="41"/>
      <c r="FS18" s="230"/>
      <c r="FT18" s="230"/>
      <c r="FU18" s="41"/>
      <c r="FV18" s="41"/>
      <c r="FW18" s="41"/>
      <c r="FX18" s="41"/>
      <c r="FY18" s="41"/>
      <c r="FZ18" s="230"/>
      <c r="GA18" s="230"/>
      <c r="GB18" s="41"/>
      <c r="GC18" s="41"/>
      <c r="GD18" s="41"/>
      <c r="GE18" s="41"/>
      <c r="GF18" s="41"/>
      <c r="GG18" s="230"/>
      <c r="GH18" s="230"/>
      <c r="GI18" s="41"/>
      <c r="GJ18" s="41"/>
      <c r="GK18" s="41"/>
      <c r="GL18" s="41"/>
      <c r="GM18" s="41"/>
      <c r="GN18" s="230"/>
      <c r="GO18" s="230"/>
      <c r="GP18" s="41"/>
      <c r="GQ18" s="41"/>
      <c r="GR18" s="41"/>
      <c r="GS18" s="41"/>
      <c r="GT18" s="41"/>
      <c r="GU18" s="230"/>
      <c r="GV18" s="230"/>
      <c r="GW18" s="41" t="s">
        <v>460</v>
      </c>
      <c r="GX18" s="41"/>
      <c r="GY18" s="41"/>
      <c r="GZ18" s="41"/>
      <c r="HA18" s="41"/>
      <c r="HB18" s="230"/>
      <c r="HC18" s="230"/>
      <c r="HD18" s="372"/>
      <c r="HE18" s="372"/>
      <c r="HF18" s="372"/>
      <c r="HG18" s="372"/>
      <c r="HH18" s="372"/>
      <c r="HI18" s="230"/>
      <c r="HJ18" s="230"/>
      <c r="HK18" s="372"/>
      <c r="HL18" s="372"/>
      <c r="HM18" s="372"/>
      <c r="HN18" s="372"/>
      <c r="HO18" s="372"/>
      <c r="HP18" s="230"/>
      <c r="HQ18" s="230"/>
      <c r="HR18" s="372"/>
      <c r="HS18" s="372"/>
      <c r="HT18" s="372"/>
      <c r="HU18" s="372"/>
      <c r="HV18" s="372"/>
      <c r="HW18" s="230"/>
      <c r="HX18" s="230"/>
      <c r="HY18" s="372"/>
      <c r="HZ18" s="372"/>
      <c r="IA18" s="372"/>
      <c r="IB18" s="372"/>
      <c r="IC18" s="372"/>
      <c r="ID18" s="230"/>
      <c r="IE18" s="230"/>
      <c r="IF18" s="372"/>
      <c r="IG18" s="372"/>
      <c r="IH18" s="372"/>
      <c r="II18" s="372"/>
      <c r="IJ18" s="372"/>
      <c r="IK18" s="230"/>
      <c r="IL18" s="230"/>
      <c r="IM18" s="372"/>
      <c r="IN18" s="372"/>
      <c r="IO18" s="372"/>
      <c r="IP18" s="372"/>
      <c r="IQ18" s="372"/>
      <c r="IR18" s="234"/>
      <c r="IS18" s="234"/>
      <c r="IT18" s="372"/>
      <c r="IU18" s="372"/>
      <c r="IV18" s="372"/>
      <c r="IW18" s="372"/>
      <c r="IX18" s="372"/>
      <c r="IY18" s="234"/>
      <c r="IZ18" s="234"/>
      <c r="JA18" s="372"/>
      <c r="JB18" s="372"/>
      <c r="JC18" s="372"/>
      <c r="JD18" s="372"/>
      <c r="JE18" s="372"/>
      <c r="JF18" s="234"/>
      <c r="JG18" s="234"/>
      <c r="JH18" s="234"/>
      <c r="JI18" s="234"/>
      <c r="JJ18" s="234"/>
      <c r="JK18" s="234"/>
      <c r="JL18" s="234"/>
      <c r="JM18" s="234"/>
      <c r="JN18" s="234"/>
      <c r="JO18" s="234"/>
      <c r="JP18" s="234"/>
      <c r="JQ18" s="234"/>
      <c r="JR18" s="234"/>
      <c r="JS18" s="234"/>
      <c r="JT18" s="234"/>
      <c r="JU18" s="234"/>
      <c r="JV18" s="234"/>
      <c r="JW18" s="234"/>
      <c r="JX18" s="234"/>
      <c r="JY18" s="234"/>
      <c r="JZ18" s="234"/>
      <c r="KA18" s="234"/>
      <c r="KB18" s="234"/>
      <c r="KC18" s="234"/>
      <c r="KD18" s="234"/>
      <c r="KE18" s="234"/>
      <c r="KF18" s="234"/>
      <c r="KG18" s="234"/>
      <c r="KH18" s="234"/>
      <c r="KI18" s="234"/>
      <c r="KJ18" s="234"/>
      <c r="KK18" s="234"/>
      <c r="KL18" s="234"/>
      <c r="KM18" s="234"/>
      <c r="KN18" s="234"/>
      <c r="KO18" s="234"/>
      <c r="KP18" s="234"/>
      <c r="KQ18" s="234"/>
      <c r="KR18" s="234"/>
      <c r="KS18" s="234"/>
      <c r="KT18" s="234"/>
      <c r="KU18" s="234"/>
      <c r="KV18" s="234"/>
      <c r="KW18" s="234"/>
      <c r="KX18" s="234"/>
      <c r="KY18" s="234"/>
      <c r="KZ18" s="234"/>
      <c r="LA18" s="234"/>
      <c r="LB18" s="234"/>
      <c r="LC18" s="234"/>
      <c r="LD18" s="234"/>
      <c r="LE18" s="234"/>
      <c r="LF18" s="234"/>
      <c r="LG18" s="234"/>
      <c r="LH18" s="234"/>
      <c r="LI18" s="234"/>
      <c r="LJ18" s="234"/>
      <c r="LK18" s="234"/>
      <c r="LL18" s="234"/>
      <c r="LM18" s="234"/>
      <c r="LN18" s="234"/>
      <c r="LO18" s="234"/>
      <c r="LP18" s="234"/>
      <c r="LQ18" s="234"/>
      <c r="LR18" s="234"/>
      <c r="LS18" s="234"/>
      <c r="LT18" s="234"/>
      <c r="LU18" s="234"/>
      <c r="LV18" s="234"/>
      <c r="LW18" s="234"/>
      <c r="LX18" s="234"/>
      <c r="LY18" s="234"/>
      <c r="LZ18" s="234"/>
      <c r="MA18" s="234"/>
      <c r="MB18" s="234"/>
      <c r="MC18" s="234"/>
      <c r="MD18" s="234"/>
      <c r="ME18" s="234"/>
      <c r="MF18" s="234"/>
      <c r="MG18" s="234"/>
      <c r="MH18" s="234"/>
      <c r="MI18" s="234"/>
      <c r="MJ18" s="234"/>
      <c r="MK18" s="234"/>
      <c r="ML18" s="234"/>
      <c r="MM18" s="234"/>
      <c r="MN18" s="234"/>
      <c r="MO18" s="234"/>
      <c r="MP18" s="234"/>
      <c r="MQ18" s="234"/>
      <c r="MR18" s="234"/>
      <c r="MS18" s="234"/>
      <c r="MT18" s="234"/>
      <c r="MU18" s="234"/>
      <c r="MV18" s="234"/>
      <c r="MW18" s="234"/>
      <c r="MX18" s="234"/>
      <c r="MY18" s="234"/>
      <c r="MZ18" s="234"/>
      <c r="NA18" s="234"/>
      <c r="NB18" s="234"/>
      <c r="NC18" s="234"/>
      <c r="ND18" s="234"/>
      <c r="NE18" s="234"/>
      <c r="NF18" s="234"/>
      <c r="NG18" s="234"/>
      <c r="NH18" s="234"/>
      <c r="NI18" s="234"/>
      <c r="NJ18" s="234"/>
      <c r="NK18" s="234"/>
      <c r="NL18" s="234"/>
      <c r="NM18" s="234"/>
      <c r="NN18" s="234"/>
      <c r="NO18" s="234"/>
    </row>
    <row r="19" spans="2:379" x14ac:dyDescent="0.3">
      <c r="B19" s="8">
        <v>103711</v>
      </c>
      <c r="C19" s="9">
        <v>35</v>
      </c>
      <c r="D19" s="206" t="s">
        <v>60</v>
      </c>
      <c r="E19" s="187" t="s">
        <v>8</v>
      </c>
      <c r="F19" s="351" t="s">
        <v>9</v>
      </c>
      <c r="G19" s="355" t="s">
        <v>718</v>
      </c>
      <c r="H19" s="154" t="s">
        <v>719</v>
      </c>
      <c r="I19" s="125"/>
      <c r="J19" s="41"/>
      <c r="K19" s="41"/>
      <c r="L19" s="41"/>
      <c r="M19" s="41"/>
      <c r="N19" s="234"/>
      <c r="O19" s="234"/>
      <c r="P19" s="41"/>
      <c r="Q19" s="41"/>
      <c r="R19" s="41"/>
      <c r="S19" s="41"/>
      <c r="T19" s="41"/>
      <c r="U19" s="230"/>
      <c r="V19" s="230"/>
      <c r="W19" s="41"/>
      <c r="X19" s="41"/>
      <c r="Y19" s="41"/>
      <c r="Z19" s="41"/>
      <c r="AA19" s="41"/>
      <c r="AB19" s="230"/>
      <c r="AC19" s="230"/>
      <c r="AD19" s="41"/>
      <c r="AE19" s="41"/>
      <c r="AF19" s="41"/>
      <c r="AG19" s="41"/>
      <c r="AH19" s="41"/>
      <c r="AI19" s="230"/>
      <c r="AJ19" s="230"/>
      <c r="AK19" s="41"/>
      <c r="AL19" s="41"/>
      <c r="AM19" s="41"/>
      <c r="AN19" s="41"/>
      <c r="AO19" s="41"/>
      <c r="AP19" s="230"/>
      <c r="AQ19" s="230"/>
      <c r="AR19" s="41"/>
      <c r="AS19" s="41"/>
      <c r="AT19" s="41"/>
      <c r="AU19" s="41"/>
      <c r="AV19" s="41"/>
      <c r="AW19" s="230"/>
      <c r="AX19" s="230"/>
      <c r="AY19" s="41"/>
      <c r="AZ19" s="41"/>
      <c r="BA19" s="41"/>
      <c r="BB19" s="41"/>
      <c r="BC19" s="41"/>
      <c r="BD19" s="230"/>
      <c r="BE19" s="230"/>
      <c r="BF19" s="41"/>
      <c r="BG19" s="41"/>
      <c r="BH19" s="41"/>
      <c r="BI19" s="41"/>
      <c r="BJ19" s="41"/>
      <c r="BK19" s="230"/>
      <c r="BL19" s="230"/>
      <c r="BM19" s="41"/>
      <c r="BN19" s="41"/>
      <c r="BO19" s="41"/>
      <c r="BP19" s="41"/>
      <c r="BQ19" s="41"/>
      <c r="BR19" s="234"/>
      <c r="BS19" s="234"/>
      <c r="BT19" s="41"/>
      <c r="BU19" s="41"/>
      <c r="BV19" s="41"/>
      <c r="BW19" s="41"/>
      <c r="BX19" s="41"/>
      <c r="BY19" s="234"/>
      <c r="BZ19" s="234"/>
      <c r="CA19" s="41" t="s">
        <v>460</v>
      </c>
      <c r="CB19" s="41" t="s">
        <v>460</v>
      </c>
      <c r="CC19" s="41" t="s">
        <v>460</v>
      </c>
      <c r="CD19" s="41" t="s">
        <v>460</v>
      </c>
      <c r="CE19" s="41" t="s">
        <v>460</v>
      </c>
      <c r="CF19" s="234"/>
      <c r="CG19" s="234"/>
      <c r="CH19" s="41"/>
      <c r="CI19" s="41"/>
      <c r="CJ19" s="41"/>
      <c r="CK19" s="41"/>
      <c r="CL19" s="41"/>
      <c r="CM19" s="234"/>
      <c r="CN19" s="234"/>
      <c r="CO19" s="41"/>
      <c r="CP19" s="41"/>
      <c r="CQ19" s="41"/>
      <c r="CR19" s="41"/>
      <c r="CS19" s="41"/>
      <c r="CT19" s="234"/>
      <c r="CU19" s="234"/>
      <c r="CV19" s="41"/>
      <c r="CW19" s="41"/>
      <c r="CX19" s="41"/>
      <c r="CY19" s="41"/>
      <c r="CZ19" s="41"/>
      <c r="DA19" s="234"/>
      <c r="DB19" s="234"/>
      <c r="DC19" s="41"/>
      <c r="DD19" s="41"/>
      <c r="DE19" s="41"/>
      <c r="DF19" s="41"/>
      <c r="DG19" s="41"/>
      <c r="DH19" s="234"/>
      <c r="DI19" s="234"/>
      <c r="DJ19" s="41"/>
      <c r="DK19" s="41"/>
      <c r="DL19" s="41"/>
      <c r="DM19" s="41"/>
      <c r="DN19" s="41"/>
      <c r="DO19" s="234"/>
      <c r="DP19" s="234"/>
      <c r="DQ19" s="41" t="s">
        <v>460</v>
      </c>
      <c r="DR19" s="41"/>
      <c r="DS19" s="41"/>
      <c r="DT19" s="41"/>
      <c r="DU19" s="41"/>
      <c r="DV19" s="234"/>
      <c r="DW19" s="234"/>
      <c r="DX19" s="41"/>
      <c r="DY19" s="41"/>
      <c r="DZ19" s="41"/>
      <c r="EA19" s="41" t="s">
        <v>460</v>
      </c>
      <c r="EB19" s="41"/>
      <c r="EC19" s="234"/>
      <c r="ED19" s="234"/>
      <c r="EE19" s="41"/>
      <c r="EF19" s="41"/>
      <c r="EG19" s="41"/>
      <c r="EH19" s="41"/>
      <c r="EI19" s="41"/>
      <c r="EJ19" s="234"/>
      <c r="EK19" s="234"/>
      <c r="EL19" s="41"/>
      <c r="EM19" s="41"/>
      <c r="EN19" s="41"/>
      <c r="EO19" s="41"/>
      <c r="EP19" s="41"/>
      <c r="EQ19" s="234"/>
      <c r="ER19" s="234"/>
      <c r="ES19" s="41"/>
      <c r="ET19" s="41"/>
      <c r="EU19" s="41"/>
      <c r="EV19" s="41"/>
      <c r="EW19" s="41"/>
      <c r="EX19" s="234"/>
      <c r="EY19" s="234"/>
      <c r="EZ19" s="41"/>
      <c r="FA19" s="41"/>
      <c r="FB19" s="41"/>
      <c r="FC19" s="41"/>
      <c r="FD19" s="41"/>
      <c r="FE19" s="234"/>
      <c r="FF19" s="234"/>
      <c r="FG19" s="41"/>
      <c r="FH19" s="41"/>
      <c r="FI19" s="41"/>
      <c r="FJ19" s="41"/>
      <c r="FK19" s="41"/>
      <c r="FL19" s="234"/>
      <c r="FM19" s="234"/>
      <c r="FN19" s="41" t="s">
        <v>460</v>
      </c>
      <c r="FO19" s="41"/>
      <c r="FP19" s="41"/>
      <c r="FQ19" s="41"/>
      <c r="FR19" s="41"/>
      <c r="FS19" s="234"/>
      <c r="FT19" s="234"/>
      <c r="FU19" s="41"/>
      <c r="FV19" s="41"/>
      <c r="FW19" s="41"/>
      <c r="FX19" s="41"/>
      <c r="FY19" s="41"/>
      <c r="FZ19" s="234"/>
      <c r="GA19" s="234"/>
      <c r="GB19" s="41"/>
      <c r="GC19" s="41"/>
      <c r="GD19" s="41"/>
      <c r="GE19" s="41"/>
      <c r="GF19" s="41"/>
      <c r="GG19" s="234"/>
      <c r="GH19" s="234"/>
      <c r="GI19" s="41"/>
      <c r="GJ19" s="41"/>
      <c r="GK19" s="41"/>
      <c r="GL19" s="41"/>
      <c r="GM19" s="41"/>
      <c r="GN19" s="234"/>
      <c r="GO19" s="234"/>
      <c r="GP19" s="41"/>
      <c r="GQ19" s="41"/>
      <c r="GR19" s="41"/>
      <c r="GS19" s="41"/>
      <c r="GT19" s="41"/>
      <c r="GU19" s="234"/>
      <c r="GV19" s="234"/>
      <c r="GW19" s="41" t="s">
        <v>460</v>
      </c>
      <c r="GX19" s="41"/>
      <c r="GY19" s="41"/>
      <c r="GZ19" s="41"/>
      <c r="HA19" s="41"/>
      <c r="HB19" s="230"/>
      <c r="HC19" s="230"/>
      <c r="HD19" s="372"/>
      <c r="HE19" s="372"/>
      <c r="HF19" s="372"/>
      <c r="HG19" s="372"/>
      <c r="HH19" s="372"/>
      <c r="HI19" s="230"/>
      <c r="HJ19" s="230"/>
      <c r="HK19" s="372" t="s">
        <v>460</v>
      </c>
      <c r="HL19" s="372" t="s">
        <v>460</v>
      </c>
      <c r="HM19" s="372" t="s">
        <v>460</v>
      </c>
      <c r="HN19" s="372" t="s">
        <v>460</v>
      </c>
      <c r="HO19" s="372" t="s">
        <v>460</v>
      </c>
      <c r="HP19" s="230"/>
      <c r="HQ19" s="230"/>
      <c r="HR19" s="372" t="s">
        <v>460</v>
      </c>
      <c r="HS19" s="372" t="s">
        <v>460</v>
      </c>
      <c r="HT19" s="372" t="s">
        <v>460</v>
      </c>
      <c r="HU19" s="372" t="s">
        <v>460</v>
      </c>
      <c r="HV19" s="372" t="s">
        <v>460</v>
      </c>
      <c r="HW19" s="230"/>
      <c r="HX19" s="230"/>
      <c r="HY19" s="372" t="s">
        <v>460</v>
      </c>
      <c r="HZ19" s="372" t="s">
        <v>460</v>
      </c>
      <c r="IA19" s="372" t="s">
        <v>460</v>
      </c>
      <c r="IB19" s="372" t="s">
        <v>460</v>
      </c>
      <c r="IC19" s="372" t="s">
        <v>460</v>
      </c>
      <c r="ID19" s="230"/>
      <c r="IE19" s="230"/>
      <c r="IF19" s="372"/>
      <c r="IG19" s="372"/>
      <c r="IH19" s="372"/>
      <c r="II19" s="372"/>
      <c r="IJ19" s="372"/>
      <c r="IK19" s="230"/>
      <c r="IL19" s="230"/>
      <c r="IM19" s="372"/>
      <c r="IN19" s="372"/>
      <c r="IO19" s="372"/>
      <c r="IP19" s="372"/>
      <c r="IQ19" s="372"/>
      <c r="IR19" s="234"/>
      <c r="IS19" s="234"/>
      <c r="IT19" s="372"/>
      <c r="IU19" s="372"/>
      <c r="IV19" s="372"/>
      <c r="IW19" s="372"/>
      <c r="IX19" s="372"/>
      <c r="IY19" s="234"/>
      <c r="IZ19" s="234"/>
      <c r="JA19" s="372"/>
      <c r="JB19" s="372"/>
      <c r="JC19" s="372"/>
      <c r="JD19" s="372"/>
      <c r="JE19" s="372"/>
      <c r="JF19" s="234"/>
      <c r="JG19" s="234"/>
      <c r="JH19" s="41"/>
      <c r="JI19" s="41"/>
      <c r="JJ19" s="41"/>
      <c r="JK19" s="41"/>
      <c r="JL19" s="41"/>
      <c r="JM19" s="234"/>
      <c r="JN19" s="234"/>
      <c r="JO19" s="41"/>
      <c r="JP19" s="41"/>
      <c r="JQ19" s="41"/>
      <c r="JR19" s="41"/>
      <c r="JS19" s="41"/>
      <c r="JT19" s="234"/>
      <c r="JU19" s="234"/>
      <c r="JV19" s="41"/>
      <c r="JW19" s="41"/>
      <c r="JX19" s="41"/>
      <c r="JY19" s="41"/>
      <c r="JZ19" s="41"/>
      <c r="KA19" s="234"/>
      <c r="KB19" s="234"/>
      <c r="KC19" s="41"/>
      <c r="KD19" s="41"/>
      <c r="KE19" s="41"/>
      <c r="KF19" s="41"/>
      <c r="KG19" s="41"/>
      <c r="KH19" s="234"/>
      <c r="KI19" s="234"/>
      <c r="KJ19" s="41"/>
      <c r="KK19" s="41"/>
      <c r="KL19" s="41"/>
      <c r="KM19" s="41"/>
      <c r="KN19" s="41"/>
      <c r="KO19" s="234"/>
      <c r="KP19" s="234"/>
      <c r="KQ19" s="41"/>
      <c r="KR19" s="41"/>
      <c r="KS19" s="41"/>
      <c r="KT19" s="41"/>
      <c r="KU19" s="41"/>
      <c r="KV19" s="234"/>
      <c r="KW19" s="234"/>
      <c r="KX19" s="41"/>
      <c r="KY19" s="41"/>
      <c r="KZ19" s="41"/>
      <c r="LA19" s="41"/>
      <c r="LB19" s="41"/>
      <c r="LC19" s="234"/>
      <c r="LD19" s="234"/>
      <c r="LE19" s="41"/>
      <c r="LF19" s="41"/>
      <c r="LG19" s="41"/>
      <c r="LH19" s="41"/>
      <c r="LI19" s="41"/>
      <c r="LJ19" s="234"/>
      <c r="LK19" s="234"/>
      <c r="LL19" s="41"/>
      <c r="LM19" s="41"/>
      <c r="LN19" s="41"/>
      <c r="LO19" s="41"/>
      <c r="LP19" s="41"/>
      <c r="LQ19" s="234"/>
      <c r="LR19" s="234"/>
      <c r="LS19" s="41"/>
      <c r="LT19" s="41"/>
      <c r="LU19" s="41"/>
      <c r="LV19" s="41"/>
      <c r="LW19" s="41"/>
      <c r="LX19" s="234"/>
      <c r="LY19" s="234"/>
      <c r="LZ19" s="41"/>
      <c r="MA19" s="41"/>
      <c r="MB19" s="41"/>
      <c r="MC19" s="41"/>
      <c r="MD19" s="41"/>
      <c r="ME19" s="234"/>
      <c r="MF19" s="234"/>
      <c r="MG19" s="41"/>
      <c r="MH19" s="41"/>
      <c r="MI19" s="41"/>
      <c r="MJ19" s="41"/>
      <c r="MK19" s="41"/>
      <c r="ML19" s="234"/>
      <c r="MM19" s="234"/>
      <c r="MN19" s="41"/>
      <c r="MO19" s="41"/>
      <c r="MP19" s="41"/>
      <c r="MQ19" s="41"/>
      <c r="MR19" s="41"/>
      <c r="MS19" s="234"/>
      <c r="MT19" s="234"/>
      <c r="MU19" s="41"/>
      <c r="MV19" s="41"/>
      <c r="MW19" s="41"/>
      <c r="MX19" s="41"/>
      <c r="MY19" s="41"/>
      <c r="MZ19" s="234"/>
      <c r="NA19" s="234"/>
      <c r="NB19" s="41"/>
      <c r="NC19" s="41"/>
      <c r="ND19" s="41"/>
      <c r="NE19" s="41"/>
      <c r="NF19" s="41"/>
      <c r="NG19" s="234"/>
      <c r="NH19" s="234"/>
      <c r="NI19" s="41"/>
      <c r="NJ19" s="41"/>
      <c r="NK19" s="41"/>
      <c r="NL19" s="41"/>
      <c r="NM19" s="41"/>
      <c r="NN19" s="234"/>
      <c r="NO19" s="234"/>
    </row>
    <row r="20" spans="2:379" x14ac:dyDescent="0.3">
      <c r="B20" s="65" t="s">
        <v>18</v>
      </c>
      <c r="C20" s="25">
        <v>35</v>
      </c>
      <c r="D20" s="206" t="s">
        <v>60</v>
      </c>
      <c r="E20" s="183" t="s">
        <v>8</v>
      </c>
      <c r="F20" s="351" t="s">
        <v>9</v>
      </c>
      <c r="G20" s="363" t="s">
        <v>117</v>
      </c>
      <c r="H20" s="156" t="s">
        <v>118</v>
      </c>
      <c r="I20" s="125"/>
      <c r="J20" s="41"/>
      <c r="K20" s="41"/>
      <c r="L20" s="41"/>
      <c r="M20" s="41"/>
      <c r="N20" s="230"/>
      <c r="O20" s="230"/>
      <c r="P20" s="41"/>
      <c r="Q20" s="41"/>
      <c r="R20" s="41"/>
      <c r="S20" s="41"/>
      <c r="T20" s="41"/>
      <c r="U20" s="230"/>
      <c r="V20" s="230"/>
      <c r="W20" s="41"/>
      <c r="X20" s="41"/>
      <c r="Y20" s="41"/>
      <c r="Z20" s="41"/>
      <c r="AA20" s="41"/>
      <c r="AB20" s="230"/>
      <c r="AC20" s="230"/>
      <c r="AD20" s="41"/>
      <c r="AE20" s="41"/>
      <c r="AF20" s="41"/>
      <c r="AG20" s="41"/>
      <c r="AH20" s="41"/>
      <c r="AI20" s="230"/>
      <c r="AJ20" s="230"/>
      <c r="AK20" s="41"/>
      <c r="AL20" s="41"/>
      <c r="AM20" s="41"/>
      <c r="AN20" s="41"/>
      <c r="AO20" s="41"/>
      <c r="AP20" s="230"/>
      <c r="AQ20" s="230"/>
      <c r="AR20" s="41"/>
      <c r="AS20" s="41"/>
      <c r="AT20" s="41"/>
      <c r="AU20" s="41"/>
      <c r="AV20" s="41"/>
      <c r="AW20" s="230"/>
      <c r="AX20" s="230"/>
      <c r="AY20" s="41"/>
      <c r="AZ20" s="41"/>
      <c r="BA20" s="41"/>
      <c r="BB20" s="41"/>
      <c r="BC20" s="41"/>
      <c r="BD20" s="230"/>
      <c r="BE20" s="230"/>
      <c r="BF20" s="41"/>
      <c r="BG20" s="41"/>
      <c r="BH20" s="41"/>
      <c r="BI20" s="41"/>
      <c r="BJ20" s="41"/>
      <c r="BK20" s="230"/>
      <c r="BL20" s="230"/>
      <c r="BM20" s="41"/>
      <c r="BN20" s="41"/>
      <c r="BO20" s="41"/>
      <c r="BP20" s="41"/>
      <c r="BQ20" s="41"/>
      <c r="BR20" s="230"/>
      <c r="BS20" s="230"/>
      <c r="BT20" s="41"/>
      <c r="BU20" s="41"/>
      <c r="BV20" s="41"/>
      <c r="BW20" s="41"/>
      <c r="BX20" s="41"/>
      <c r="BY20" s="230"/>
      <c r="BZ20" s="230"/>
      <c r="CA20" s="41"/>
      <c r="CB20" s="41"/>
      <c r="CC20" s="41"/>
      <c r="CD20" s="41"/>
      <c r="CE20" s="41"/>
      <c r="CF20" s="230"/>
      <c r="CG20" s="230"/>
      <c r="CH20" s="41"/>
      <c r="CI20" s="41"/>
      <c r="CJ20" s="41"/>
      <c r="CK20" s="41"/>
      <c r="CL20" s="41"/>
      <c r="CM20" s="230"/>
      <c r="CN20" s="230"/>
      <c r="CO20" s="41"/>
      <c r="CP20" s="41"/>
      <c r="CQ20" s="41"/>
      <c r="CR20" s="41"/>
      <c r="CS20" s="41"/>
      <c r="CT20" s="230"/>
      <c r="CU20" s="230"/>
      <c r="CV20" s="41"/>
      <c r="CW20" s="41"/>
      <c r="CX20" s="41"/>
      <c r="CY20" s="41"/>
      <c r="CZ20" s="41"/>
      <c r="DA20" s="230"/>
      <c r="DB20" s="230"/>
      <c r="DC20" s="41"/>
      <c r="DD20" s="41"/>
      <c r="DE20" s="41"/>
      <c r="DF20" s="41"/>
      <c r="DG20" s="41"/>
      <c r="DH20" s="230"/>
      <c r="DI20" s="230"/>
      <c r="DJ20" s="41"/>
      <c r="DK20" s="41"/>
      <c r="DL20" s="41"/>
      <c r="DM20" s="41"/>
      <c r="DN20" s="41"/>
      <c r="DO20" s="230"/>
      <c r="DP20" s="230"/>
      <c r="DQ20" s="41" t="s">
        <v>460</v>
      </c>
      <c r="DR20" s="41" t="s">
        <v>460</v>
      </c>
      <c r="DS20" s="41" t="s">
        <v>460</v>
      </c>
      <c r="DT20" s="41" t="s">
        <v>460</v>
      </c>
      <c r="DU20" s="41" t="s">
        <v>460</v>
      </c>
      <c r="DV20" s="230"/>
      <c r="DW20" s="230"/>
      <c r="DX20" s="41"/>
      <c r="DY20" s="41"/>
      <c r="DZ20" s="41"/>
      <c r="EA20" s="41" t="s">
        <v>460</v>
      </c>
      <c r="EB20" s="41"/>
      <c r="EC20" s="230"/>
      <c r="ED20" s="230"/>
      <c r="EE20" s="41"/>
      <c r="EF20" s="41"/>
      <c r="EG20" s="41"/>
      <c r="EH20" s="41"/>
      <c r="EI20" s="41"/>
      <c r="EJ20" s="230"/>
      <c r="EK20" s="230"/>
      <c r="EL20" s="41"/>
      <c r="EM20" s="41"/>
      <c r="EN20" s="41"/>
      <c r="EO20" s="41"/>
      <c r="EP20" s="41"/>
      <c r="EQ20" s="230"/>
      <c r="ER20" s="230"/>
      <c r="ES20" s="41"/>
      <c r="ET20" s="41"/>
      <c r="EU20" s="41"/>
      <c r="EV20" s="41"/>
      <c r="EW20" s="41"/>
      <c r="EX20" s="230"/>
      <c r="EY20" s="230"/>
      <c r="EZ20" s="41" t="s">
        <v>460</v>
      </c>
      <c r="FA20" s="41" t="s">
        <v>460</v>
      </c>
      <c r="FB20" s="41" t="s">
        <v>460</v>
      </c>
      <c r="FC20" s="41" t="s">
        <v>460</v>
      </c>
      <c r="FD20" s="41" t="s">
        <v>460</v>
      </c>
      <c r="FE20" s="230"/>
      <c r="FF20" s="230"/>
      <c r="FG20" s="41"/>
      <c r="FH20" s="41"/>
      <c r="FI20" s="41"/>
      <c r="FJ20" s="41"/>
      <c r="FK20" s="41"/>
      <c r="FL20" s="230"/>
      <c r="FM20" s="230"/>
      <c r="FN20" s="41" t="s">
        <v>460</v>
      </c>
      <c r="FO20" s="41"/>
      <c r="FP20" s="41"/>
      <c r="FQ20" s="41"/>
      <c r="FR20" s="41"/>
      <c r="FS20" s="230"/>
      <c r="FT20" s="230"/>
      <c r="FU20" s="41"/>
      <c r="FV20" s="41"/>
      <c r="FW20" s="41"/>
      <c r="FX20" s="41"/>
      <c r="FY20" s="41"/>
      <c r="FZ20" s="230"/>
      <c r="GA20" s="230"/>
      <c r="GB20" s="41"/>
      <c r="GC20" s="41"/>
      <c r="GD20" s="41"/>
      <c r="GE20" s="41"/>
      <c r="GF20" s="41"/>
      <c r="GG20" s="230"/>
      <c r="GH20" s="230"/>
      <c r="GI20" s="41"/>
      <c r="GJ20" s="41"/>
      <c r="GK20" s="41"/>
      <c r="GL20" s="41"/>
      <c r="GM20" s="41"/>
      <c r="GN20" s="230"/>
      <c r="GO20" s="230"/>
      <c r="GP20" s="41"/>
      <c r="GQ20" s="41"/>
      <c r="GR20" s="41"/>
      <c r="GS20" s="41"/>
      <c r="GT20" s="41"/>
      <c r="GU20" s="230"/>
      <c r="GV20" s="230"/>
      <c r="GW20" s="41" t="s">
        <v>460</v>
      </c>
      <c r="GX20" s="41"/>
      <c r="GY20" s="41"/>
      <c r="GZ20" s="41"/>
      <c r="HA20" s="41"/>
      <c r="HB20" s="230"/>
      <c r="HC20" s="230"/>
      <c r="HD20" s="41"/>
      <c r="HE20" s="41"/>
      <c r="HF20" s="41"/>
      <c r="HG20" s="41"/>
      <c r="HH20" s="41"/>
      <c r="HI20" s="230"/>
      <c r="HJ20" s="230"/>
      <c r="HK20" s="372"/>
      <c r="HL20" s="372"/>
      <c r="HM20" s="372"/>
      <c r="HN20" s="372"/>
      <c r="HO20" s="372"/>
      <c r="HP20" s="230"/>
      <c r="HQ20" s="230"/>
      <c r="HR20" s="372"/>
      <c r="HS20" s="372"/>
      <c r="HT20" s="372"/>
      <c r="HU20" s="372"/>
      <c r="HV20" s="372"/>
      <c r="HW20" s="230"/>
      <c r="HX20" s="230"/>
      <c r="HY20" s="372"/>
      <c r="HZ20" s="372"/>
      <c r="IA20" s="372"/>
      <c r="IB20" s="372"/>
      <c r="IC20" s="372"/>
      <c r="ID20" s="230"/>
      <c r="IE20" s="230"/>
      <c r="IF20" s="372"/>
      <c r="IG20" s="372"/>
      <c r="IH20" s="372"/>
      <c r="II20" s="372"/>
      <c r="IJ20" s="372"/>
      <c r="IK20" s="230"/>
      <c r="IL20" s="230"/>
      <c r="IM20" s="372"/>
      <c r="IN20" s="372"/>
      <c r="IO20" s="372"/>
      <c r="IP20" s="372"/>
      <c r="IQ20" s="372"/>
      <c r="IR20" s="230"/>
      <c r="IS20" s="230"/>
      <c r="IT20" s="372" t="s">
        <v>460</v>
      </c>
      <c r="IU20" s="372" t="s">
        <v>460</v>
      </c>
      <c r="IV20" s="372" t="s">
        <v>460</v>
      </c>
      <c r="IW20" s="372" t="s">
        <v>460</v>
      </c>
      <c r="IX20" s="372" t="s">
        <v>460</v>
      </c>
      <c r="IY20" s="230"/>
      <c r="IZ20" s="230"/>
      <c r="JA20" s="372" t="s">
        <v>460</v>
      </c>
      <c r="JB20" s="372" t="s">
        <v>460</v>
      </c>
      <c r="JC20" s="372" t="s">
        <v>460</v>
      </c>
      <c r="JD20" s="372" t="s">
        <v>460</v>
      </c>
      <c r="JE20" s="372" t="s">
        <v>460</v>
      </c>
      <c r="JF20" s="230"/>
      <c r="JG20" s="230"/>
      <c r="JH20" s="41"/>
      <c r="JI20" s="41"/>
      <c r="JJ20" s="41"/>
      <c r="JK20" s="41"/>
      <c r="JL20" s="41"/>
      <c r="JM20" s="230"/>
      <c r="JN20" s="230"/>
      <c r="JO20" s="41"/>
      <c r="JP20" s="41"/>
      <c r="JQ20" s="41"/>
      <c r="JR20" s="41"/>
      <c r="JS20" s="41"/>
      <c r="JT20" s="230"/>
      <c r="JU20" s="230"/>
      <c r="JV20" s="41"/>
      <c r="JW20" s="41"/>
      <c r="JX20" s="41"/>
      <c r="JY20" s="41"/>
      <c r="JZ20" s="41"/>
      <c r="KA20" s="230"/>
      <c r="KB20" s="230"/>
      <c r="KC20" s="41"/>
      <c r="KD20" s="41"/>
      <c r="KE20" s="41"/>
      <c r="KF20" s="41"/>
      <c r="KG20" s="41"/>
      <c r="KH20" s="230"/>
      <c r="KI20" s="230"/>
      <c r="KJ20" s="41"/>
      <c r="KK20" s="41"/>
      <c r="KL20" s="41"/>
      <c r="KM20" s="41"/>
      <c r="KN20" s="41"/>
      <c r="KO20" s="230"/>
      <c r="KP20" s="230"/>
      <c r="KQ20" s="41"/>
      <c r="KR20" s="41"/>
      <c r="KS20" s="41"/>
      <c r="KT20" s="41"/>
      <c r="KU20" s="41"/>
      <c r="KV20" s="230"/>
      <c r="KW20" s="230"/>
      <c r="KX20" s="41"/>
      <c r="KY20" s="41"/>
      <c r="KZ20" s="41"/>
      <c r="LA20" s="41"/>
      <c r="LB20" s="41"/>
      <c r="LC20" s="230"/>
      <c r="LD20" s="230"/>
      <c r="LE20" s="41"/>
      <c r="LF20" s="41"/>
      <c r="LG20" s="41"/>
      <c r="LH20" s="41"/>
      <c r="LI20" s="41"/>
      <c r="LJ20" s="230"/>
      <c r="LK20" s="230"/>
      <c r="LL20" s="41"/>
      <c r="LM20" s="41"/>
      <c r="LN20" s="41"/>
      <c r="LO20" s="41"/>
      <c r="LP20" s="41"/>
      <c r="LQ20" s="230"/>
      <c r="LR20" s="230"/>
      <c r="LS20" s="41"/>
      <c r="LT20" s="41"/>
      <c r="LU20" s="41"/>
      <c r="LV20" s="41"/>
      <c r="LW20" s="41"/>
      <c r="LX20" s="230"/>
      <c r="LY20" s="230"/>
      <c r="LZ20" s="41"/>
      <c r="MA20" s="41"/>
      <c r="MB20" s="41"/>
      <c r="MC20" s="41"/>
      <c r="MD20" s="41"/>
      <c r="ME20" s="230"/>
      <c r="MF20" s="230"/>
      <c r="MG20" s="41"/>
      <c r="MH20" s="41"/>
      <c r="MI20" s="41"/>
      <c r="MJ20" s="41"/>
      <c r="MK20" s="41"/>
      <c r="ML20" s="230"/>
      <c r="MM20" s="230"/>
      <c r="MN20" s="41"/>
      <c r="MO20" s="41"/>
      <c r="MP20" s="41"/>
      <c r="MQ20" s="41"/>
      <c r="MR20" s="41"/>
      <c r="MS20" s="230"/>
      <c r="MT20" s="230"/>
      <c r="MU20" s="41"/>
      <c r="MV20" s="41"/>
      <c r="MW20" s="41"/>
      <c r="MX20" s="41"/>
      <c r="MY20" s="41"/>
      <c r="MZ20" s="230"/>
      <c r="NA20" s="230"/>
      <c r="NB20" s="41"/>
      <c r="NC20" s="41"/>
      <c r="ND20" s="41"/>
      <c r="NE20" s="41"/>
      <c r="NF20" s="41"/>
      <c r="NG20" s="230"/>
      <c r="NH20" s="230"/>
      <c r="NI20" s="41"/>
      <c r="NJ20" s="41"/>
      <c r="NK20" s="41"/>
      <c r="NL20" s="41"/>
      <c r="NM20" s="41"/>
      <c r="NN20" s="230"/>
      <c r="NO20" s="230"/>
    </row>
    <row r="21" spans="2:379" x14ac:dyDescent="0.3">
      <c r="B21" s="24" t="s">
        <v>18</v>
      </c>
      <c r="C21" s="25">
        <v>35</v>
      </c>
      <c r="D21" s="206" t="s">
        <v>60</v>
      </c>
      <c r="E21" s="183" t="s">
        <v>8</v>
      </c>
      <c r="F21" s="351" t="s">
        <v>9</v>
      </c>
      <c r="G21" s="363" t="s">
        <v>117</v>
      </c>
      <c r="H21" s="156" t="s">
        <v>120</v>
      </c>
      <c r="I21" s="125"/>
      <c r="J21" s="41"/>
      <c r="K21" s="41"/>
      <c r="L21" s="41"/>
      <c r="M21" s="41"/>
      <c r="N21" s="230"/>
      <c r="O21" s="230"/>
      <c r="P21" s="41"/>
      <c r="Q21" s="41"/>
      <c r="R21" s="41"/>
      <c r="S21" s="41"/>
      <c r="T21" s="41"/>
      <c r="U21" s="230"/>
      <c r="V21" s="230"/>
      <c r="W21" s="41"/>
      <c r="X21" s="41"/>
      <c r="Y21" s="41"/>
      <c r="Z21" s="41"/>
      <c r="AA21" s="41"/>
      <c r="AB21" s="230"/>
      <c r="AC21" s="230"/>
      <c r="AD21" s="41"/>
      <c r="AE21" s="41"/>
      <c r="AF21" s="41"/>
      <c r="AG21" s="41"/>
      <c r="AH21" s="41"/>
      <c r="AI21" s="230"/>
      <c r="AJ21" s="230"/>
      <c r="AK21" s="41"/>
      <c r="AL21" s="41"/>
      <c r="AM21" s="41"/>
      <c r="AN21" s="41"/>
      <c r="AO21" s="41"/>
      <c r="AP21" s="230"/>
      <c r="AQ21" s="230"/>
      <c r="AR21" s="41"/>
      <c r="AS21" s="41"/>
      <c r="AT21" s="41"/>
      <c r="AU21" s="41"/>
      <c r="AV21" s="41"/>
      <c r="AW21" s="230"/>
      <c r="AX21" s="230"/>
      <c r="AY21" s="41"/>
      <c r="AZ21" s="41"/>
      <c r="BA21" s="41"/>
      <c r="BB21" s="41"/>
      <c r="BC21" s="41"/>
      <c r="BD21" s="230"/>
      <c r="BE21" s="230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230"/>
      <c r="BS21" s="230"/>
      <c r="BT21" s="41"/>
      <c r="BU21" s="41"/>
      <c r="BV21" s="41"/>
      <c r="BW21" s="41"/>
      <c r="BX21" s="41"/>
      <c r="BY21" s="230"/>
      <c r="BZ21" s="230"/>
      <c r="CA21" s="41"/>
      <c r="CB21" s="41"/>
      <c r="CC21" s="41"/>
      <c r="CD21" s="41"/>
      <c r="CE21" s="41"/>
      <c r="CF21" s="230"/>
      <c r="CG21" s="230"/>
      <c r="CH21" s="41"/>
      <c r="CI21" s="41"/>
      <c r="CJ21" s="41"/>
      <c r="CK21" s="41"/>
      <c r="CL21" s="41"/>
      <c r="CM21" s="230"/>
      <c r="CN21" s="230"/>
      <c r="CO21" s="41"/>
      <c r="CP21" s="41"/>
      <c r="CQ21" s="41"/>
      <c r="CR21" s="41"/>
      <c r="CS21" s="41"/>
      <c r="CT21" s="230"/>
      <c r="CU21" s="230"/>
      <c r="CV21" s="41"/>
      <c r="CW21" s="41"/>
      <c r="CX21" s="41"/>
      <c r="CY21" s="41"/>
      <c r="CZ21" s="41"/>
      <c r="DA21" s="230"/>
      <c r="DB21" s="230"/>
      <c r="DC21" s="41"/>
      <c r="DD21" s="41"/>
      <c r="DE21" s="41"/>
      <c r="DF21" s="41"/>
      <c r="DG21" s="41"/>
      <c r="DH21" s="230"/>
      <c r="DI21" s="230"/>
      <c r="DJ21" s="41"/>
      <c r="DK21" s="41"/>
      <c r="DL21" s="41"/>
      <c r="DM21" s="41"/>
      <c r="DN21" s="41"/>
      <c r="DO21" s="230"/>
      <c r="DP21" s="230"/>
      <c r="DQ21" s="41" t="s">
        <v>460</v>
      </c>
      <c r="DR21" s="41" t="s">
        <v>460</v>
      </c>
      <c r="DS21" s="41" t="s">
        <v>460</v>
      </c>
      <c r="DT21" s="41" t="s">
        <v>460</v>
      </c>
      <c r="DU21" s="41" t="s">
        <v>460</v>
      </c>
      <c r="DV21" s="230"/>
      <c r="DW21" s="230"/>
      <c r="DX21" s="41"/>
      <c r="DY21" s="41"/>
      <c r="DZ21" s="41"/>
      <c r="EA21" s="41" t="s">
        <v>460</v>
      </c>
      <c r="EB21" s="41"/>
      <c r="EC21" s="230"/>
      <c r="ED21" s="230"/>
      <c r="EE21" s="41"/>
      <c r="EF21" s="41"/>
      <c r="EG21" s="41"/>
      <c r="EH21" s="41"/>
      <c r="EI21" s="41"/>
      <c r="EJ21" s="230"/>
      <c r="EK21" s="230"/>
      <c r="EL21" s="41"/>
      <c r="EM21" s="41"/>
      <c r="EN21" s="41"/>
      <c r="EO21" s="41"/>
      <c r="EP21" s="41"/>
      <c r="EQ21" s="230"/>
      <c r="ER21" s="230"/>
      <c r="ES21" s="41"/>
      <c r="ET21" s="41"/>
      <c r="EU21" s="41"/>
      <c r="EV21" s="41"/>
      <c r="EW21" s="41"/>
      <c r="EX21" s="230"/>
      <c r="EY21" s="230"/>
      <c r="EZ21" s="41"/>
      <c r="FA21" s="41"/>
      <c r="FB21" s="41"/>
      <c r="FC21" s="41"/>
      <c r="FD21" s="41"/>
      <c r="FE21" s="230"/>
      <c r="FF21" s="230"/>
      <c r="FG21" s="41"/>
      <c r="FH21" s="41"/>
      <c r="FI21" s="41"/>
      <c r="FJ21" s="41"/>
      <c r="FK21" s="41"/>
      <c r="FL21" s="230"/>
      <c r="FM21" s="230"/>
      <c r="FN21" s="41" t="s">
        <v>460</v>
      </c>
      <c r="FO21" s="41"/>
      <c r="FP21" s="41"/>
      <c r="FQ21" s="41"/>
      <c r="FR21" s="41"/>
      <c r="FS21" s="230"/>
      <c r="FT21" s="230"/>
      <c r="FU21" s="41"/>
      <c r="FV21" s="41"/>
      <c r="FW21" s="41"/>
      <c r="FX21" s="41"/>
      <c r="FY21" s="41"/>
      <c r="FZ21" s="230"/>
      <c r="GA21" s="230"/>
      <c r="GB21" s="41"/>
      <c r="GC21" s="41"/>
      <c r="GD21" s="41"/>
      <c r="GE21" s="41"/>
      <c r="GF21" s="41"/>
      <c r="GG21" s="230"/>
      <c r="GH21" s="230"/>
      <c r="GI21" s="41"/>
      <c r="GJ21" s="41"/>
      <c r="GK21" s="41"/>
      <c r="GL21" s="41"/>
      <c r="GM21" s="41"/>
      <c r="GN21" s="230"/>
      <c r="GO21" s="230"/>
      <c r="GP21" s="41"/>
      <c r="GQ21" s="41"/>
      <c r="GR21" s="41"/>
      <c r="GS21" s="41"/>
      <c r="GT21" s="41"/>
      <c r="GU21" s="230"/>
      <c r="GV21" s="230"/>
      <c r="GW21" s="41" t="s">
        <v>460</v>
      </c>
      <c r="GX21" s="41"/>
      <c r="GY21" s="41"/>
      <c r="GZ21" s="41"/>
      <c r="HA21" s="41"/>
      <c r="HB21" s="230"/>
      <c r="HC21" s="230"/>
      <c r="HD21" s="41"/>
      <c r="HE21" s="41"/>
      <c r="HF21" s="41"/>
      <c r="HG21" s="41"/>
      <c r="HH21" s="41"/>
      <c r="HI21" s="230"/>
      <c r="HJ21" s="230"/>
      <c r="HK21" s="372"/>
      <c r="HL21" s="372"/>
      <c r="HM21" s="372"/>
      <c r="HN21" s="372"/>
      <c r="HO21" s="372"/>
      <c r="HP21" s="230"/>
      <c r="HQ21" s="230"/>
      <c r="HR21" s="372"/>
      <c r="HS21" s="372"/>
      <c r="HT21" s="372"/>
      <c r="HU21" s="372"/>
      <c r="HV21" s="372"/>
      <c r="HW21" s="230"/>
      <c r="HX21" s="230"/>
      <c r="HY21" s="372" t="s">
        <v>460</v>
      </c>
      <c r="HZ21" s="372" t="s">
        <v>460</v>
      </c>
      <c r="IA21" s="372" t="s">
        <v>460</v>
      </c>
      <c r="IB21" s="372" t="s">
        <v>460</v>
      </c>
      <c r="IC21" s="372" t="s">
        <v>460</v>
      </c>
      <c r="ID21" s="230"/>
      <c r="IE21" s="230"/>
      <c r="IF21" s="372"/>
      <c r="IG21" s="372"/>
      <c r="IH21" s="372"/>
      <c r="II21" s="372"/>
      <c r="IJ21" s="372"/>
      <c r="IK21" s="41"/>
      <c r="IL21" s="41"/>
      <c r="IM21" s="372"/>
      <c r="IN21" s="372"/>
      <c r="IO21" s="372"/>
      <c r="IP21" s="372"/>
      <c r="IQ21" s="372"/>
      <c r="IR21" s="230"/>
      <c r="IS21" s="230"/>
      <c r="IT21" s="372"/>
      <c r="IU21" s="372"/>
      <c r="IV21" s="372"/>
      <c r="IW21" s="372"/>
      <c r="IX21" s="372"/>
      <c r="IY21" s="230"/>
      <c r="IZ21" s="230"/>
      <c r="JA21" s="372"/>
      <c r="JB21" s="372"/>
      <c r="JC21" s="372"/>
      <c r="JD21" s="372"/>
      <c r="JE21" s="372"/>
      <c r="JF21" s="230"/>
      <c r="JG21" s="230"/>
      <c r="JH21" s="41"/>
      <c r="JI21" s="41"/>
      <c r="JJ21" s="41"/>
      <c r="JK21" s="41"/>
      <c r="JL21" s="41"/>
      <c r="JM21" s="230"/>
      <c r="JN21" s="230"/>
      <c r="JO21" s="41"/>
      <c r="JP21" s="41"/>
      <c r="JQ21" s="41"/>
      <c r="JR21" s="41"/>
      <c r="JS21" s="41"/>
      <c r="JT21" s="230"/>
      <c r="JU21" s="230"/>
      <c r="JV21" s="41"/>
      <c r="JW21" s="41"/>
      <c r="JX21" s="41"/>
      <c r="JY21" s="41"/>
      <c r="JZ21" s="41"/>
      <c r="KA21" s="230"/>
      <c r="KB21" s="230"/>
      <c r="KC21" s="41"/>
      <c r="KD21" s="41"/>
      <c r="KE21" s="41"/>
      <c r="KF21" s="41"/>
      <c r="KG21" s="41"/>
      <c r="KH21" s="230"/>
      <c r="KI21" s="230"/>
      <c r="KJ21" s="41"/>
      <c r="KK21" s="41"/>
      <c r="KL21" s="41"/>
      <c r="KM21" s="41"/>
      <c r="KN21" s="41"/>
      <c r="KO21" s="230"/>
      <c r="KP21" s="230"/>
      <c r="KQ21" s="41"/>
      <c r="KR21" s="41"/>
      <c r="KS21" s="41"/>
      <c r="KT21" s="41"/>
      <c r="KU21" s="41"/>
      <c r="KV21" s="230"/>
      <c r="KW21" s="230"/>
      <c r="KX21" s="41"/>
      <c r="KY21" s="41"/>
      <c r="KZ21" s="41"/>
      <c r="LA21" s="41"/>
      <c r="LB21" s="41"/>
      <c r="LC21" s="230"/>
      <c r="LD21" s="230"/>
      <c r="LE21" s="41"/>
      <c r="LF21" s="41"/>
      <c r="LG21" s="41"/>
      <c r="LH21" s="41"/>
      <c r="LI21" s="41"/>
      <c r="LJ21" s="230"/>
      <c r="LK21" s="230"/>
      <c r="LL21" s="41"/>
      <c r="LM21" s="41"/>
      <c r="LN21" s="41"/>
      <c r="LO21" s="41"/>
      <c r="LP21" s="41"/>
      <c r="LQ21" s="230"/>
      <c r="LR21" s="230"/>
      <c r="LS21" s="41"/>
      <c r="LT21" s="41"/>
      <c r="LU21" s="41"/>
      <c r="LV21" s="41"/>
      <c r="LW21" s="41"/>
      <c r="LX21" s="230"/>
      <c r="LY21" s="230"/>
      <c r="LZ21" s="41"/>
      <c r="MA21" s="41"/>
      <c r="MB21" s="41"/>
      <c r="MC21" s="41"/>
      <c r="MD21" s="41"/>
      <c r="ME21" s="230"/>
      <c r="MF21" s="230"/>
      <c r="MG21" s="41"/>
      <c r="MH21" s="41"/>
      <c r="MI21" s="41"/>
      <c r="MJ21" s="41"/>
      <c r="MK21" s="41"/>
      <c r="ML21" s="230"/>
      <c r="MM21" s="230"/>
      <c r="MN21" s="41"/>
      <c r="MO21" s="41"/>
      <c r="MP21" s="41"/>
      <c r="MQ21" s="41"/>
      <c r="MR21" s="41"/>
      <c r="MS21" s="230"/>
      <c r="MT21" s="230"/>
      <c r="MU21" s="41"/>
      <c r="MV21" s="41"/>
      <c r="MW21" s="41"/>
      <c r="MX21" s="41"/>
      <c r="MY21" s="41"/>
      <c r="MZ21" s="230"/>
      <c r="NA21" s="230"/>
      <c r="NB21" s="41"/>
      <c r="NC21" s="41"/>
      <c r="ND21" s="41"/>
      <c r="NE21" s="41"/>
      <c r="NF21" s="41"/>
      <c r="NG21" s="230"/>
      <c r="NH21" s="230"/>
      <c r="NI21" s="41"/>
      <c r="NJ21" s="41"/>
      <c r="NK21" s="41"/>
      <c r="NL21" s="41"/>
      <c r="NM21" s="41"/>
      <c r="NN21" s="230"/>
      <c r="NO21" s="230"/>
    </row>
    <row r="22" spans="2:379" x14ac:dyDescent="0.3">
      <c r="B22" s="66" t="s">
        <v>18</v>
      </c>
      <c r="C22" s="25">
        <v>35</v>
      </c>
      <c r="D22" s="206" t="s">
        <v>60</v>
      </c>
      <c r="E22" s="187" t="s">
        <v>8</v>
      </c>
      <c r="F22" s="351" t="s">
        <v>9</v>
      </c>
      <c r="G22" s="355" t="s">
        <v>698</v>
      </c>
      <c r="H22" s="154" t="s">
        <v>50</v>
      </c>
      <c r="I22" s="125"/>
      <c r="J22" s="41"/>
      <c r="K22" s="41"/>
      <c r="L22" s="41"/>
      <c r="M22" s="41"/>
      <c r="N22" s="234"/>
      <c r="O22" s="234"/>
      <c r="P22" s="41"/>
      <c r="Q22" s="41"/>
      <c r="R22" s="41"/>
      <c r="S22" s="41"/>
      <c r="T22" s="41"/>
      <c r="U22" s="230"/>
      <c r="V22" s="230"/>
      <c r="W22" s="41"/>
      <c r="X22" s="41"/>
      <c r="Y22" s="41"/>
      <c r="Z22" s="41"/>
      <c r="AA22" s="41"/>
      <c r="AB22" s="230"/>
      <c r="AC22" s="230"/>
      <c r="AD22" s="41"/>
      <c r="AE22" s="41"/>
      <c r="AF22" s="41"/>
      <c r="AG22" s="41"/>
      <c r="AH22" s="41"/>
      <c r="AI22" s="230"/>
      <c r="AJ22" s="230"/>
      <c r="AK22" s="41"/>
      <c r="AL22" s="41"/>
      <c r="AM22" s="41"/>
      <c r="AN22" s="41"/>
      <c r="AO22" s="41"/>
      <c r="AP22" s="230"/>
      <c r="AQ22" s="230"/>
      <c r="AR22" s="41"/>
      <c r="AS22" s="41"/>
      <c r="AT22" s="41"/>
      <c r="AU22" s="41"/>
      <c r="AV22" s="41"/>
      <c r="AW22" s="230"/>
      <c r="AX22" s="230"/>
      <c r="AY22" s="41"/>
      <c r="AZ22" s="41"/>
      <c r="BA22" s="41"/>
      <c r="BB22" s="41"/>
      <c r="BC22" s="41"/>
      <c r="BD22" s="230"/>
      <c r="BE22" s="230"/>
      <c r="BF22" s="41"/>
      <c r="BG22" s="41"/>
      <c r="BH22" s="41"/>
      <c r="BI22" s="41"/>
      <c r="BJ22" s="41"/>
      <c r="BK22" s="230"/>
      <c r="BL22" s="230"/>
      <c r="BM22" s="41"/>
      <c r="BN22" s="41"/>
      <c r="BO22" s="41"/>
      <c r="BP22" s="41"/>
      <c r="BQ22" s="41"/>
      <c r="BR22" s="234"/>
      <c r="BS22" s="234"/>
      <c r="BT22" s="41"/>
      <c r="BU22" s="41"/>
      <c r="BV22" s="41"/>
      <c r="BW22" s="41"/>
      <c r="BX22" s="41"/>
      <c r="BY22" s="234"/>
      <c r="BZ22" s="234"/>
      <c r="CA22" s="41"/>
      <c r="CB22" s="41"/>
      <c r="CC22" s="41"/>
      <c r="CD22" s="41"/>
      <c r="CE22" s="41"/>
      <c r="CF22" s="234"/>
      <c r="CG22" s="234"/>
      <c r="CH22" s="41"/>
      <c r="CI22" s="41"/>
      <c r="CJ22" s="41"/>
      <c r="CK22" s="41"/>
      <c r="CL22" s="41"/>
      <c r="CM22" s="234"/>
      <c r="CN22" s="234"/>
      <c r="CO22" s="41"/>
      <c r="CP22" s="41"/>
      <c r="CQ22" s="41"/>
      <c r="CR22" s="41"/>
      <c r="CS22" s="41"/>
      <c r="CT22" s="234"/>
      <c r="CU22" s="234"/>
      <c r="CV22" s="41"/>
      <c r="CW22" s="41"/>
      <c r="CX22" s="41"/>
      <c r="CY22" s="41"/>
      <c r="CZ22" s="41"/>
      <c r="DA22" s="234"/>
      <c r="DB22" s="234"/>
      <c r="DC22" s="41"/>
      <c r="DD22" s="41"/>
      <c r="DE22" s="41"/>
      <c r="DF22" s="41"/>
      <c r="DG22" s="41"/>
      <c r="DH22" s="234"/>
      <c r="DI22" s="234"/>
      <c r="DJ22" s="41"/>
      <c r="DK22" s="41"/>
      <c r="DL22" s="41"/>
      <c r="DM22" s="41"/>
      <c r="DN22" s="41"/>
      <c r="DO22" s="234"/>
      <c r="DP22" s="234"/>
      <c r="DQ22" s="41" t="s">
        <v>460</v>
      </c>
      <c r="DR22" s="41"/>
      <c r="DS22" s="41"/>
      <c r="DT22" s="41"/>
      <c r="DU22" s="41"/>
      <c r="DV22" s="234"/>
      <c r="DW22" s="234"/>
      <c r="DX22" s="41"/>
      <c r="DY22" s="41"/>
      <c r="DZ22" s="41"/>
      <c r="EA22" s="41" t="s">
        <v>460</v>
      </c>
      <c r="EB22" s="41"/>
      <c r="EC22" s="234"/>
      <c r="ED22" s="234"/>
      <c r="EE22" s="41"/>
      <c r="EF22" s="41"/>
      <c r="EG22" s="41"/>
      <c r="EH22" s="41"/>
      <c r="EI22" s="41"/>
      <c r="EJ22" s="234"/>
      <c r="EK22" s="234"/>
      <c r="EL22" s="41"/>
      <c r="EM22" s="41"/>
      <c r="EN22" s="41"/>
      <c r="EO22" s="41"/>
      <c r="EP22" s="41"/>
      <c r="EQ22" s="234"/>
      <c r="ER22" s="234"/>
      <c r="ES22" s="41"/>
      <c r="ET22" s="41"/>
      <c r="EU22" s="41"/>
      <c r="EV22" s="41"/>
      <c r="EW22" s="41"/>
      <c r="EX22" s="234"/>
      <c r="EY22" s="234"/>
      <c r="EZ22" s="41"/>
      <c r="FA22" s="41"/>
      <c r="FB22" s="41"/>
      <c r="FC22" s="41"/>
      <c r="FD22" s="41"/>
      <c r="FE22" s="234"/>
      <c r="FF22" s="234"/>
      <c r="FG22" s="41"/>
      <c r="FH22" s="41"/>
      <c r="FI22" s="41"/>
      <c r="FJ22" s="41"/>
      <c r="FK22" s="41"/>
      <c r="FL22" s="234"/>
      <c r="FM22" s="234"/>
      <c r="FN22" s="41" t="s">
        <v>460</v>
      </c>
      <c r="FO22" s="41"/>
      <c r="FP22" s="41"/>
      <c r="FQ22" s="41"/>
      <c r="FR22" s="41"/>
      <c r="FS22" s="234"/>
      <c r="FT22" s="234"/>
      <c r="FU22" s="41"/>
      <c r="FV22" s="41"/>
      <c r="FW22" s="41"/>
      <c r="FX22" s="41"/>
      <c r="FY22" s="41"/>
      <c r="FZ22" s="234"/>
      <c r="GA22" s="234"/>
      <c r="GB22" s="41"/>
      <c r="GC22" s="41"/>
      <c r="GD22" s="41"/>
      <c r="GE22" s="41"/>
      <c r="GF22" s="41"/>
      <c r="GG22" s="234"/>
      <c r="GH22" s="234"/>
      <c r="GI22" s="41"/>
      <c r="GJ22" s="41"/>
      <c r="GK22" s="41"/>
      <c r="GL22" s="41"/>
      <c r="GM22" s="41"/>
      <c r="GN22" s="234"/>
      <c r="GO22" s="234"/>
      <c r="GP22" s="41"/>
      <c r="GQ22" s="41"/>
      <c r="GR22" s="41"/>
      <c r="GS22" s="41"/>
      <c r="GT22" s="41"/>
      <c r="GU22" s="234"/>
      <c r="GV22" s="234"/>
      <c r="GW22" s="41" t="s">
        <v>460</v>
      </c>
      <c r="GX22" s="41"/>
      <c r="GY22" s="41"/>
      <c r="GZ22" s="41"/>
      <c r="HA22" s="41"/>
      <c r="HB22" s="230"/>
      <c r="HC22" s="230"/>
      <c r="HD22" s="41"/>
      <c r="HE22" s="41"/>
      <c r="HF22" s="41"/>
      <c r="HG22" s="41"/>
      <c r="HH22" s="41"/>
      <c r="HI22" s="230"/>
      <c r="HJ22" s="230"/>
      <c r="HK22" s="372"/>
      <c r="HL22" s="372"/>
      <c r="HM22" s="372"/>
      <c r="HN22" s="372"/>
      <c r="HO22" s="372"/>
      <c r="HP22" s="230"/>
      <c r="HQ22" s="230"/>
      <c r="HR22" s="372"/>
      <c r="HS22" s="372"/>
      <c r="HT22" s="372"/>
      <c r="HU22" s="372"/>
      <c r="HV22" s="372"/>
      <c r="HW22" s="230"/>
      <c r="HX22" s="230"/>
      <c r="HY22" s="372"/>
      <c r="HZ22" s="372"/>
      <c r="IA22" s="372"/>
      <c r="IB22" s="372"/>
      <c r="IC22" s="372"/>
      <c r="ID22" s="230"/>
      <c r="IE22" s="230"/>
      <c r="IF22" s="372" t="s">
        <v>460</v>
      </c>
      <c r="IG22" s="372" t="s">
        <v>460</v>
      </c>
      <c r="IH22" s="372" t="s">
        <v>460</v>
      </c>
      <c r="II22" s="372" t="s">
        <v>460</v>
      </c>
      <c r="IJ22" s="372" t="s">
        <v>460</v>
      </c>
      <c r="IK22" s="230"/>
      <c r="IL22" s="230"/>
      <c r="IM22" s="372"/>
      <c r="IN22" s="372"/>
      <c r="IO22" s="372"/>
      <c r="IP22" s="372"/>
      <c r="IQ22" s="372"/>
      <c r="IR22" s="234"/>
      <c r="IS22" s="234"/>
      <c r="IT22" s="372"/>
      <c r="IU22" s="372"/>
      <c r="IV22" s="372"/>
      <c r="IW22" s="372"/>
      <c r="IX22" s="372"/>
      <c r="IY22" s="234"/>
      <c r="IZ22" s="234"/>
      <c r="JA22" s="372"/>
      <c r="JB22" s="372"/>
      <c r="JC22" s="372"/>
      <c r="JD22" s="372"/>
      <c r="JE22" s="372"/>
      <c r="JF22" s="234"/>
      <c r="JG22" s="234"/>
      <c r="JH22" s="41"/>
      <c r="JI22" s="41"/>
      <c r="JJ22" s="41"/>
      <c r="JK22" s="41"/>
      <c r="JL22" s="41"/>
      <c r="JM22" s="234"/>
      <c r="JN22" s="234"/>
      <c r="JO22" s="41"/>
      <c r="JP22" s="41"/>
      <c r="JQ22" s="41"/>
      <c r="JR22" s="41"/>
      <c r="JS22" s="41"/>
      <c r="JT22" s="234"/>
      <c r="JU22" s="234"/>
      <c r="JV22" s="41"/>
      <c r="JW22" s="41"/>
      <c r="JX22" s="41"/>
      <c r="JY22" s="41"/>
      <c r="JZ22" s="41"/>
      <c r="KA22" s="234"/>
      <c r="KB22" s="234"/>
      <c r="KC22" s="41"/>
      <c r="KD22" s="41"/>
      <c r="KE22" s="41"/>
      <c r="KF22" s="41"/>
      <c r="KG22" s="41"/>
      <c r="KH22" s="234"/>
      <c r="KI22" s="234"/>
      <c r="KJ22" s="41"/>
      <c r="KK22" s="41"/>
      <c r="KL22" s="41"/>
      <c r="KM22" s="41"/>
      <c r="KN22" s="41"/>
      <c r="KO22" s="234"/>
      <c r="KP22" s="234"/>
      <c r="KQ22" s="41"/>
      <c r="KR22" s="41"/>
      <c r="KS22" s="41"/>
      <c r="KT22" s="41"/>
      <c r="KU22" s="41"/>
      <c r="KV22" s="234"/>
      <c r="KW22" s="234"/>
      <c r="KX22" s="41"/>
      <c r="KY22" s="41"/>
      <c r="KZ22" s="41"/>
      <c r="LA22" s="41"/>
      <c r="LB22" s="41"/>
      <c r="LC22" s="234"/>
      <c r="LD22" s="234"/>
      <c r="LE22" s="41"/>
      <c r="LF22" s="41"/>
      <c r="LG22" s="41"/>
      <c r="LH22" s="41"/>
      <c r="LI22" s="41"/>
      <c r="LJ22" s="234"/>
      <c r="LK22" s="234"/>
      <c r="LL22" s="41"/>
      <c r="LM22" s="41"/>
      <c r="LN22" s="41"/>
      <c r="LO22" s="41"/>
      <c r="LP22" s="41"/>
      <c r="LQ22" s="234"/>
      <c r="LR22" s="234"/>
      <c r="LS22" s="41"/>
      <c r="LT22" s="41"/>
      <c r="LU22" s="41"/>
      <c r="LV22" s="41"/>
      <c r="LW22" s="41"/>
      <c r="LX22" s="234"/>
      <c r="LY22" s="234"/>
      <c r="LZ22" s="41"/>
      <c r="MA22" s="41"/>
      <c r="MB22" s="41"/>
      <c r="MC22" s="41"/>
      <c r="MD22" s="41"/>
      <c r="ME22" s="234"/>
      <c r="MF22" s="234"/>
      <c r="MG22" s="41"/>
      <c r="MH22" s="41"/>
      <c r="MI22" s="41"/>
      <c r="MJ22" s="41"/>
      <c r="MK22" s="41"/>
      <c r="ML22" s="234"/>
      <c r="MM22" s="234"/>
      <c r="MN22" s="41"/>
      <c r="MO22" s="41"/>
      <c r="MP22" s="41"/>
      <c r="MQ22" s="41"/>
      <c r="MR22" s="41"/>
      <c r="MS22" s="234"/>
      <c r="MT22" s="234"/>
      <c r="MU22" s="41"/>
      <c r="MV22" s="41"/>
      <c r="MW22" s="41"/>
      <c r="MX22" s="41"/>
      <c r="MY22" s="41"/>
      <c r="MZ22" s="234"/>
      <c r="NA22" s="234"/>
      <c r="NB22" s="41"/>
      <c r="NC22" s="41"/>
      <c r="ND22" s="41"/>
      <c r="NE22" s="41"/>
      <c r="NF22" s="41"/>
      <c r="NG22" s="234"/>
      <c r="NH22" s="234"/>
      <c r="NI22" s="41"/>
      <c r="NJ22" s="41"/>
      <c r="NK22" s="41"/>
      <c r="NL22" s="41"/>
      <c r="NM22" s="41"/>
      <c r="NN22" s="234"/>
      <c r="NO22" s="234"/>
    </row>
    <row r="23" spans="2:379" x14ac:dyDescent="0.3">
      <c r="B23" s="24" t="s">
        <v>18</v>
      </c>
      <c r="C23" s="25">
        <v>35</v>
      </c>
      <c r="D23" s="206" t="s">
        <v>60</v>
      </c>
      <c r="E23" s="184" t="s">
        <v>8</v>
      </c>
      <c r="F23" s="351" t="s">
        <v>113</v>
      </c>
      <c r="G23" s="353" t="s">
        <v>182</v>
      </c>
      <c r="H23" s="154" t="s">
        <v>184</v>
      </c>
      <c r="I23" s="125"/>
      <c r="J23" s="41"/>
      <c r="K23" s="41"/>
      <c r="L23" s="41"/>
      <c r="M23" s="41"/>
      <c r="N23" s="230"/>
      <c r="O23" s="230"/>
      <c r="P23" s="41"/>
      <c r="Q23" s="41"/>
      <c r="R23" s="41"/>
      <c r="S23" s="41"/>
      <c r="T23" s="41"/>
      <c r="U23" s="230"/>
      <c r="V23" s="230"/>
      <c r="W23" s="41"/>
      <c r="X23" s="41"/>
      <c r="Y23" s="41"/>
      <c r="Z23" s="41"/>
      <c r="AA23" s="41"/>
      <c r="AB23" s="230"/>
      <c r="AC23" s="230"/>
      <c r="AD23" s="41"/>
      <c r="AE23" s="41"/>
      <c r="AF23" s="41"/>
      <c r="AG23" s="41"/>
      <c r="AH23" s="41"/>
      <c r="AI23" s="230"/>
      <c r="AJ23" s="230"/>
      <c r="AK23" s="41"/>
      <c r="AL23" s="41"/>
      <c r="AM23" s="41"/>
      <c r="AN23" s="41"/>
      <c r="AO23" s="41"/>
      <c r="AP23" s="230"/>
      <c r="AQ23" s="230"/>
      <c r="AR23" s="41"/>
      <c r="AS23" s="41"/>
      <c r="AT23" s="41"/>
      <c r="AU23" s="41"/>
      <c r="AV23" s="41"/>
      <c r="AW23" s="230"/>
      <c r="AX23" s="230"/>
      <c r="AY23" s="41"/>
      <c r="AZ23" s="41"/>
      <c r="BA23" s="41"/>
      <c r="BB23" s="41"/>
      <c r="BC23" s="41"/>
      <c r="BD23" s="230"/>
      <c r="BE23" s="230"/>
      <c r="BF23" s="41"/>
      <c r="BG23" s="41"/>
      <c r="BH23" s="41"/>
      <c r="BI23" s="41"/>
      <c r="BJ23" s="41"/>
      <c r="BK23" s="230"/>
      <c r="BL23" s="230"/>
      <c r="BM23" s="41"/>
      <c r="BN23" s="41"/>
      <c r="BO23" s="41"/>
      <c r="BP23" s="41"/>
      <c r="BQ23" s="41"/>
      <c r="BR23" s="230"/>
      <c r="BS23" s="230"/>
      <c r="BT23" s="41"/>
      <c r="BU23" s="41"/>
      <c r="BV23" s="41"/>
      <c r="BW23" s="41"/>
      <c r="BX23" s="41"/>
      <c r="BY23" s="230"/>
      <c r="BZ23" s="230"/>
      <c r="CA23" s="41"/>
      <c r="CB23" s="41"/>
      <c r="CC23" s="41"/>
      <c r="CD23" s="41"/>
      <c r="CE23" s="41"/>
      <c r="CF23" s="230"/>
      <c r="CG23" s="230"/>
      <c r="CH23" s="41"/>
      <c r="CI23" s="41"/>
      <c r="CJ23" s="41"/>
      <c r="CK23" s="41"/>
      <c r="CL23" s="41"/>
      <c r="CM23" s="230"/>
      <c r="CN23" s="230"/>
      <c r="CO23" s="41"/>
      <c r="CP23" s="41"/>
      <c r="CQ23" s="41"/>
      <c r="CR23" s="41"/>
      <c r="CS23" s="41"/>
      <c r="CT23" s="230"/>
      <c r="CU23" s="230"/>
      <c r="CV23" s="41" t="s">
        <v>458</v>
      </c>
      <c r="CW23" s="41" t="s">
        <v>458</v>
      </c>
      <c r="CX23" s="41" t="s">
        <v>458</v>
      </c>
      <c r="CY23" s="41" t="s">
        <v>458</v>
      </c>
      <c r="CZ23" s="41" t="s">
        <v>458</v>
      </c>
      <c r="DA23" s="230"/>
      <c r="DB23" s="230"/>
      <c r="DC23" s="41" t="s">
        <v>458</v>
      </c>
      <c r="DD23" s="41" t="s">
        <v>458</v>
      </c>
      <c r="DE23" s="41" t="s">
        <v>458</v>
      </c>
      <c r="DF23" s="41" t="s">
        <v>458</v>
      </c>
      <c r="DG23" s="41" t="s">
        <v>458</v>
      </c>
      <c r="DH23" s="230"/>
      <c r="DI23" s="230"/>
      <c r="DJ23" s="41" t="s">
        <v>458</v>
      </c>
      <c r="DK23" s="41" t="s">
        <v>458</v>
      </c>
      <c r="DL23" s="41" t="s">
        <v>458</v>
      </c>
      <c r="DM23" s="41" t="s">
        <v>458</v>
      </c>
      <c r="DN23" s="41" t="s">
        <v>458</v>
      </c>
      <c r="DO23" s="230"/>
      <c r="DP23" s="230"/>
      <c r="DQ23" s="41" t="s">
        <v>460</v>
      </c>
      <c r="DR23" s="41" t="s">
        <v>458</v>
      </c>
      <c r="DS23" s="41" t="s">
        <v>458</v>
      </c>
      <c r="DT23" s="41" t="s">
        <v>458</v>
      </c>
      <c r="DU23" s="41" t="s">
        <v>458</v>
      </c>
      <c r="DV23" s="230"/>
      <c r="DW23" s="230"/>
      <c r="DX23" s="41" t="s">
        <v>458</v>
      </c>
      <c r="DY23" s="41" t="s">
        <v>458</v>
      </c>
      <c r="DZ23" s="41" t="s">
        <v>458</v>
      </c>
      <c r="EA23" s="41" t="s">
        <v>460</v>
      </c>
      <c r="EB23" s="41" t="s">
        <v>458</v>
      </c>
      <c r="EC23" s="230"/>
      <c r="ED23" s="230"/>
      <c r="EE23" s="41" t="s">
        <v>460</v>
      </c>
      <c r="EF23" s="41" t="s">
        <v>460</v>
      </c>
      <c r="EG23" s="41" t="s">
        <v>460</v>
      </c>
      <c r="EH23" s="41" t="s">
        <v>460</v>
      </c>
      <c r="EI23" s="41" t="s">
        <v>460</v>
      </c>
      <c r="EJ23" s="230"/>
      <c r="EK23" s="230"/>
      <c r="EL23" s="41" t="s">
        <v>460</v>
      </c>
      <c r="EM23" s="41" t="s">
        <v>460</v>
      </c>
      <c r="EN23" s="41"/>
      <c r="EO23" s="41"/>
      <c r="EP23" s="41"/>
      <c r="EQ23" s="230"/>
      <c r="ER23" s="230"/>
      <c r="ES23" s="41"/>
      <c r="ET23" s="41"/>
      <c r="EU23" s="41"/>
      <c r="EV23" s="41"/>
      <c r="EW23" s="41"/>
      <c r="EX23" s="230"/>
      <c r="EY23" s="230"/>
      <c r="EZ23" s="41"/>
      <c r="FA23" s="41"/>
      <c r="FB23" s="41"/>
      <c r="FC23" s="41"/>
      <c r="FD23" s="41"/>
      <c r="FE23" s="230"/>
      <c r="FF23" s="230"/>
      <c r="FG23" s="41"/>
      <c r="FH23" s="41"/>
      <c r="FI23" s="41"/>
      <c r="FJ23" s="41"/>
      <c r="FK23" s="41"/>
      <c r="FL23" s="230"/>
      <c r="FM23" s="230"/>
      <c r="FN23" s="41" t="s">
        <v>460</v>
      </c>
      <c r="FO23" s="41"/>
      <c r="FP23" s="41"/>
      <c r="FQ23" s="41"/>
      <c r="FR23" s="41"/>
      <c r="FS23" s="230"/>
      <c r="FT23" s="230"/>
      <c r="FU23" s="41" t="s">
        <v>460</v>
      </c>
      <c r="FV23" s="41" t="s">
        <v>460</v>
      </c>
      <c r="FW23" s="41" t="s">
        <v>460</v>
      </c>
      <c r="FX23" s="41" t="s">
        <v>460</v>
      </c>
      <c r="FY23" s="41" t="s">
        <v>460</v>
      </c>
      <c r="FZ23" s="230"/>
      <c r="GA23" s="230"/>
      <c r="GB23" s="41" t="s">
        <v>460</v>
      </c>
      <c r="GC23" s="41" t="s">
        <v>460</v>
      </c>
      <c r="GD23" s="41" t="s">
        <v>460</v>
      </c>
      <c r="GE23" s="41" t="s">
        <v>460</v>
      </c>
      <c r="GF23" s="41" t="s">
        <v>460</v>
      </c>
      <c r="GG23" s="230"/>
      <c r="GH23" s="230"/>
      <c r="GI23" s="41" t="s">
        <v>460</v>
      </c>
      <c r="GJ23" s="41" t="s">
        <v>460</v>
      </c>
      <c r="GK23" s="41" t="s">
        <v>460</v>
      </c>
      <c r="GL23" s="41" t="s">
        <v>460</v>
      </c>
      <c r="GM23" s="41" t="s">
        <v>460</v>
      </c>
      <c r="GN23" s="230"/>
      <c r="GO23" s="230"/>
      <c r="GP23" s="41" t="s">
        <v>460</v>
      </c>
      <c r="GQ23" s="41" t="s">
        <v>460</v>
      </c>
      <c r="GR23" s="41" t="s">
        <v>460</v>
      </c>
      <c r="GS23" s="41" t="s">
        <v>460</v>
      </c>
      <c r="GT23" s="41" t="s">
        <v>460</v>
      </c>
      <c r="GU23" s="230"/>
      <c r="GV23" s="230"/>
      <c r="GW23" s="41" t="s">
        <v>460</v>
      </c>
      <c r="GX23" s="41" t="s">
        <v>460</v>
      </c>
      <c r="GY23" s="41" t="s">
        <v>460</v>
      </c>
      <c r="GZ23" s="41" t="s">
        <v>460</v>
      </c>
      <c r="HA23" s="41" t="s">
        <v>460</v>
      </c>
      <c r="HB23" s="230"/>
      <c r="HC23" s="230"/>
      <c r="HD23" s="41" t="s">
        <v>460</v>
      </c>
      <c r="HE23" s="41" t="s">
        <v>460</v>
      </c>
      <c r="HF23" s="41" t="s">
        <v>460</v>
      </c>
      <c r="HG23" s="41" t="s">
        <v>460</v>
      </c>
      <c r="HH23" s="41" t="s">
        <v>460</v>
      </c>
      <c r="HI23" s="230"/>
      <c r="HJ23" s="230"/>
      <c r="HK23" s="372" t="s">
        <v>460</v>
      </c>
      <c r="HL23" s="372" t="s">
        <v>460</v>
      </c>
      <c r="HM23" s="372" t="s">
        <v>460</v>
      </c>
      <c r="HN23" s="372" t="s">
        <v>460</v>
      </c>
      <c r="HO23" s="372" t="s">
        <v>460</v>
      </c>
      <c r="HP23" s="230"/>
      <c r="HQ23" s="230"/>
      <c r="HR23" s="372" t="s">
        <v>460</v>
      </c>
      <c r="HS23" s="372" t="s">
        <v>460</v>
      </c>
      <c r="HT23" s="372" t="s">
        <v>460</v>
      </c>
      <c r="HU23" s="372" t="s">
        <v>460</v>
      </c>
      <c r="HV23" s="372" t="s">
        <v>460</v>
      </c>
      <c r="HW23" s="230"/>
      <c r="HX23" s="230"/>
      <c r="HY23" s="372" t="s">
        <v>460</v>
      </c>
      <c r="HZ23" s="372" t="s">
        <v>460</v>
      </c>
      <c r="IA23" s="372" t="s">
        <v>460</v>
      </c>
      <c r="IB23" s="372" t="s">
        <v>460</v>
      </c>
      <c r="IC23" s="372" t="s">
        <v>460</v>
      </c>
      <c r="ID23" s="230"/>
      <c r="IE23" s="230"/>
      <c r="IF23" s="372"/>
      <c r="IG23" s="372"/>
      <c r="IH23" s="372"/>
      <c r="II23" s="372"/>
      <c r="IJ23" s="372"/>
      <c r="IK23" s="230"/>
      <c r="IL23" s="230"/>
      <c r="IM23" s="372"/>
      <c r="IN23" s="372"/>
      <c r="IO23" s="372"/>
      <c r="IP23" s="372"/>
      <c r="IQ23" s="372"/>
      <c r="IR23" s="230"/>
      <c r="IS23" s="230"/>
      <c r="IT23" s="372"/>
      <c r="IU23" s="372"/>
      <c r="IV23" s="372"/>
      <c r="IW23" s="372"/>
      <c r="IX23" s="372"/>
      <c r="IY23" s="230"/>
      <c r="IZ23" s="230"/>
      <c r="JA23" s="372"/>
      <c r="JB23" s="372"/>
      <c r="JC23" s="372"/>
      <c r="JD23" s="372"/>
      <c r="JE23" s="372"/>
      <c r="JF23" s="230"/>
      <c r="JG23" s="230"/>
      <c r="JH23" s="41"/>
      <c r="JI23" s="41"/>
      <c r="JJ23" s="41"/>
      <c r="JK23" s="41"/>
      <c r="JL23" s="41"/>
      <c r="JM23" s="230"/>
      <c r="JN23" s="230"/>
      <c r="JO23" s="41"/>
      <c r="JP23" s="41"/>
      <c r="JQ23" s="41"/>
      <c r="JR23" s="41"/>
      <c r="JS23" s="41"/>
      <c r="JT23" s="230"/>
      <c r="JU23" s="230"/>
      <c r="JV23" s="41"/>
      <c r="JW23" s="41"/>
      <c r="JX23" s="41"/>
      <c r="JY23" s="41"/>
      <c r="JZ23" s="41"/>
      <c r="KA23" s="230"/>
      <c r="KB23" s="230"/>
      <c r="KC23" s="41"/>
      <c r="KD23" s="41"/>
      <c r="KE23" s="41"/>
      <c r="KF23" s="41"/>
      <c r="KG23" s="41"/>
      <c r="KH23" s="230"/>
      <c r="KI23" s="230"/>
      <c r="KJ23" s="41"/>
      <c r="KK23" s="41"/>
      <c r="KL23" s="41"/>
      <c r="KM23" s="41"/>
      <c r="KN23" s="41"/>
      <c r="KO23" s="230"/>
      <c r="KP23" s="230"/>
      <c r="KQ23" s="41"/>
      <c r="KR23" s="41"/>
      <c r="KS23" s="41"/>
      <c r="KT23" s="41"/>
      <c r="KU23" s="41"/>
      <c r="KV23" s="230"/>
      <c r="KW23" s="230"/>
      <c r="KX23" s="41"/>
      <c r="KY23" s="41"/>
      <c r="KZ23" s="41"/>
      <c r="LA23" s="41"/>
      <c r="LB23" s="41"/>
      <c r="LC23" s="230"/>
      <c r="LD23" s="230"/>
      <c r="LE23" s="41"/>
      <c r="LF23" s="41"/>
      <c r="LG23" s="41"/>
      <c r="LH23" s="41"/>
      <c r="LI23" s="41"/>
      <c r="LJ23" s="230"/>
      <c r="LK23" s="230"/>
      <c r="LL23" s="41"/>
      <c r="LM23" s="41"/>
      <c r="LN23" s="41"/>
      <c r="LO23" s="41"/>
      <c r="LP23" s="41"/>
      <c r="LQ23" s="230"/>
      <c r="LR23" s="230"/>
      <c r="LS23" s="41"/>
      <c r="LT23" s="41"/>
      <c r="LU23" s="41"/>
      <c r="LV23" s="41"/>
      <c r="LW23" s="41"/>
      <c r="LX23" s="230"/>
      <c r="LY23" s="230"/>
      <c r="LZ23" s="41"/>
      <c r="MA23" s="41"/>
      <c r="MB23" s="41"/>
      <c r="MC23" s="41"/>
      <c r="MD23" s="41"/>
      <c r="ME23" s="230"/>
      <c r="MF23" s="230"/>
      <c r="MG23" s="41"/>
      <c r="MH23" s="41"/>
      <c r="MI23" s="41"/>
      <c r="MJ23" s="41"/>
      <c r="MK23" s="41"/>
      <c r="ML23" s="230"/>
      <c r="MM23" s="230"/>
      <c r="MN23" s="41"/>
      <c r="MO23" s="41"/>
      <c r="MP23" s="41"/>
      <c r="MQ23" s="41"/>
      <c r="MR23" s="41"/>
      <c r="MS23" s="230"/>
      <c r="MT23" s="230"/>
      <c r="MU23" s="41"/>
      <c r="MV23" s="41"/>
      <c r="MW23" s="41"/>
      <c r="MX23" s="41"/>
      <c r="MY23" s="41"/>
      <c r="MZ23" s="230"/>
      <c r="NA23" s="230"/>
      <c r="NB23" s="41"/>
      <c r="NC23" s="41"/>
      <c r="ND23" s="41"/>
      <c r="NE23" s="41"/>
      <c r="NF23" s="41"/>
      <c r="NG23" s="230"/>
      <c r="NH23" s="230"/>
      <c r="NI23" s="41"/>
      <c r="NJ23" s="41"/>
      <c r="NK23" s="41"/>
      <c r="NL23" s="41"/>
      <c r="NM23" s="41"/>
      <c r="NN23" s="230"/>
      <c r="NO23" s="230"/>
    </row>
    <row r="24" spans="2:379" x14ac:dyDescent="0.3">
      <c r="B24" s="24" t="s">
        <v>18</v>
      </c>
      <c r="C24" s="25">
        <v>35</v>
      </c>
      <c r="D24" s="206" t="s">
        <v>60</v>
      </c>
      <c r="E24" s="183" t="s">
        <v>8</v>
      </c>
      <c r="F24" s="351" t="s">
        <v>9</v>
      </c>
      <c r="G24" s="354" t="s">
        <v>192</v>
      </c>
      <c r="H24" s="156" t="s">
        <v>193</v>
      </c>
      <c r="I24" s="125"/>
      <c r="J24" s="41"/>
      <c r="K24" s="41"/>
      <c r="L24" s="41"/>
      <c r="M24" s="41"/>
      <c r="N24" s="230"/>
      <c r="O24" s="230"/>
      <c r="P24" s="41"/>
      <c r="Q24" s="41"/>
      <c r="R24" s="41"/>
      <c r="S24" s="41"/>
      <c r="T24" s="41"/>
      <c r="U24" s="230"/>
      <c r="V24" s="230"/>
      <c r="W24" s="41"/>
      <c r="X24" s="41"/>
      <c r="Y24" s="41"/>
      <c r="Z24" s="41"/>
      <c r="AA24" s="41"/>
      <c r="AB24" s="230"/>
      <c r="AC24" s="230"/>
      <c r="AD24" s="41"/>
      <c r="AE24" s="41"/>
      <c r="AF24" s="41"/>
      <c r="AG24" s="41"/>
      <c r="AH24" s="41"/>
      <c r="AI24" s="230"/>
      <c r="AJ24" s="230"/>
      <c r="AK24" s="41"/>
      <c r="AL24" s="41"/>
      <c r="AM24" s="41"/>
      <c r="AN24" s="41"/>
      <c r="AO24" s="41"/>
      <c r="AP24" s="230"/>
      <c r="AQ24" s="230"/>
      <c r="AR24" s="41"/>
      <c r="AS24" s="41"/>
      <c r="AT24" s="41"/>
      <c r="AU24" s="41"/>
      <c r="AV24" s="41"/>
      <c r="AW24" s="230"/>
      <c r="AX24" s="230"/>
      <c r="AY24" s="41"/>
      <c r="AZ24" s="41"/>
      <c r="BA24" s="41"/>
      <c r="BB24" s="41"/>
      <c r="BC24" s="41"/>
      <c r="BD24" s="230"/>
      <c r="BE24" s="230"/>
      <c r="BF24" s="41"/>
      <c r="BG24" s="41"/>
      <c r="BH24" s="41"/>
      <c r="BI24" s="41"/>
      <c r="BJ24" s="41"/>
      <c r="BK24" s="230"/>
      <c r="BL24" s="230"/>
      <c r="BM24" s="41"/>
      <c r="BN24" s="41"/>
      <c r="BO24" s="41"/>
      <c r="BP24" s="41"/>
      <c r="BQ24" s="41"/>
      <c r="BR24" s="230"/>
      <c r="BS24" s="230"/>
      <c r="BT24" s="41"/>
      <c r="BU24" s="41"/>
      <c r="BV24" s="41"/>
      <c r="BW24" s="41"/>
      <c r="BX24" s="41"/>
      <c r="BY24" s="230"/>
      <c r="BZ24" s="230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230"/>
      <c r="CN24" s="230"/>
      <c r="CO24" s="41"/>
      <c r="CP24" s="41"/>
      <c r="CQ24" s="41"/>
      <c r="CR24" s="41"/>
      <c r="CS24" s="41"/>
      <c r="CT24" s="230"/>
      <c r="CU24" s="230"/>
      <c r="CV24" s="41"/>
      <c r="CW24" s="41"/>
      <c r="CX24" s="41"/>
      <c r="CY24" s="41"/>
      <c r="CZ24" s="41"/>
      <c r="DA24" s="230"/>
      <c r="DB24" s="230"/>
      <c r="DC24" s="41" t="s">
        <v>460</v>
      </c>
      <c r="DD24" s="41" t="s">
        <v>460</v>
      </c>
      <c r="DE24" s="41" t="s">
        <v>460</v>
      </c>
      <c r="DF24" s="41" t="s">
        <v>460</v>
      </c>
      <c r="DG24" s="41" t="s">
        <v>460</v>
      </c>
      <c r="DH24" s="230"/>
      <c r="DI24" s="230"/>
      <c r="DJ24" s="41" t="s">
        <v>460</v>
      </c>
      <c r="DK24" s="41" t="s">
        <v>460</v>
      </c>
      <c r="DL24" s="41" t="s">
        <v>460</v>
      </c>
      <c r="DM24" s="41" t="s">
        <v>460</v>
      </c>
      <c r="DN24" s="41" t="s">
        <v>460</v>
      </c>
      <c r="DO24" s="230"/>
      <c r="DP24" s="230"/>
      <c r="DQ24" s="41" t="s">
        <v>460</v>
      </c>
      <c r="DR24" s="41" t="s">
        <v>460</v>
      </c>
      <c r="DS24" s="41" t="s">
        <v>460</v>
      </c>
      <c r="DT24" s="41" t="s">
        <v>460</v>
      </c>
      <c r="DU24" s="41" t="s">
        <v>460</v>
      </c>
      <c r="DV24" s="230"/>
      <c r="DW24" s="230"/>
      <c r="DX24" s="41" t="s">
        <v>460</v>
      </c>
      <c r="DY24" s="41" t="s">
        <v>460</v>
      </c>
      <c r="DZ24" s="41" t="s">
        <v>460</v>
      </c>
      <c r="EA24" s="41" t="s">
        <v>460</v>
      </c>
      <c r="EB24" s="41" t="s">
        <v>460</v>
      </c>
      <c r="EC24" s="230"/>
      <c r="ED24" s="230"/>
      <c r="EE24" s="41" t="s">
        <v>460</v>
      </c>
      <c r="EF24" s="41" t="s">
        <v>460</v>
      </c>
      <c r="EG24" s="41" t="s">
        <v>460</v>
      </c>
      <c r="EH24" s="41" t="s">
        <v>460</v>
      </c>
      <c r="EI24" s="41" t="s">
        <v>460</v>
      </c>
      <c r="EJ24" s="230"/>
      <c r="EK24" s="230"/>
      <c r="EL24" s="41" t="s">
        <v>460</v>
      </c>
      <c r="EM24" s="41" t="s">
        <v>460</v>
      </c>
      <c r="EN24" s="41" t="s">
        <v>460</v>
      </c>
      <c r="EO24" s="41" t="s">
        <v>460</v>
      </c>
      <c r="EP24" s="41" t="s">
        <v>460</v>
      </c>
      <c r="EQ24" s="230"/>
      <c r="ER24" s="230"/>
      <c r="ES24" s="41" t="s">
        <v>460</v>
      </c>
      <c r="ET24" s="41" t="s">
        <v>460</v>
      </c>
      <c r="EU24" s="41" t="s">
        <v>460</v>
      </c>
      <c r="EV24" s="41" t="s">
        <v>460</v>
      </c>
      <c r="EW24" s="41" t="s">
        <v>460</v>
      </c>
      <c r="EX24" s="230"/>
      <c r="EY24" s="230"/>
      <c r="EZ24" s="41" t="s">
        <v>460</v>
      </c>
      <c r="FA24" s="41" t="s">
        <v>460</v>
      </c>
      <c r="FB24" s="41" t="s">
        <v>460</v>
      </c>
      <c r="FC24" s="41" t="s">
        <v>460</v>
      </c>
      <c r="FD24" s="41" t="s">
        <v>460</v>
      </c>
      <c r="FE24" s="230"/>
      <c r="FF24" s="230"/>
      <c r="FG24" s="41" t="s">
        <v>460</v>
      </c>
      <c r="FH24" s="41" t="s">
        <v>460</v>
      </c>
      <c r="FI24" s="41" t="s">
        <v>460</v>
      </c>
      <c r="FJ24" s="41" t="s">
        <v>460</v>
      </c>
      <c r="FK24" s="41" t="s">
        <v>460</v>
      </c>
      <c r="FL24" s="230"/>
      <c r="FM24" s="230"/>
      <c r="FN24" s="41" t="s">
        <v>460</v>
      </c>
      <c r="FO24" s="41" t="s">
        <v>460</v>
      </c>
      <c r="FP24" s="41" t="s">
        <v>460</v>
      </c>
      <c r="FQ24" s="41" t="s">
        <v>460</v>
      </c>
      <c r="FR24" s="41" t="s">
        <v>460</v>
      </c>
      <c r="FS24" s="230"/>
      <c r="FT24" s="230"/>
      <c r="FU24" s="41" t="s">
        <v>460</v>
      </c>
      <c r="FV24" s="41" t="s">
        <v>460</v>
      </c>
      <c r="FW24" s="41" t="s">
        <v>460</v>
      </c>
      <c r="FX24" s="41" t="s">
        <v>460</v>
      </c>
      <c r="FY24" s="41" t="s">
        <v>460</v>
      </c>
      <c r="FZ24" s="230"/>
      <c r="GA24" s="230"/>
      <c r="GB24" s="41" t="s">
        <v>460</v>
      </c>
      <c r="GC24" s="41" t="s">
        <v>460</v>
      </c>
      <c r="GD24" s="41" t="s">
        <v>460</v>
      </c>
      <c r="GE24" s="41" t="s">
        <v>460</v>
      </c>
      <c r="GF24" s="41" t="s">
        <v>460</v>
      </c>
      <c r="GG24" s="230"/>
      <c r="GH24" s="230"/>
      <c r="GI24" s="41" t="s">
        <v>460</v>
      </c>
      <c r="GJ24" s="41" t="s">
        <v>460</v>
      </c>
      <c r="GK24" s="41" t="s">
        <v>460</v>
      </c>
      <c r="GL24" s="41" t="s">
        <v>460</v>
      </c>
      <c r="GM24" s="41" t="s">
        <v>460</v>
      </c>
      <c r="GN24" s="230"/>
      <c r="GO24" s="230"/>
      <c r="GP24" s="41" t="s">
        <v>460</v>
      </c>
      <c r="GQ24" s="41" t="s">
        <v>460</v>
      </c>
      <c r="GR24" s="41" t="s">
        <v>460</v>
      </c>
      <c r="GS24" s="41" t="s">
        <v>460</v>
      </c>
      <c r="GT24" s="41" t="s">
        <v>460</v>
      </c>
      <c r="GU24" s="230"/>
      <c r="GV24" s="230"/>
      <c r="GW24" s="41" t="s">
        <v>460</v>
      </c>
      <c r="GX24" s="41" t="s">
        <v>460</v>
      </c>
      <c r="GY24" s="41" t="s">
        <v>460</v>
      </c>
      <c r="GZ24" s="41" t="s">
        <v>460</v>
      </c>
      <c r="HA24" s="41" t="s">
        <v>460</v>
      </c>
      <c r="HB24" s="230"/>
      <c r="HC24" s="230"/>
      <c r="HD24" s="41" t="s">
        <v>460</v>
      </c>
      <c r="HE24" s="41" t="s">
        <v>460</v>
      </c>
      <c r="HF24" s="41" t="s">
        <v>460</v>
      </c>
      <c r="HG24" s="41" t="s">
        <v>460</v>
      </c>
      <c r="HH24" s="41" t="s">
        <v>460</v>
      </c>
      <c r="HI24" s="230"/>
      <c r="HJ24" s="230"/>
      <c r="HK24" s="372" t="s">
        <v>460</v>
      </c>
      <c r="HL24" s="372" t="s">
        <v>460</v>
      </c>
      <c r="HM24" s="372" t="s">
        <v>460</v>
      </c>
      <c r="HN24" s="372" t="s">
        <v>460</v>
      </c>
      <c r="HO24" s="372" t="s">
        <v>460</v>
      </c>
      <c r="HP24" s="230"/>
      <c r="HQ24" s="230"/>
      <c r="HR24" s="372" t="s">
        <v>460</v>
      </c>
      <c r="HS24" s="372" t="s">
        <v>460</v>
      </c>
      <c r="HT24" s="372" t="s">
        <v>460</v>
      </c>
      <c r="HU24" s="372" t="s">
        <v>460</v>
      </c>
      <c r="HV24" s="372" t="s">
        <v>460</v>
      </c>
      <c r="HW24" s="230"/>
      <c r="HX24" s="230"/>
      <c r="HY24" s="372" t="s">
        <v>460</v>
      </c>
      <c r="HZ24" s="372" t="s">
        <v>460</v>
      </c>
      <c r="IA24" s="372" t="s">
        <v>460</v>
      </c>
      <c r="IB24" s="372" t="s">
        <v>460</v>
      </c>
      <c r="IC24" s="372" t="s">
        <v>460</v>
      </c>
      <c r="ID24" s="230"/>
      <c r="IE24" s="230"/>
      <c r="IF24" s="372" t="s">
        <v>460</v>
      </c>
      <c r="IG24" s="372" t="s">
        <v>460</v>
      </c>
      <c r="IH24" s="372" t="s">
        <v>460</v>
      </c>
      <c r="II24" s="372" t="s">
        <v>460</v>
      </c>
      <c r="IJ24" s="372" t="s">
        <v>460</v>
      </c>
      <c r="IK24" s="372" t="s">
        <v>460</v>
      </c>
      <c r="IL24" s="230"/>
      <c r="IM24" s="372" t="s">
        <v>460</v>
      </c>
      <c r="IN24" s="372" t="s">
        <v>460</v>
      </c>
      <c r="IO24" s="372" t="s">
        <v>460</v>
      </c>
      <c r="IP24" s="372" t="s">
        <v>460</v>
      </c>
      <c r="IQ24" s="372" t="s">
        <v>460</v>
      </c>
      <c r="IR24" s="230"/>
      <c r="IS24" s="230"/>
      <c r="IT24" s="372" t="s">
        <v>460</v>
      </c>
      <c r="IU24" s="372" t="s">
        <v>460</v>
      </c>
      <c r="IV24" s="372" t="s">
        <v>460</v>
      </c>
      <c r="IW24" s="372" t="s">
        <v>460</v>
      </c>
      <c r="IX24" s="372" t="s">
        <v>460</v>
      </c>
      <c r="IY24" s="230"/>
      <c r="IZ24" s="230"/>
      <c r="JA24" s="372" t="s">
        <v>460</v>
      </c>
      <c r="JB24" s="372" t="s">
        <v>460</v>
      </c>
      <c r="JC24" s="372" t="s">
        <v>460</v>
      </c>
      <c r="JD24" s="372" t="s">
        <v>460</v>
      </c>
      <c r="JE24" s="372" t="s">
        <v>460</v>
      </c>
      <c r="JF24" s="41"/>
      <c r="JG24" s="41"/>
      <c r="JH24" s="41"/>
      <c r="JI24" s="41"/>
      <c r="JJ24" s="41"/>
      <c r="JK24" s="41"/>
      <c r="JL24" s="41"/>
      <c r="JM24" s="230"/>
      <c r="JN24" s="230"/>
      <c r="JO24" s="41"/>
      <c r="JP24" s="41"/>
      <c r="JQ24" s="41"/>
      <c r="JR24" s="41"/>
      <c r="JS24" s="41"/>
      <c r="JT24" s="230"/>
      <c r="JU24" s="230"/>
      <c r="JV24" s="41"/>
      <c r="JW24" s="41"/>
      <c r="JX24" s="41"/>
      <c r="JY24" s="41"/>
      <c r="JZ24" s="41"/>
      <c r="KA24" s="230"/>
      <c r="KB24" s="230"/>
      <c r="KC24" s="41"/>
      <c r="KD24" s="41"/>
      <c r="KE24" s="41"/>
      <c r="KF24" s="41"/>
      <c r="KG24" s="41"/>
      <c r="KH24" s="230"/>
      <c r="KI24" s="230"/>
      <c r="KJ24" s="41"/>
      <c r="KK24" s="41"/>
      <c r="KL24" s="41"/>
      <c r="KM24" s="41"/>
      <c r="KN24" s="41"/>
      <c r="KO24" s="230"/>
      <c r="KP24" s="230"/>
      <c r="KQ24" s="41"/>
      <c r="KR24" s="41"/>
      <c r="KS24" s="41"/>
      <c r="KT24" s="41"/>
      <c r="KU24" s="41"/>
      <c r="KV24" s="230"/>
      <c r="KW24" s="230"/>
      <c r="KX24" s="41"/>
      <c r="KY24" s="41"/>
      <c r="KZ24" s="41"/>
      <c r="LA24" s="41"/>
      <c r="LB24" s="41"/>
      <c r="LC24" s="230"/>
      <c r="LD24" s="230"/>
      <c r="LE24" s="41"/>
      <c r="LF24" s="41"/>
      <c r="LG24" s="41"/>
      <c r="LH24" s="41"/>
      <c r="LI24" s="41"/>
      <c r="LJ24" s="230"/>
      <c r="LK24" s="230"/>
      <c r="LL24" s="41"/>
      <c r="LM24" s="41"/>
      <c r="LN24" s="41"/>
      <c r="LO24" s="41"/>
      <c r="LP24" s="41"/>
      <c r="LQ24" s="230"/>
      <c r="LR24" s="230"/>
      <c r="LS24" s="41"/>
      <c r="LT24" s="41"/>
      <c r="LU24" s="41"/>
      <c r="LV24" s="41"/>
      <c r="LW24" s="41"/>
      <c r="LX24" s="230"/>
      <c r="LY24" s="230"/>
      <c r="LZ24" s="41"/>
      <c r="MA24" s="41"/>
      <c r="MB24" s="41"/>
      <c r="MC24" s="41"/>
      <c r="MD24" s="41"/>
      <c r="ME24" s="230"/>
      <c r="MF24" s="230"/>
      <c r="MG24" s="41"/>
      <c r="MH24" s="41"/>
      <c r="MI24" s="41"/>
      <c r="MJ24" s="41"/>
      <c r="MK24" s="41"/>
      <c r="ML24" s="230"/>
      <c r="MM24" s="230"/>
      <c r="MN24" s="41"/>
      <c r="MO24" s="41"/>
      <c r="MP24" s="41"/>
      <c r="MQ24" s="41"/>
      <c r="MR24" s="41"/>
      <c r="MS24" s="230"/>
      <c r="MT24" s="230"/>
      <c r="MU24" s="41"/>
      <c r="MV24" s="41"/>
      <c r="MW24" s="41"/>
      <c r="MX24" s="41"/>
      <c r="MY24" s="41"/>
      <c r="MZ24" s="230"/>
      <c r="NA24" s="230"/>
      <c r="NB24" s="41"/>
      <c r="NC24" s="41"/>
      <c r="ND24" s="41"/>
      <c r="NE24" s="41"/>
      <c r="NF24" s="41"/>
      <c r="NG24" s="230"/>
      <c r="NH24" s="230"/>
      <c r="NI24" s="41"/>
      <c r="NJ24" s="41"/>
      <c r="NK24" s="41"/>
      <c r="NL24" s="41"/>
      <c r="NM24" s="41"/>
      <c r="NN24" s="230"/>
      <c r="NO24" s="230"/>
    </row>
    <row r="25" spans="2:379" x14ac:dyDescent="0.3">
      <c r="B25" s="24" t="s">
        <v>18</v>
      </c>
      <c r="C25" s="25">
        <v>35</v>
      </c>
      <c r="D25" s="206" t="s">
        <v>60</v>
      </c>
      <c r="E25" s="187" t="s">
        <v>8</v>
      </c>
      <c r="F25" s="351" t="s">
        <v>9</v>
      </c>
      <c r="G25" s="355" t="s">
        <v>199</v>
      </c>
      <c r="H25" s="154" t="s">
        <v>710</v>
      </c>
      <c r="I25" s="125"/>
      <c r="J25" s="41"/>
      <c r="K25" s="41"/>
      <c r="L25" s="41"/>
      <c r="M25" s="41"/>
      <c r="N25" s="234"/>
      <c r="O25" s="234"/>
      <c r="P25" s="41"/>
      <c r="Q25" s="41"/>
      <c r="R25" s="41"/>
      <c r="S25" s="41"/>
      <c r="T25" s="41"/>
      <c r="U25" s="230"/>
      <c r="V25" s="230"/>
      <c r="W25" s="41"/>
      <c r="X25" s="41"/>
      <c r="Y25" s="41"/>
      <c r="Z25" s="41"/>
      <c r="AA25" s="41"/>
      <c r="AB25" s="230"/>
      <c r="AC25" s="230"/>
      <c r="AD25" s="41"/>
      <c r="AE25" s="41"/>
      <c r="AF25" s="41"/>
      <c r="AG25" s="41"/>
      <c r="AH25" s="41"/>
      <c r="AI25" s="230"/>
      <c r="AJ25" s="230"/>
      <c r="AK25" s="41"/>
      <c r="AL25" s="41"/>
      <c r="AM25" s="41"/>
      <c r="AN25" s="41"/>
      <c r="AO25" s="41"/>
      <c r="AP25" s="230"/>
      <c r="AQ25" s="230"/>
      <c r="AR25" s="41"/>
      <c r="AS25" s="41"/>
      <c r="AT25" s="41"/>
      <c r="AU25" s="41"/>
      <c r="AV25" s="41"/>
      <c r="AW25" s="230"/>
      <c r="AX25" s="230"/>
      <c r="AY25" s="41" t="s">
        <v>460</v>
      </c>
      <c r="AZ25" s="41" t="s">
        <v>460</v>
      </c>
      <c r="BA25" s="41" t="s">
        <v>460</v>
      </c>
      <c r="BB25" s="41" t="s">
        <v>460</v>
      </c>
      <c r="BC25" s="41" t="s">
        <v>460</v>
      </c>
      <c r="BD25" s="230"/>
      <c r="BE25" s="230"/>
      <c r="BF25" s="41"/>
      <c r="BG25" s="41"/>
      <c r="BH25" s="41"/>
      <c r="BI25" s="41"/>
      <c r="BJ25" s="41"/>
      <c r="BK25" s="230"/>
      <c r="BL25" s="230"/>
      <c r="BM25" s="41"/>
      <c r="BN25" s="41"/>
      <c r="BO25" s="41"/>
      <c r="BP25" s="41"/>
      <c r="BQ25" s="41"/>
      <c r="BR25" s="234"/>
      <c r="BS25" s="234"/>
      <c r="BT25" s="41"/>
      <c r="BU25" s="41"/>
      <c r="BV25" s="41"/>
      <c r="BW25" s="41"/>
      <c r="BX25" s="41"/>
      <c r="BY25" s="234"/>
      <c r="BZ25" s="234"/>
      <c r="CA25" s="41"/>
      <c r="CB25" s="41"/>
      <c r="CC25" s="41"/>
      <c r="CD25" s="41"/>
      <c r="CE25" s="41"/>
      <c r="CF25" s="234"/>
      <c r="CG25" s="234"/>
      <c r="CH25" s="41"/>
      <c r="CI25" s="41"/>
      <c r="CJ25" s="41"/>
      <c r="CK25" s="41"/>
      <c r="CL25" s="41"/>
      <c r="CM25" s="234"/>
      <c r="CN25" s="234"/>
      <c r="CO25" s="41"/>
      <c r="CP25" s="41"/>
      <c r="CQ25" s="41"/>
      <c r="CR25" s="41"/>
      <c r="CS25" s="41"/>
      <c r="CT25" s="234"/>
      <c r="CU25" s="234"/>
      <c r="CV25" s="41"/>
      <c r="CW25" s="41"/>
      <c r="CX25" s="41"/>
      <c r="CY25" s="41"/>
      <c r="CZ25" s="41"/>
      <c r="DA25" s="234"/>
      <c r="DB25" s="234"/>
      <c r="DC25" s="41"/>
      <c r="DD25" s="41"/>
      <c r="DE25" s="41"/>
      <c r="DF25" s="41"/>
      <c r="DG25" s="41"/>
      <c r="DH25" s="234"/>
      <c r="DI25" s="234"/>
      <c r="DJ25" s="41"/>
      <c r="DK25" s="41"/>
      <c r="DL25" s="41"/>
      <c r="DM25" s="41"/>
      <c r="DN25" s="41"/>
      <c r="DO25" s="234"/>
      <c r="DP25" s="234"/>
      <c r="DQ25" s="41" t="s">
        <v>460</v>
      </c>
      <c r="DR25" s="41"/>
      <c r="DS25" s="41"/>
      <c r="DT25" s="41"/>
      <c r="DU25" s="41"/>
      <c r="DV25" s="234"/>
      <c r="DW25" s="234"/>
      <c r="DX25" s="41"/>
      <c r="DY25" s="41"/>
      <c r="DZ25" s="41"/>
      <c r="EA25" s="41" t="s">
        <v>460</v>
      </c>
      <c r="EB25" s="41"/>
      <c r="EC25" s="234"/>
      <c r="ED25" s="234"/>
      <c r="EE25" s="41"/>
      <c r="EF25" s="41"/>
      <c r="EG25" s="41"/>
      <c r="EH25" s="41"/>
      <c r="EI25" s="41"/>
      <c r="EJ25" s="234"/>
      <c r="EK25" s="234"/>
      <c r="EL25" s="41"/>
      <c r="EM25" s="41"/>
      <c r="EN25" s="41"/>
      <c r="EO25" s="41"/>
      <c r="EP25" s="41"/>
      <c r="EQ25" s="234"/>
      <c r="ER25" s="234"/>
      <c r="ES25" s="41"/>
      <c r="ET25" s="41"/>
      <c r="EU25" s="41"/>
      <c r="EV25" s="41"/>
      <c r="EW25" s="41"/>
      <c r="EX25" s="234"/>
      <c r="EY25" s="234"/>
      <c r="EZ25" s="41"/>
      <c r="FA25" s="41"/>
      <c r="FB25" s="41"/>
      <c r="FC25" s="41"/>
      <c r="FD25" s="41"/>
      <c r="FE25" s="234"/>
      <c r="FF25" s="234"/>
      <c r="FG25" s="41"/>
      <c r="FH25" s="41"/>
      <c r="FI25" s="41"/>
      <c r="FJ25" s="41"/>
      <c r="FK25" s="41"/>
      <c r="FL25" s="234"/>
      <c r="FM25" s="234"/>
      <c r="FN25" s="41" t="s">
        <v>460</v>
      </c>
      <c r="FO25" s="41"/>
      <c r="FP25" s="41"/>
      <c r="FQ25" s="41"/>
      <c r="FR25" s="41"/>
      <c r="FS25" s="234"/>
      <c r="FT25" s="234"/>
      <c r="FU25" s="41"/>
      <c r="FV25" s="41"/>
      <c r="FW25" s="41"/>
      <c r="FX25" s="41"/>
      <c r="FY25" s="41"/>
      <c r="FZ25" s="234"/>
      <c r="GA25" s="234"/>
      <c r="GB25" s="41"/>
      <c r="GC25" s="41"/>
      <c r="GD25" s="41"/>
      <c r="GE25" s="41"/>
      <c r="GF25" s="41"/>
      <c r="GG25" s="234"/>
      <c r="GH25" s="234"/>
      <c r="GI25" s="41"/>
      <c r="GJ25" s="41"/>
      <c r="GK25" s="41"/>
      <c r="GL25" s="41"/>
      <c r="GM25" s="41"/>
      <c r="GN25" s="234"/>
      <c r="GO25" s="234"/>
      <c r="GP25" s="41"/>
      <c r="GQ25" s="41"/>
      <c r="GR25" s="41"/>
      <c r="GS25" s="41"/>
      <c r="GT25" s="41"/>
      <c r="GU25" s="234"/>
      <c r="GV25" s="234"/>
      <c r="GW25" s="41" t="s">
        <v>460</v>
      </c>
      <c r="GX25" s="41"/>
      <c r="GY25" s="41"/>
      <c r="GZ25" s="41"/>
      <c r="HA25" s="41"/>
      <c r="HB25" s="230"/>
      <c r="HC25" s="230"/>
      <c r="HD25" s="372"/>
      <c r="HE25" s="372"/>
      <c r="HF25" s="372"/>
      <c r="HG25" s="372"/>
      <c r="HH25" s="372"/>
      <c r="HI25" s="230"/>
      <c r="HJ25" s="230"/>
      <c r="HK25" s="372" t="s">
        <v>460</v>
      </c>
      <c r="HL25" s="372" t="s">
        <v>460</v>
      </c>
      <c r="HM25" s="372" t="s">
        <v>460</v>
      </c>
      <c r="HN25" s="372" t="s">
        <v>460</v>
      </c>
      <c r="HO25" s="372" t="s">
        <v>460</v>
      </c>
      <c r="HP25" s="230"/>
      <c r="HQ25" s="230"/>
      <c r="HR25" s="372" t="s">
        <v>460</v>
      </c>
      <c r="HS25" s="372" t="s">
        <v>460</v>
      </c>
      <c r="HT25" s="372" t="s">
        <v>460</v>
      </c>
      <c r="HU25" s="372" t="s">
        <v>460</v>
      </c>
      <c r="HV25" s="372" t="s">
        <v>460</v>
      </c>
      <c r="HW25" s="230"/>
      <c r="HX25" s="230"/>
      <c r="HY25" s="372"/>
      <c r="HZ25" s="372"/>
      <c r="IA25" s="372"/>
      <c r="IB25" s="372"/>
      <c r="IC25" s="372"/>
      <c r="ID25" s="230"/>
      <c r="IE25" s="230"/>
      <c r="IF25" s="372"/>
      <c r="IG25" s="372"/>
      <c r="IH25" s="372"/>
      <c r="II25" s="372"/>
      <c r="IJ25" s="372"/>
      <c r="IK25" s="230"/>
      <c r="IL25" s="230"/>
      <c r="IM25" s="372"/>
      <c r="IN25" s="372"/>
      <c r="IO25" s="372"/>
      <c r="IP25" s="372"/>
      <c r="IQ25" s="372"/>
      <c r="IR25" s="234"/>
      <c r="IS25" s="234"/>
      <c r="IT25" s="372"/>
      <c r="IU25" s="372"/>
      <c r="IV25" s="372"/>
      <c r="IW25" s="372"/>
      <c r="IX25" s="372"/>
      <c r="IY25" s="234"/>
      <c r="IZ25" s="234"/>
      <c r="JA25" s="372"/>
      <c r="JB25" s="372"/>
      <c r="JC25" s="372"/>
      <c r="JD25" s="372"/>
      <c r="JE25" s="372"/>
      <c r="JF25" s="234"/>
      <c r="JG25" s="234"/>
      <c r="JH25" s="41"/>
      <c r="JI25" s="41"/>
      <c r="JJ25" s="41"/>
      <c r="JK25" s="41"/>
      <c r="JL25" s="41"/>
      <c r="JM25" s="234"/>
      <c r="JN25" s="234"/>
      <c r="JO25" s="41"/>
      <c r="JP25" s="41"/>
      <c r="JQ25" s="41"/>
      <c r="JR25" s="41"/>
      <c r="JS25" s="41"/>
      <c r="JT25" s="234"/>
      <c r="JU25" s="234"/>
      <c r="JV25" s="41"/>
      <c r="JW25" s="41"/>
      <c r="JX25" s="41"/>
      <c r="JY25" s="41"/>
      <c r="JZ25" s="41"/>
      <c r="KA25" s="234"/>
      <c r="KB25" s="234"/>
      <c r="KC25" s="41"/>
      <c r="KD25" s="41"/>
      <c r="KE25" s="41"/>
      <c r="KF25" s="41"/>
      <c r="KG25" s="41"/>
      <c r="KH25" s="234"/>
      <c r="KI25" s="234"/>
      <c r="KJ25" s="41"/>
      <c r="KK25" s="41"/>
      <c r="KL25" s="41"/>
      <c r="KM25" s="41"/>
      <c r="KN25" s="41"/>
      <c r="KO25" s="234"/>
      <c r="KP25" s="234"/>
      <c r="KQ25" s="41"/>
      <c r="KR25" s="41"/>
      <c r="KS25" s="41"/>
      <c r="KT25" s="41"/>
      <c r="KU25" s="41"/>
      <c r="KV25" s="234"/>
      <c r="KW25" s="234"/>
      <c r="KX25" s="41"/>
      <c r="KY25" s="41"/>
      <c r="KZ25" s="41"/>
      <c r="LA25" s="41"/>
      <c r="LB25" s="41"/>
      <c r="LC25" s="234"/>
      <c r="LD25" s="234"/>
      <c r="LE25" s="41"/>
      <c r="LF25" s="41"/>
      <c r="LG25" s="41"/>
      <c r="LH25" s="41"/>
      <c r="LI25" s="41"/>
      <c r="LJ25" s="234"/>
      <c r="LK25" s="234"/>
      <c r="LL25" s="41"/>
      <c r="LM25" s="41"/>
      <c r="LN25" s="41"/>
      <c r="LO25" s="41"/>
      <c r="LP25" s="41"/>
      <c r="LQ25" s="234"/>
      <c r="LR25" s="234"/>
      <c r="LS25" s="41"/>
      <c r="LT25" s="41"/>
      <c r="LU25" s="41"/>
      <c r="LV25" s="41"/>
      <c r="LW25" s="41"/>
      <c r="LX25" s="234"/>
      <c r="LY25" s="234"/>
      <c r="LZ25" s="41"/>
      <c r="MA25" s="41"/>
      <c r="MB25" s="41"/>
      <c r="MC25" s="41"/>
      <c r="MD25" s="41"/>
      <c r="ME25" s="234"/>
      <c r="MF25" s="234"/>
      <c r="MG25" s="41"/>
      <c r="MH25" s="41"/>
      <c r="MI25" s="41"/>
      <c r="MJ25" s="41"/>
      <c r="MK25" s="41"/>
      <c r="ML25" s="234"/>
      <c r="MM25" s="234"/>
      <c r="MN25" s="41"/>
      <c r="MO25" s="41"/>
      <c r="MP25" s="41"/>
      <c r="MQ25" s="41"/>
      <c r="MR25" s="41"/>
      <c r="MS25" s="234"/>
      <c r="MT25" s="234"/>
      <c r="MU25" s="41"/>
      <c r="MV25" s="41"/>
      <c r="MW25" s="41"/>
      <c r="MX25" s="41"/>
      <c r="MY25" s="41"/>
      <c r="MZ25" s="234"/>
      <c r="NA25" s="234"/>
      <c r="NB25" s="41"/>
      <c r="NC25" s="41"/>
      <c r="ND25" s="41"/>
      <c r="NE25" s="41"/>
      <c r="NF25" s="41"/>
      <c r="NG25" s="234"/>
      <c r="NH25" s="234"/>
      <c r="NI25" s="41"/>
      <c r="NJ25" s="41"/>
      <c r="NK25" s="41"/>
      <c r="NL25" s="41"/>
      <c r="NM25" s="41"/>
      <c r="NN25" s="234"/>
      <c r="NO25" s="234"/>
    </row>
    <row r="26" spans="2:379" x14ac:dyDescent="0.3">
      <c r="B26" s="65" t="s">
        <v>18</v>
      </c>
      <c r="C26" s="25">
        <v>35</v>
      </c>
      <c r="D26" s="206" t="s">
        <v>60</v>
      </c>
      <c r="E26" s="187" t="s">
        <v>8</v>
      </c>
      <c r="F26" s="351" t="s">
        <v>9</v>
      </c>
      <c r="G26" s="355" t="s">
        <v>699</v>
      </c>
      <c r="H26" s="154" t="s">
        <v>700</v>
      </c>
      <c r="I26" s="125"/>
      <c r="J26" s="41"/>
      <c r="K26" s="41"/>
      <c r="L26" s="41"/>
      <c r="M26" s="41"/>
      <c r="N26" s="230"/>
      <c r="O26" s="230"/>
      <c r="P26" s="41"/>
      <c r="Q26" s="41"/>
      <c r="R26" s="41"/>
      <c r="S26" s="41"/>
      <c r="T26" s="41"/>
      <c r="U26" s="230"/>
      <c r="V26" s="230"/>
      <c r="W26" s="41" t="s">
        <v>460</v>
      </c>
      <c r="X26" s="41" t="s">
        <v>460</v>
      </c>
      <c r="Y26" s="41" t="s">
        <v>460</v>
      </c>
      <c r="Z26" s="41" t="s">
        <v>460</v>
      </c>
      <c r="AA26" s="41" t="s">
        <v>460</v>
      </c>
      <c r="AB26" s="230"/>
      <c r="AC26" s="230"/>
      <c r="AD26" s="41" t="s">
        <v>460</v>
      </c>
      <c r="AE26" s="41" t="s">
        <v>460</v>
      </c>
      <c r="AF26" s="41" t="s">
        <v>460</v>
      </c>
      <c r="AG26" s="41" t="s">
        <v>460</v>
      </c>
      <c r="AH26" s="41" t="s">
        <v>460</v>
      </c>
      <c r="AI26" s="230"/>
      <c r="AJ26" s="230"/>
      <c r="AK26" s="41" t="s">
        <v>460</v>
      </c>
      <c r="AL26" s="41" t="s">
        <v>460</v>
      </c>
      <c r="AM26" s="41" t="s">
        <v>460</v>
      </c>
      <c r="AN26" s="41" t="s">
        <v>460</v>
      </c>
      <c r="AO26" s="41" t="s">
        <v>460</v>
      </c>
      <c r="AP26" s="230"/>
      <c r="AQ26" s="230"/>
      <c r="AR26" s="41" t="s">
        <v>460</v>
      </c>
      <c r="AS26" s="41" t="s">
        <v>460</v>
      </c>
      <c r="AT26" s="41" t="s">
        <v>460</v>
      </c>
      <c r="AU26" s="41" t="s">
        <v>460</v>
      </c>
      <c r="AV26" s="41" t="s">
        <v>460</v>
      </c>
      <c r="AW26" s="230"/>
      <c r="AX26" s="230"/>
      <c r="AY26" s="41" t="s">
        <v>460</v>
      </c>
      <c r="AZ26" s="41" t="s">
        <v>460</v>
      </c>
      <c r="BA26" s="41" t="s">
        <v>460</v>
      </c>
      <c r="BB26" s="41" t="s">
        <v>460</v>
      </c>
      <c r="BC26" s="41" t="s">
        <v>460</v>
      </c>
      <c r="BD26" s="230"/>
      <c r="BE26" s="230"/>
      <c r="BF26" s="41"/>
      <c r="BG26" s="41"/>
      <c r="BH26" s="41"/>
      <c r="BI26" s="41"/>
      <c r="BJ26" s="41"/>
      <c r="BK26" s="230"/>
      <c r="BL26" s="230"/>
      <c r="BM26" s="41"/>
      <c r="BN26" s="41"/>
      <c r="BO26" s="41"/>
      <c r="BP26" s="41"/>
      <c r="BQ26" s="41"/>
      <c r="BR26" s="230"/>
      <c r="BS26" s="230"/>
      <c r="BT26" s="41"/>
      <c r="BU26" s="41"/>
      <c r="BV26" s="41"/>
      <c r="BW26" s="41"/>
      <c r="BX26" s="41"/>
      <c r="BY26" s="230"/>
      <c r="BZ26" s="230"/>
      <c r="CA26" s="41"/>
      <c r="CB26" s="41"/>
      <c r="CC26" s="41"/>
      <c r="CD26" s="41"/>
      <c r="CE26" s="41"/>
      <c r="CF26" s="230"/>
      <c r="CG26" s="230"/>
      <c r="CH26" s="41"/>
      <c r="CI26" s="41"/>
      <c r="CJ26" s="41"/>
      <c r="CK26" s="41"/>
      <c r="CL26" s="41"/>
      <c r="CM26" s="230"/>
      <c r="CN26" s="230"/>
      <c r="CO26" s="41"/>
      <c r="CP26" s="41"/>
      <c r="CQ26" s="41"/>
      <c r="CR26" s="41"/>
      <c r="CS26" s="41"/>
      <c r="CT26" s="230"/>
      <c r="CU26" s="230"/>
      <c r="CV26" s="41"/>
      <c r="CW26" s="41"/>
      <c r="CX26" s="41"/>
      <c r="CY26" s="41"/>
      <c r="CZ26" s="41"/>
      <c r="DA26" s="230"/>
      <c r="DB26" s="230"/>
      <c r="DC26" s="41"/>
      <c r="DD26" s="41"/>
      <c r="DE26" s="41"/>
      <c r="DF26" s="41"/>
      <c r="DG26" s="41"/>
      <c r="DH26" s="230"/>
      <c r="DI26" s="230"/>
      <c r="DJ26" s="41"/>
      <c r="DK26" s="41"/>
      <c r="DL26" s="41"/>
      <c r="DM26" s="41"/>
      <c r="DN26" s="41"/>
      <c r="DO26" s="230"/>
      <c r="DP26" s="230"/>
      <c r="DQ26" s="41" t="s">
        <v>460</v>
      </c>
      <c r="DR26" s="41"/>
      <c r="DS26" s="41"/>
      <c r="DT26" s="41"/>
      <c r="DU26" s="41"/>
      <c r="DV26" s="230"/>
      <c r="DW26" s="234"/>
      <c r="DX26" s="41"/>
      <c r="DY26" s="41"/>
      <c r="DZ26" s="41"/>
      <c r="EA26" s="41" t="s">
        <v>460</v>
      </c>
      <c r="EB26" s="41"/>
      <c r="EC26" s="230"/>
      <c r="ED26" s="230"/>
      <c r="EE26" s="41"/>
      <c r="EF26" s="41"/>
      <c r="EG26" s="41"/>
      <c r="EH26" s="41"/>
      <c r="EI26" s="41"/>
      <c r="EJ26" s="230"/>
      <c r="EK26" s="230"/>
      <c r="EL26" s="41" t="s">
        <v>460</v>
      </c>
      <c r="EM26" s="41" t="s">
        <v>460</v>
      </c>
      <c r="EN26" s="41" t="s">
        <v>460</v>
      </c>
      <c r="EO26" s="41" t="s">
        <v>460</v>
      </c>
      <c r="EP26" s="41" t="s">
        <v>460</v>
      </c>
      <c r="EQ26" s="230"/>
      <c r="ER26" s="230"/>
      <c r="ES26" s="41" t="s">
        <v>460</v>
      </c>
      <c r="ET26" s="41" t="s">
        <v>460</v>
      </c>
      <c r="EU26" s="41" t="s">
        <v>460</v>
      </c>
      <c r="EV26" s="41" t="s">
        <v>460</v>
      </c>
      <c r="EW26" s="41" t="s">
        <v>460</v>
      </c>
      <c r="EX26" s="230"/>
      <c r="EY26" s="230"/>
      <c r="EZ26" s="41" t="s">
        <v>460</v>
      </c>
      <c r="FA26" s="41" t="s">
        <v>460</v>
      </c>
      <c r="FB26" s="41" t="s">
        <v>460</v>
      </c>
      <c r="FC26" s="41" t="s">
        <v>460</v>
      </c>
      <c r="FD26" s="41" t="s">
        <v>460</v>
      </c>
      <c r="FE26" s="230"/>
      <c r="FF26" s="230"/>
      <c r="FG26" s="41"/>
      <c r="FH26" s="41"/>
      <c r="FI26" s="41"/>
      <c r="FJ26" s="41"/>
      <c r="FK26" s="41"/>
      <c r="FL26" s="230"/>
      <c r="FM26" s="230"/>
      <c r="FN26" s="41" t="s">
        <v>460</v>
      </c>
      <c r="FO26" s="41"/>
      <c r="FP26" s="41"/>
      <c r="FQ26" s="41"/>
      <c r="FR26" s="41"/>
      <c r="FS26" s="230"/>
      <c r="FT26" s="230"/>
      <c r="FU26" s="41"/>
      <c r="FV26" s="41"/>
      <c r="FW26" s="41"/>
      <c r="FX26" s="41"/>
      <c r="FY26" s="41"/>
      <c r="FZ26" s="230"/>
      <c r="GA26" s="230"/>
      <c r="GB26" s="41"/>
      <c r="GC26" s="41"/>
      <c r="GD26" s="41"/>
      <c r="GE26" s="41"/>
      <c r="GF26" s="41"/>
      <c r="GG26" s="230"/>
      <c r="GH26" s="230"/>
      <c r="GI26" s="41"/>
      <c r="GJ26" s="41"/>
      <c r="GK26" s="41"/>
      <c r="GL26" s="41"/>
      <c r="GM26" s="41"/>
      <c r="GN26" s="230"/>
      <c r="GO26" s="230"/>
      <c r="GP26" s="41"/>
      <c r="GQ26" s="41"/>
      <c r="GR26" s="41"/>
      <c r="GS26" s="41"/>
      <c r="GT26" s="41"/>
      <c r="GU26" s="230"/>
      <c r="GV26" s="230"/>
      <c r="GW26" s="41" t="s">
        <v>460</v>
      </c>
      <c r="GX26" s="41"/>
      <c r="GY26" s="41"/>
      <c r="GZ26" s="41"/>
      <c r="HA26" s="41"/>
      <c r="HB26" s="230"/>
      <c r="HC26" s="230"/>
      <c r="HD26" s="372"/>
      <c r="HE26" s="372"/>
      <c r="HF26" s="372"/>
      <c r="HG26" s="372"/>
      <c r="HH26" s="372"/>
      <c r="HI26" s="230"/>
      <c r="HJ26" s="230"/>
      <c r="HK26" s="372" t="s">
        <v>460</v>
      </c>
      <c r="HL26" s="372" t="s">
        <v>460</v>
      </c>
      <c r="HM26" s="372" t="s">
        <v>460</v>
      </c>
      <c r="HN26" s="372" t="s">
        <v>460</v>
      </c>
      <c r="HO26" s="372" t="s">
        <v>460</v>
      </c>
      <c r="HP26" s="230"/>
      <c r="HQ26" s="230"/>
      <c r="HR26" s="372" t="s">
        <v>460</v>
      </c>
      <c r="HS26" s="372" t="s">
        <v>460</v>
      </c>
      <c r="HT26" s="372" t="s">
        <v>460</v>
      </c>
      <c r="HU26" s="372" t="s">
        <v>460</v>
      </c>
      <c r="HV26" s="372" t="s">
        <v>460</v>
      </c>
      <c r="HW26" s="230"/>
      <c r="HX26" s="230"/>
      <c r="HY26" s="372" t="s">
        <v>460</v>
      </c>
      <c r="HZ26" s="372" t="s">
        <v>460</v>
      </c>
      <c r="IA26" s="372" t="s">
        <v>460</v>
      </c>
      <c r="IB26" s="372" t="s">
        <v>460</v>
      </c>
      <c r="IC26" s="372" t="s">
        <v>460</v>
      </c>
      <c r="ID26" s="230"/>
      <c r="IE26" s="230"/>
      <c r="IF26" s="372"/>
      <c r="IG26" s="372"/>
      <c r="IH26" s="372"/>
      <c r="II26" s="372"/>
      <c r="IJ26" s="372"/>
      <c r="IK26" s="230"/>
      <c r="IL26" s="230"/>
      <c r="IM26" s="372"/>
      <c r="IN26" s="372"/>
      <c r="IO26" s="372"/>
      <c r="IP26" s="372"/>
      <c r="IQ26" s="372"/>
      <c r="IR26" s="230"/>
      <c r="IS26" s="230"/>
      <c r="IT26" s="372"/>
      <c r="IU26" s="372"/>
      <c r="IV26" s="372"/>
      <c r="IW26" s="372"/>
      <c r="IX26" s="372"/>
      <c r="IY26" s="230"/>
      <c r="IZ26" s="230"/>
      <c r="JA26" s="372"/>
      <c r="JB26" s="372"/>
      <c r="JC26" s="372"/>
      <c r="JD26" s="372"/>
      <c r="JE26" s="372"/>
      <c r="JF26" s="230"/>
      <c r="JG26" s="230"/>
      <c r="JH26" s="41"/>
      <c r="JI26" s="41"/>
      <c r="JJ26" s="41"/>
      <c r="JK26" s="41"/>
      <c r="JL26" s="41"/>
      <c r="JM26" s="230"/>
      <c r="JN26" s="230"/>
      <c r="JO26" s="41"/>
      <c r="JP26" s="41"/>
      <c r="JQ26" s="41"/>
      <c r="JR26" s="41"/>
      <c r="JS26" s="41"/>
      <c r="JT26" s="230"/>
      <c r="JU26" s="230"/>
      <c r="JV26" s="41"/>
      <c r="JW26" s="41"/>
      <c r="JX26" s="41"/>
      <c r="JY26" s="41"/>
      <c r="JZ26" s="41"/>
      <c r="KA26" s="230"/>
      <c r="KB26" s="230"/>
      <c r="KC26" s="41"/>
      <c r="KD26" s="41"/>
      <c r="KE26" s="41"/>
      <c r="KF26" s="41"/>
      <c r="KG26" s="41"/>
      <c r="KH26" s="230"/>
      <c r="KI26" s="230"/>
      <c r="KJ26" s="41"/>
      <c r="KK26" s="41"/>
      <c r="KL26" s="41"/>
      <c r="KM26" s="41"/>
      <c r="KN26" s="41"/>
      <c r="KO26" s="230"/>
      <c r="KP26" s="230"/>
      <c r="KQ26" s="41"/>
      <c r="KR26" s="41"/>
      <c r="KS26" s="41"/>
      <c r="KT26" s="41"/>
      <c r="KU26" s="41"/>
      <c r="KV26" s="230"/>
      <c r="KW26" s="234"/>
      <c r="KX26" s="41"/>
      <c r="KY26" s="41"/>
      <c r="KZ26" s="41"/>
      <c r="LA26" s="41"/>
      <c r="LB26" s="41"/>
      <c r="LC26" s="230"/>
      <c r="LD26" s="230"/>
      <c r="LE26" s="41"/>
      <c r="LF26" s="41"/>
      <c r="LG26" s="41"/>
      <c r="LH26" s="41"/>
      <c r="LI26" s="41"/>
      <c r="LJ26" s="230"/>
      <c r="LK26" s="230"/>
      <c r="LL26" s="41"/>
      <c r="LM26" s="41"/>
      <c r="LN26" s="41"/>
      <c r="LO26" s="41"/>
      <c r="LP26" s="41"/>
      <c r="LQ26" s="230"/>
      <c r="LR26" s="230"/>
      <c r="LS26" s="41"/>
      <c r="LT26" s="41"/>
      <c r="LU26" s="41"/>
      <c r="LV26" s="41"/>
      <c r="LW26" s="41"/>
      <c r="LX26" s="230"/>
      <c r="LY26" s="230"/>
      <c r="LZ26" s="41"/>
      <c r="MA26" s="41"/>
      <c r="MB26" s="41"/>
      <c r="MC26" s="41"/>
      <c r="MD26" s="41"/>
      <c r="ME26" s="230"/>
      <c r="MF26" s="230"/>
      <c r="MG26" s="41"/>
      <c r="MH26" s="41"/>
      <c r="MI26" s="41"/>
      <c r="MJ26" s="41"/>
      <c r="MK26" s="41"/>
      <c r="ML26" s="230"/>
      <c r="MM26" s="230"/>
      <c r="MN26" s="41"/>
      <c r="MO26" s="41"/>
      <c r="MP26" s="41"/>
      <c r="MQ26" s="41"/>
      <c r="MR26" s="41"/>
      <c r="MS26" s="230"/>
      <c r="MT26" s="230"/>
      <c r="MU26" s="41"/>
      <c r="MV26" s="41"/>
      <c r="MW26" s="41"/>
      <c r="MX26" s="41"/>
      <c r="MY26" s="41"/>
      <c r="MZ26" s="230"/>
      <c r="NA26" s="230"/>
      <c r="NB26" s="41"/>
      <c r="NC26" s="41"/>
      <c r="ND26" s="41"/>
      <c r="NE26" s="41"/>
      <c r="NF26" s="41"/>
      <c r="NG26" s="230"/>
      <c r="NH26" s="230"/>
      <c r="NI26" s="41"/>
      <c r="NJ26" s="41"/>
      <c r="NK26" s="41"/>
      <c r="NL26" s="41"/>
      <c r="NM26" s="41"/>
      <c r="NN26" s="230"/>
      <c r="NO26" s="230"/>
    </row>
    <row r="27" spans="2:379" x14ac:dyDescent="0.3">
      <c r="B27" s="24" t="s">
        <v>18</v>
      </c>
      <c r="C27" s="25">
        <v>35</v>
      </c>
      <c r="D27" s="206" t="s">
        <v>60</v>
      </c>
      <c r="E27" s="187" t="s">
        <v>8</v>
      </c>
      <c r="F27" s="351" t="s">
        <v>9</v>
      </c>
      <c r="G27" s="353" t="s">
        <v>230</v>
      </c>
      <c r="H27" s="154" t="s">
        <v>23</v>
      </c>
      <c r="I27" s="125"/>
      <c r="J27" s="41"/>
      <c r="K27" s="41"/>
      <c r="L27" s="41"/>
      <c r="M27" s="41"/>
      <c r="N27" s="230"/>
      <c r="O27" s="230"/>
      <c r="P27" s="41"/>
      <c r="Q27" s="41"/>
      <c r="R27" s="41"/>
      <c r="S27" s="41"/>
      <c r="T27" s="41"/>
      <c r="U27" s="230"/>
      <c r="V27" s="230"/>
      <c r="W27" s="41"/>
      <c r="X27" s="41"/>
      <c r="Y27" s="41"/>
      <c r="Z27" s="41"/>
      <c r="AA27" s="41"/>
      <c r="AB27" s="230"/>
      <c r="AC27" s="230"/>
      <c r="AD27" s="41"/>
      <c r="AE27" s="41"/>
      <c r="AF27" s="41"/>
      <c r="AG27" s="41"/>
      <c r="AH27" s="41"/>
      <c r="AI27" s="230"/>
      <c r="AJ27" s="230"/>
      <c r="AK27" s="41"/>
      <c r="AL27" s="41"/>
      <c r="AM27" s="41"/>
      <c r="AN27" s="41"/>
      <c r="AO27" s="41"/>
      <c r="AP27" s="230"/>
      <c r="AQ27" s="230"/>
      <c r="AR27" s="41"/>
      <c r="AS27" s="41"/>
      <c r="AT27" s="41"/>
      <c r="AU27" s="41"/>
      <c r="AV27" s="41"/>
      <c r="AW27" s="234"/>
      <c r="AX27" s="234"/>
      <c r="AY27" s="41"/>
      <c r="AZ27" s="41"/>
      <c r="BA27" s="41"/>
      <c r="BB27" s="41"/>
      <c r="BC27" s="41"/>
      <c r="BD27" s="230"/>
      <c r="BE27" s="230"/>
      <c r="BF27" s="41"/>
      <c r="BG27" s="41"/>
      <c r="BH27" s="41"/>
      <c r="BI27" s="41"/>
      <c r="BJ27" s="41"/>
      <c r="BK27" s="230"/>
      <c r="BL27" s="230"/>
      <c r="BM27" s="41"/>
      <c r="BN27" s="41"/>
      <c r="BO27" s="41"/>
      <c r="BP27" s="41"/>
      <c r="BQ27" s="41"/>
      <c r="BR27" s="230"/>
      <c r="BS27" s="230"/>
      <c r="BT27" s="41"/>
      <c r="BU27" s="41"/>
      <c r="BV27" s="41"/>
      <c r="BW27" s="41"/>
      <c r="BX27" s="41"/>
      <c r="BY27" s="230"/>
      <c r="BZ27" s="230"/>
      <c r="CA27" s="41"/>
      <c r="CB27" s="41"/>
      <c r="CC27" s="41"/>
      <c r="CD27" s="41"/>
      <c r="CE27" s="41"/>
      <c r="CF27" s="230"/>
      <c r="CG27" s="230"/>
      <c r="CH27" s="41"/>
      <c r="CI27" s="41"/>
      <c r="CJ27" s="41"/>
      <c r="CK27" s="41"/>
      <c r="CL27" s="41"/>
      <c r="CM27" s="230"/>
      <c r="CN27" s="230"/>
      <c r="CO27" s="41"/>
      <c r="CP27" s="41"/>
      <c r="CQ27" s="41"/>
      <c r="CR27" s="41"/>
      <c r="CS27" s="41"/>
      <c r="CT27" s="230"/>
      <c r="CU27" s="230"/>
      <c r="CV27" s="41"/>
      <c r="CW27" s="41"/>
      <c r="CX27" s="41"/>
      <c r="CY27" s="41"/>
      <c r="CZ27" s="41"/>
      <c r="DA27" s="230"/>
      <c r="DB27" s="230"/>
      <c r="DC27" s="41"/>
      <c r="DD27" s="41"/>
      <c r="DE27" s="41"/>
      <c r="DF27" s="41"/>
      <c r="DG27" s="41"/>
      <c r="DH27" s="230"/>
      <c r="DI27" s="230"/>
      <c r="DJ27" s="41"/>
      <c r="DK27" s="41"/>
      <c r="DL27" s="41"/>
      <c r="DM27" s="41"/>
      <c r="DN27" s="41"/>
      <c r="DO27" s="230"/>
      <c r="DP27" s="230"/>
      <c r="DQ27" s="41"/>
      <c r="DR27" s="41"/>
      <c r="DS27" s="41"/>
      <c r="DT27" s="41"/>
      <c r="DU27" s="41"/>
      <c r="DV27" s="230"/>
      <c r="DW27" s="234"/>
      <c r="DX27" s="41"/>
      <c r="DY27" s="41"/>
      <c r="DZ27" s="41"/>
      <c r="EA27" s="41"/>
      <c r="EB27" s="41"/>
      <c r="EC27" s="230"/>
      <c r="ED27" s="230"/>
      <c r="EE27" s="41"/>
      <c r="EF27" s="41"/>
      <c r="EG27" s="41"/>
      <c r="EH27" s="41"/>
      <c r="EI27" s="41"/>
      <c r="EJ27" s="230"/>
      <c r="EK27" s="230"/>
      <c r="EL27" s="41"/>
      <c r="EM27" s="41"/>
      <c r="EN27" s="41"/>
      <c r="EO27" s="41"/>
      <c r="EP27" s="41"/>
      <c r="EQ27" s="230"/>
      <c r="ER27" s="230"/>
      <c r="ES27" s="41"/>
      <c r="ET27" s="41"/>
      <c r="EU27" s="41"/>
      <c r="EV27" s="41"/>
      <c r="EW27" s="41"/>
      <c r="EX27" s="230"/>
      <c r="EY27" s="230"/>
      <c r="EZ27" s="41"/>
      <c r="FA27" s="41"/>
      <c r="FB27" s="41"/>
      <c r="FC27" s="41"/>
      <c r="FD27" s="41"/>
      <c r="FE27" s="230"/>
      <c r="FF27" s="230"/>
      <c r="FG27" s="41"/>
      <c r="FH27" s="41"/>
      <c r="FI27" s="41"/>
      <c r="FJ27" s="41"/>
      <c r="FK27" s="41"/>
      <c r="FL27" s="230"/>
      <c r="FM27" s="230"/>
      <c r="FN27" s="41" t="s">
        <v>460</v>
      </c>
      <c r="FO27" s="41"/>
      <c r="FP27" s="41"/>
      <c r="FQ27" s="41"/>
      <c r="FR27" s="41"/>
      <c r="FS27" s="230"/>
      <c r="FT27" s="230"/>
      <c r="FU27" s="41"/>
      <c r="FV27" s="41"/>
      <c r="FW27" s="41"/>
      <c r="FX27" s="41"/>
      <c r="FY27" s="41"/>
      <c r="FZ27" s="230"/>
      <c r="GA27" s="230"/>
      <c r="GB27" s="41"/>
      <c r="GC27" s="41"/>
      <c r="GD27" s="41"/>
      <c r="GE27" s="41"/>
      <c r="GF27" s="41"/>
      <c r="GG27" s="230"/>
      <c r="GH27" s="230"/>
      <c r="GI27" s="41"/>
      <c r="GJ27" s="41"/>
      <c r="GK27" s="41"/>
      <c r="GL27" s="41"/>
      <c r="GM27" s="41"/>
      <c r="GN27" s="230"/>
      <c r="GO27" s="230"/>
      <c r="GP27" s="41"/>
      <c r="GQ27" s="41"/>
      <c r="GR27" s="41"/>
      <c r="GS27" s="41"/>
      <c r="GT27" s="41"/>
      <c r="GU27" s="230"/>
      <c r="GV27" s="230"/>
      <c r="GW27" s="41" t="s">
        <v>460</v>
      </c>
      <c r="GX27" s="41"/>
      <c r="GY27" s="41"/>
      <c r="GZ27" s="41"/>
      <c r="HA27" s="41"/>
      <c r="HB27" s="230"/>
      <c r="HC27" s="230"/>
      <c r="HD27" s="372"/>
      <c r="HE27" s="372"/>
      <c r="HF27" s="372"/>
      <c r="HG27" s="372"/>
      <c r="HH27" s="372"/>
      <c r="HI27" s="230"/>
      <c r="HJ27" s="230"/>
      <c r="HK27" s="372"/>
      <c r="HL27" s="372"/>
      <c r="HM27" s="372"/>
      <c r="HN27" s="372"/>
      <c r="HO27" s="372"/>
      <c r="HP27" s="230"/>
      <c r="HQ27" s="230"/>
      <c r="HR27" s="372"/>
      <c r="HS27" s="372"/>
      <c r="HT27" s="372"/>
      <c r="HU27" s="372"/>
      <c r="HV27" s="372"/>
      <c r="HW27" s="234"/>
      <c r="HX27" s="234"/>
      <c r="HY27" s="372"/>
      <c r="HZ27" s="372"/>
      <c r="IA27" s="372"/>
      <c r="IB27" s="372"/>
      <c r="IC27" s="372"/>
      <c r="ID27" s="230"/>
      <c r="IE27" s="230"/>
      <c r="IF27" s="372"/>
      <c r="IG27" s="372"/>
      <c r="IH27" s="372"/>
      <c r="II27" s="372"/>
      <c r="IJ27" s="372"/>
      <c r="IK27" s="230"/>
      <c r="IL27" s="230"/>
      <c r="IM27" s="372"/>
      <c r="IN27" s="372"/>
      <c r="IO27" s="372"/>
      <c r="IP27" s="372"/>
      <c r="IQ27" s="372"/>
      <c r="IR27" s="234"/>
      <c r="IS27" s="234"/>
      <c r="IT27" s="372"/>
      <c r="IU27" s="372"/>
      <c r="IV27" s="372"/>
      <c r="IW27" s="372"/>
      <c r="IX27" s="372"/>
      <c r="IY27" s="234"/>
      <c r="IZ27" s="234"/>
      <c r="JA27" s="372"/>
      <c r="JB27" s="372"/>
      <c r="JC27" s="372"/>
      <c r="JD27" s="372"/>
      <c r="JE27" s="372"/>
      <c r="JF27" s="234"/>
      <c r="JG27" s="234"/>
      <c r="JH27" s="234"/>
      <c r="JI27" s="234"/>
      <c r="JJ27" s="234"/>
      <c r="JK27" s="234"/>
      <c r="JL27" s="234"/>
      <c r="JM27" s="234"/>
      <c r="JN27" s="234"/>
      <c r="JO27" s="234"/>
      <c r="JP27" s="234"/>
      <c r="JQ27" s="234"/>
      <c r="JR27" s="234"/>
      <c r="JS27" s="234"/>
      <c r="JT27" s="234"/>
      <c r="JU27" s="234"/>
      <c r="JV27" s="234"/>
      <c r="JW27" s="234"/>
      <c r="JX27" s="234"/>
      <c r="JY27" s="234"/>
      <c r="JZ27" s="234"/>
      <c r="KA27" s="234"/>
      <c r="KB27" s="234"/>
      <c r="KC27" s="234"/>
      <c r="KD27" s="234"/>
      <c r="KE27" s="234"/>
      <c r="KF27" s="234"/>
      <c r="KG27" s="234"/>
      <c r="KH27" s="234"/>
      <c r="KI27" s="234"/>
      <c r="KJ27" s="234"/>
      <c r="KK27" s="234"/>
      <c r="KL27" s="234"/>
      <c r="KM27" s="234"/>
      <c r="KN27" s="234"/>
      <c r="KO27" s="234"/>
      <c r="KP27" s="234"/>
      <c r="KQ27" s="234"/>
      <c r="KR27" s="234"/>
      <c r="KS27" s="234"/>
      <c r="KT27" s="234"/>
      <c r="KU27" s="234"/>
      <c r="KV27" s="234"/>
      <c r="KW27" s="234"/>
      <c r="KX27" s="234"/>
      <c r="KY27" s="234"/>
      <c r="KZ27" s="234"/>
      <c r="LA27" s="234"/>
      <c r="LB27" s="234"/>
      <c r="LC27" s="234"/>
      <c r="LD27" s="234"/>
      <c r="LE27" s="234"/>
      <c r="LF27" s="234"/>
      <c r="LG27" s="234"/>
      <c r="LH27" s="234"/>
      <c r="LI27" s="234"/>
      <c r="LJ27" s="234"/>
      <c r="LK27" s="234"/>
      <c r="LL27" s="234"/>
      <c r="LM27" s="234"/>
      <c r="LN27" s="234"/>
      <c r="LO27" s="234"/>
      <c r="LP27" s="234"/>
      <c r="LQ27" s="234"/>
      <c r="LR27" s="234"/>
      <c r="LS27" s="234"/>
      <c r="LT27" s="234"/>
      <c r="LU27" s="234"/>
      <c r="LV27" s="234"/>
      <c r="LW27" s="234"/>
      <c r="LX27" s="234"/>
      <c r="LY27" s="234"/>
      <c r="LZ27" s="234"/>
      <c r="MA27" s="234"/>
      <c r="MB27" s="234"/>
      <c r="MC27" s="234"/>
      <c r="MD27" s="234"/>
      <c r="ME27" s="234"/>
      <c r="MF27" s="234"/>
      <c r="MG27" s="234"/>
      <c r="MH27" s="234"/>
      <c r="MI27" s="234"/>
      <c r="MJ27" s="234"/>
      <c r="MK27" s="234"/>
      <c r="ML27" s="234"/>
      <c r="MM27" s="234"/>
      <c r="MN27" s="234"/>
      <c r="MO27" s="234"/>
      <c r="MP27" s="234"/>
      <c r="MQ27" s="234"/>
      <c r="MR27" s="234"/>
      <c r="MS27" s="234"/>
      <c r="MT27" s="234"/>
      <c r="MU27" s="234"/>
      <c r="MV27" s="234"/>
      <c r="MW27" s="234"/>
      <c r="MX27" s="234"/>
      <c r="MY27" s="234"/>
      <c r="MZ27" s="234"/>
      <c r="NA27" s="234"/>
      <c r="NB27" s="234"/>
      <c r="NC27" s="234"/>
      <c r="ND27" s="234"/>
      <c r="NE27" s="234"/>
      <c r="NF27" s="234"/>
      <c r="NG27" s="234"/>
      <c r="NH27" s="234"/>
      <c r="NI27" s="234"/>
      <c r="NJ27" s="234"/>
      <c r="NK27" s="234"/>
      <c r="NL27" s="234"/>
      <c r="NM27" s="234"/>
      <c r="NN27" s="234"/>
      <c r="NO27" s="234"/>
    </row>
    <row r="28" spans="2:379" x14ac:dyDescent="0.3">
      <c r="D28" s="206" t="s">
        <v>60</v>
      </c>
      <c r="E28" s="187" t="s">
        <v>8</v>
      </c>
      <c r="F28" s="351" t="s">
        <v>9</v>
      </c>
      <c r="G28" s="355" t="s">
        <v>243</v>
      </c>
      <c r="H28" s="154" t="s">
        <v>914</v>
      </c>
      <c r="I28" s="125"/>
      <c r="J28" s="41"/>
      <c r="K28" s="41"/>
      <c r="L28" s="41"/>
      <c r="M28" s="41"/>
      <c r="N28" s="230"/>
      <c r="O28" s="230"/>
      <c r="P28" s="41"/>
      <c r="Q28" s="41"/>
      <c r="R28" s="41"/>
      <c r="S28" s="41"/>
      <c r="T28" s="41"/>
      <c r="U28" s="230"/>
      <c r="V28" s="230"/>
      <c r="W28" s="41"/>
      <c r="X28" s="41"/>
      <c r="Y28" s="41"/>
      <c r="Z28" s="41"/>
      <c r="AA28" s="41"/>
      <c r="AB28" s="230"/>
      <c r="AC28" s="230"/>
      <c r="AD28" s="41"/>
      <c r="AE28" s="41"/>
      <c r="AF28" s="41"/>
      <c r="AG28" s="41"/>
      <c r="AH28" s="41"/>
      <c r="AI28" s="230"/>
      <c r="AJ28" s="230"/>
      <c r="AK28" s="41"/>
      <c r="AL28" s="41"/>
      <c r="AM28" s="41"/>
      <c r="AN28" s="41"/>
      <c r="AO28" s="41"/>
      <c r="AP28" s="230"/>
      <c r="AQ28" s="230"/>
      <c r="AR28" s="41"/>
      <c r="AS28" s="41"/>
      <c r="AT28" s="41"/>
      <c r="AU28" s="41"/>
      <c r="AV28" s="41"/>
      <c r="AW28" s="230"/>
      <c r="AX28" s="230"/>
      <c r="AY28" s="41"/>
      <c r="AZ28" s="41"/>
      <c r="BA28" s="41"/>
      <c r="BB28" s="41"/>
      <c r="BC28" s="41"/>
      <c r="BD28" s="230"/>
      <c r="BE28" s="230"/>
      <c r="BF28" s="41"/>
      <c r="BG28" s="41"/>
      <c r="BH28" s="41"/>
      <c r="BI28" s="41"/>
      <c r="BJ28" s="41"/>
      <c r="BK28" s="230"/>
      <c r="BL28" s="230"/>
      <c r="BM28" s="41"/>
      <c r="BN28" s="41"/>
      <c r="BO28" s="41"/>
      <c r="BP28" s="41"/>
      <c r="BQ28" s="41"/>
      <c r="BR28" s="230"/>
      <c r="BS28" s="230"/>
      <c r="BT28" s="41"/>
      <c r="BU28" s="41"/>
      <c r="BV28" s="41"/>
      <c r="BW28" s="41"/>
      <c r="BX28" s="41"/>
      <c r="BY28" s="230"/>
      <c r="BZ28" s="230"/>
      <c r="CA28" s="41"/>
      <c r="CB28" s="41"/>
      <c r="CC28" s="41"/>
      <c r="CD28" s="41"/>
      <c r="CE28" s="41"/>
      <c r="CF28" s="230"/>
      <c r="CG28" s="230"/>
      <c r="CH28" s="41"/>
      <c r="CI28" s="41"/>
      <c r="CJ28" s="41"/>
      <c r="CK28" s="41"/>
      <c r="CL28" s="41"/>
      <c r="CM28" s="230"/>
      <c r="CN28" s="230"/>
      <c r="CO28" s="41"/>
      <c r="CP28" s="41"/>
      <c r="CQ28" s="41"/>
      <c r="CR28" s="41"/>
      <c r="CS28" s="41"/>
      <c r="CT28" s="230"/>
      <c r="CU28" s="230"/>
      <c r="CV28" s="41"/>
      <c r="CW28" s="41"/>
      <c r="CX28" s="41"/>
      <c r="CY28" s="41"/>
      <c r="CZ28" s="41"/>
      <c r="DA28" s="230"/>
      <c r="DB28" s="230"/>
      <c r="DC28" s="41"/>
      <c r="DD28" s="41"/>
      <c r="DE28" s="41"/>
      <c r="DF28" s="41"/>
      <c r="DG28" s="41"/>
      <c r="DH28" s="230"/>
      <c r="DI28" s="230"/>
      <c r="DJ28" s="41"/>
      <c r="DK28" s="41"/>
      <c r="DL28" s="41"/>
      <c r="DM28" s="41"/>
      <c r="DN28" s="41"/>
      <c r="DO28" s="230"/>
      <c r="DP28" s="230"/>
      <c r="DQ28" s="41" t="s">
        <v>460</v>
      </c>
      <c r="DR28" s="41"/>
      <c r="DS28" s="41"/>
      <c r="DT28" s="41"/>
      <c r="DU28" s="41"/>
      <c r="DV28" s="230"/>
      <c r="DW28" s="234"/>
      <c r="DX28" s="41"/>
      <c r="DY28" s="41"/>
      <c r="DZ28" s="41"/>
      <c r="EA28" s="41" t="s">
        <v>460</v>
      </c>
      <c r="EB28" s="41"/>
      <c r="EC28" s="230"/>
      <c r="ED28" s="230"/>
      <c r="EE28" s="41"/>
      <c r="EF28" s="41"/>
      <c r="EG28" s="41"/>
      <c r="EH28" s="41"/>
      <c r="EI28" s="41"/>
      <c r="EJ28" s="230"/>
      <c r="EK28" s="230"/>
      <c r="EL28" s="41"/>
      <c r="EM28" s="41"/>
      <c r="EN28" s="41"/>
      <c r="EO28" s="41"/>
      <c r="EP28" s="41"/>
      <c r="EQ28" s="230"/>
      <c r="ER28" s="230"/>
      <c r="ES28" s="41"/>
      <c r="ET28" s="41"/>
      <c r="EU28" s="41"/>
      <c r="EV28" s="41"/>
      <c r="EW28" s="41"/>
      <c r="EX28" s="230"/>
      <c r="EY28" s="230"/>
      <c r="EZ28" s="41"/>
      <c r="FA28" s="41"/>
      <c r="FB28" s="41"/>
      <c r="FC28" s="41"/>
      <c r="FD28" s="41"/>
      <c r="FE28" s="230"/>
      <c r="FF28" s="230"/>
      <c r="FG28" s="41"/>
      <c r="FH28" s="41"/>
      <c r="FI28" s="41"/>
      <c r="FJ28" s="41"/>
      <c r="FK28" s="41"/>
      <c r="FL28" s="230"/>
      <c r="FM28" s="230"/>
      <c r="FN28" s="41" t="s">
        <v>460</v>
      </c>
      <c r="FO28" s="41"/>
      <c r="FP28" s="41"/>
      <c r="FQ28" s="41"/>
      <c r="FR28" s="41"/>
      <c r="FS28" s="230"/>
      <c r="FT28" s="230"/>
      <c r="FU28" s="41"/>
      <c r="FV28" s="41"/>
      <c r="FW28" s="41"/>
      <c r="FX28" s="41"/>
      <c r="FY28" s="41"/>
      <c r="FZ28" s="230"/>
      <c r="GA28" s="230"/>
      <c r="GB28" s="41"/>
      <c r="GC28" s="41"/>
      <c r="GD28" s="41"/>
      <c r="GE28" s="41"/>
      <c r="GF28" s="41"/>
      <c r="GG28" s="230"/>
      <c r="GH28" s="230"/>
      <c r="GI28" s="41"/>
      <c r="GJ28" s="41"/>
      <c r="GK28" s="41"/>
      <c r="GL28" s="41"/>
      <c r="GM28" s="41"/>
      <c r="GN28" s="230"/>
      <c r="GO28" s="230"/>
      <c r="GP28" s="41"/>
      <c r="GQ28" s="41"/>
      <c r="GR28" s="41"/>
      <c r="GS28" s="41"/>
      <c r="GT28" s="41"/>
      <c r="GU28" s="230"/>
      <c r="GV28" s="230"/>
      <c r="GW28" s="41" t="s">
        <v>460</v>
      </c>
      <c r="GX28" s="41"/>
      <c r="GY28" s="41"/>
      <c r="GZ28" s="41"/>
      <c r="HA28" s="41"/>
      <c r="HB28" s="230"/>
      <c r="HC28" s="230"/>
      <c r="HD28" s="372"/>
      <c r="HE28" s="372"/>
      <c r="HF28" s="372"/>
      <c r="HG28" s="372"/>
      <c r="HH28" s="372"/>
      <c r="HI28" s="230"/>
      <c r="HJ28" s="230"/>
      <c r="HK28" s="372"/>
      <c r="HL28" s="372"/>
      <c r="HM28" s="372"/>
      <c r="HN28" s="372"/>
      <c r="HO28" s="372"/>
      <c r="HP28" s="230"/>
      <c r="HQ28" s="230"/>
      <c r="HR28" s="372"/>
      <c r="HS28" s="372"/>
      <c r="HT28" s="372"/>
      <c r="HU28" s="372"/>
      <c r="HV28" s="372"/>
      <c r="HW28" s="230"/>
      <c r="HX28" s="230"/>
      <c r="HY28" s="372"/>
      <c r="HZ28" s="372"/>
      <c r="IA28" s="372"/>
      <c r="IB28" s="372"/>
      <c r="IC28" s="372"/>
      <c r="ID28" s="230"/>
      <c r="IE28" s="230"/>
      <c r="IF28" s="372"/>
      <c r="IG28" s="372"/>
      <c r="IH28" s="372"/>
      <c r="II28" s="372"/>
      <c r="IJ28" s="372"/>
      <c r="IK28" s="230"/>
      <c r="IL28" s="230"/>
      <c r="IM28" s="372"/>
      <c r="IN28" s="372"/>
      <c r="IO28" s="372"/>
      <c r="IP28" s="372"/>
      <c r="IQ28" s="372"/>
      <c r="IR28" s="234"/>
      <c r="IS28" s="234"/>
      <c r="IT28" s="372"/>
      <c r="IU28" s="372"/>
      <c r="IV28" s="372"/>
      <c r="IW28" s="372"/>
      <c r="IX28" s="372"/>
      <c r="IY28" s="234"/>
      <c r="IZ28" s="234"/>
      <c r="JA28" s="372"/>
      <c r="JB28" s="372"/>
      <c r="JC28" s="372"/>
      <c r="JD28" s="372"/>
      <c r="JE28" s="372"/>
      <c r="JF28" s="234"/>
      <c r="JG28" s="234"/>
      <c r="JH28" s="234"/>
      <c r="JI28" s="234"/>
      <c r="JJ28" s="234"/>
      <c r="JK28" s="234"/>
      <c r="JL28" s="234"/>
      <c r="JM28" s="234"/>
      <c r="JN28" s="234"/>
      <c r="JO28" s="234"/>
      <c r="JP28" s="234"/>
      <c r="JQ28" s="234"/>
      <c r="JR28" s="234"/>
      <c r="JS28" s="234"/>
      <c r="JT28" s="234"/>
      <c r="JU28" s="234"/>
      <c r="JV28" s="234"/>
      <c r="JW28" s="234"/>
      <c r="JX28" s="234"/>
      <c r="JY28" s="234"/>
      <c r="JZ28" s="234"/>
      <c r="KA28" s="234"/>
      <c r="KB28" s="234"/>
      <c r="KC28" s="234"/>
      <c r="KD28" s="234"/>
      <c r="KE28" s="234"/>
      <c r="KF28" s="234"/>
      <c r="KG28" s="234"/>
      <c r="KH28" s="234"/>
      <c r="KI28" s="234"/>
      <c r="KJ28" s="234"/>
      <c r="KK28" s="234"/>
      <c r="KL28" s="234"/>
      <c r="KM28" s="234"/>
      <c r="KN28" s="234"/>
      <c r="KO28" s="234"/>
      <c r="KP28" s="234"/>
      <c r="KQ28" s="234"/>
      <c r="KR28" s="234"/>
      <c r="KS28" s="234"/>
      <c r="KT28" s="234"/>
      <c r="KU28" s="234"/>
      <c r="KV28" s="234"/>
      <c r="KW28" s="234"/>
      <c r="KX28" s="234"/>
      <c r="KY28" s="234"/>
      <c r="KZ28" s="234"/>
      <c r="LA28" s="234"/>
      <c r="LB28" s="234"/>
      <c r="LC28" s="234"/>
      <c r="LD28" s="234"/>
      <c r="LE28" s="234"/>
      <c r="LF28" s="234"/>
      <c r="LG28" s="234"/>
      <c r="LH28" s="234"/>
      <c r="LI28" s="234"/>
      <c r="LJ28" s="234"/>
      <c r="LK28" s="234"/>
      <c r="LL28" s="234"/>
      <c r="LM28" s="234"/>
      <c r="LN28" s="234"/>
      <c r="LO28" s="234"/>
      <c r="LP28" s="234"/>
      <c r="LQ28" s="234"/>
      <c r="LR28" s="234"/>
      <c r="LS28" s="234"/>
      <c r="LT28" s="234"/>
      <c r="LU28" s="234"/>
      <c r="LV28" s="234"/>
      <c r="LW28" s="234"/>
      <c r="LX28" s="234"/>
      <c r="LY28" s="234"/>
      <c r="LZ28" s="234"/>
      <c r="MA28" s="234"/>
      <c r="MB28" s="234"/>
      <c r="MC28" s="234"/>
      <c r="MD28" s="234"/>
      <c r="ME28" s="234"/>
      <c r="MF28" s="234"/>
      <c r="MG28" s="234"/>
      <c r="MH28" s="234"/>
      <c r="MI28" s="234"/>
      <c r="MJ28" s="234"/>
      <c r="MK28" s="234"/>
      <c r="ML28" s="234"/>
      <c r="MM28" s="234"/>
      <c r="MN28" s="234"/>
      <c r="MO28" s="234"/>
      <c r="MP28" s="234"/>
      <c r="MQ28" s="234"/>
      <c r="MR28" s="234"/>
      <c r="MS28" s="234"/>
      <c r="MT28" s="234"/>
      <c r="MU28" s="234"/>
      <c r="MV28" s="234"/>
      <c r="MW28" s="234"/>
      <c r="MX28" s="234"/>
      <c r="MY28" s="234"/>
      <c r="MZ28" s="234"/>
      <c r="NA28" s="234"/>
      <c r="NB28" s="234"/>
      <c r="NC28" s="234"/>
      <c r="ND28" s="234"/>
      <c r="NE28" s="234"/>
      <c r="NF28" s="234"/>
      <c r="NG28" s="234"/>
      <c r="NH28" s="234"/>
      <c r="NI28" s="234"/>
      <c r="NJ28" s="234"/>
      <c r="NK28" s="234"/>
      <c r="NL28" s="234"/>
      <c r="NM28" s="234"/>
      <c r="NN28" s="234"/>
      <c r="NO28" s="234"/>
    </row>
    <row r="29" spans="2:379" x14ac:dyDescent="0.3">
      <c r="D29" s="206" t="s">
        <v>60</v>
      </c>
      <c r="E29" s="184" t="s">
        <v>8</v>
      </c>
      <c r="F29" s="351" t="s">
        <v>9</v>
      </c>
      <c r="G29" s="355" t="s">
        <v>248</v>
      </c>
      <c r="H29" s="154" t="s">
        <v>249</v>
      </c>
      <c r="I29" s="125"/>
      <c r="J29" s="41"/>
      <c r="K29" s="41"/>
      <c r="L29" s="41"/>
      <c r="M29" s="41"/>
      <c r="N29" s="230"/>
      <c r="O29" s="230"/>
      <c r="P29" s="41"/>
      <c r="Q29" s="41"/>
      <c r="R29" s="41"/>
      <c r="S29" s="41"/>
      <c r="T29" s="41"/>
      <c r="U29" s="230"/>
      <c r="V29" s="230"/>
      <c r="W29" s="41"/>
      <c r="X29" s="41"/>
      <c r="Y29" s="41"/>
      <c r="Z29" s="41"/>
      <c r="AA29" s="41"/>
      <c r="AB29" s="230"/>
      <c r="AC29" s="230"/>
      <c r="AD29" s="41"/>
      <c r="AE29" s="41"/>
      <c r="AF29" s="41"/>
      <c r="AG29" s="41"/>
      <c r="AH29" s="41"/>
      <c r="AI29" s="230"/>
      <c r="AJ29" s="230"/>
      <c r="AK29" s="41"/>
      <c r="AL29" s="41"/>
      <c r="AM29" s="41"/>
      <c r="AN29" s="41"/>
      <c r="AO29" s="41"/>
      <c r="AP29" s="230"/>
      <c r="AQ29" s="230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230"/>
      <c r="BE29" s="230"/>
      <c r="BF29" s="41"/>
      <c r="BG29" s="41"/>
      <c r="BH29" s="41"/>
      <c r="BI29" s="41"/>
      <c r="BJ29" s="41"/>
      <c r="BK29" s="230"/>
      <c r="BL29" s="230"/>
      <c r="BM29" s="41"/>
      <c r="BN29" s="41"/>
      <c r="BO29" s="41"/>
      <c r="BP29" s="41"/>
      <c r="BQ29" s="41"/>
      <c r="BR29" s="230"/>
      <c r="BS29" s="230"/>
      <c r="BT29" s="41"/>
      <c r="BU29" s="41"/>
      <c r="BV29" s="41"/>
      <c r="BW29" s="41"/>
      <c r="BX29" s="41"/>
      <c r="BY29" s="230"/>
      <c r="BZ29" s="230"/>
      <c r="CA29" s="41"/>
      <c r="CB29" s="41"/>
      <c r="CC29" s="41"/>
      <c r="CD29" s="41"/>
      <c r="CE29" s="41"/>
      <c r="CF29" s="230"/>
      <c r="CG29" s="230"/>
      <c r="CH29" s="41"/>
      <c r="CI29" s="41"/>
      <c r="CJ29" s="41"/>
      <c r="CK29" s="41"/>
      <c r="CL29" s="41"/>
      <c r="CM29" s="230"/>
      <c r="CN29" s="230"/>
      <c r="CO29" s="41"/>
      <c r="CP29" s="41"/>
      <c r="CQ29" s="41"/>
      <c r="CR29" s="41"/>
      <c r="CS29" s="41"/>
      <c r="CT29" s="230"/>
      <c r="CU29" s="230"/>
      <c r="CV29" s="41"/>
      <c r="CW29" s="41"/>
      <c r="CX29" s="41"/>
      <c r="CY29" s="41"/>
      <c r="CZ29" s="41"/>
      <c r="DA29" s="230"/>
      <c r="DB29" s="230"/>
      <c r="DC29" s="41"/>
      <c r="DD29" s="41"/>
      <c r="DE29" s="41"/>
      <c r="DF29" s="41"/>
      <c r="DG29" s="41"/>
      <c r="DH29" s="230"/>
      <c r="DI29" s="230"/>
      <c r="DJ29" s="41" t="s">
        <v>460</v>
      </c>
      <c r="DK29" s="41" t="s">
        <v>460</v>
      </c>
      <c r="DL29" s="41" t="s">
        <v>460</v>
      </c>
      <c r="DM29" s="41" t="s">
        <v>460</v>
      </c>
      <c r="DN29" s="41" t="s">
        <v>460</v>
      </c>
      <c r="DO29" s="230"/>
      <c r="DP29" s="230"/>
      <c r="DQ29" s="41" t="s">
        <v>460</v>
      </c>
      <c r="DR29" s="41"/>
      <c r="DS29" s="41"/>
      <c r="DT29" s="41"/>
      <c r="DU29" s="41"/>
      <c r="DV29" s="230"/>
      <c r="DW29" s="230"/>
      <c r="DX29" s="41" t="s">
        <v>460</v>
      </c>
      <c r="DY29" s="41" t="s">
        <v>460</v>
      </c>
      <c r="DZ29" s="41" t="s">
        <v>460</v>
      </c>
      <c r="EA29" s="41" t="s">
        <v>460</v>
      </c>
      <c r="EB29" s="41" t="s">
        <v>460</v>
      </c>
      <c r="EC29" s="230"/>
      <c r="ED29" s="230"/>
      <c r="EE29" s="41" t="s">
        <v>460</v>
      </c>
      <c r="EF29" s="41" t="s">
        <v>460</v>
      </c>
      <c r="EG29" s="41" t="s">
        <v>460</v>
      </c>
      <c r="EH29" s="41" t="s">
        <v>460</v>
      </c>
      <c r="EI29" s="41" t="s">
        <v>460</v>
      </c>
      <c r="EJ29" s="230"/>
      <c r="EK29" s="230"/>
      <c r="EL29" s="41"/>
      <c r="EM29" s="41"/>
      <c r="EN29" s="41"/>
      <c r="EO29" s="41"/>
      <c r="EP29" s="41"/>
      <c r="EQ29" s="230"/>
      <c r="ER29" s="230"/>
      <c r="ES29" s="41"/>
      <c r="ET29" s="41"/>
      <c r="EU29" s="41"/>
      <c r="EV29" s="41"/>
      <c r="EW29" s="41"/>
      <c r="EX29" s="230"/>
      <c r="EY29" s="230"/>
      <c r="EZ29" s="41"/>
      <c r="FA29" s="41"/>
      <c r="FB29" s="41"/>
      <c r="FC29" s="41"/>
      <c r="FD29" s="41"/>
      <c r="FE29" s="230"/>
      <c r="FF29" s="230"/>
      <c r="FG29" s="41"/>
      <c r="FH29" s="41"/>
      <c r="FI29" s="41"/>
      <c r="FJ29" s="41"/>
      <c r="FK29" s="41"/>
      <c r="FL29" s="230"/>
      <c r="FM29" s="230"/>
      <c r="FN29" s="41" t="s">
        <v>460</v>
      </c>
      <c r="FO29" s="41" t="s">
        <v>460</v>
      </c>
      <c r="FP29" s="41" t="s">
        <v>460</v>
      </c>
      <c r="FQ29" s="41" t="s">
        <v>460</v>
      </c>
      <c r="FR29" s="41" t="s">
        <v>460</v>
      </c>
      <c r="FS29" s="230"/>
      <c r="FT29" s="230"/>
      <c r="FU29" s="41" t="s">
        <v>460</v>
      </c>
      <c r="FV29" s="41" t="s">
        <v>460</v>
      </c>
      <c r="FW29" s="41" t="s">
        <v>460</v>
      </c>
      <c r="FX29" s="41" t="s">
        <v>460</v>
      </c>
      <c r="FY29" s="41" t="s">
        <v>460</v>
      </c>
      <c r="FZ29" s="230"/>
      <c r="GA29" s="230"/>
      <c r="GB29" s="41" t="s">
        <v>460</v>
      </c>
      <c r="GC29" s="41" t="s">
        <v>460</v>
      </c>
      <c r="GD29" s="41" t="s">
        <v>460</v>
      </c>
      <c r="GE29" s="41" t="s">
        <v>460</v>
      </c>
      <c r="GF29" s="41" t="s">
        <v>460</v>
      </c>
      <c r="GG29" s="230"/>
      <c r="GH29" s="230"/>
      <c r="GI29" s="41" t="s">
        <v>460</v>
      </c>
      <c r="GJ29" s="41" t="s">
        <v>460</v>
      </c>
      <c r="GK29" s="41" t="s">
        <v>460</v>
      </c>
      <c r="GL29" s="41" t="s">
        <v>460</v>
      </c>
      <c r="GM29" s="41" t="s">
        <v>460</v>
      </c>
      <c r="GN29" s="230"/>
      <c r="GO29" s="230"/>
      <c r="GP29" s="41" t="s">
        <v>460</v>
      </c>
      <c r="GQ29" s="41" t="s">
        <v>460</v>
      </c>
      <c r="GR29" s="41" t="s">
        <v>460</v>
      </c>
      <c r="GS29" s="41" t="s">
        <v>460</v>
      </c>
      <c r="GT29" s="41" t="s">
        <v>460</v>
      </c>
      <c r="GU29" s="230"/>
      <c r="GV29" s="230"/>
      <c r="GW29" s="41" t="s">
        <v>460</v>
      </c>
      <c r="GX29" s="41" t="s">
        <v>460</v>
      </c>
      <c r="GY29" s="41" t="s">
        <v>460</v>
      </c>
      <c r="GZ29" s="41" t="s">
        <v>460</v>
      </c>
      <c r="HA29" s="41" t="s">
        <v>460</v>
      </c>
      <c r="HB29" s="230"/>
      <c r="HC29" s="230"/>
      <c r="HD29" s="372"/>
      <c r="HE29" s="372"/>
      <c r="HF29" s="372"/>
      <c r="HG29" s="372"/>
      <c r="HH29" s="372"/>
      <c r="HI29" s="230"/>
      <c r="HJ29" s="230"/>
      <c r="HK29" s="372"/>
      <c r="HL29" s="372"/>
      <c r="HM29" s="372"/>
      <c r="HN29" s="372"/>
      <c r="HO29" s="372"/>
      <c r="HP29" s="230"/>
      <c r="HQ29" s="230"/>
      <c r="HR29" s="372" t="s">
        <v>460</v>
      </c>
      <c r="HS29" s="372" t="s">
        <v>460</v>
      </c>
      <c r="HT29" s="372" t="s">
        <v>460</v>
      </c>
      <c r="HU29" s="372" t="s">
        <v>460</v>
      </c>
      <c r="HV29" s="372" t="s">
        <v>460</v>
      </c>
      <c r="HW29" s="41"/>
      <c r="HX29" s="41"/>
      <c r="HY29" s="372" t="s">
        <v>460</v>
      </c>
      <c r="HZ29" s="372" t="s">
        <v>460</v>
      </c>
      <c r="IA29" s="372" t="s">
        <v>460</v>
      </c>
      <c r="IB29" s="372" t="s">
        <v>460</v>
      </c>
      <c r="IC29" s="372" t="s">
        <v>460</v>
      </c>
      <c r="ID29" s="230"/>
      <c r="IE29" s="230"/>
      <c r="IF29" s="372"/>
      <c r="IG29" s="372"/>
      <c r="IH29" s="372"/>
      <c r="II29" s="372"/>
      <c r="IJ29" s="372"/>
      <c r="IK29" s="230"/>
      <c r="IL29" s="230"/>
      <c r="IM29" s="372"/>
      <c r="IN29" s="372"/>
      <c r="IO29" s="372"/>
      <c r="IP29" s="372"/>
      <c r="IQ29" s="372"/>
      <c r="IR29" s="230"/>
      <c r="IS29" s="230"/>
      <c r="IT29" s="372"/>
      <c r="IU29" s="372"/>
      <c r="IV29" s="372"/>
      <c r="IW29" s="372"/>
      <c r="IX29" s="372"/>
      <c r="IY29" s="230"/>
      <c r="IZ29" s="230"/>
      <c r="JA29" s="372"/>
      <c r="JB29" s="372"/>
      <c r="JC29" s="372"/>
      <c r="JD29" s="372"/>
      <c r="JE29" s="372"/>
      <c r="JF29" s="230"/>
      <c r="JG29" s="230"/>
      <c r="JH29" s="41"/>
      <c r="JI29" s="41"/>
      <c r="JJ29" s="41"/>
      <c r="JK29" s="41"/>
      <c r="JL29" s="41"/>
      <c r="JM29" s="230"/>
      <c r="JN29" s="230"/>
      <c r="JO29" s="41"/>
      <c r="JP29" s="41"/>
      <c r="JQ29" s="41"/>
      <c r="JR29" s="41"/>
      <c r="JS29" s="41"/>
      <c r="JT29" s="230"/>
      <c r="JU29" s="230"/>
      <c r="JV29" s="41"/>
      <c r="JW29" s="41"/>
      <c r="JX29" s="41"/>
      <c r="JY29" s="41"/>
      <c r="JZ29" s="41"/>
      <c r="KA29" s="230"/>
      <c r="KB29" s="230"/>
      <c r="KC29" s="41"/>
      <c r="KD29" s="41"/>
      <c r="KE29" s="41"/>
      <c r="KF29" s="41"/>
      <c r="KG29" s="41"/>
      <c r="KH29" s="230"/>
      <c r="KI29" s="230"/>
      <c r="KJ29" s="41"/>
      <c r="KK29" s="41"/>
      <c r="KL29" s="41"/>
      <c r="KM29" s="41"/>
      <c r="KN29" s="41"/>
      <c r="KO29" s="230"/>
      <c r="KP29" s="230"/>
      <c r="KQ29" s="41"/>
      <c r="KR29" s="41"/>
      <c r="KS29" s="41"/>
      <c r="KT29" s="41"/>
      <c r="KU29" s="41"/>
      <c r="KV29" s="230"/>
      <c r="KW29" s="230"/>
      <c r="KX29" s="41"/>
      <c r="KY29" s="41"/>
      <c r="KZ29" s="41"/>
      <c r="LA29" s="41"/>
      <c r="LB29" s="41"/>
      <c r="LC29" s="230"/>
      <c r="LD29" s="230"/>
      <c r="LE29" s="41"/>
      <c r="LF29" s="41"/>
      <c r="LG29" s="41"/>
      <c r="LH29" s="41"/>
      <c r="LI29" s="41"/>
      <c r="LJ29" s="230"/>
      <c r="LK29" s="230"/>
      <c r="LL29" s="41"/>
      <c r="LM29" s="41"/>
      <c r="LN29" s="41"/>
      <c r="LO29" s="41"/>
      <c r="LP29" s="41"/>
      <c r="LQ29" s="230"/>
      <c r="LR29" s="230"/>
      <c r="LS29" s="41"/>
      <c r="LT29" s="41"/>
      <c r="LU29" s="41"/>
      <c r="LV29" s="41"/>
      <c r="LW29" s="41"/>
      <c r="LX29" s="230"/>
      <c r="LY29" s="230"/>
      <c r="LZ29" s="41"/>
      <c r="MA29" s="41"/>
      <c r="MB29" s="41"/>
      <c r="MC29" s="41"/>
      <c r="MD29" s="41"/>
      <c r="ME29" s="230"/>
      <c r="MF29" s="230"/>
      <c r="MG29" s="41"/>
      <c r="MH29" s="41"/>
      <c r="MI29" s="41"/>
      <c r="MJ29" s="41"/>
      <c r="MK29" s="41"/>
      <c r="ML29" s="230"/>
      <c r="MM29" s="230"/>
      <c r="MN29" s="41"/>
      <c r="MO29" s="41"/>
      <c r="MP29" s="41"/>
      <c r="MQ29" s="41"/>
      <c r="MR29" s="41"/>
      <c r="MS29" s="230"/>
      <c r="MT29" s="230"/>
      <c r="MU29" s="41"/>
      <c r="MV29" s="41"/>
      <c r="MW29" s="41"/>
      <c r="MX29" s="41"/>
      <c r="MY29" s="41"/>
      <c r="MZ29" s="230"/>
      <c r="NA29" s="230"/>
      <c r="NB29" s="41"/>
      <c r="NC29" s="41"/>
      <c r="ND29" s="41"/>
      <c r="NE29" s="41"/>
      <c r="NF29" s="41"/>
      <c r="NG29" s="230"/>
      <c r="NH29" s="230"/>
      <c r="NI29" s="41"/>
      <c r="NJ29" s="41"/>
      <c r="NK29" s="41"/>
      <c r="NL29" s="41"/>
      <c r="NM29" s="41"/>
      <c r="NN29" s="230"/>
      <c r="NO29" s="230"/>
    </row>
    <row r="30" spans="2:379" ht="15" customHeight="1" x14ac:dyDescent="0.3">
      <c r="D30" s="206" t="s">
        <v>60</v>
      </c>
      <c r="E30" s="184" t="s">
        <v>8</v>
      </c>
      <c r="F30" s="351" t="s">
        <v>9</v>
      </c>
      <c r="G30" s="353" t="s">
        <v>260</v>
      </c>
      <c r="H30" s="154" t="s">
        <v>261</v>
      </c>
      <c r="I30" s="125"/>
      <c r="J30" s="41"/>
      <c r="K30" s="41"/>
      <c r="L30" s="41"/>
      <c r="M30" s="41"/>
      <c r="N30" s="230"/>
      <c r="O30" s="230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230"/>
      <c r="AC30" s="230"/>
      <c r="AD30" s="41"/>
      <c r="AE30" s="41"/>
      <c r="AF30" s="41"/>
      <c r="AG30" s="41"/>
      <c r="AH30" s="41"/>
      <c r="AI30" s="230"/>
      <c r="AJ30" s="230"/>
      <c r="AK30" s="41"/>
      <c r="AL30" s="41"/>
      <c r="AM30" s="41"/>
      <c r="AN30" s="41"/>
      <c r="AO30" s="41"/>
      <c r="AP30" s="230"/>
      <c r="AQ30" s="230"/>
      <c r="AR30" s="41"/>
      <c r="AS30" s="41"/>
      <c r="AT30" s="41"/>
      <c r="AU30" s="41"/>
      <c r="AV30" s="41"/>
      <c r="AW30" s="230"/>
      <c r="AX30" s="230"/>
      <c r="AY30" s="41"/>
      <c r="AZ30" s="41"/>
      <c r="BA30" s="41"/>
      <c r="BB30" s="41"/>
      <c r="BC30" s="41"/>
      <c r="BD30" s="230"/>
      <c r="BE30" s="230"/>
      <c r="BF30" s="41"/>
      <c r="BG30" s="41"/>
      <c r="BH30" s="41"/>
      <c r="BI30" s="41"/>
      <c r="BJ30" s="41"/>
      <c r="BK30" s="230"/>
      <c r="BL30" s="230"/>
      <c r="BM30" s="41"/>
      <c r="BN30" s="41"/>
      <c r="BO30" s="41"/>
      <c r="BP30" s="41"/>
      <c r="BQ30" s="41"/>
      <c r="BR30" s="230"/>
      <c r="BS30" s="230"/>
      <c r="BT30" s="41"/>
      <c r="BU30" s="41"/>
      <c r="BV30" s="41"/>
      <c r="BW30" s="41"/>
      <c r="BX30" s="41"/>
      <c r="BY30" s="230"/>
      <c r="BZ30" s="230"/>
      <c r="CA30" s="41"/>
      <c r="CB30" s="41"/>
      <c r="CC30" s="41"/>
      <c r="CD30" s="41"/>
      <c r="CE30" s="41"/>
      <c r="CF30" s="230"/>
      <c r="CG30" s="230"/>
      <c r="CH30" s="41"/>
      <c r="CI30" s="41"/>
      <c r="CJ30" s="41"/>
      <c r="CK30" s="41"/>
      <c r="CL30" s="41"/>
      <c r="CM30" s="230"/>
      <c r="CN30" s="230"/>
      <c r="CO30" s="41"/>
      <c r="CP30" s="41"/>
      <c r="CQ30" s="41"/>
      <c r="CR30" s="41"/>
      <c r="CS30" s="41"/>
      <c r="CT30" s="230"/>
      <c r="CU30" s="230"/>
      <c r="CV30" s="41"/>
      <c r="CW30" s="41"/>
      <c r="CX30" s="41"/>
      <c r="CY30" s="41"/>
      <c r="CZ30" s="41"/>
      <c r="DA30" s="230"/>
      <c r="DB30" s="230"/>
      <c r="DC30" s="41"/>
      <c r="DD30" s="41"/>
      <c r="DE30" s="41"/>
      <c r="DF30" s="41"/>
      <c r="DG30" s="41"/>
      <c r="DH30" s="230"/>
      <c r="DI30" s="230"/>
      <c r="DJ30" s="41" t="s">
        <v>460</v>
      </c>
      <c r="DK30" s="41" t="s">
        <v>460</v>
      </c>
      <c r="DL30" s="41" t="s">
        <v>460</v>
      </c>
      <c r="DM30" s="41" t="s">
        <v>460</v>
      </c>
      <c r="DN30" s="41" t="s">
        <v>460</v>
      </c>
      <c r="DO30" s="230"/>
      <c r="DP30" s="230"/>
      <c r="DQ30" s="41" t="s">
        <v>460</v>
      </c>
      <c r="DR30" s="41"/>
      <c r="DS30" s="41"/>
      <c r="DT30" s="41"/>
      <c r="DU30" s="41"/>
      <c r="DV30" s="230"/>
      <c r="DW30" s="230"/>
      <c r="DX30" s="41"/>
      <c r="DY30" s="41"/>
      <c r="DZ30" s="41"/>
      <c r="EA30" s="41" t="s">
        <v>460</v>
      </c>
      <c r="EB30" s="41"/>
      <c r="EC30" s="230"/>
      <c r="ED30" s="230"/>
      <c r="EE30" s="41" t="s">
        <v>460</v>
      </c>
      <c r="EF30" s="41" t="s">
        <v>460</v>
      </c>
      <c r="EG30" s="41" t="s">
        <v>460</v>
      </c>
      <c r="EH30" s="41" t="s">
        <v>460</v>
      </c>
      <c r="EI30" s="41" t="s">
        <v>460</v>
      </c>
      <c r="EJ30" s="230"/>
      <c r="EK30" s="230"/>
      <c r="EL30" s="41"/>
      <c r="EM30" s="41"/>
      <c r="EN30" s="41"/>
      <c r="EO30" s="41"/>
      <c r="EP30" s="41"/>
      <c r="EQ30" s="230"/>
      <c r="ER30" s="230"/>
      <c r="ES30" s="41"/>
      <c r="ET30" s="41"/>
      <c r="EU30" s="41"/>
      <c r="EV30" s="41"/>
      <c r="EW30" s="41"/>
      <c r="EX30" s="230"/>
      <c r="EY30" s="230"/>
      <c r="EZ30" s="41" t="s">
        <v>460</v>
      </c>
      <c r="FA30" s="41" t="s">
        <v>460</v>
      </c>
      <c r="FB30" s="41" t="s">
        <v>460</v>
      </c>
      <c r="FC30" s="41" t="s">
        <v>460</v>
      </c>
      <c r="FD30" s="41" t="s">
        <v>460</v>
      </c>
      <c r="FE30" s="230"/>
      <c r="FF30" s="230"/>
      <c r="FG30" s="41"/>
      <c r="FH30" s="41"/>
      <c r="FI30" s="41"/>
      <c r="FJ30" s="41"/>
      <c r="FK30" s="41"/>
      <c r="FL30" s="230"/>
      <c r="FM30" s="230"/>
      <c r="FN30" s="41" t="s">
        <v>460</v>
      </c>
      <c r="FO30" s="41"/>
      <c r="FP30" s="41"/>
      <c r="FQ30" s="41"/>
      <c r="FR30" s="41"/>
      <c r="FS30" s="230"/>
      <c r="FT30" s="230"/>
      <c r="FU30" s="41"/>
      <c r="FV30" s="41"/>
      <c r="FW30" s="41"/>
      <c r="FX30" s="41"/>
      <c r="FY30" s="41"/>
      <c r="FZ30" s="230"/>
      <c r="GA30" s="230"/>
      <c r="GB30" s="41"/>
      <c r="GC30" s="41"/>
      <c r="GD30" s="41"/>
      <c r="GE30" s="41"/>
      <c r="GF30" s="41"/>
      <c r="GG30" s="230"/>
      <c r="GH30" s="230"/>
      <c r="GI30" s="41"/>
      <c r="GJ30" s="41"/>
      <c r="GK30" s="41"/>
      <c r="GL30" s="41"/>
      <c r="GM30" s="41"/>
      <c r="GN30" s="230"/>
      <c r="GO30" s="230"/>
      <c r="GP30" s="41"/>
      <c r="GQ30" s="41"/>
      <c r="GR30" s="41"/>
      <c r="GS30" s="41"/>
      <c r="GT30" s="41"/>
      <c r="GU30" s="230"/>
      <c r="GV30" s="230"/>
      <c r="GW30" s="41" t="s">
        <v>460</v>
      </c>
      <c r="GX30" s="41"/>
      <c r="GY30" s="41"/>
      <c r="GZ30" s="41"/>
      <c r="HA30" s="41"/>
      <c r="HB30" s="230"/>
      <c r="HC30" s="230"/>
      <c r="HD30" s="372"/>
      <c r="HE30" s="372"/>
      <c r="HF30" s="372"/>
      <c r="HG30" s="372"/>
      <c r="HH30" s="372"/>
      <c r="HI30" s="230"/>
      <c r="HJ30" s="230"/>
      <c r="HK30" s="372"/>
      <c r="HL30" s="372"/>
      <c r="HM30" s="372"/>
      <c r="HN30" s="372"/>
      <c r="HO30" s="372"/>
      <c r="HP30" s="230"/>
      <c r="HQ30" s="230"/>
      <c r="HR30" s="372"/>
      <c r="HS30" s="372"/>
      <c r="HT30" s="372"/>
      <c r="HU30" s="372"/>
      <c r="HV30" s="372"/>
      <c r="HW30" s="230"/>
      <c r="HX30" s="230"/>
      <c r="HY30" s="372"/>
      <c r="HZ30" s="372"/>
      <c r="IA30" s="372"/>
      <c r="IB30" s="372"/>
      <c r="IC30" s="372"/>
      <c r="ID30" s="230"/>
      <c r="IE30" s="230"/>
      <c r="IF30" s="372"/>
      <c r="IG30" s="372"/>
      <c r="IH30" s="372"/>
      <c r="II30" s="372"/>
      <c r="IJ30" s="372"/>
      <c r="IK30" s="230"/>
      <c r="IL30" s="230"/>
      <c r="IM30" s="372"/>
      <c r="IN30" s="372"/>
      <c r="IO30" s="372"/>
      <c r="IP30" s="372"/>
      <c r="IQ30" s="372"/>
      <c r="IR30" s="230"/>
      <c r="IS30" s="230"/>
      <c r="IT30" s="372"/>
      <c r="IU30" s="372"/>
      <c r="IV30" s="372"/>
      <c r="IW30" s="372"/>
      <c r="IX30" s="372"/>
      <c r="IY30" s="230"/>
      <c r="IZ30" s="230"/>
      <c r="JA30" s="372"/>
      <c r="JB30" s="372"/>
      <c r="JC30" s="372"/>
      <c r="JD30" s="372"/>
      <c r="JE30" s="372"/>
      <c r="JF30" s="230"/>
      <c r="JG30" s="230"/>
      <c r="JH30" s="41"/>
      <c r="JI30" s="41"/>
      <c r="JJ30" s="41"/>
      <c r="JK30" s="41"/>
      <c r="JL30" s="41"/>
      <c r="JM30" s="230"/>
      <c r="JN30" s="230"/>
      <c r="JO30" s="41"/>
      <c r="JP30" s="41"/>
      <c r="JQ30" s="41"/>
      <c r="JR30" s="41"/>
      <c r="JS30" s="41"/>
      <c r="JT30" s="230"/>
      <c r="JU30" s="230"/>
      <c r="JV30" s="41"/>
      <c r="JW30" s="41"/>
      <c r="JX30" s="41"/>
      <c r="JY30" s="41"/>
      <c r="JZ30" s="41"/>
      <c r="KA30" s="230"/>
      <c r="KB30" s="230"/>
      <c r="KC30" s="41"/>
      <c r="KD30" s="41"/>
      <c r="KE30" s="41"/>
      <c r="KF30" s="41"/>
      <c r="KG30" s="41"/>
      <c r="KH30" s="230"/>
      <c r="KI30" s="230"/>
      <c r="KJ30" s="41"/>
      <c r="KK30" s="41"/>
      <c r="KL30" s="41"/>
      <c r="KM30" s="41"/>
      <c r="KN30" s="41"/>
      <c r="KO30" s="230"/>
      <c r="KP30" s="230"/>
      <c r="KQ30" s="41"/>
      <c r="KR30" s="41"/>
      <c r="KS30" s="41"/>
      <c r="KT30" s="41"/>
      <c r="KU30" s="41"/>
      <c r="KV30" s="230"/>
      <c r="KW30" s="230"/>
      <c r="KX30" s="41"/>
      <c r="KY30" s="41"/>
      <c r="KZ30" s="41"/>
      <c r="LA30" s="41"/>
      <c r="LB30" s="41"/>
      <c r="LC30" s="230"/>
      <c r="LD30" s="230"/>
      <c r="LE30" s="41"/>
      <c r="LF30" s="41"/>
      <c r="LG30" s="41"/>
      <c r="LH30" s="41"/>
      <c r="LI30" s="41"/>
      <c r="LJ30" s="230"/>
      <c r="LK30" s="230"/>
      <c r="LL30" s="41"/>
      <c r="LM30" s="41"/>
      <c r="LN30" s="41"/>
      <c r="LO30" s="41"/>
      <c r="LP30" s="41"/>
      <c r="LQ30" s="230"/>
      <c r="LR30" s="230"/>
      <c r="LS30" s="41"/>
      <c r="LT30" s="41"/>
      <c r="LU30" s="41"/>
      <c r="LV30" s="41"/>
      <c r="LW30" s="41"/>
      <c r="LX30" s="230"/>
      <c r="LY30" s="230"/>
      <c r="LZ30" s="41"/>
      <c r="MA30" s="41"/>
      <c r="MB30" s="41"/>
      <c r="MC30" s="41"/>
      <c r="MD30" s="41"/>
      <c r="ME30" s="230"/>
      <c r="MF30" s="230"/>
      <c r="MG30" s="41"/>
      <c r="MH30" s="41"/>
      <c r="MI30" s="41"/>
      <c r="MJ30" s="41"/>
      <c r="MK30" s="41"/>
      <c r="ML30" s="230"/>
      <c r="MM30" s="230"/>
      <c r="MN30" s="41"/>
      <c r="MO30" s="41"/>
      <c r="MP30" s="41"/>
      <c r="MQ30" s="41"/>
      <c r="MR30" s="41"/>
      <c r="MS30" s="230"/>
      <c r="MT30" s="230"/>
      <c r="MU30" s="41"/>
      <c r="MV30" s="41"/>
      <c r="MW30" s="41"/>
      <c r="MX30" s="41"/>
      <c r="MY30" s="41"/>
      <c r="MZ30" s="230"/>
      <c r="NA30" s="230"/>
      <c r="NB30" s="41"/>
      <c r="NC30" s="41"/>
      <c r="ND30" s="41"/>
      <c r="NE30" s="41"/>
      <c r="NF30" s="41"/>
      <c r="NG30" s="230"/>
      <c r="NH30" s="230"/>
      <c r="NI30" s="41"/>
      <c r="NJ30" s="41"/>
      <c r="NK30" s="41"/>
      <c r="NL30" s="41"/>
      <c r="NM30" s="41"/>
      <c r="NN30" s="230"/>
      <c r="NO30" s="230"/>
    </row>
    <row r="31" spans="2:379" ht="15" customHeight="1" x14ac:dyDescent="0.3">
      <c r="D31" s="206" t="s">
        <v>60</v>
      </c>
      <c r="E31" s="187" t="s">
        <v>8</v>
      </c>
      <c r="F31" s="351" t="s">
        <v>9</v>
      </c>
      <c r="G31" s="353" t="s">
        <v>268</v>
      </c>
      <c r="H31" s="154" t="s">
        <v>269</v>
      </c>
      <c r="I31" s="125"/>
      <c r="J31" s="41"/>
      <c r="K31" s="41"/>
      <c r="L31" s="41"/>
      <c r="M31" s="41"/>
      <c r="N31" s="234"/>
      <c r="O31" s="234"/>
      <c r="P31" s="41"/>
      <c r="Q31" s="41"/>
      <c r="R31" s="41"/>
      <c r="S31" s="41"/>
      <c r="T31" s="41"/>
      <c r="U31" s="230"/>
      <c r="V31" s="230"/>
      <c r="W31" s="41"/>
      <c r="X31" s="41"/>
      <c r="Y31" s="41"/>
      <c r="Z31" s="41"/>
      <c r="AA31" s="41"/>
      <c r="AB31" s="230"/>
      <c r="AC31" s="230"/>
      <c r="AD31" s="41"/>
      <c r="AE31" s="41"/>
      <c r="AF31" s="41"/>
      <c r="AG31" s="41"/>
      <c r="AH31" s="41"/>
      <c r="AI31" s="230"/>
      <c r="AJ31" s="230"/>
      <c r="AK31" s="41"/>
      <c r="AL31" s="41"/>
      <c r="AM31" s="41"/>
      <c r="AN31" s="41"/>
      <c r="AO31" s="41"/>
      <c r="AP31" s="230"/>
      <c r="AQ31" s="230"/>
      <c r="AR31" s="41"/>
      <c r="AS31" s="41"/>
      <c r="AT31" s="41"/>
      <c r="AU31" s="41"/>
      <c r="AV31" s="41"/>
      <c r="AW31" s="230"/>
      <c r="AX31" s="230"/>
      <c r="AY31" s="41"/>
      <c r="AZ31" s="41"/>
      <c r="BA31" s="41"/>
      <c r="BB31" s="41"/>
      <c r="BC31" s="41"/>
      <c r="BD31" s="230"/>
      <c r="BE31" s="230"/>
      <c r="BF31" s="41" t="s">
        <v>460</v>
      </c>
      <c r="BG31" s="41" t="s">
        <v>460</v>
      </c>
      <c r="BH31" s="41" t="s">
        <v>460</v>
      </c>
      <c r="BI31" s="41" t="s">
        <v>460</v>
      </c>
      <c r="BJ31" s="41" t="s">
        <v>460</v>
      </c>
      <c r="BK31" s="230"/>
      <c r="BL31" s="230"/>
      <c r="BM31" s="41"/>
      <c r="BN31" s="41"/>
      <c r="BO31" s="41"/>
      <c r="BP31" s="41"/>
      <c r="BQ31" s="41"/>
      <c r="BR31" s="234"/>
      <c r="BS31" s="234"/>
      <c r="BT31" s="41"/>
      <c r="BU31" s="41"/>
      <c r="BV31" s="41"/>
      <c r="BW31" s="41"/>
      <c r="BX31" s="41"/>
      <c r="BY31" s="234"/>
      <c r="BZ31" s="234"/>
      <c r="CA31" s="41"/>
      <c r="CB31" s="41"/>
      <c r="CC31" s="41"/>
      <c r="CD31" s="41"/>
      <c r="CE31" s="41"/>
      <c r="CF31" s="234"/>
      <c r="CG31" s="234"/>
      <c r="CH31" s="41"/>
      <c r="CI31" s="41"/>
      <c r="CJ31" s="41"/>
      <c r="CK31" s="41"/>
      <c r="CL31" s="41"/>
      <c r="CM31" s="234"/>
      <c r="CN31" s="234"/>
      <c r="CO31" s="41"/>
      <c r="CP31" s="41"/>
      <c r="CQ31" s="41"/>
      <c r="CR31" s="41"/>
      <c r="CS31" s="41"/>
      <c r="CT31" s="234"/>
      <c r="CU31" s="234"/>
      <c r="CV31" s="41"/>
      <c r="CW31" s="41"/>
      <c r="CX31" s="41"/>
      <c r="CY31" s="41"/>
      <c r="CZ31" s="41"/>
      <c r="DA31" s="234"/>
      <c r="DB31" s="234"/>
      <c r="DC31" s="41"/>
      <c r="DD31" s="41"/>
      <c r="DE31" s="41"/>
      <c r="DF31" s="41"/>
      <c r="DG31" s="41"/>
      <c r="DH31" s="234"/>
      <c r="DI31" s="234"/>
      <c r="DJ31" s="41"/>
      <c r="DK31" s="41"/>
      <c r="DL31" s="41"/>
      <c r="DM31" s="41"/>
      <c r="DN31" s="41"/>
      <c r="DO31" s="234"/>
      <c r="DP31" s="234"/>
      <c r="DQ31" s="41" t="s">
        <v>460</v>
      </c>
      <c r="DR31" s="41"/>
      <c r="DS31" s="41"/>
      <c r="DT31" s="41"/>
      <c r="DU31" s="41"/>
      <c r="DV31" s="234"/>
      <c r="DW31" s="234"/>
      <c r="DX31" s="41"/>
      <c r="DY31" s="41"/>
      <c r="DZ31" s="41"/>
      <c r="EA31" s="41" t="s">
        <v>460</v>
      </c>
      <c r="EB31" s="41"/>
      <c r="EC31" s="234"/>
      <c r="ED31" s="234"/>
      <c r="EE31" s="41"/>
      <c r="EF31" s="41"/>
      <c r="EG31" s="41"/>
      <c r="EH31" s="41"/>
      <c r="EI31" s="41"/>
      <c r="EJ31" s="234"/>
      <c r="EK31" s="234"/>
      <c r="EL31" s="41"/>
      <c r="EM31" s="41"/>
      <c r="EN31" s="41"/>
      <c r="EO31" s="41"/>
      <c r="EP31" s="41"/>
      <c r="EQ31" s="234"/>
      <c r="ER31" s="234"/>
      <c r="ES31" s="41"/>
      <c r="ET31" s="41"/>
      <c r="EU31" s="41"/>
      <c r="EV31" s="41"/>
      <c r="EW31" s="41"/>
      <c r="EX31" s="234"/>
      <c r="EY31" s="234"/>
      <c r="EZ31" s="41"/>
      <c r="FA31" s="41"/>
      <c r="FB31" s="41"/>
      <c r="FC31" s="41"/>
      <c r="FD31" s="41"/>
      <c r="FE31" s="234"/>
      <c r="FF31" s="234"/>
      <c r="FG31" s="41"/>
      <c r="FH31" s="41"/>
      <c r="FI31" s="41"/>
      <c r="FJ31" s="41"/>
      <c r="FK31" s="41"/>
      <c r="FL31" s="234"/>
      <c r="FM31" s="234"/>
      <c r="FN31" s="41" t="s">
        <v>460</v>
      </c>
      <c r="FO31" s="41"/>
      <c r="FP31" s="41"/>
      <c r="FQ31" s="41"/>
      <c r="FR31" s="41"/>
      <c r="FS31" s="234"/>
      <c r="FT31" s="234"/>
      <c r="FU31" s="41" t="s">
        <v>460</v>
      </c>
      <c r="FV31" s="41" t="s">
        <v>460</v>
      </c>
      <c r="FW31" s="41" t="s">
        <v>460</v>
      </c>
      <c r="FX31" s="41" t="s">
        <v>460</v>
      </c>
      <c r="FY31" s="41" t="s">
        <v>460</v>
      </c>
      <c r="FZ31" s="234"/>
      <c r="GA31" s="234"/>
      <c r="GB31" s="41" t="s">
        <v>460</v>
      </c>
      <c r="GC31" s="41" t="s">
        <v>460</v>
      </c>
      <c r="GD31" s="41" t="s">
        <v>460</v>
      </c>
      <c r="GE31" s="41" t="s">
        <v>460</v>
      </c>
      <c r="GF31" s="41" t="s">
        <v>460</v>
      </c>
      <c r="GG31" s="234"/>
      <c r="GH31" s="234"/>
      <c r="GI31" s="41" t="s">
        <v>460</v>
      </c>
      <c r="GJ31" s="41" t="s">
        <v>460</v>
      </c>
      <c r="GK31" s="41" t="s">
        <v>460</v>
      </c>
      <c r="GL31" s="41" t="s">
        <v>460</v>
      </c>
      <c r="GM31" s="41" t="s">
        <v>460</v>
      </c>
      <c r="GN31" s="234"/>
      <c r="GO31" s="234"/>
      <c r="GP31" s="41" t="s">
        <v>460</v>
      </c>
      <c r="GQ31" s="41" t="s">
        <v>460</v>
      </c>
      <c r="GR31" s="41" t="s">
        <v>460</v>
      </c>
      <c r="GS31" s="41" t="s">
        <v>460</v>
      </c>
      <c r="GT31" s="41" t="s">
        <v>460</v>
      </c>
      <c r="GU31" s="234"/>
      <c r="GV31" s="234"/>
      <c r="GW31" s="41" t="s">
        <v>460</v>
      </c>
      <c r="GX31" s="41"/>
      <c r="GY31" s="41"/>
      <c r="GZ31" s="41"/>
      <c r="HA31" s="41"/>
      <c r="HB31" s="230"/>
      <c r="HC31" s="230"/>
      <c r="HD31" s="372" t="s">
        <v>460</v>
      </c>
      <c r="HE31" s="372" t="s">
        <v>460</v>
      </c>
      <c r="HF31" s="372" t="s">
        <v>460</v>
      </c>
      <c r="HG31" s="372" t="s">
        <v>460</v>
      </c>
      <c r="HH31" s="372" t="s">
        <v>460</v>
      </c>
      <c r="HI31" s="230"/>
      <c r="HJ31" s="230"/>
      <c r="HK31" s="372" t="s">
        <v>460</v>
      </c>
      <c r="HL31" s="372" t="s">
        <v>460</v>
      </c>
      <c r="HM31" s="372" t="s">
        <v>460</v>
      </c>
      <c r="HN31" s="372" t="s">
        <v>460</v>
      </c>
      <c r="HO31" s="372" t="s">
        <v>460</v>
      </c>
      <c r="HP31" s="230"/>
      <c r="HQ31" s="230"/>
      <c r="HR31" s="372"/>
      <c r="HS31" s="372"/>
      <c r="HT31" s="372"/>
      <c r="HU31" s="372"/>
      <c r="HV31" s="372"/>
      <c r="HW31" s="230"/>
      <c r="HX31" s="230"/>
      <c r="HY31" s="372"/>
      <c r="HZ31" s="372"/>
      <c r="IA31" s="372"/>
      <c r="IB31" s="372"/>
      <c r="IC31" s="372"/>
      <c r="ID31" s="230"/>
      <c r="IE31" s="230"/>
      <c r="IF31" s="372"/>
      <c r="IG31" s="372"/>
      <c r="IH31" s="372"/>
      <c r="II31" s="372"/>
      <c r="IJ31" s="372"/>
      <c r="IK31" s="230"/>
      <c r="IL31" s="230"/>
      <c r="IM31" s="372" t="s">
        <v>460</v>
      </c>
      <c r="IN31" s="372" t="s">
        <v>460</v>
      </c>
      <c r="IO31" s="372" t="s">
        <v>460</v>
      </c>
      <c r="IP31" s="372" t="s">
        <v>460</v>
      </c>
      <c r="IQ31" s="372" t="s">
        <v>460</v>
      </c>
      <c r="IR31" s="234"/>
      <c r="IS31" s="234"/>
      <c r="IT31" s="372"/>
      <c r="IU31" s="372"/>
      <c r="IV31" s="372"/>
      <c r="IW31" s="372"/>
      <c r="IX31" s="372"/>
      <c r="IY31" s="234"/>
      <c r="IZ31" s="234"/>
      <c r="JA31" s="372"/>
      <c r="JB31" s="372"/>
      <c r="JC31" s="372"/>
      <c r="JD31" s="372"/>
      <c r="JE31" s="372"/>
      <c r="JF31" s="234"/>
      <c r="JG31" s="234"/>
      <c r="JH31" s="41"/>
      <c r="JI31" s="41"/>
      <c r="JJ31" s="41"/>
      <c r="JK31" s="41"/>
      <c r="JL31" s="41"/>
      <c r="JM31" s="234"/>
      <c r="JN31" s="234"/>
      <c r="JO31" s="41"/>
      <c r="JP31" s="41"/>
      <c r="JQ31" s="41"/>
      <c r="JR31" s="41"/>
      <c r="JS31" s="41"/>
      <c r="JT31" s="234"/>
      <c r="JU31" s="234"/>
      <c r="JV31" s="41"/>
      <c r="JW31" s="41"/>
      <c r="JX31" s="41"/>
      <c r="JY31" s="41"/>
      <c r="JZ31" s="41"/>
      <c r="KA31" s="234"/>
      <c r="KB31" s="234"/>
      <c r="KC31" s="41"/>
      <c r="KD31" s="41"/>
      <c r="KE31" s="41"/>
      <c r="KF31" s="41"/>
      <c r="KG31" s="41"/>
      <c r="KH31" s="234"/>
      <c r="KI31" s="234"/>
      <c r="KJ31" s="41"/>
      <c r="KK31" s="41"/>
      <c r="KL31" s="41"/>
      <c r="KM31" s="41"/>
      <c r="KN31" s="41"/>
      <c r="KO31" s="234"/>
      <c r="KP31" s="234"/>
      <c r="KQ31" s="41"/>
      <c r="KR31" s="41"/>
      <c r="KS31" s="41"/>
      <c r="KT31" s="41"/>
      <c r="KU31" s="41"/>
      <c r="KV31" s="234"/>
      <c r="KW31" s="234"/>
      <c r="KX31" s="41"/>
      <c r="KY31" s="41"/>
      <c r="KZ31" s="41"/>
      <c r="LA31" s="41"/>
      <c r="LB31" s="41"/>
      <c r="LC31" s="234"/>
      <c r="LD31" s="234"/>
      <c r="LE31" s="41"/>
      <c r="LF31" s="41"/>
      <c r="LG31" s="41"/>
      <c r="LH31" s="41"/>
      <c r="LI31" s="41"/>
      <c r="LJ31" s="234"/>
      <c r="LK31" s="234"/>
      <c r="LL31" s="41"/>
      <c r="LM31" s="41"/>
      <c r="LN31" s="41"/>
      <c r="LO31" s="41"/>
      <c r="LP31" s="41"/>
      <c r="LQ31" s="234"/>
      <c r="LR31" s="234"/>
      <c r="LS31" s="41"/>
      <c r="LT31" s="41"/>
      <c r="LU31" s="41"/>
      <c r="LV31" s="41"/>
      <c r="LW31" s="41"/>
      <c r="LX31" s="234"/>
      <c r="LY31" s="234"/>
      <c r="LZ31" s="41"/>
      <c r="MA31" s="41"/>
      <c r="MB31" s="41"/>
      <c r="MC31" s="41"/>
      <c r="MD31" s="41"/>
      <c r="ME31" s="234"/>
      <c r="MF31" s="234"/>
      <c r="MG31" s="41"/>
      <c r="MH31" s="41"/>
      <c r="MI31" s="41"/>
      <c r="MJ31" s="41"/>
      <c r="MK31" s="41"/>
      <c r="ML31" s="234"/>
      <c r="MM31" s="234"/>
      <c r="MN31" s="41"/>
      <c r="MO31" s="41"/>
      <c r="MP31" s="41"/>
      <c r="MQ31" s="41"/>
      <c r="MR31" s="41"/>
      <c r="MS31" s="234"/>
      <c r="MT31" s="234"/>
      <c r="MU31" s="41"/>
      <c r="MV31" s="41"/>
      <c r="MW31" s="41"/>
      <c r="MX31" s="41"/>
      <c r="MY31" s="41"/>
      <c r="MZ31" s="234"/>
      <c r="NA31" s="234"/>
      <c r="NB31" s="41"/>
      <c r="NC31" s="41"/>
      <c r="ND31" s="41"/>
      <c r="NE31" s="41"/>
      <c r="NF31" s="41"/>
      <c r="NG31" s="234"/>
      <c r="NH31" s="234"/>
      <c r="NI31" s="41"/>
      <c r="NJ31" s="41"/>
      <c r="NK31" s="41"/>
      <c r="NL31" s="41"/>
      <c r="NM31" s="41"/>
      <c r="NN31" s="234"/>
      <c r="NO31" s="234"/>
    </row>
    <row r="32" spans="2:379" ht="15" customHeight="1" x14ac:dyDescent="0.3">
      <c r="D32" s="206" t="s">
        <v>60</v>
      </c>
      <c r="E32" s="187" t="s">
        <v>8</v>
      </c>
      <c r="F32" s="351" t="s">
        <v>9</v>
      </c>
      <c r="G32" s="353" t="s">
        <v>919</v>
      </c>
      <c r="H32" s="154" t="s">
        <v>49</v>
      </c>
      <c r="I32" s="125"/>
      <c r="J32" s="41"/>
      <c r="K32" s="41"/>
      <c r="L32" s="41"/>
      <c r="M32" s="41"/>
      <c r="N32" s="234"/>
      <c r="O32" s="234"/>
      <c r="P32" s="41"/>
      <c r="Q32" s="41"/>
      <c r="R32" s="41"/>
      <c r="S32" s="41"/>
      <c r="T32" s="41"/>
      <c r="U32" s="234"/>
      <c r="V32" s="234"/>
      <c r="W32" s="41"/>
      <c r="X32" s="41"/>
      <c r="Y32" s="41"/>
      <c r="Z32" s="41"/>
      <c r="AA32" s="41"/>
      <c r="AB32" s="230"/>
      <c r="AC32" s="230"/>
      <c r="AD32" s="41"/>
      <c r="AE32" s="41"/>
      <c r="AF32" s="41"/>
      <c r="AG32" s="41"/>
      <c r="AH32" s="41"/>
      <c r="AI32" s="234"/>
      <c r="AJ32" s="234"/>
      <c r="AK32" s="41"/>
      <c r="AL32" s="41"/>
      <c r="AM32" s="41"/>
      <c r="AN32" s="41"/>
      <c r="AO32" s="41"/>
      <c r="AP32" s="234"/>
      <c r="AQ32" s="234"/>
      <c r="AR32" s="41"/>
      <c r="AS32" s="41"/>
      <c r="AT32" s="41"/>
      <c r="AU32" s="41"/>
      <c r="AV32" s="41"/>
      <c r="AW32" s="234"/>
      <c r="AX32" s="234"/>
      <c r="AY32" s="41"/>
      <c r="AZ32" s="41"/>
      <c r="BA32" s="41"/>
      <c r="BB32" s="41"/>
      <c r="BC32" s="41"/>
      <c r="BD32" s="234"/>
      <c r="BE32" s="234"/>
      <c r="BF32" s="41"/>
      <c r="BG32" s="41"/>
      <c r="BH32" s="41"/>
      <c r="BI32" s="41"/>
      <c r="BJ32" s="41"/>
      <c r="BK32" s="234"/>
      <c r="BL32" s="234"/>
      <c r="BM32" s="41"/>
      <c r="BN32" s="41"/>
      <c r="BO32" s="41"/>
      <c r="BP32" s="41"/>
      <c r="BQ32" s="41"/>
      <c r="BR32" s="234"/>
      <c r="BS32" s="234"/>
      <c r="BT32" s="41"/>
      <c r="BU32" s="41"/>
      <c r="BV32" s="41"/>
      <c r="BW32" s="41"/>
      <c r="BX32" s="41"/>
      <c r="BY32" s="230"/>
      <c r="BZ32" s="230"/>
      <c r="CA32" s="41"/>
      <c r="CB32" s="41"/>
      <c r="CC32" s="41"/>
      <c r="CD32" s="41"/>
      <c r="CE32" s="41"/>
      <c r="CF32" s="234"/>
      <c r="CG32" s="234"/>
      <c r="CH32" s="41"/>
      <c r="CI32" s="41"/>
      <c r="CJ32" s="41"/>
      <c r="CK32" s="41"/>
      <c r="CL32" s="41"/>
      <c r="CM32" s="230"/>
      <c r="CN32" s="230"/>
      <c r="CO32" s="41"/>
      <c r="CP32" s="41"/>
      <c r="CQ32" s="41"/>
      <c r="CR32" s="41"/>
      <c r="CS32" s="41"/>
      <c r="CT32" s="234"/>
      <c r="CU32" s="234"/>
      <c r="CV32" s="41"/>
      <c r="CW32" s="41"/>
      <c r="CX32" s="41"/>
      <c r="CY32" s="41"/>
      <c r="CZ32" s="41"/>
      <c r="DA32" s="234"/>
      <c r="DB32" s="234"/>
      <c r="DC32" s="41"/>
      <c r="DD32" s="41"/>
      <c r="DE32" s="41"/>
      <c r="DF32" s="41"/>
      <c r="DG32" s="41"/>
      <c r="DH32" s="234"/>
      <c r="DI32" s="234"/>
      <c r="DJ32" s="41"/>
      <c r="DK32" s="41"/>
      <c r="DL32" s="41"/>
      <c r="DM32" s="41"/>
      <c r="DN32" s="41"/>
      <c r="DO32" s="234"/>
      <c r="DP32" s="234"/>
      <c r="DQ32" s="41" t="s">
        <v>460</v>
      </c>
      <c r="DR32" s="41"/>
      <c r="DS32" s="41"/>
      <c r="DT32" s="41"/>
      <c r="DU32" s="41"/>
      <c r="DV32" s="234"/>
      <c r="DW32" s="234"/>
      <c r="DX32" s="41"/>
      <c r="DY32" s="41"/>
      <c r="DZ32" s="41"/>
      <c r="EA32" s="41" t="s">
        <v>460</v>
      </c>
      <c r="EB32" s="41"/>
      <c r="EC32" s="234"/>
      <c r="ED32" s="234"/>
      <c r="EE32" s="41"/>
      <c r="EF32" s="41"/>
      <c r="EG32" s="41"/>
      <c r="EH32" s="41"/>
      <c r="EI32" s="41"/>
      <c r="EJ32" s="234"/>
      <c r="EK32" s="234"/>
      <c r="EL32" s="41"/>
      <c r="EM32" s="41"/>
      <c r="EN32" s="41"/>
      <c r="EO32" s="41"/>
      <c r="EP32" s="41"/>
      <c r="EQ32" s="234"/>
      <c r="ER32" s="234"/>
      <c r="ES32" s="41"/>
      <c r="ET32" s="41"/>
      <c r="EU32" s="41"/>
      <c r="EV32" s="41"/>
      <c r="EW32" s="41"/>
      <c r="EX32" s="234"/>
      <c r="EY32" s="234"/>
      <c r="EZ32" s="41"/>
      <c r="FA32" s="41"/>
      <c r="FB32" s="41"/>
      <c r="FC32" s="41"/>
      <c r="FD32" s="41"/>
      <c r="FE32" s="234"/>
      <c r="FF32" s="234"/>
      <c r="FG32" s="41"/>
      <c r="FH32" s="41"/>
      <c r="FI32" s="41"/>
      <c r="FJ32" s="41"/>
      <c r="FK32" s="41"/>
      <c r="FL32" s="234"/>
      <c r="FM32" s="234"/>
      <c r="FN32" s="41" t="s">
        <v>460</v>
      </c>
      <c r="FO32" s="41"/>
      <c r="FP32" s="41"/>
      <c r="FQ32" s="41"/>
      <c r="FR32" s="41"/>
      <c r="FS32" s="234"/>
      <c r="FT32" s="234"/>
      <c r="FU32" s="41"/>
      <c r="FV32" s="41"/>
      <c r="FW32" s="41"/>
      <c r="FX32" s="41"/>
      <c r="FY32" s="41"/>
      <c r="FZ32" s="234"/>
      <c r="GA32" s="234"/>
      <c r="GB32" s="41"/>
      <c r="GC32" s="41"/>
      <c r="GD32" s="41"/>
      <c r="GE32" s="41"/>
      <c r="GF32" s="41"/>
      <c r="GG32" s="234"/>
      <c r="GH32" s="234"/>
      <c r="GI32" s="41"/>
      <c r="GJ32" s="41"/>
      <c r="GK32" s="41"/>
      <c r="GL32" s="41"/>
      <c r="GM32" s="41"/>
      <c r="GN32" s="234"/>
      <c r="GO32" s="234"/>
      <c r="GP32" s="41" t="s">
        <v>460</v>
      </c>
      <c r="GQ32" s="41" t="s">
        <v>460</v>
      </c>
      <c r="GR32" s="41" t="s">
        <v>460</v>
      </c>
      <c r="GS32" s="41" t="s">
        <v>460</v>
      </c>
      <c r="GT32" s="41" t="s">
        <v>460</v>
      </c>
      <c r="GU32" s="234"/>
      <c r="GV32" s="234"/>
      <c r="GW32" s="41" t="s">
        <v>460</v>
      </c>
      <c r="GX32" s="41"/>
      <c r="GY32" s="41"/>
      <c r="GZ32" s="41"/>
      <c r="HA32" s="41"/>
      <c r="HB32" s="230"/>
      <c r="HC32" s="230"/>
      <c r="HD32" s="372"/>
      <c r="HE32" s="372"/>
      <c r="HF32" s="372"/>
      <c r="HG32" s="372"/>
      <c r="HH32" s="372"/>
      <c r="HI32" s="234"/>
      <c r="HJ32" s="234"/>
      <c r="HK32" s="372" t="s">
        <v>460</v>
      </c>
      <c r="HL32" s="372" t="s">
        <v>460</v>
      </c>
      <c r="HM32" s="372" t="s">
        <v>460</v>
      </c>
      <c r="HN32" s="372" t="s">
        <v>460</v>
      </c>
      <c r="HO32" s="372" t="s">
        <v>460</v>
      </c>
      <c r="HP32" s="234"/>
      <c r="HQ32" s="234"/>
      <c r="HR32" s="372"/>
      <c r="HS32" s="372"/>
      <c r="HT32" s="372"/>
      <c r="HU32" s="372"/>
      <c r="HV32" s="372"/>
      <c r="HW32" s="234"/>
      <c r="HX32" s="234"/>
      <c r="HY32" s="372"/>
      <c r="HZ32" s="372"/>
      <c r="IA32" s="372"/>
      <c r="IB32" s="372"/>
      <c r="IC32" s="372"/>
      <c r="ID32" s="234"/>
      <c r="IE32" s="234"/>
      <c r="IF32" s="372"/>
      <c r="IG32" s="372"/>
      <c r="IH32" s="372"/>
      <c r="II32" s="372"/>
      <c r="IJ32" s="372"/>
      <c r="IK32" s="234"/>
      <c r="IL32" s="234"/>
      <c r="IM32" s="372"/>
      <c r="IN32" s="372"/>
      <c r="IO32" s="372"/>
      <c r="IP32" s="372"/>
      <c r="IQ32" s="372"/>
      <c r="IR32" s="234"/>
      <c r="IS32" s="234"/>
      <c r="IT32" s="372"/>
      <c r="IU32" s="372"/>
      <c r="IV32" s="372"/>
      <c r="IW32" s="372"/>
      <c r="IX32" s="372"/>
      <c r="IY32" s="234"/>
      <c r="IZ32" s="234"/>
      <c r="JA32" s="372"/>
      <c r="JB32" s="372"/>
      <c r="JC32" s="372"/>
      <c r="JD32" s="372"/>
      <c r="JE32" s="372"/>
      <c r="JF32" s="234"/>
      <c r="JG32" s="234"/>
      <c r="JH32" s="234"/>
      <c r="JI32" s="234"/>
      <c r="JJ32" s="234"/>
      <c r="JK32" s="234"/>
      <c r="JL32" s="234"/>
      <c r="JM32" s="234"/>
      <c r="JN32" s="234"/>
      <c r="JO32" s="234"/>
      <c r="JP32" s="234"/>
      <c r="JQ32" s="234"/>
      <c r="JR32" s="234"/>
      <c r="JS32" s="234"/>
      <c r="JT32" s="234"/>
      <c r="JU32" s="234"/>
      <c r="JV32" s="234"/>
      <c r="JW32" s="234"/>
      <c r="JX32" s="234"/>
      <c r="JY32" s="234"/>
      <c r="JZ32" s="234"/>
      <c r="KA32" s="234"/>
      <c r="KB32" s="234"/>
      <c r="KC32" s="234"/>
      <c r="KD32" s="234"/>
      <c r="KE32" s="234"/>
      <c r="KF32" s="234"/>
      <c r="KG32" s="234"/>
      <c r="KH32" s="234"/>
      <c r="KI32" s="234"/>
      <c r="KJ32" s="234"/>
      <c r="KK32" s="234"/>
      <c r="KL32" s="234"/>
      <c r="KM32" s="234"/>
      <c r="KN32" s="234"/>
      <c r="KO32" s="234"/>
      <c r="KP32" s="234"/>
      <c r="KQ32" s="234"/>
      <c r="KR32" s="234"/>
      <c r="KS32" s="234"/>
      <c r="KT32" s="234"/>
      <c r="KU32" s="234"/>
      <c r="KV32" s="234"/>
      <c r="KW32" s="234"/>
      <c r="KX32" s="234"/>
      <c r="KY32" s="234"/>
      <c r="KZ32" s="234"/>
      <c r="LA32" s="234"/>
      <c r="LB32" s="234"/>
      <c r="LC32" s="234"/>
      <c r="LD32" s="234"/>
      <c r="LE32" s="234"/>
      <c r="LF32" s="234"/>
      <c r="LG32" s="234"/>
      <c r="LH32" s="234"/>
      <c r="LI32" s="234"/>
      <c r="LJ32" s="234"/>
      <c r="LK32" s="234"/>
      <c r="LL32" s="234"/>
      <c r="LM32" s="234"/>
      <c r="LN32" s="234"/>
      <c r="LO32" s="234"/>
      <c r="LP32" s="234"/>
      <c r="LQ32" s="234"/>
      <c r="LR32" s="234"/>
      <c r="LS32" s="234"/>
      <c r="LT32" s="234"/>
      <c r="LU32" s="234"/>
      <c r="LV32" s="234"/>
      <c r="LW32" s="234"/>
      <c r="LX32" s="234"/>
      <c r="LY32" s="234"/>
      <c r="LZ32" s="234"/>
      <c r="MA32" s="234"/>
      <c r="MB32" s="234"/>
      <c r="MC32" s="234"/>
      <c r="MD32" s="234"/>
      <c r="ME32" s="234"/>
      <c r="MF32" s="234"/>
      <c r="MG32" s="234"/>
      <c r="MH32" s="234"/>
      <c r="MI32" s="234"/>
      <c r="MJ32" s="234"/>
      <c r="MK32" s="234"/>
      <c r="ML32" s="234"/>
      <c r="MM32" s="234"/>
      <c r="MN32" s="234"/>
      <c r="MO32" s="234"/>
      <c r="MP32" s="234"/>
      <c r="MQ32" s="234"/>
      <c r="MR32" s="234"/>
      <c r="MS32" s="234"/>
      <c r="MT32" s="234"/>
      <c r="MU32" s="234"/>
      <c r="MV32" s="234"/>
      <c r="MW32" s="234"/>
      <c r="MX32" s="234"/>
      <c r="MY32" s="234"/>
      <c r="MZ32" s="234"/>
      <c r="NA32" s="234"/>
      <c r="NB32" s="234"/>
      <c r="NC32" s="234"/>
      <c r="ND32" s="234"/>
      <c r="NE32" s="234"/>
      <c r="NF32" s="234"/>
      <c r="NG32" s="234"/>
      <c r="NH32" s="234"/>
      <c r="NI32" s="234"/>
      <c r="NJ32" s="234"/>
      <c r="NK32" s="234"/>
      <c r="NL32" s="234"/>
      <c r="NM32" s="234"/>
      <c r="NN32" s="234"/>
      <c r="NO32" s="234"/>
    </row>
    <row r="33" spans="4:379" ht="12.6" customHeight="1" x14ac:dyDescent="0.3">
      <c r="D33" s="206" t="s">
        <v>60</v>
      </c>
      <c r="E33" s="187" t="s">
        <v>8</v>
      </c>
      <c r="F33" s="351" t="s">
        <v>9</v>
      </c>
      <c r="G33" s="352" t="s">
        <v>697</v>
      </c>
      <c r="H33" s="160" t="s">
        <v>156</v>
      </c>
      <c r="I33" s="125"/>
      <c r="J33" s="41"/>
      <c r="K33" s="41"/>
      <c r="L33" s="41"/>
      <c r="M33" s="41"/>
      <c r="N33" s="230"/>
      <c r="O33" s="230"/>
      <c r="P33" s="41"/>
      <c r="Q33" s="41"/>
      <c r="R33" s="41"/>
      <c r="S33" s="41"/>
      <c r="T33" s="41"/>
      <c r="U33" s="230"/>
      <c r="V33" s="230"/>
      <c r="W33" s="41"/>
      <c r="X33" s="41"/>
      <c r="Y33" s="41"/>
      <c r="Z33" s="41"/>
      <c r="AA33" s="41"/>
      <c r="AB33" s="230"/>
      <c r="AC33" s="230"/>
      <c r="AD33" s="41"/>
      <c r="AE33" s="41"/>
      <c r="AF33" s="41"/>
      <c r="AG33" s="41"/>
      <c r="AH33" s="41"/>
      <c r="AI33" s="230"/>
      <c r="AJ33" s="230"/>
      <c r="AK33" s="41"/>
      <c r="AL33" s="41"/>
      <c r="AM33" s="41"/>
      <c r="AN33" s="41"/>
      <c r="AO33" s="41"/>
      <c r="AP33" s="230"/>
      <c r="AQ33" s="230"/>
      <c r="AR33" s="41"/>
      <c r="AS33" s="41"/>
      <c r="AT33" s="41"/>
      <c r="AU33" s="41"/>
      <c r="AV33" s="41"/>
      <c r="AW33" s="230"/>
      <c r="AX33" s="230"/>
      <c r="AY33" s="41"/>
      <c r="AZ33" s="41"/>
      <c r="BA33" s="41"/>
      <c r="BB33" s="41"/>
      <c r="BC33" s="41"/>
      <c r="BD33" s="230"/>
      <c r="BE33" s="230"/>
      <c r="BF33" s="41" t="s">
        <v>460</v>
      </c>
      <c r="BG33" s="41" t="s">
        <v>460</v>
      </c>
      <c r="BH33" s="41" t="s">
        <v>460</v>
      </c>
      <c r="BI33" s="41" t="s">
        <v>460</v>
      </c>
      <c r="BJ33" s="41" t="s">
        <v>460</v>
      </c>
      <c r="BK33" s="230"/>
      <c r="BL33" s="230"/>
      <c r="BM33" s="41"/>
      <c r="BN33" s="41"/>
      <c r="BO33" s="41"/>
      <c r="BP33" s="41"/>
      <c r="BQ33" s="41"/>
      <c r="BR33" s="230"/>
      <c r="BS33" s="230"/>
      <c r="BT33" s="41"/>
      <c r="BU33" s="41"/>
      <c r="BV33" s="41"/>
      <c r="BW33" s="41"/>
      <c r="BX33" s="41"/>
      <c r="BY33" s="230"/>
      <c r="BZ33" s="230"/>
      <c r="CA33" s="41"/>
      <c r="CB33" s="41"/>
      <c r="CC33" s="41"/>
      <c r="CD33" s="41"/>
      <c r="CE33" s="41"/>
      <c r="CF33" s="230"/>
      <c r="CG33" s="230"/>
      <c r="CH33" s="41"/>
      <c r="CI33" s="41"/>
      <c r="CJ33" s="41"/>
      <c r="CK33" s="41"/>
      <c r="CL33" s="41"/>
      <c r="CM33" s="230"/>
      <c r="CN33" s="230"/>
      <c r="CO33" s="41"/>
      <c r="CP33" s="41"/>
      <c r="CQ33" s="41"/>
      <c r="CR33" s="41"/>
      <c r="CS33" s="41"/>
      <c r="CT33" s="230"/>
      <c r="CU33" s="230"/>
      <c r="CV33" s="41"/>
      <c r="CW33" s="41"/>
      <c r="CX33" s="41"/>
      <c r="CY33" s="41"/>
      <c r="CZ33" s="41"/>
      <c r="DA33" s="230"/>
      <c r="DB33" s="230"/>
      <c r="DC33" s="41"/>
      <c r="DD33" s="41"/>
      <c r="DE33" s="41"/>
      <c r="DF33" s="41"/>
      <c r="DG33" s="41"/>
      <c r="DH33" s="230"/>
      <c r="DI33" s="230"/>
      <c r="DJ33" s="41"/>
      <c r="DK33" s="41"/>
      <c r="DL33" s="41"/>
      <c r="DM33" s="41"/>
      <c r="DN33" s="41"/>
      <c r="DO33" s="230"/>
      <c r="DP33" s="230"/>
      <c r="DQ33" s="41" t="s">
        <v>460</v>
      </c>
      <c r="DR33" s="41"/>
      <c r="DS33" s="41"/>
      <c r="DT33" s="41"/>
      <c r="DU33" s="41"/>
      <c r="DV33" s="230"/>
      <c r="DW33" s="234"/>
      <c r="DX33" s="41"/>
      <c r="DY33" s="41"/>
      <c r="DZ33" s="41"/>
      <c r="EA33" s="41" t="s">
        <v>460</v>
      </c>
      <c r="EB33" s="41"/>
      <c r="EC33" s="230"/>
      <c r="ED33" s="230"/>
      <c r="EE33" s="41"/>
      <c r="EF33" s="41"/>
      <c r="EG33" s="41"/>
      <c r="EH33" s="41"/>
      <c r="EI33" s="41"/>
      <c r="EJ33" s="230"/>
      <c r="EK33" s="230"/>
      <c r="EL33" s="41"/>
      <c r="EM33" s="41"/>
      <c r="EN33" s="41"/>
      <c r="EO33" s="41"/>
      <c r="EP33" s="41"/>
      <c r="EQ33" s="230"/>
      <c r="ER33" s="230"/>
      <c r="ES33" s="41"/>
      <c r="ET33" s="41"/>
      <c r="EU33" s="41"/>
      <c r="EV33" s="41"/>
      <c r="EW33" s="41"/>
      <c r="EX33" s="230"/>
      <c r="EY33" s="230"/>
      <c r="EZ33" s="41"/>
      <c r="FA33" s="41"/>
      <c r="FB33" s="41"/>
      <c r="FC33" s="41"/>
      <c r="FD33" s="41"/>
      <c r="FE33" s="230"/>
      <c r="FF33" s="230"/>
      <c r="FG33" s="41"/>
      <c r="FH33" s="41"/>
      <c r="FI33" s="41"/>
      <c r="FJ33" s="41"/>
      <c r="FK33" s="41"/>
      <c r="FL33" s="230"/>
      <c r="FM33" s="230"/>
      <c r="FN33" s="41" t="s">
        <v>460</v>
      </c>
      <c r="FO33" s="41"/>
      <c r="FP33" s="41"/>
      <c r="FQ33" s="41"/>
      <c r="FR33" s="41"/>
      <c r="FS33" s="230"/>
      <c r="FT33" s="230"/>
      <c r="FU33" s="41"/>
      <c r="FV33" s="41"/>
      <c r="FW33" s="41"/>
      <c r="FX33" s="41"/>
      <c r="FY33" s="41"/>
      <c r="FZ33" s="230"/>
      <c r="GA33" s="230"/>
      <c r="GB33" s="41"/>
      <c r="GC33" s="41"/>
      <c r="GD33" s="41"/>
      <c r="GE33" s="41"/>
      <c r="GF33" s="41"/>
      <c r="GG33" s="230"/>
      <c r="GH33" s="230"/>
      <c r="GI33" s="41"/>
      <c r="GJ33" s="41"/>
      <c r="GK33" s="41"/>
      <c r="GL33" s="41"/>
      <c r="GM33" s="41"/>
      <c r="GN33" s="230"/>
      <c r="GO33" s="230"/>
      <c r="GP33" s="41"/>
      <c r="GQ33" s="41"/>
      <c r="GR33" s="41"/>
      <c r="GS33" s="41"/>
      <c r="GT33" s="41"/>
      <c r="GU33" s="230"/>
      <c r="GV33" s="230"/>
      <c r="GW33" s="41" t="s">
        <v>460</v>
      </c>
      <c r="GX33" s="41"/>
      <c r="GY33" s="41"/>
      <c r="GZ33" s="41"/>
      <c r="HA33" s="41"/>
      <c r="HB33" s="230"/>
      <c r="HC33" s="230"/>
      <c r="HD33" s="41" t="s">
        <v>460</v>
      </c>
      <c r="HE33" s="41" t="s">
        <v>460</v>
      </c>
      <c r="HF33" s="41" t="s">
        <v>460</v>
      </c>
      <c r="HG33" s="41" t="s">
        <v>460</v>
      </c>
      <c r="HH33" s="41" t="s">
        <v>460</v>
      </c>
      <c r="HI33" s="230"/>
      <c r="HJ33" s="230"/>
      <c r="HK33" s="372" t="s">
        <v>460</v>
      </c>
      <c r="HL33" s="372" t="s">
        <v>460</v>
      </c>
      <c r="HM33" s="372" t="s">
        <v>460</v>
      </c>
      <c r="HN33" s="372" t="s">
        <v>460</v>
      </c>
      <c r="HO33" s="372" t="s">
        <v>460</v>
      </c>
      <c r="HP33" s="230"/>
      <c r="HQ33" s="230"/>
      <c r="HR33" s="372"/>
      <c r="HS33" s="372"/>
      <c r="HT33" s="372"/>
      <c r="HU33" s="372"/>
      <c r="HV33" s="372"/>
      <c r="HW33" s="230"/>
      <c r="HX33" s="230"/>
      <c r="HY33" s="372"/>
      <c r="HZ33" s="372"/>
      <c r="IA33" s="372"/>
      <c r="IB33" s="372"/>
      <c r="IC33" s="372"/>
      <c r="ID33" s="230"/>
      <c r="IE33" s="230"/>
      <c r="IF33" s="372"/>
      <c r="IG33" s="372"/>
      <c r="IH33" s="372"/>
      <c r="II33" s="372"/>
      <c r="IJ33" s="372"/>
      <c r="IK33" s="230"/>
      <c r="IL33" s="230"/>
      <c r="IM33" s="372"/>
      <c r="IN33" s="372"/>
      <c r="IO33" s="372"/>
      <c r="IP33" s="372"/>
      <c r="IQ33" s="372"/>
      <c r="IR33" s="230"/>
      <c r="IS33" s="230"/>
      <c r="IT33" s="372"/>
      <c r="IU33" s="372"/>
      <c r="IV33" s="372"/>
      <c r="IW33" s="372"/>
      <c r="IX33" s="372"/>
      <c r="IY33" s="230"/>
      <c r="IZ33" s="230"/>
      <c r="JA33" s="372"/>
      <c r="JB33" s="372"/>
      <c r="JC33" s="372"/>
      <c r="JD33" s="372"/>
      <c r="JE33" s="372"/>
      <c r="JF33" s="230"/>
      <c r="JG33" s="230"/>
      <c r="JH33" s="41"/>
      <c r="JI33" s="41"/>
      <c r="JJ33" s="41"/>
      <c r="JK33" s="41"/>
      <c r="JL33" s="41"/>
      <c r="JM33" s="230"/>
      <c r="JN33" s="230"/>
      <c r="JO33" s="41"/>
      <c r="JP33" s="41"/>
      <c r="JQ33" s="41"/>
      <c r="JR33" s="41"/>
      <c r="JS33" s="41"/>
      <c r="JT33" s="230"/>
      <c r="JU33" s="230"/>
      <c r="JV33" s="41"/>
      <c r="JW33" s="41"/>
      <c r="JX33" s="41"/>
      <c r="JY33" s="41"/>
      <c r="JZ33" s="41"/>
      <c r="KA33" s="230"/>
      <c r="KB33" s="230"/>
      <c r="KC33" s="41"/>
      <c r="KD33" s="41"/>
      <c r="KE33" s="41"/>
      <c r="KF33" s="41"/>
      <c r="KG33" s="41"/>
      <c r="KH33" s="230"/>
      <c r="KI33" s="230"/>
      <c r="KJ33" s="41"/>
      <c r="KK33" s="41"/>
      <c r="KL33" s="41"/>
      <c r="KM33" s="41"/>
      <c r="KN33" s="41"/>
      <c r="KO33" s="230"/>
      <c r="KP33" s="230"/>
      <c r="KQ33" s="41"/>
      <c r="KR33" s="41"/>
      <c r="KS33" s="41"/>
      <c r="KT33" s="41"/>
      <c r="KU33" s="41"/>
      <c r="KV33" s="230"/>
      <c r="KW33" s="234"/>
      <c r="KX33" s="41"/>
      <c r="KY33" s="41"/>
      <c r="KZ33" s="41"/>
      <c r="LA33" s="41"/>
      <c r="LB33" s="41"/>
      <c r="LC33" s="230"/>
      <c r="LD33" s="230"/>
      <c r="LE33" s="41"/>
      <c r="LF33" s="41"/>
      <c r="LG33" s="41"/>
      <c r="LH33" s="41"/>
      <c r="LI33" s="41"/>
      <c r="LJ33" s="230"/>
      <c r="LK33" s="230"/>
      <c r="LL33" s="41"/>
      <c r="LM33" s="41"/>
      <c r="LN33" s="41"/>
      <c r="LO33" s="41"/>
      <c r="LP33" s="41"/>
      <c r="LQ33" s="230"/>
      <c r="LR33" s="230"/>
      <c r="LS33" s="41"/>
      <c r="LT33" s="41"/>
      <c r="LU33" s="41"/>
      <c r="LV33" s="41"/>
      <c r="LW33" s="41"/>
      <c r="LX33" s="230"/>
      <c r="LY33" s="230"/>
      <c r="LZ33" s="41"/>
      <c r="MA33" s="41"/>
      <c r="MB33" s="41"/>
      <c r="MC33" s="41"/>
      <c r="MD33" s="41"/>
      <c r="ME33" s="230"/>
      <c r="MF33" s="230"/>
      <c r="MG33" s="41"/>
      <c r="MH33" s="41"/>
      <c r="MI33" s="41"/>
      <c r="MJ33" s="41"/>
      <c r="MK33" s="41"/>
      <c r="ML33" s="230"/>
      <c r="MM33" s="230"/>
      <c r="MN33" s="41"/>
      <c r="MO33" s="41"/>
      <c r="MP33" s="41"/>
      <c r="MQ33" s="41"/>
      <c r="MR33" s="41"/>
      <c r="MS33" s="230"/>
      <c r="MT33" s="230"/>
      <c r="MU33" s="41"/>
      <c r="MV33" s="41"/>
      <c r="MW33" s="41"/>
      <c r="MX33" s="41"/>
      <c r="MY33" s="41"/>
      <c r="MZ33" s="230"/>
      <c r="NA33" s="230"/>
      <c r="NB33" s="41"/>
      <c r="NC33" s="41"/>
      <c r="ND33" s="41"/>
      <c r="NE33" s="41"/>
      <c r="NF33" s="41"/>
      <c r="NG33" s="230"/>
      <c r="NH33" s="230"/>
      <c r="NI33" s="41"/>
      <c r="NJ33" s="41"/>
      <c r="NK33" s="41"/>
      <c r="NL33" s="41"/>
      <c r="NM33" s="41"/>
      <c r="NN33" s="230"/>
      <c r="NO33" s="230"/>
    </row>
    <row r="34" spans="4:379" ht="15" customHeight="1" x14ac:dyDescent="0.3">
      <c r="D34" s="206" t="s">
        <v>60</v>
      </c>
      <c r="E34" s="187" t="s">
        <v>8</v>
      </c>
      <c r="F34" s="351" t="s">
        <v>9</v>
      </c>
      <c r="G34" s="353" t="s">
        <v>359</v>
      </c>
      <c r="H34" s="154" t="s">
        <v>918</v>
      </c>
      <c r="I34" s="125"/>
      <c r="J34" s="41"/>
      <c r="K34" s="41"/>
      <c r="L34" s="41"/>
      <c r="M34" s="41"/>
      <c r="N34" s="234"/>
      <c r="O34" s="234"/>
      <c r="P34" s="41"/>
      <c r="Q34" s="41"/>
      <c r="R34" s="41"/>
      <c r="S34" s="41"/>
      <c r="T34" s="41"/>
      <c r="U34" s="230"/>
      <c r="V34" s="230"/>
      <c r="W34" s="41"/>
      <c r="X34" s="41"/>
      <c r="Y34" s="41"/>
      <c r="Z34" s="41"/>
      <c r="AA34" s="41"/>
      <c r="AB34" s="230"/>
      <c r="AC34" s="230"/>
      <c r="AD34" s="41"/>
      <c r="AE34" s="41"/>
      <c r="AF34" s="41"/>
      <c r="AG34" s="41"/>
      <c r="AH34" s="41"/>
      <c r="AI34" s="230"/>
      <c r="AJ34" s="230"/>
      <c r="AK34" s="41"/>
      <c r="AL34" s="41"/>
      <c r="AM34" s="41"/>
      <c r="AN34" s="41"/>
      <c r="AO34" s="41"/>
      <c r="AP34" s="230"/>
      <c r="AQ34" s="230"/>
      <c r="AR34" s="41"/>
      <c r="AS34" s="41"/>
      <c r="AT34" s="41"/>
      <c r="AU34" s="41"/>
      <c r="AV34" s="41"/>
      <c r="AW34" s="230"/>
      <c r="AX34" s="230"/>
      <c r="AY34" s="41"/>
      <c r="AZ34" s="41"/>
      <c r="BA34" s="41"/>
      <c r="BB34" s="41"/>
      <c r="BC34" s="41"/>
      <c r="BD34" s="230"/>
      <c r="BE34" s="230"/>
      <c r="BF34" s="41"/>
      <c r="BG34" s="41"/>
      <c r="BH34" s="41"/>
      <c r="BI34" s="41"/>
      <c r="BJ34" s="41"/>
      <c r="BK34" s="230"/>
      <c r="BL34" s="230"/>
      <c r="BM34" s="41"/>
      <c r="BN34" s="41"/>
      <c r="BO34" s="41"/>
      <c r="BP34" s="41"/>
      <c r="BQ34" s="41"/>
      <c r="BR34" s="234"/>
      <c r="BS34" s="234"/>
      <c r="BT34" s="41"/>
      <c r="BU34" s="41"/>
      <c r="BV34" s="41"/>
      <c r="BW34" s="41"/>
      <c r="BX34" s="41"/>
      <c r="BY34" s="234"/>
      <c r="BZ34" s="234"/>
      <c r="CA34" s="41"/>
      <c r="CB34" s="41"/>
      <c r="CC34" s="41"/>
      <c r="CD34" s="41"/>
      <c r="CE34" s="41"/>
      <c r="CF34" s="234"/>
      <c r="CG34" s="234"/>
      <c r="CH34" s="41"/>
      <c r="CI34" s="41"/>
      <c r="CJ34" s="41"/>
      <c r="CK34" s="41"/>
      <c r="CL34" s="41"/>
      <c r="CM34" s="234"/>
      <c r="CN34" s="234"/>
      <c r="CO34" s="41"/>
      <c r="CP34" s="41"/>
      <c r="CQ34" s="41"/>
      <c r="CR34" s="41"/>
      <c r="CS34" s="41"/>
      <c r="CT34" s="234"/>
      <c r="CU34" s="234"/>
      <c r="CV34" s="41"/>
      <c r="CW34" s="41"/>
      <c r="CX34" s="41"/>
      <c r="CY34" s="41"/>
      <c r="CZ34" s="41"/>
      <c r="DA34" s="234"/>
      <c r="DB34" s="234"/>
      <c r="DC34" s="41"/>
      <c r="DD34" s="41"/>
      <c r="DE34" s="41"/>
      <c r="DF34" s="41"/>
      <c r="DG34" s="41"/>
      <c r="DH34" s="234"/>
      <c r="DI34" s="234"/>
      <c r="DJ34" s="41"/>
      <c r="DK34" s="41"/>
      <c r="DL34" s="41"/>
      <c r="DM34" s="41"/>
      <c r="DN34" s="41"/>
      <c r="DO34" s="234"/>
      <c r="DP34" s="234"/>
      <c r="DQ34" s="41" t="s">
        <v>460</v>
      </c>
      <c r="DR34" s="41"/>
      <c r="DS34" s="41"/>
      <c r="DT34" s="41"/>
      <c r="DU34" s="41"/>
      <c r="DV34" s="234"/>
      <c r="DW34" s="234"/>
      <c r="DX34" s="41"/>
      <c r="DY34" s="41"/>
      <c r="DZ34" s="41"/>
      <c r="EA34" s="41" t="s">
        <v>460</v>
      </c>
      <c r="EB34" s="41"/>
      <c r="EC34" s="234"/>
      <c r="ED34" s="234"/>
      <c r="EE34" s="41"/>
      <c r="EF34" s="41"/>
      <c r="EG34" s="41"/>
      <c r="EH34" s="41"/>
      <c r="EI34" s="41"/>
      <c r="EJ34" s="234"/>
      <c r="EK34" s="234"/>
      <c r="EL34" s="41"/>
      <c r="EM34" s="41"/>
      <c r="EN34" s="41"/>
      <c r="EO34" s="41"/>
      <c r="EP34" s="41"/>
      <c r="EQ34" s="234"/>
      <c r="ER34" s="234"/>
      <c r="ES34" s="41"/>
      <c r="ET34" s="41"/>
      <c r="EU34" s="41"/>
      <c r="EV34" s="41"/>
      <c r="EW34" s="41"/>
      <c r="EX34" s="234"/>
      <c r="EY34" s="234"/>
      <c r="EZ34" s="41"/>
      <c r="FA34" s="41"/>
      <c r="FB34" s="41"/>
      <c r="FC34" s="41"/>
      <c r="FD34" s="41"/>
      <c r="FE34" s="234"/>
      <c r="FF34" s="234"/>
      <c r="FG34" s="41"/>
      <c r="FH34" s="41"/>
      <c r="FI34" s="41"/>
      <c r="FJ34" s="41"/>
      <c r="FK34" s="41"/>
      <c r="FL34" s="234"/>
      <c r="FM34" s="234"/>
      <c r="FN34" s="41" t="s">
        <v>460</v>
      </c>
      <c r="FO34" s="41"/>
      <c r="FP34" s="41"/>
      <c r="FQ34" s="41"/>
      <c r="FR34" s="41"/>
      <c r="FS34" s="234"/>
      <c r="FT34" s="234"/>
      <c r="FU34" s="41"/>
      <c r="FV34" s="41"/>
      <c r="FW34" s="41"/>
      <c r="FX34" s="41"/>
      <c r="FY34" s="41"/>
      <c r="FZ34" s="234"/>
      <c r="GA34" s="234"/>
      <c r="GB34" s="41"/>
      <c r="GC34" s="41"/>
      <c r="GD34" s="41"/>
      <c r="GE34" s="41"/>
      <c r="GF34" s="41"/>
      <c r="GG34" s="234"/>
      <c r="GH34" s="234"/>
      <c r="GI34" s="41"/>
      <c r="GJ34" s="41"/>
      <c r="GK34" s="41"/>
      <c r="GL34" s="41"/>
      <c r="GM34" s="41"/>
      <c r="GN34" s="234"/>
      <c r="GO34" s="234"/>
      <c r="GP34" s="41"/>
      <c r="GQ34" s="41"/>
      <c r="GR34" s="41"/>
      <c r="GS34" s="41"/>
      <c r="GT34" s="41"/>
      <c r="GU34" s="234"/>
      <c r="GV34" s="234"/>
      <c r="GW34" s="41" t="s">
        <v>460</v>
      </c>
      <c r="GX34" s="41"/>
      <c r="GY34" s="41"/>
      <c r="GZ34" s="41"/>
      <c r="HA34" s="41"/>
      <c r="HB34" s="230"/>
      <c r="HC34" s="230"/>
      <c r="HD34" s="372"/>
      <c r="HE34" s="372"/>
      <c r="HF34" s="372"/>
      <c r="HG34" s="372"/>
      <c r="HH34" s="372"/>
      <c r="HI34" s="230"/>
      <c r="HJ34" s="230"/>
      <c r="HK34" s="372"/>
      <c r="HL34" s="372"/>
      <c r="HM34" s="372"/>
      <c r="HN34" s="372"/>
      <c r="HO34" s="372"/>
      <c r="HP34" s="230"/>
      <c r="HQ34" s="230"/>
      <c r="HR34" s="372"/>
      <c r="HS34" s="372"/>
      <c r="HT34" s="372"/>
      <c r="HU34" s="372"/>
      <c r="HV34" s="372"/>
      <c r="HW34" s="230"/>
      <c r="HX34" s="230"/>
      <c r="HY34" s="372"/>
      <c r="HZ34" s="372"/>
      <c r="IA34" s="372"/>
      <c r="IB34" s="372"/>
      <c r="IC34" s="372"/>
      <c r="ID34" s="230"/>
      <c r="IE34" s="230"/>
      <c r="IF34" s="372"/>
      <c r="IG34" s="372"/>
      <c r="IH34" s="372"/>
      <c r="II34" s="372"/>
      <c r="IJ34" s="372"/>
      <c r="IK34" s="230"/>
      <c r="IL34" s="230"/>
      <c r="IM34" s="372"/>
      <c r="IN34" s="372"/>
      <c r="IO34" s="372"/>
      <c r="IP34" s="372"/>
      <c r="IQ34" s="372"/>
      <c r="IR34" s="234"/>
      <c r="IS34" s="234"/>
      <c r="IT34" s="372"/>
      <c r="IU34" s="372"/>
      <c r="IV34" s="372"/>
      <c r="IW34" s="372"/>
      <c r="IX34" s="372"/>
      <c r="IY34" s="234"/>
      <c r="IZ34" s="234"/>
      <c r="JA34" s="372"/>
      <c r="JB34" s="372"/>
      <c r="JC34" s="372"/>
      <c r="JD34" s="372"/>
      <c r="JE34" s="372"/>
      <c r="JF34" s="234"/>
      <c r="JG34" s="234"/>
      <c r="JH34" s="234"/>
      <c r="JI34" s="234"/>
      <c r="JJ34" s="234"/>
      <c r="JK34" s="234"/>
      <c r="JL34" s="234"/>
      <c r="JM34" s="234"/>
      <c r="JN34" s="234"/>
      <c r="JO34" s="234"/>
      <c r="JP34" s="234"/>
      <c r="JQ34" s="234"/>
      <c r="JR34" s="234"/>
      <c r="JS34" s="234"/>
      <c r="JT34" s="234"/>
      <c r="JU34" s="234"/>
      <c r="JV34" s="234"/>
      <c r="JW34" s="234"/>
      <c r="JX34" s="234"/>
      <c r="JY34" s="234"/>
      <c r="JZ34" s="234"/>
      <c r="KA34" s="234"/>
      <c r="KB34" s="234"/>
      <c r="KC34" s="234"/>
      <c r="KD34" s="234"/>
      <c r="KE34" s="234"/>
      <c r="KF34" s="234"/>
      <c r="KG34" s="234"/>
      <c r="KH34" s="234"/>
      <c r="KI34" s="234"/>
      <c r="KJ34" s="234"/>
      <c r="KK34" s="234"/>
      <c r="KL34" s="234"/>
      <c r="KM34" s="234"/>
      <c r="KN34" s="234"/>
      <c r="KO34" s="234"/>
      <c r="KP34" s="234"/>
      <c r="KQ34" s="234"/>
      <c r="KR34" s="234"/>
      <c r="KS34" s="234"/>
      <c r="KT34" s="234"/>
      <c r="KU34" s="234"/>
      <c r="KV34" s="234"/>
      <c r="KW34" s="234"/>
      <c r="KX34" s="234"/>
      <c r="KY34" s="234"/>
      <c r="KZ34" s="234"/>
      <c r="LA34" s="234"/>
      <c r="LB34" s="234"/>
      <c r="LC34" s="234"/>
      <c r="LD34" s="234"/>
      <c r="LE34" s="234"/>
      <c r="LF34" s="234"/>
      <c r="LG34" s="234"/>
      <c r="LH34" s="234"/>
      <c r="LI34" s="234"/>
      <c r="LJ34" s="234"/>
      <c r="LK34" s="234"/>
      <c r="LL34" s="234"/>
      <c r="LM34" s="234"/>
      <c r="LN34" s="234"/>
      <c r="LO34" s="234"/>
      <c r="LP34" s="234"/>
      <c r="LQ34" s="234"/>
      <c r="LR34" s="234"/>
      <c r="LS34" s="234"/>
      <c r="LT34" s="234"/>
      <c r="LU34" s="234"/>
      <c r="LV34" s="234"/>
      <c r="LW34" s="234"/>
      <c r="LX34" s="234"/>
      <c r="LY34" s="234"/>
      <c r="LZ34" s="234"/>
      <c r="MA34" s="234"/>
      <c r="MB34" s="234"/>
      <c r="MC34" s="234"/>
      <c r="MD34" s="234"/>
      <c r="ME34" s="234"/>
      <c r="MF34" s="234"/>
      <c r="MG34" s="234"/>
      <c r="MH34" s="234"/>
      <c r="MI34" s="234"/>
      <c r="MJ34" s="234"/>
      <c r="MK34" s="234"/>
      <c r="ML34" s="234"/>
      <c r="MM34" s="234"/>
      <c r="MN34" s="234"/>
      <c r="MO34" s="234"/>
      <c r="MP34" s="234"/>
      <c r="MQ34" s="234"/>
      <c r="MR34" s="234"/>
      <c r="MS34" s="234"/>
      <c r="MT34" s="234"/>
      <c r="MU34" s="234"/>
      <c r="MV34" s="234"/>
      <c r="MW34" s="234"/>
      <c r="MX34" s="234"/>
      <c r="MY34" s="234"/>
      <c r="MZ34" s="234"/>
      <c r="NA34" s="234"/>
      <c r="NB34" s="234"/>
      <c r="NC34" s="234"/>
      <c r="ND34" s="234"/>
      <c r="NE34" s="234"/>
      <c r="NF34" s="234"/>
      <c r="NG34" s="234"/>
      <c r="NH34" s="234"/>
      <c r="NI34" s="234"/>
      <c r="NJ34" s="234"/>
      <c r="NK34" s="234"/>
      <c r="NL34" s="234"/>
      <c r="NM34" s="234"/>
      <c r="NN34" s="234"/>
      <c r="NO34" s="234"/>
    </row>
    <row r="35" spans="4:379" x14ac:dyDescent="0.3">
      <c r="D35" s="206" t="s">
        <v>60</v>
      </c>
      <c r="E35" s="183" t="s">
        <v>8</v>
      </c>
      <c r="F35" s="351" t="s">
        <v>9</v>
      </c>
      <c r="G35" s="354" t="s">
        <v>365</v>
      </c>
      <c r="H35" s="156" t="s">
        <v>366</v>
      </c>
      <c r="I35" s="125"/>
      <c r="J35" s="41"/>
      <c r="K35" s="41"/>
      <c r="L35" s="41"/>
      <c r="M35" s="41"/>
      <c r="N35" s="230"/>
      <c r="O35" s="230"/>
      <c r="P35" s="41"/>
      <c r="Q35" s="41"/>
      <c r="R35" s="41"/>
      <c r="S35" s="41"/>
      <c r="T35" s="41"/>
      <c r="U35" s="230"/>
      <c r="V35" s="230"/>
      <c r="W35" s="41"/>
      <c r="X35" s="41"/>
      <c r="Y35" s="41"/>
      <c r="Z35" s="41"/>
      <c r="AA35" s="41"/>
      <c r="AB35" s="230"/>
      <c r="AC35" s="230"/>
      <c r="AD35" s="41"/>
      <c r="AE35" s="41"/>
      <c r="AF35" s="41"/>
      <c r="AG35" s="41"/>
      <c r="AH35" s="41"/>
      <c r="AI35" s="230"/>
      <c r="AJ35" s="230"/>
      <c r="AK35" s="41"/>
      <c r="AL35" s="41"/>
      <c r="AM35" s="41"/>
      <c r="AN35" s="41"/>
      <c r="AO35" s="41"/>
      <c r="AP35" s="230"/>
      <c r="AQ35" s="230"/>
      <c r="AR35" s="41"/>
      <c r="AS35" s="41"/>
      <c r="AT35" s="41"/>
      <c r="AU35" s="41"/>
      <c r="AV35" s="41"/>
      <c r="AW35" s="230"/>
      <c r="AX35" s="230"/>
      <c r="AY35" s="41"/>
      <c r="AZ35" s="41"/>
      <c r="BA35" s="41"/>
      <c r="BB35" s="41"/>
      <c r="BC35" s="41"/>
      <c r="BD35" s="230"/>
      <c r="BE35" s="230"/>
      <c r="BF35" s="41"/>
      <c r="BG35" s="41"/>
      <c r="BH35" s="41"/>
      <c r="BI35" s="41"/>
      <c r="BJ35" s="41"/>
      <c r="BK35" s="230"/>
      <c r="BL35" s="230"/>
      <c r="BM35" s="41"/>
      <c r="BN35" s="41"/>
      <c r="BO35" s="41"/>
      <c r="BP35" s="41"/>
      <c r="BQ35" s="41"/>
      <c r="BR35" s="230"/>
      <c r="BS35" s="230"/>
      <c r="BT35" s="41"/>
      <c r="BU35" s="41"/>
      <c r="BV35" s="41"/>
      <c r="BW35" s="41"/>
      <c r="BX35" s="41"/>
      <c r="BY35" s="230"/>
      <c r="BZ35" s="230"/>
      <c r="CA35" s="41"/>
      <c r="CB35" s="41"/>
      <c r="CC35" s="41"/>
      <c r="CD35" s="41"/>
      <c r="CE35" s="41"/>
      <c r="CF35" s="230"/>
      <c r="CG35" s="230"/>
      <c r="CH35" s="41"/>
      <c r="CI35" s="41"/>
      <c r="CJ35" s="41"/>
      <c r="CK35" s="41"/>
      <c r="CL35" s="41"/>
      <c r="CM35" s="230"/>
      <c r="CN35" s="230"/>
      <c r="CO35" s="41"/>
      <c r="CP35" s="41"/>
      <c r="CQ35" s="41"/>
      <c r="CR35" s="41"/>
      <c r="CS35" s="41"/>
      <c r="CT35" s="230"/>
      <c r="CU35" s="230"/>
      <c r="CV35" s="41"/>
      <c r="CW35" s="41"/>
      <c r="CX35" s="41"/>
      <c r="CY35" s="41"/>
      <c r="CZ35" s="41"/>
      <c r="DA35" s="230"/>
      <c r="DB35" s="230"/>
      <c r="DC35" s="41"/>
      <c r="DD35" s="41"/>
      <c r="DE35" s="41"/>
      <c r="DF35" s="41"/>
      <c r="DG35" s="41"/>
      <c r="DH35" s="230"/>
      <c r="DI35" s="230"/>
      <c r="DJ35" s="41"/>
      <c r="DK35" s="41"/>
      <c r="DL35" s="41"/>
      <c r="DM35" s="41"/>
      <c r="DN35" s="41"/>
      <c r="DO35" s="230"/>
      <c r="DP35" s="230"/>
      <c r="DQ35" s="41" t="s">
        <v>460</v>
      </c>
      <c r="DR35" s="41" t="s">
        <v>460</v>
      </c>
      <c r="DS35" s="41" t="s">
        <v>460</v>
      </c>
      <c r="DT35" s="41" t="s">
        <v>460</v>
      </c>
      <c r="DU35" s="41" t="s">
        <v>460</v>
      </c>
      <c r="DV35" s="230"/>
      <c r="DW35" s="230"/>
      <c r="DX35" s="41" t="s">
        <v>460</v>
      </c>
      <c r="DY35" s="41" t="s">
        <v>460</v>
      </c>
      <c r="DZ35" s="41" t="s">
        <v>460</v>
      </c>
      <c r="EA35" s="41" t="s">
        <v>460</v>
      </c>
      <c r="EB35" s="41" t="s">
        <v>460</v>
      </c>
      <c r="EC35" s="230"/>
      <c r="ED35" s="230"/>
      <c r="EE35" s="41" t="s">
        <v>460</v>
      </c>
      <c r="EF35" s="41" t="s">
        <v>460</v>
      </c>
      <c r="EG35" s="41" t="s">
        <v>460</v>
      </c>
      <c r="EH35" s="41" t="s">
        <v>460</v>
      </c>
      <c r="EI35" s="41" t="s">
        <v>460</v>
      </c>
      <c r="EJ35" s="230"/>
      <c r="EK35" s="230"/>
      <c r="EL35" s="41" t="s">
        <v>460</v>
      </c>
      <c r="EM35" s="41" t="s">
        <v>460</v>
      </c>
      <c r="EN35" s="41" t="s">
        <v>460</v>
      </c>
      <c r="EO35" s="41" t="s">
        <v>460</v>
      </c>
      <c r="EP35" s="41" t="s">
        <v>460</v>
      </c>
      <c r="EQ35" s="230"/>
      <c r="ER35" s="230"/>
      <c r="ES35" s="41" t="s">
        <v>460</v>
      </c>
      <c r="ET35" s="41" t="s">
        <v>460</v>
      </c>
      <c r="EU35" s="41" t="s">
        <v>460</v>
      </c>
      <c r="EV35" s="41" t="s">
        <v>460</v>
      </c>
      <c r="EW35" s="41" t="s">
        <v>460</v>
      </c>
      <c r="EX35" s="230"/>
      <c r="EY35" s="230"/>
      <c r="EZ35" s="41" t="s">
        <v>460</v>
      </c>
      <c r="FA35" s="41" t="s">
        <v>460</v>
      </c>
      <c r="FB35" s="41" t="s">
        <v>460</v>
      </c>
      <c r="FC35" s="41" t="s">
        <v>460</v>
      </c>
      <c r="FD35" s="41" t="s">
        <v>460</v>
      </c>
      <c r="FE35" s="230"/>
      <c r="FF35" s="230"/>
      <c r="FG35" s="41" t="s">
        <v>460</v>
      </c>
      <c r="FH35" s="41" t="s">
        <v>460</v>
      </c>
      <c r="FI35" s="41" t="s">
        <v>460</v>
      </c>
      <c r="FJ35" s="41" t="s">
        <v>460</v>
      </c>
      <c r="FK35" s="41" t="s">
        <v>460</v>
      </c>
      <c r="FL35" s="230"/>
      <c r="FM35" s="230"/>
      <c r="FN35" s="41" t="s">
        <v>460</v>
      </c>
      <c r="FO35" s="41" t="s">
        <v>460</v>
      </c>
      <c r="FP35" s="41" t="s">
        <v>460</v>
      </c>
      <c r="FQ35" s="41" t="s">
        <v>460</v>
      </c>
      <c r="FR35" s="41" t="s">
        <v>460</v>
      </c>
      <c r="FS35" s="230"/>
      <c r="FT35" s="230"/>
      <c r="FU35" s="41" t="s">
        <v>460</v>
      </c>
      <c r="FV35" s="41" t="s">
        <v>460</v>
      </c>
      <c r="FW35" s="41" t="s">
        <v>460</v>
      </c>
      <c r="FX35" s="41" t="s">
        <v>460</v>
      </c>
      <c r="FY35" s="41" t="s">
        <v>460</v>
      </c>
      <c r="FZ35" s="230"/>
      <c r="GA35" s="230"/>
      <c r="GB35" s="41" t="s">
        <v>460</v>
      </c>
      <c r="GC35" s="41" t="s">
        <v>460</v>
      </c>
      <c r="GD35" s="41" t="s">
        <v>460</v>
      </c>
      <c r="GE35" s="41" t="s">
        <v>460</v>
      </c>
      <c r="GF35" s="41" t="s">
        <v>460</v>
      </c>
      <c r="GG35" s="230"/>
      <c r="GH35" s="230"/>
      <c r="GI35" s="41" t="s">
        <v>460</v>
      </c>
      <c r="GJ35" s="41" t="s">
        <v>460</v>
      </c>
      <c r="GK35" s="41" t="s">
        <v>460</v>
      </c>
      <c r="GL35" s="41" t="s">
        <v>460</v>
      </c>
      <c r="GM35" s="41" t="s">
        <v>460</v>
      </c>
      <c r="GN35" s="230"/>
      <c r="GO35" s="230"/>
      <c r="GP35" s="41" t="s">
        <v>460</v>
      </c>
      <c r="GQ35" s="41" t="s">
        <v>460</v>
      </c>
      <c r="GR35" s="41" t="s">
        <v>460</v>
      </c>
      <c r="GS35" s="41" t="s">
        <v>460</v>
      </c>
      <c r="GT35" s="41" t="s">
        <v>460</v>
      </c>
      <c r="GU35" s="230"/>
      <c r="GV35" s="230"/>
      <c r="GW35" s="41" t="s">
        <v>460</v>
      </c>
      <c r="GX35" s="41" t="s">
        <v>460</v>
      </c>
      <c r="GY35" s="41" t="s">
        <v>460</v>
      </c>
      <c r="GZ35" s="41" t="s">
        <v>460</v>
      </c>
      <c r="HA35" s="41" t="s">
        <v>460</v>
      </c>
      <c r="HB35" s="230"/>
      <c r="HC35" s="230"/>
      <c r="HD35" s="41" t="s">
        <v>460</v>
      </c>
      <c r="HE35" s="41" t="s">
        <v>460</v>
      </c>
      <c r="HF35" s="41" t="s">
        <v>460</v>
      </c>
      <c r="HG35" s="41" t="s">
        <v>460</v>
      </c>
      <c r="HH35" s="41" t="s">
        <v>460</v>
      </c>
      <c r="HI35" s="230"/>
      <c r="HJ35" s="230"/>
      <c r="HK35" s="372" t="s">
        <v>460</v>
      </c>
      <c r="HL35" s="372" t="s">
        <v>460</v>
      </c>
      <c r="HM35" s="372" t="s">
        <v>460</v>
      </c>
      <c r="HN35" s="372" t="s">
        <v>460</v>
      </c>
      <c r="HO35" s="372" t="s">
        <v>460</v>
      </c>
      <c r="HP35" s="230"/>
      <c r="HQ35" s="230"/>
      <c r="HR35" s="372" t="s">
        <v>460</v>
      </c>
      <c r="HS35" s="372" t="s">
        <v>460</v>
      </c>
      <c r="HT35" s="372" t="s">
        <v>460</v>
      </c>
      <c r="HU35" s="372" t="s">
        <v>460</v>
      </c>
      <c r="HV35" s="372" t="s">
        <v>460</v>
      </c>
      <c r="HW35" s="230"/>
      <c r="HX35" s="230"/>
      <c r="HY35" s="372" t="s">
        <v>460</v>
      </c>
      <c r="HZ35" s="372" t="s">
        <v>460</v>
      </c>
      <c r="IA35" s="372" t="s">
        <v>460</v>
      </c>
      <c r="IB35" s="372" t="s">
        <v>460</v>
      </c>
      <c r="IC35" s="372" t="s">
        <v>460</v>
      </c>
      <c r="ID35" s="230"/>
      <c r="IE35" s="230"/>
      <c r="IF35" s="372" t="s">
        <v>460</v>
      </c>
      <c r="IG35" s="372" t="s">
        <v>460</v>
      </c>
      <c r="IH35" s="372" t="s">
        <v>460</v>
      </c>
      <c r="II35" s="372" t="s">
        <v>460</v>
      </c>
      <c r="IJ35" s="372" t="s">
        <v>460</v>
      </c>
      <c r="IK35" s="230"/>
      <c r="IL35" s="230"/>
      <c r="IM35" s="372" t="s">
        <v>460</v>
      </c>
      <c r="IN35" s="372" t="s">
        <v>460</v>
      </c>
      <c r="IO35" s="372" t="s">
        <v>460</v>
      </c>
      <c r="IP35" s="372" t="s">
        <v>460</v>
      </c>
      <c r="IQ35" s="372" t="s">
        <v>460</v>
      </c>
      <c r="IR35" s="230"/>
      <c r="IS35" s="230"/>
      <c r="IT35" s="372" t="s">
        <v>460</v>
      </c>
      <c r="IU35" s="372" t="s">
        <v>460</v>
      </c>
      <c r="IV35" s="372" t="s">
        <v>460</v>
      </c>
      <c r="IW35" s="372" t="s">
        <v>460</v>
      </c>
      <c r="IX35" s="372" t="s">
        <v>460</v>
      </c>
      <c r="IY35" s="230"/>
      <c r="IZ35" s="230"/>
      <c r="JA35" s="372" t="s">
        <v>460</v>
      </c>
      <c r="JB35" s="372" t="s">
        <v>460</v>
      </c>
      <c r="JC35" s="372" t="s">
        <v>460</v>
      </c>
      <c r="JD35" s="372" t="s">
        <v>460</v>
      </c>
      <c r="JE35" s="372" t="s">
        <v>460</v>
      </c>
      <c r="JF35" s="230"/>
      <c r="JG35" s="230"/>
      <c r="JH35" s="41"/>
      <c r="JI35" s="41"/>
      <c r="JJ35" s="41"/>
      <c r="JK35" s="41"/>
      <c r="JL35" s="41"/>
      <c r="JM35" s="230"/>
      <c r="JN35" s="230"/>
      <c r="JO35" s="41"/>
      <c r="JP35" s="41"/>
      <c r="JQ35" s="41"/>
      <c r="JR35" s="41"/>
      <c r="JS35" s="41"/>
      <c r="JT35" s="230"/>
      <c r="JU35" s="230"/>
      <c r="JV35" s="41"/>
      <c r="JW35" s="41"/>
      <c r="JX35" s="41"/>
      <c r="JY35" s="41"/>
      <c r="JZ35" s="41"/>
      <c r="KA35" s="230"/>
      <c r="KB35" s="230"/>
      <c r="KC35" s="41"/>
      <c r="KD35" s="41"/>
      <c r="KE35" s="41"/>
      <c r="KF35" s="41"/>
      <c r="KG35" s="41"/>
      <c r="KH35" s="230"/>
      <c r="KI35" s="230"/>
      <c r="KJ35" s="41"/>
      <c r="KK35" s="41"/>
      <c r="KL35" s="41"/>
      <c r="KM35" s="41"/>
      <c r="KN35" s="41"/>
      <c r="KO35" s="230"/>
      <c r="KP35" s="230"/>
      <c r="KQ35" s="41"/>
      <c r="KR35" s="41"/>
      <c r="KS35" s="41"/>
      <c r="KT35" s="41"/>
      <c r="KU35" s="41"/>
      <c r="KV35" s="230"/>
      <c r="KW35" s="230"/>
      <c r="KX35" s="41"/>
      <c r="KY35" s="41"/>
      <c r="KZ35" s="41"/>
      <c r="LA35" s="41"/>
      <c r="LB35" s="41"/>
      <c r="LC35" s="230"/>
      <c r="LD35" s="230"/>
      <c r="LE35" s="41"/>
      <c r="LF35" s="41"/>
      <c r="LG35" s="41"/>
      <c r="LH35" s="41"/>
      <c r="LI35" s="41"/>
      <c r="LJ35" s="230"/>
      <c r="LK35" s="230"/>
      <c r="LL35" s="41"/>
      <c r="LM35" s="41"/>
      <c r="LN35" s="41"/>
      <c r="LO35" s="41"/>
      <c r="LP35" s="41"/>
      <c r="LQ35" s="230"/>
      <c r="LR35" s="230"/>
      <c r="LS35" s="41"/>
      <c r="LT35" s="41"/>
      <c r="LU35" s="41"/>
      <c r="LV35" s="41"/>
      <c r="LW35" s="41"/>
      <c r="LX35" s="230"/>
      <c r="LY35" s="230"/>
      <c r="LZ35" s="41"/>
      <c r="MA35" s="41"/>
      <c r="MB35" s="41"/>
      <c r="MC35" s="41"/>
      <c r="MD35" s="41"/>
      <c r="ME35" s="230"/>
      <c r="MF35" s="230"/>
      <c r="MG35" s="41"/>
      <c r="MH35" s="41"/>
      <c r="MI35" s="41"/>
      <c r="MJ35" s="41"/>
      <c r="MK35" s="41"/>
      <c r="ML35" s="230"/>
      <c r="MM35" s="230"/>
      <c r="MN35" s="41"/>
      <c r="MO35" s="41"/>
      <c r="MP35" s="41"/>
      <c r="MQ35" s="41"/>
      <c r="MR35" s="41"/>
      <c r="MS35" s="230"/>
      <c r="MT35" s="230"/>
      <c r="MU35" s="41"/>
      <c r="MV35" s="41"/>
      <c r="MW35" s="41"/>
      <c r="MX35" s="41"/>
      <c r="MY35" s="41"/>
      <c r="MZ35" s="230"/>
      <c r="NA35" s="230"/>
      <c r="NB35" s="41"/>
      <c r="NC35" s="41"/>
      <c r="ND35" s="41"/>
      <c r="NE35" s="41"/>
      <c r="NF35" s="41"/>
      <c r="NG35" s="230"/>
      <c r="NH35" s="230"/>
      <c r="NI35" s="41"/>
      <c r="NJ35" s="41"/>
      <c r="NK35" s="41"/>
      <c r="NL35" s="41"/>
      <c r="NM35" s="41"/>
      <c r="NN35" s="230"/>
      <c r="NO35" s="230"/>
    </row>
    <row r="36" spans="4:379" x14ac:dyDescent="0.3">
      <c r="D36" s="206" t="s">
        <v>60</v>
      </c>
      <c r="E36" s="184" t="s">
        <v>8</v>
      </c>
      <c r="F36" s="351" t="s">
        <v>113</v>
      </c>
      <c r="G36" s="363" t="s">
        <v>374</v>
      </c>
      <c r="H36" s="156" t="s">
        <v>57</v>
      </c>
      <c r="I36" s="125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 t="s">
        <v>458</v>
      </c>
      <c r="X36" s="41" t="s">
        <v>458</v>
      </c>
      <c r="Y36" s="41" t="s">
        <v>458</v>
      </c>
      <c r="Z36" s="41" t="s">
        <v>458</v>
      </c>
      <c r="AA36" s="41" t="s">
        <v>458</v>
      </c>
      <c r="AB36" s="41"/>
      <c r="AC36" s="41"/>
      <c r="AD36" s="41" t="s">
        <v>458</v>
      </c>
      <c r="AE36" s="41" t="s">
        <v>458</v>
      </c>
      <c r="AF36" s="41" t="s">
        <v>458</v>
      </c>
      <c r="AG36" s="41" t="s">
        <v>458</v>
      </c>
      <c r="AH36" s="41" t="s">
        <v>458</v>
      </c>
      <c r="AI36" s="41"/>
      <c r="AJ36" s="41"/>
      <c r="AK36" s="41" t="s">
        <v>458</v>
      </c>
      <c r="AL36" s="41" t="s">
        <v>458</v>
      </c>
      <c r="AM36" s="41" t="s">
        <v>458</v>
      </c>
      <c r="AN36" s="41" t="s">
        <v>458</v>
      </c>
      <c r="AO36" s="41" t="s">
        <v>458</v>
      </c>
      <c r="AP36" s="41"/>
      <c r="AQ36" s="41"/>
      <c r="AR36" s="41" t="s">
        <v>458</v>
      </c>
      <c r="AS36" s="41" t="s">
        <v>458</v>
      </c>
      <c r="AT36" s="41" t="s">
        <v>458</v>
      </c>
      <c r="AU36" s="41" t="s">
        <v>458</v>
      </c>
      <c r="AV36" s="41" t="s">
        <v>458</v>
      </c>
      <c r="AW36" s="230"/>
      <c r="AX36" s="230"/>
      <c r="AY36" s="41" t="s">
        <v>458</v>
      </c>
      <c r="AZ36" s="41" t="s">
        <v>458</v>
      </c>
      <c r="BA36" s="41" t="s">
        <v>458</v>
      </c>
      <c r="BB36" s="41" t="s">
        <v>458</v>
      </c>
      <c r="BC36" s="41" t="s">
        <v>458</v>
      </c>
      <c r="BD36" s="41"/>
      <c r="BE36" s="41"/>
      <c r="BF36" s="41" t="s">
        <v>458</v>
      </c>
      <c r="BG36" s="41" t="s">
        <v>458</v>
      </c>
      <c r="BH36" s="41" t="s">
        <v>458</v>
      </c>
      <c r="BI36" s="41" t="s">
        <v>458</v>
      </c>
      <c r="BJ36" s="41" t="s">
        <v>458</v>
      </c>
      <c r="BK36" s="230"/>
      <c r="BL36" s="230"/>
      <c r="BM36" s="41" t="s">
        <v>458</v>
      </c>
      <c r="BN36" s="41" t="s">
        <v>458</v>
      </c>
      <c r="BO36" s="41" t="s">
        <v>458</v>
      </c>
      <c r="BP36" s="41" t="s">
        <v>458</v>
      </c>
      <c r="BQ36" s="41" t="s">
        <v>458</v>
      </c>
      <c r="BR36" s="41"/>
      <c r="BS36" s="41"/>
      <c r="BT36" s="41" t="s">
        <v>458</v>
      </c>
      <c r="BU36" s="41" t="s">
        <v>458</v>
      </c>
      <c r="BV36" s="41" t="s">
        <v>458</v>
      </c>
      <c r="BW36" s="41" t="s">
        <v>458</v>
      </c>
      <c r="BX36" s="41" t="s">
        <v>458</v>
      </c>
      <c r="BY36" s="230"/>
      <c r="BZ36" s="230"/>
      <c r="CA36" s="41" t="s">
        <v>458</v>
      </c>
      <c r="CB36" s="41" t="s">
        <v>458</v>
      </c>
      <c r="CC36" s="41" t="s">
        <v>458</v>
      </c>
      <c r="CD36" s="41" t="s">
        <v>458</v>
      </c>
      <c r="CE36" s="41" t="s">
        <v>458</v>
      </c>
      <c r="CF36" s="41"/>
      <c r="CG36" s="41"/>
      <c r="CH36" s="41" t="s">
        <v>458</v>
      </c>
      <c r="CI36" s="41" t="s">
        <v>458</v>
      </c>
      <c r="CJ36" s="41" t="s">
        <v>458</v>
      </c>
      <c r="CK36" s="41" t="s">
        <v>458</v>
      </c>
      <c r="CL36" s="41" t="s">
        <v>458</v>
      </c>
      <c r="CM36" s="41"/>
      <c r="CN36" s="41"/>
      <c r="CO36" s="41" t="s">
        <v>458</v>
      </c>
      <c r="CP36" s="41" t="s">
        <v>458</v>
      </c>
      <c r="CQ36" s="41" t="s">
        <v>458</v>
      </c>
      <c r="CR36" s="41" t="s">
        <v>458</v>
      </c>
      <c r="CS36" s="41" t="s">
        <v>458</v>
      </c>
      <c r="CT36" s="41"/>
      <c r="CU36" s="41"/>
      <c r="CV36" s="41" t="s">
        <v>458</v>
      </c>
      <c r="CW36" s="41" t="s">
        <v>458</v>
      </c>
      <c r="CX36" s="41" t="s">
        <v>458</v>
      </c>
      <c r="CY36" s="41" t="s">
        <v>458</v>
      </c>
      <c r="CZ36" s="41" t="s">
        <v>458</v>
      </c>
      <c r="DA36" s="41"/>
      <c r="DB36" s="41"/>
      <c r="DC36" s="41" t="s">
        <v>458</v>
      </c>
      <c r="DD36" s="41" t="s">
        <v>458</v>
      </c>
      <c r="DE36" s="41" t="s">
        <v>458</v>
      </c>
      <c r="DF36" s="41" t="s">
        <v>458</v>
      </c>
      <c r="DG36" s="41" t="s">
        <v>458</v>
      </c>
      <c r="DH36" s="41"/>
      <c r="DI36" s="41"/>
      <c r="DJ36" s="41" t="s">
        <v>458</v>
      </c>
      <c r="DK36" s="41" t="s">
        <v>458</v>
      </c>
      <c r="DL36" s="41" t="s">
        <v>458</v>
      </c>
      <c r="DM36" s="41" t="s">
        <v>458</v>
      </c>
      <c r="DN36" s="41" t="s">
        <v>458</v>
      </c>
      <c r="DO36" s="41"/>
      <c r="DP36" s="41"/>
      <c r="DQ36" s="41" t="s">
        <v>460</v>
      </c>
      <c r="DR36" s="41" t="s">
        <v>458</v>
      </c>
      <c r="DS36" s="41" t="s">
        <v>458</v>
      </c>
      <c r="DT36" s="41" t="s">
        <v>458</v>
      </c>
      <c r="DU36" s="41" t="s">
        <v>458</v>
      </c>
      <c r="DV36" s="41"/>
      <c r="DW36" s="41"/>
      <c r="DX36" s="41" t="s">
        <v>458</v>
      </c>
      <c r="DY36" s="41" t="s">
        <v>458</v>
      </c>
      <c r="DZ36" s="41" t="s">
        <v>458</v>
      </c>
      <c r="EA36" s="41" t="s">
        <v>460</v>
      </c>
      <c r="EB36" s="41" t="s">
        <v>458</v>
      </c>
      <c r="EC36" s="41"/>
      <c r="ED36" s="41"/>
      <c r="EE36" s="41" t="s">
        <v>458</v>
      </c>
      <c r="EF36" s="41" t="s">
        <v>458</v>
      </c>
      <c r="EG36" s="41" t="s">
        <v>458</v>
      </c>
      <c r="EH36" s="41" t="s">
        <v>458</v>
      </c>
      <c r="EI36" s="41" t="s">
        <v>458</v>
      </c>
      <c r="EJ36" s="41"/>
      <c r="EK36" s="41"/>
      <c r="EL36" s="41" t="s">
        <v>458</v>
      </c>
      <c r="EM36" s="41" t="s">
        <v>458</v>
      </c>
      <c r="EN36" s="41" t="s">
        <v>458</v>
      </c>
      <c r="EO36" s="41" t="s">
        <v>458</v>
      </c>
      <c r="EP36" s="41" t="s">
        <v>458</v>
      </c>
      <c r="EQ36" s="41"/>
      <c r="ER36" s="41"/>
      <c r="ES36" s="41" t="s">
        <v>458</v>
      </c>
      <c r="ET36" s="41" t="s">
        <v>458</v>
      </c>
      <c r="EU36" s="41" t="s">
        <v>458</v>
      </c>
      <c r="EV36" s="41" t="s">
        <v>458</v>
      </c>
      <c r="EW36" s="41" t="s">
        <v>458</v>
      </c>
      <c r="EX36" s="41"/>
      <c r="EY36" s="41"/>
      <c r="EZ36" s="41" t="s">
        <v>458</v>
      </c>
      <c r="FA36" s="41" t="s">
        <v>458</v>
      </c>
      <c r="FB36" s="41" t="s">
        <v>458</v>
      </c>
      <c r="FC36" s="41" t="s">
        <v>458</v>
      </c>
      <c r="FD36" s="41" t="s">
        <v>458</v>
      </c>
      <c r="FE36" s="41"/>
      <c r="FF36" s="41"/>
      <c r="FG36" s="41" t="s">
        <v>458</v>
      </c>
      <c r="FH36" s="41" t="s">
        <v>458</v>
      </c>
      <c r="FI36" s="41" t="s">
        <v>458</v>
      </c>
      <c r="FJ36" s="41" t="s">
        <v>458</v>
      </c>
      <c r="FK36" s="41" t="s">
        <v>458</v>
      </c>
      <c r="FL36" s="41"/>
      <c r="FM36" s="41"/>
      <c r="FN36" s="41" t="s">
        <v>460</v>
      </c>
      <c r="FO36" s="41" t="s">
        <v>458</v>
      </c>
      <c r="FP36" s="41" t="s">
        <v>458</v>
      </c>
      <c r="FQ36" s="41" t="s">
        <v>458</v>
      </c>
      <c r="FR36" s="41" t="s">
        <v>458</v>
      </c>
      <c r="FS36" s="41"/>
      <c r="FT36" s="41"/>
      <c r="FU36" s="41" t="s">
        <v>458</v>
      </c>
      <c r="FV36" s="41" t="s">
        <v>458</v>
      </c>
      <c r="FW36" s="41" t="s">
        <v>458</v>
      </c>
      <c r="FX36" s="41" t="s">
        <v>458</v>
      </c>
      <c r="FY36" s="41" t="s">
        <v>458</v>
      </c>
      <c r="FZ36" s="41"/>
      <c r="GA36" s="41"/>
      <c r="GB36" s="41" t="s">
        <v>458</v>
      </c>
      <c r="GC36" s="41" t="s">
        <v>458</v>
      </c>
      <c r="GD36" s="41" t="s">
        <v>458</v>
      </c>
      <c r="GE36" s="41" t="s">
        <v>458</v>
      </c>
      <c r="GF36" s="41" t="s">
        <v>458</v>
      </c>
      <c r="GG36" s="41"/>
      <c r="GH36" s="41"/>
      <c r="GI36" s="41" t="s">
        <v>458</v>
      </c>
      <c r="GJ36" s="41" t="s">
        <v>458</v>
      </c>
      <c r="GK36" s="41" t="s">
        <v>458</v>
      </c>
      <c r="GL36" s="41" t="s">
        <v>458</v>
      </c>
      <c r="GM36" s="41" t="s">
        <v>458</v>
      </c>
      <c r="GN36" s="41"/>
      <c r="GO36" s="41"/>
      <c r="GP36" s="41" t="s">
        <v>458</v>
      </c>
      <c r="GQ36" s="41" t="s">
        <v>458</v>
      </c>
      <c r="GR36" s="41" t="s">
        <v>458</v>
      </c>
      <c r="GS36" s="41" t="s">
        <v>458</v>
      </c>
      <c r="GT36" s="41" t="s">
        <v>458</v>
      </c>
      <c r="GU36" s="41"/>
      <c r="GV36" s="41"/>
      <c r="GW36" s="41" t="s">
        <v>460</v>
      </c>
      <c r="GX36" s="41" t="s">
        <v>458</v>
      </c>
      <c r="GY36" s="41" t="s">
        <v>458</v>
      </c>
      <c r="GZ36" s="41" t="s">
        <v>458</v>
      </c>
      <c r="HA36" s="41" t="s">
        <v>458</v>
      </c>
      <c r="HB36" s="230"/>
      <c r="HC36" s="230"/>
      <c r="HD36" s="41" t="s">
        <v>458</v>
      </c>
      <c r="HE36" s="41" t="s">
        <v>458</v>
      </c>
      <c r="HF36" s="41" t="s">
        <v>458</v>
      </c>
      <c r="HG36" s="41" t="s">
        <v>458</v>
      </c>
      <c r="HH36" s="41" t="s">
        <v>458</v>
      </c>
      <c r="HI36" s="41"/>
      <c r="HJ36" s="41"/>
      <c r="HK36" s="372" t="s">
        <v>460</v>
      </c>
      <c r="HL36" s="372" t="s">
        <v>460</v>
      </c>
      <c r="HM36" s="372" t="s">
        <v>460</v>
      </c>
      <c r="HN36" s="372" t="s">
        <v>460</v>
      </c>
      <c r="HO36" s="372" t="s">
        <v>460</v>
      </c>
      <c r="HP36" s="41"/>
      <c r="HQ36" s="41"/>
      <c r="HR36" s="372" t="s">
        <v>460</v>
      </c>
      <c r="HS36" s="372" t="s">
        <v>460</v>
      </c>
      <c r="HT36" s="372" t="s">
        <v>460</v>
      </c>
      <c r="HU36" s="372" t="s">
        <v>460</v>
      </c>
      <c r="HV36" s="372" t="s">
        <v>460</v>
      </c>
      <c r="HW36" s="230"/>
      <c r="HX36" s="230"/>
      <c r="HY36" s="372" t="s">
        <v>458</v>
      </c>
      <c r="HZ36" s="372" t="s">
        <v>458</v>
      </c>
      <c r="IA36" s="372" t="s">
        <v>458</v>
      </c>
      <c r="IB36" s="372" t="s">
        <v>458</v>
      </c>
      <c r="IC36" s="372" t="s">
        <v>458</v>
      </c>
      <c r="ID36" s="41"/>
      <c r="IE36" s="41"/>
      <c r="IF36" s="372" t="s">
        <v>458</v>
      </c>
      <c r="IG36" s="372" t="s">
        <v>458</v>
      </c>
      <c r="IH36" s="372" t="s">
        <v>458</v>
      </c>
      <c r="II36" s="372" t="s">
        <v>458</v>
      </c>
      <c r="IJ36" s="372" t="s">
        <v>458</v>
      </c>
      <c r="IK36" s="230"/>
      <c r="IL36" s="230"/>
      <c r="IM36" s="372" t="s">
        <v>458</v>
      </c>
      <c r="IN36" s="372" t="s">
        <v>458</v>
      </c>
      <c r="IO36" s="372" t="s">
        <v>458</v>
      </c>
      <c r="IP36" s="372" t="s">
        <v>458</v>
      </c>
      <c r="IQ36" s="372" t="s">
        <v>458</v>
      </c>
      <c r="IR36" s="41"/>
      <c r="IS36" s="41"/>
      <c r="IT36" s="372" t="s">
        <v>458</v>
      </c>
      <c r="IU36" s="372" t="s">
        <v>458</v>
      </c>
      <c r="IV36" s="372" t="s">
        <v>458</v>
      </c>
      <c r="IW36" s="372" t="s">
        <v>458</v>
      </c>
      <c r="IX36" s="372" t="s">
        <v>458</v>
      </c>
      <c r="IY36" s="230"/>
      <c r="IZ36" s="230"/>
      <c r="JA36" s="372" t="s">
        <v>458</v>
      </c>
      <c r="JB36" s="372" t="s">
        <v>458</v>
      </c>
      <c r="JC36" s="372" t="s">
        <v>458</v>
      </c>
      <c r="JD36" s="372" t="s">
        <v>458</v>
      </c>
      <c r="JE36" s="372" t="s">
        <v>458</v>
      </c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</row>
    <row r="37" spans="4:379" x14ac:dyDescent="0.3">
      <c r="D37" s="206" t="s">
        <v>60</v>
      </c>
      <c r="E37" s="187" t="s">
        <v>8</v>
      </c>
      <c r="F37" s="351" t="s">
        <v>9</v>
      </c>
      <c r="G37" s="363" t="s">
        <v>375</v>
      </c>
      <c r="H37" s="156" t="s">
        <v>160</v>
      </c>
      <c r="I37" s="125"/>
      <c r="J37" s="41"/>
      <c r="K37" s="41"/>
      <c r="L37" s="41"/>
      <c r="M37" s="41"/>
      <c r="N37" s="230"/>
      <c r="O37" s="230"/>
      <c r="P37" s="41"/>
      <c r="Q37" s="41"/>
      <c r="R37" s="41"/>
      <c r="S37" s="41"/>
      <c r="T37" s="41"/>
      <c r="U37" s="230"/>
      <c r="V37" s="230"/>
      <c r="W37" s="41"/>
      <c r="X37" s="41"/>
      <c r="Y37" s="41"/>
      <c r="Z37" s="41"/>
      <c r="AA37" s="41"/>
      <c r="AB37" s="230"/>
      <c r="AC37" s="230"/>
      <c r="AD37" s="41"/>
      <c r="AE37" s="41"/>
      <c r="AF37" s="41"/>
      <c r="AG37" s="41"/>
      <c r="AH37" s="41"/>
      <c r="AI37" s="230"/>
      <c r="AJ37" s="230"/>
      <c r="AK37" s="41"/>
      <c r="AL37" s="41"/>
      <c r="AM37" s="41"/>
      <c r="AN37" s="41"/>
      <c r="AO37" s="41"/>
      <c r="AP37" s="230"/>
      <c r="AQ37" s="230"/>
      <c r="AR37" s="41"/>
      <c r="AS37" s="41"/>
      <c r="AT37" s="41"/>
      <c r="AU37" s="41"/>
      <c r="AV37" s="41"/>
      <c r="AW37" s="230"/>
      <c r="AX37" s="230"/>
      <c r="AY37" s="41"/>
      <c r="AZ37" s="41"/>
      <c r="BA37" s="41"/>
      <c r="BB37" s="41" t="s">
        <v>460</v>
      </c>
      <c r="BC37" s="41"/>
      <c r="BD37" s="230"/>
      <c r="BE37" s="230"/>
      <c r="BF37" s="41"/>
      <c r="BG37" s="41"/>
      <c r="BH37" s="41"/>
      <c r="BI37" s="41"/>
      <c r="BJ37" s="41"/>
      <c r="BK37" s="230"/>
      <c r="BL37" s="230"/>
      <c r="BM37" s="41"/>
      <c r="BN37" s="41"/>
      <c r="BO37" s="41"/>
      <c r="BP37" s="41"/>
      <c r="BQ37" s="41"/>
      <c r="BR37" s="230"/>
      <c r="BS37" s="230"/>
      <c r="BT37" s="41"/>
      <c r="BU37" s="41"/>
      <c r="BV37" s="41"/>
      <c r="BW37" s="41"/>
      <c r="BX37" s="41"/>
      <c r="BY37" s="230"/>
      <c r="BZ37" s="230"/>
      <c r="CA37" s="41"/>
      <c r="CB37" s="41"/>
      <c r="CC37" s="41"/>
      <c r="CD37" s="41"/>
      <c r="CE37" s="41"/>
      <c r="CF37" s="230"/>
      <c r="CG37" s="230"/>
      <c r="CH37" s="41"/>
      <c r="CI37" s="41"/>
      <c r="CJ37" s="41"/>
      <c r="CK37" s="41"/>
      <c r="CL37" s="41"/>
      <c r="CM37" s="230"/>
      <c r="CN37" s="230"/>
      <c r="CO37" s="41" t="s">
        <v>460</v>
      </c>
      <c r="CP37" s="41" t="s">
        <v>460</v>
      </c>
      <c r="CQ37" s="41" t="s">
        <v>460</v>
      </c>
      <c r="CR37" s="41" t="s">
        <v>460</v>
      </c>
      <c r="CS37" s="41" t="s">
        <v>460</v>
      </c>
      <c r="CT37" s="230"/>
      <c r="CU37" s="230"/>
      <c r="CV37" s="41"/>
      <c r="CW37" s="41"/>
      <c r="CX37" s="41"/>
      <c r="CY37" s="41"/>
      <c r="CZ37" s="41"/>
      <c r="DA37" s="230"/>
      <c r="DB37" s="230"/>
      <c r="DC37" s="41"/>
      <c r="DD37" s="41"/>
      <c r="DE37" s="41"/>
      <c r="DF37" s="41"/>
      <c r="DG37" s="41"/>
      <c r="DH37" s="230"/>
      <c r="DI37" s="230"/>
      <c r="DJ37" s="41" t="s">
        <v>460</v>
      </c>
      <c r="DK37" s="41" t="s">
        <v>460</v>
      </c>
      <c r="DL37" s="41" t="s">
        <v>460</v>
      </c>
      <c r="DM37" s="41" t="s">
        <v>460</v>
      </c>
      <c r="DN37" s="41" t="s">
        <v>460</v>
      </c>
      <c r="DO37" s="230"/>
      <c r="DP37" s="230"/>
      <c r="DQ37" s="41" t="s">
        <v>460</v>
      </c>
      <c r="DR37" s="41"/>
      <c r="DS37" s="41"/>
      <c r="DT37" s="41"/>
      <c r="DU37" s="41"/>
      <c r="DV37" s="230"/>
      <c r="DW37" s="234"/>
      <c r="DX37" s="41"/>
      <c r="DY37" s="41"/>
      <c r="DZ37" s="41"/>
      <c r="EA37" s="41" t="s">
        <v>460</v>
      </c>
      <c r="EB37" s="41"/>
      <c r="EC37" s="230"/>
      <c r="ED37" s="230"/>
      <c r="EE37" s="41"/>
      <c r="EF37" s="41"/>
      <c r="EG37" s="41"/>
      <c r="EH37" s="41"/>
      <c r="EI37" s="41"/>
      <c r="EJ37" s="230"/>
      <c r="EK37" s="230"/>
      <c r="EL37" s="41" t="s">
        <v>460</v>
      </c>
      <c r="EM37" s="41" t="s">
        <v>460</v>
      </c>
      <c r="EN37" s="41" t="s">
        <v>460</v>
      </c>
      <c r="EO37" s="41" t="s">
        <v>460</v>
      </c>
      <c r="EP37" s="41" t="s">
        <v>460</v>
      </c>
      <c r="EQ37" s="230"/>
      <c r="ER37" s="230"/>
      <c r="ES37" s="41" t="s">
        <v>460</v>
      </c>
      <c r="ET37" s="41" t="s">
        <v>460</v>
      </c>
      <c r="EU37" s="41" t="s">
        <v>460</v>
      </c>
      <c r="EV37" s="41" t="s">
        <v>460</v>
      </c>
      <c r="EW37" s="41" t="s">
        <v>460</v>
      </c>
      <c r="EX37" s="230"/>
      <c r="EY37" s="230"/>
      <c r="EZ37" s="41" t="s">
        <v>460</v>
      </c>
      <c r="FA37" s="41" t="s">
        <v>460</v>
      </c>
      <c r="FB37" s="41" t="s">
        <v>460</v>
      </c>
      <c r="FC37" s="41" t="s">
        <v>460</v>
      </c>
      <c r="FD37" s="41" t="s">
        <v>460</v>
      </c>
      <c r="FE37" s="230"/>
      <c r="FF37" s="230"/>
      <c r="FG37" s="41"/>
      <c r="FH37" s="41"/>
      <c r="FI37" s="41"/>
      <c r="FJ37" s="41"/>
      <c r="FK37" s="41"/>
      <c r="FL37" s="230"/>
      <c r="FM37" s="230"/>
      <c r="FN37" s="41" t="s">
        <v>460</v>
      </c>
      <c r="FO37" s="41" t="s">
        <v>460</v>
      </c>
      <c r="FP37" s="41" t="s">
        <v>460</v>
      </c>
      <c r="FQ37" s="41" t="s">
        <v>460</v>
      </c>
      <c r="FR37" s="41" t="s">
        <v>460</v>
      </c>
      <c r="FS37" s="230"/>
      <c r="FT37" s="230"/>
      <c r="FU37" s="41" t="s">
        <v>460</v>
      </c>
      <c r="FV37" s="41" t="s">
        <v>460</v>
      </c>
      <c r="FW37" s="41" t="s">
        <v>460</v>
      </c>
      <c r="FX37" s="41" t="s">
        <v>460</v>
      </c>
      <c r="FY37" s="41" t="s">
        <v>460</v>
      </c>
      <c r="FZ37" s="230"/>
      <c r="GA37" s="230"/>
      <c r="GB37" s="41" t="s">
        <v>460</v>
      </c>
      <c r="GC37" s="41" t="s">
        <v>460</v>
      </c>
      <c r="GD37" s="41" t="s">
        <v>460</v>
      </c>
      <c r="GE37" s="41" t="s">
        <v>460</v>
      </c>
      <c r="GF37" s="41" t="s">
        <v>460</v>
      </c>
      <c r="GG37" s="230"/>
      <c r="GH37" s="230"/>
      <c r="GI37" s="41" t="s">
        <v>460</v>
      </c>
      <c r="GJ37" s="41" t="s">
        <v>460</v>
      </c>
      <c r="GK37" s="41" t="s">
        <v>460</v>
      </c>
      <c r="GL37" s="41" t="s">
        <v>460</v>
      </c>
      <c r="GM37" s="41" t="s">
        <v>460</v>
      </c>
      <c r="GN37" s="230"/>
      <c r="GO37" s="230"/>
      <c r="GP37" s="41" t="s">
        <v>460</v>
      </c>
      <c r="GQ37" s="41" t="s">
        <v>460</v>
      </c>
      <c r="GR37" s="41" t="s">
        <v>460</v>
      </c>
      <c r="GS37" s="41" t="s">
        <v>460</v>
      </c>
      <c r="GT37" s="41" t="s">
        <v>460</v>
      </c>
      <c r="GU37" s="230"/>
      <c r="GV37" s="230"/>
      <c r="GW37" s="41" t="s">
        <v>460</v>
      </c>
      <c r="GX37" s="41" t="s">
        <v>460</v>
      </c>
      <c r="GY37" s="41" t="s">
        <v>460</v>
      </c>
      <c r="GZ37" s="41" t="s">
        <v>460</v>
      </c>
      <c r="HA37" s="41" t="s">
        <v>460</v>
      </c>
      <c r="HB37" s="230"/>
      <c r="HC37" s="230"/>
      <c r="HD37" s="41" t="s">
        <v>460</v>
      </c>
      <c r="HE37" s="41" t="s">
        <v>460</v>
      </c>
      <c r="HF37" s="41" t="s">
        <v>460</v>
      </c>
      <c r="HG37" s="41" t="s">
        <v>460</v>
      </c>
      <c r="HH37" s="41" t="s">
        <v>460</v>
      </c>
      <c r="HI37" s="230"/>
      <c r="HJ37" s="230"/>
      <c r="HK37" s="372"/>
      <c r="HL37" s="372"/>
      <c r="HM37" s="372"/>
      <c r="HN37" s="372"/>
      <c r="HO37" s="372"/>
      <c r="HP37" s="230"/>
      <c r="HQ37" s="230"/>
      <c r="HR37" s="372"/>
      <c r="HS37" s="372"/>
      <c r="HT37" s="372"/>
      <c r="HU37" s="372"/>
      <c r="HV37" s="372"/>
      <c r="HW37" s="230"/>
      <c r="HX37" s="230"/>
      <c r="HY37" s="372"/>
      <c r="HZ37" s="372"/>
      <c r="IA37" s="372"/>
      <c r="IB37" s="372"/>
      <c r="IC37" s="372"/>
      <c r="ID37" s="230"/>
      <c r="IE37" s="230"/>
      <c r="IF37" s="372"/>
      <c r="IG37" s="372"/>
      <c r="IH37" s="372"/>
      <c r="II37" s="372"/>
      <c r="IJ37" s="372"/>
      <c r="IK37" s="230"/>
      <c r="IL37" s="230"/>
      <c r="IM37" s="372"/>
      <c r="IN37" s="372"/>
      <c r="IO37" s="372"/>
      <c r="IP37" s="372"/>
      <c r="IQ37" s="372"/>
      <c r="IR37" s="230"/>
      <c r="IS37" s="230"/>
      <c r="IT37" s="372"/>
      <c r="IU37" s="372"/>
      <c r="IV37" s="372"/>
      <c r="IW37" s="372"/>
      <c r="IX37" s="372"/>
      <c r="IY37" s="230"/>
      <c r="IZ37" s="230"/>
      <c r="JA37" s="372"/>
      <c r="JB37" s="372"/>
      <c r="JC37" s="372"/>
      <c r="JD37" s="372"/>
      <c r="JE37" s="372"/>
      <c r="JF37" s="230"/>
      <c r="JG37" s="230"/>
      <c r="JH37" s="41"/>
      <c r="JI37" s="41"/>
      <c r="JJ37" s="41"/>
      <c r="JK37" s="41"/>
      <c r="JL37" s="41"/>
      <c r="JM37" s="230"/>
      <c r="JN37" s="230"/>
      <c r="JO37" s="41"/>
      <c r="JP37" s="41"/>
      <c r="JQ37" s="41"/>
      <c r="JR37" s="41"/>
      <c r="JS37" s="41"/>
      <c r="JT37" s="230"/>
      <c r="JU37" s="230"/>
      <c r="JV37" s="41"/>
      <c r="JW37" s="41"/>
      <c r="JX37" s="41"/>
      <c r="JY37" s="41"/>
      <c r="JZ37" s="41"/>
      <c r="KA37" s="230"/>
      <c r="KB37" s="230"/>
      <c r="KC37" s="41"/>
      <c r="KD37" s="41"/>
      <c r="KE37" s="41"/>
      <c r="KF37" s="41"/>
      <c r="KG37" s="41"/>
      <c r="KH37" s="230"/>
      <c r="KI37" s="230"/>
      <c r="KJ37" s="41"/>
      <c r="KK37" s="41"/>
      <c r="KL37" s="41"/>
      <c r="KM37" s="41"/>
      <c r="KN37" s="41"/>
      <c r="KO37" s="230"/>
      <c r="KP37" s="230"/>
      <c r="KQ37" s="41"/>
      <c r="KR37" s="41"/>
      <c r="KS37" s="41"/>
      <c r="KT37" s="41"/>
      <c r="KU37" s="41"/>
      <c r="KV37" s="230"/>
      <c r="KW37" s="234"/>
      <c r="KX37" s="41"/>
      <c r="KY37" s="41"/>
      <c r="KZ37" s="41"/>
      <c r="LA37" s="41"/>
      <c r="LB37" s="41"/>
      <c r="LC37" s="230"/>
      <c r="LD37" s="230"/>
      <c r="LE37" s="41"/>
      <c r="LF37" s="41"/>
      <c r="LG37" s="41"/>
      <c r="LH37" s="41"/>
      <c r="LI37" s="41"/>
      <c r="LJ37" s="230"/>
      <c r="LK37" s="230"/>
      <c r="LL37" s="41"/>
      <c r="LM37" s="41"/>
      <c r="LN37" s="41"/>
      <c r="LO37" s="41"/>
      <c r="LP37" s="41"/>
      <c r="LQ37" s="230"/>
      <c r="LR37" s="230"/>
      <c r="LS37" s="41"/>
      <c r="LT37" s="41"/>
      <c r="LU37" s="41"/>
      <c r="LV37" s="41"/>
      <c r="LW37" s="41"/>
      <c r="LX37" s="230"/>
      <c r="LY37" s="230"/>
      <c r="LZ37" s="41"/>
      <c r="MA37" s="41"/>
      <c r="MB37" s="41"/>
      <c r="MC37" s="41"/>
      <c r="MD37" s="41"/>
      <c r="ME37" s="230"/>
      <c r="MF37" s="230"/>
      <c r="MG37" s="41"/>
      <c r="MH37" s="41"/>
      <c r="MI37" s="41"/>
      <c r="MJ37" s="41"/>
      <c r="MK37" s="41"/>
      <c r="ML37" s="230"/>
      <c r="MM37" s="230"/>
      <c r="MN37" s="41"/>
      <c r="MO37" s="41"/>
      <c r="MP37" s="41"/>
      <c r="MQ37" s="41"/>
      <c r="MR37" s="41"/>
      <c r="MS37" s="230"/>
      <c r="MT37" s="230"/>
      <c r="MU37" s="41"/>
      <c r="MV37" s="41"/>
      <c r="MW37" s="41"/>
      <c r="MX37" s="41"/>
      <c r="MY37" s="41"/>
      <c r="MZ37" s="230"/>
      <c r="NA37" s="230"/>
      <c r="NB37" s="41"/>
      <c r="NC37" s="41"/>
      <c r="ND37" s="41"/>
      <c r="NE37" s="41"/>
      <c r="NF37" s="41"/>
      <c r="NG37" s="230"/>
      <c r="NH37" s="230"/>
      <c r="NI37" s="41"/>
      <c r="NJ37" s="41"/>
      <c r="NK37" s="41"/>
      <c r="NL37" s="41"/>
      <c r="NM37" s="41"/>
      <c r="NN37" s="230"/>
      <c r="NO37" s="230"/>
    </row>
    <row r="38" spans="4:379" x14ac:dyDescent="0.3">
      <c r="D38" s="206" t="s">
        <v>60</v>
      </c>
      <c r="E38" s="187" t="s">
        <v>8</v>
      </c>
      <c r="F38" s="351" t="s">
        <v>9</v>
      </c>
      <c r="G38" s="363" t="s">
        <v>375</v>
      </c>
      <c r="H38" s="156" t="s">
        <v>325</v>
      </c>
      <c r="I38" s="125"/>
      <c r="J38" s="41"/>
      <c r="K38" s="41"/>
      <c r="L38" s="41"/>
      <c r="M38" s="41"/>
      <c r="N38" s="234"/>
      <c r="O38" s="234"/>
      <c r="P38" s="41"/>
      <c r="Q38" s="41"/>
      <c r="R38" s="41"/>
      <c r="S38" s="41"/>
      <c r="T38" s="41"/>
      <c r="U38" s="234"/>
      <c r="V38" s="234"/>
      <c r="W38" s="41"/>
      <c r="X38" s="41"/>
      <c r="Y38" s="41"/>
      <c r="Z38" s="41"/>
      <c r="AA38" s="41"/>
      <c r="AB38" s="234"/>
      <c r="AC38" s="234"/>
      <c r="AD38" s="41"/>
      <c r="AE38" s="41"/>
      <c r="AF38" s="41"/>
      <c r="AG38" s="41"/>
      <c r="AH38" s="41"/>
      <c r="AI38" s="230"/>
      <c r="AJ38" s="230"/>
      <c r="AK38" s="41"/>
      <c r="AL38" s="41"/>
      <c r="AM38" s="41"/>
      <c r="AN38" s="41"/>
      <c r="AO38" s="41"/>
      <c r="AP38" s="230"/>
      <c r="AQ38" s="230"/>
      <c r="AR38" s="41"/>
      <c r="AS38" s="41"/>
      <c r="AT38" s="41"/>
      <c r="AU38" s="41"/>
      <c r="AV38" s="41"/>
      <c r="AW38" s="230"/>
      <c r="AX38" s="230"/>
      <c r="AY38" s="41"/>
      <c r="AZ38" s="41"/>
      <c r="BA38" s="41"/>
      <c r="BB38" s="41"/>
      <c r="BC38" s="41"/>
      <c r="BD38" s="230"/>
      <c r="BE38" s="230"/>
      <c r="BF38" s="41"/>
      <c r="BG38" s="41"/>
      <c r="BH38" s="41"/>
      <c r="BI38" s="41"/>
      <c r="BJ38" s="41"/>
      <c r="BK38" s="230"/>
      <c r="BL38" s="230"/>
      <c r="BM38" s="41"/>
      <c r="BN38" s="41"/>
      <c r="BO38" s="41"/>
      <c r="BP38" s="41"/>
      <c r="BQ38" s="41"/>
      <c r="BR38" s="230"/>
      <c r="BS38" s="230"/>
      <c r="BT38" s="41"/>
      <c r="BU38" s="41"/>
      <c r="BV38" s="41"/>
      <c r="BW38" s="41"/>
      <c r="BX38" s="41"/>
      <c r="BY38" s="230"/>
      <c r="BZ38" s="230"/>
      <c r="CA38" s="41"/>
      <c r="CB38" s="41"/>
      <c r="CC38" s="41"/>
      <c r="CD38" s="41"/>
      <c r="CE38" s="41"/>
      <c r="CF38" s="230"/>
      <c r="CG38" s="230"/>
      <c r="CH38" s="41"/>
      <c r="CI38" s="41"/>
      <c r="CJ38" s="41"/>
      <c r="CK38" s="41"/>
      <c r="CL38" s="41"/>
      <c r="CM38" s="230"/>
      <c r="CN38" s="230"/>
      <c r="CO38" s="41"/>
      <c r="CP38" s="41"/>
      <c r="CQ38" s="41"/>
      <c r="CR38" s="41"/>
      <c r="CS38" s="41"/>
      <c r="CT38" s="230"/>
      <c r="CU38" s="230"/>
      <c r="CV38" s="41"/>
      <c r="CW38" s="41"/>
      <c r="CX38" s="41"/>
      <c r="CY38" s="41"/>
      <c r="CZ38" s="41"/>
      <c r="DA38" s="230"/>
      <c r="DB38" s="230"/>
      <c r="DC38" s="41" t="s">
        <v>460</v>
      </c>
      <c r="DD38" s="41" t="s">
        <v>460</v>
      </c>
      <c r="DE38" s="41" t="s">
        <v>460</v>
      </c>
      <c r="DF38" s="41" t="s">
        <v>460</v>
      </c>
      <c r="DG38" s="41" t="s">
        <v>460</v>
      </c>
      <c r="DH38" s="230"/>
      <c r="DI38" s="230"/>
      <c r="DJ38" s="41" t="s">
        <v>460</v>
      </c>
      <c r="DK38" s="41" t="s">
        <v>460</v>
      </c>
      <c r="DL38" s="41" t="s">
        <v>460</v>
      </c>
      <c r="DM38" s="41" t="s">
        <v>460</v>
      </c>
      <c r="DN38" s="41" t="s">
        <v>460</v>
      </c>
      <c r="DO38" s="230"/>
      <c r="DP38" s="230"/>
      <c r="DQ38" s="41" t="s">
        <v>460</v>
      </c>
      <c r="DR38" s="41"/>
      <c r="DS38" s="41"/>
      <c r="DT38" s="41"/>
      <c r="DU38" s="41"/>
      <c r="DV38" s="230"/>
      <c r="DW38" s="234"/>
      <c r="DX38" s="41"/>
      <c r="DY38" s="41"/>
      <c r="DZ38" s="41"/>
      <c r="EA38" s="41" t="s">
        <v>460</v>
      </c>
      <c r="EB38" s="41"/>
      <c r="EC38" s="230"/>
      <c r="ED38" s="230"/>
      <c r="EE38" s="41"/>
      <c r="EF38" s="41"/>
      <c r="EG38" s="41"/>
      <c r="EH38" s="41"/>
      <c r="EI38" s="41"/>
      <c r="EJ38" s="230"/>
      <c r="EK38" s="230"/>
      <c r="EL38" s="41"/>
      <c r="EM38" s="41"/>
      <c r="EN38" s="41"/>
      <c r="EO38" s="41"/>
      <c r="EP38" s="41"/>
      <c r="EQ38" s="230"/>
      <c r="ER38" s="230"/>
      <c r="ES38" s="41"/>
      <c r="ET38" s="41"/>
      <c r="EU38" s="41"/>
      <c r="EV38" s="41"/>
      <c r="EW38" s="41"/>
      <c r="EX38" s="230"/>
      <c r="EY38" s="230"/>
      <c r="EZ38" s="41"/>
      <c r="FA38" s="41"/>
      <c r="FB38" s="41"/>
      <c r="FC38" s="41"/>
      <c r="FD38" s="41"/>
      <c r="FE38" s="230"/>
      <c r="FF38" s="230"/>
      <c r="FG38" s="41"/>
      <c r="FH38" s="41"/>
      <c r="FI38" s="41"/>
      <c r="FJ38" s="41"/>
      <c r="FK38" s="41"/>
      <c r="FL38" s="230"/>
      <c r="FM38" s="230"/>
      <c r="FN38" s="41" t="s">
        <v>460</v>
      </c>
      <c r="FO38" s="41"/>
      <c r="FP38" s="41"/>
      <c r="FQ38" s="41"/>
      <c r="FR38" s="41"/>
      <c r="FS38" s="230"/>
      <c r="FT38" s="230"/>
      <c r="FU38" s="41"/>
      <c r="FV38" s="41"/>
      <c r="FW38" s="41"/>
      <c r="FX38" s="41"/>
      <c r="FY38" s="41"/>
      <c r="FZ38" s="230"/>
      <c r="GA38" s="230"/>
      <c r="GB38" s="41"/>
      <c r="GC38" s="41"/>
      <c r="GD38" s="41"/>
      <c r="GE38" s="41"/>
      <c r="GF38" s="41"/>
      <c r="GG38" s="230"/>
      <c r="GH38" s="230"/>
      <c r="GI38" s="41"/>
      <c r="GJ38" s="41"/>
      <c r="GK38" s="41"/>
      <c r="GL38" s="41"/>
      <c r="GM38" s="41"/>
      <c r="GN38" s="230"/>
      <c r="GO38" s="230"/>
      <c r="GP38" s="41"/>
      <c r="GQ38" s="41"/>
      <c r="GR38" s="41"/>
      <c r="GS38" s="41"/>
      <c r="GT38" s="41"/>
      <c r="GU38" s="230"/>
      <c r="GV38" s="230"/>
      <c r="GW38" s="41" t="s">
        <v>460</v>
      </c>
      <c r="GX38" s="41"/>
      <c r="GY38" s="41"/>
      <c r="GZ38" s="41"/>
      <c r="HA38" s="41"/>
      <c r="HB38" s="230"/>
      <c r="HC38" s="230"/>
      <c r="HD38" s="41"/>
      <c r="HE38" s="41"/>
      <c r="HF38" s="41"/>
      <c r="HG38" s="41"/>
      <c r="HH38" s="41"/>
      <c r="HI38" s="230"/>
      <c r="HJ38" s="230"/>
      <c r="HK38" s="372"/>
      <c r="HL38" s="372"/>
      <c r="HM38" s="372"/>
      <c r="HN38" s="372"/>
      <c r="HO38" s="372"/>
      <c r="HP38" s="230"/>
      <c r="HQ38" s="230"/>
      <c r="HR38" s="372"/>
      <c r="HS38" s="372"/>
      <c r="HT38" s="372"/>
      <c r="HU38" s="372"/>
      <c r="HV38" s="372"/>
      <c r="HW38" s="230"/>
      <c r="HX38" s="230"/>
      <c r="HY38" s="372"/>
      <c r="HZ38" s="372"/>
      <c r="IA38" s="372"/>
      <c r="IB38" s="372"/>
      <c r="IC38" s="372"/>
      <c r="ID38" s="230"/>
      <c r="IE38" s="230"/>
      <c r="IF38" s="372" t="s">
        <v>460</v>
      </c>
      <c r="IG38" s="372" t="s">
        <v>460</v>
      </c>
      <c r="IH38" s="372" t="s">
        <v>460</v>
      </c>
      <c r="II38" s="372" t="s">
        <v>460</v>
      </c>
      <c r="IJ38" s="372" t="s">
        <v>460</v>
      </c>
      <c r="IK38" s="230"/>
      <c r="IL38" s="230"/>
      <c r="IM38" s="372" t="s">
        <v>460</v>
      </c>
      <c r="IN38" s="372" t="s">
        <v>460</v>
      </c>
      <c r="IO38" s="372" t="s">
        <v>460</v>
      </c>
      <c r="IP38" s="372" t="s">
        <v>460</v>
      </c>
      <c r="IQ38" s="372" t="s">
        <v>460</v>
      </c>
      <c r="IR38" s="230"/>
      <c r="IS38" s="230"/>
      <c r="IT38" s="372" t="s">
        <v>460</v>
      </c>
      <c r="IU38" s="372" t="s">
        <v>460</v>
      </c>
      <c r="IV38" s="372"/>
      <c r="IW38" s="372"/>
      <c r="IX38" s="372"/>
      <c r="IY38" s="230"/>
      <c r="IZ38" s="230"/>
      <c r="JA38" s="372"/>
      <c r="JB38" s="372"/>
      <c r="JC38" s="372"/>
      <c r="JD38" s="372"/>
      <c r="JE38" s="372"/>
      <c r="JF38" s="230"/>
      <c r="JG38" s="230"/>
      <c r="JH38" s="41"/>
      <c r="JI38" s="41"/>
      <c r="JJ38" s="41"/>
      <c r="JK38" s="41"/>
      <c r="JL38" s="41"/>
      <c r="JM38" s="230"/>
      <c r="JN38" s="230"/>
      <c r="JO38" s="41"/>
      <c r="JP38" s="41"/>
      <c r="JQ38" s="41"/>
      <c r="JR38" s="41"/>
      <c r="JS38" s="41"/>
      <c r="JT38" s="230"/>
      <c r="JU38" s="230"/>
      <c r="JV38" s="41"/>
      <c r="JW38" s="41"/>
      <c r="JX38" s="41"/>
      <c r="JY38" s="41"/>
      <c r="JZ38" s="41"/>
      <c r="KA38" s="230"/>
      <c r="KB38" s="230"/>
      <c r="KC38" s="41"/>
      <c r="KD38" s="41"/>
      <c r="KE38" s="41"/>
      <c r="KF38" s="41"/>
      <c r="KG38" s="41"/>
      <c r="KH38" s="230"/>
      <c r="KI38" s="230"/>
      <c r="KJ38" s="41"/>
      <c r="KK38" s="41"/>
      <c r="KL38" s="41"/>
      <c r="KM38" s="41"/>
      <c r="KN38" s="41"/>
      <c r="KO38" s="230"/>
      <c r="KP38" s="230"/>
      <c r="KQ38" s="41"/>
      <c r="KR38" s="41"/>
      <c r="KS38" s="41"/>
      <c r="KT38" s="41"/>
      <c r="KU38" s="41"/>
      <c r="KV38" s="230"/>
      <c r="KW38" s="234"/>
      <c r="KX38" s="41"/>
      <c r="KY38" s="41"/>
      <c r="KZ38" s="41"/>
      <c r="LA38" s="41"/>
      <c r="LB38" s="41"/>
      <c r="LC38" s="230"/>
      <c r="LD38" s="230"/>
      <c r="LE38" s="41"/>
      <c r="LF38" s="41"/>
      <c r="LG38" s="41"/>
      <c r="LH38" s="41"/>
      <c r="LI38" s="41"/>
      <c r="LJ38" s="230"/>
      <c r="LK38" s="230"/>
      <c r="LL38" s="41"/>
      <c r="LM38" s="41"/>
      <c r="LN38" s="41"/>
      <c r="LO38" s="41"/>
      <c r="LP38" s="41"/>
      <c r="LQ38" s="230"/>
      <c r="LR38" s="230"/>
      <c r="LS38" s="41"/>
      <c r="LT38" s="41"/>
      <c r="LU38" s="41"/>
      <c r="LV38" s="41"/>
      <c r="LW38" s="41"/>
      <c r="LX38" s="230"/>
      <c r="LY38" s="230"/>
      <c r="LZ38" s="41"/>
      <c r="MA38" s="41"/>
      <c r="MB38" s="41"/>
      <c r="MC38" s="41"/>
      <c r="MD38" s="41"/>
      <c r="ME38" s="230"/>
      <c r="MF38" s="230"/>
      <c r="MG38" s="41"/>
      <c r="MH38" s="41"/>
      <c r="MI38" s="41"/>
      <c r="MJ38" s="41"/>
      <c r="MK38" s="41"/>
      <c r="ML38" s="230"/>
      <c r="MM38" s="230"/>
      <c r="MN38" s="41"/>
      <c r="MO38" s="41"/>
      <c r="MP38" s="41"/>
      <c r="MQ38" s="41"/>
      <c r="MR38" s="41"/>
      <c r="MS38" s="230"/>
      <c r="MT38" s="230"/>
      <c r="MU38" s="41"/>
      <c r="MV38" s="41"/>
      <c r="MW38" s="41"/>
      <c r="MX38" s="41"/>
      <c r="MY38" s="41"/>
      <c r="MZ38" s="230"/>
      <c r="NA38" s="230"/>
      <c r="NB38" s="41"/>
      <c r="NC38" s="41"/>
      <c r="ND38" s="41"/>
      <c r="NE38" s="41"/>
      <c r="NF38" s="41"/>
      <c r="NG38" s="230"/>
      <c r="NH38" s="230"/>
      <c r="NI38" s="41"/>
      <c r="NJ38" s="41"/>
      <c r="NK38" s="41"/>
      <c r="NL38" s="41"/>
      <c r="NM38" s="41"/>
      <c r="NN38" s="230"/>
      <c r="NO38" s="230"/>
    </row>
    <row r="39" spans="4:379" x14ac:dyDescent="0.3">
      <c r="D39" s="206" t="s">
        <v>60</v>
      </c>
      <c r="E39" s="183" t="s">
        <v>79</v>
      </c>
      <c r="F39" s="351" t="s">
        <v>88</v>
      </c>
      <c r="G39" s="355" t="s">
        <v>309</v>
      </c>
      <c r="H39" s="154" t="s">
        <v>310</v>
      </c>
      <c r="I39" s="125" t="s">
        <v>458</v>
      </c>
      <c r="J39" s="41" t="s">
        <v>458</v>
      </c>
      <c r="K39" s="41" t="s">
        <v>458</v>
      </c>
      <c r="L39" s="41" t="s">
        <v>458</v>
      </c>
      <c r="M39" s="41" t="s">
        <v>458</v>
      </c>
      <c r="N39" s="41"/>
      <c r="O39" s="41"/>
      <c r="P39" s="41" t="s">
        <v>458</v>
      </c>
      <c r="Q39" s="41" t="s">
        <v>458</v>
      </c>
      <c r="R39" s="41" t="s">
        <v>458</v>
      </c>
      <c r="S39" s="41" t="s">
        <v>458</v>
      </c>
      <c r="T39" s="41" t="s">
        <v>458</v>
      </c>
      <c r="U39" s="230"/>
      <c r="V39" s="230"/>
      <c r="W39" s="41" t="s">
        <v>458</v>
      </c>
      <c r="X39" s="41" t="s">
        <v>458</v>
      </c>
      <c r="Y39" s="41" t="s">
        <v>458</v>
      </c>
      <c r="Z39" s="41" t="s">
        <v>458</v>
      </c>
      <c r="AA39" s="41" t="s">
        <v>458</v>
      </c>
      <c r="AB39" s="230"/>
      <c r="AC39" s="230"/>
      <c r="AD39" s="41" t="s">
        <v>458</v>
      </c>
      <c r="AE39" s="41" t="s">
        <v>458</v>
      </c>
      <c r="AF39" s="41" t="s">
        <v>458</v>
      </c>
      <c r="AG39" s="41" t="s">
        <v>458</v>
      </c>
      <c r="AH39" s="41" t="s">
        <v>458</v>
      </c>
      <c r="AI39" s="230"/>
      <c r="AJ39" s="230"/>
      <c r="AK39" s="41" t="s">
        <v>458</v>
      </c>
      <c r="AL39" s="41" t="s">
        <v>458</v>
      </c>
      <c r="AM39" s="41" t="s">
        <v>458</v>
      </c>
      <c r="AN39" s="41" t="s">
        <v>458</v>
      </c>
      <c r="AO39" s="41" t="s">
        <v>458</v>
      </c>
      <c r="AP39" s="230"/>
      <c r="AQ39" s="230"/>
      <c r="AR39" s="41" t="s">
        <v>458</v>
      </c>
      <c r="AS39" s="41" t="s">
        <v>458</v>
      </c>
      <c r="AT39" s="41" t="s">
        <v>458</v>
      </c>
      <c r="AU39" s="41" t="s">
        <v>458</v>
      </c>
      <c r="AV39" s="41" t="s">
        <v>458</v>
      </c>
      <c r="AW39" s="230"/>
      <c r="AX39" s="230"/>
      <c r="AY39" s="41" t="s">
        <v>458</v>
      </c>
      <c r="AZ39" s="41" t="s">
        <v>458</v>
      </c>
      <c r="BA39" s="41" t="s">
        <v>458</v>
      </c>
      <c r="BB39" s="41" t="s">
        <v>458</v>
      </c>
      <c r="BC39" s="41" t="s">
        <v>458</v>
      </c>
      <c r="BD39" s="230"/>
      <c r="BE39" s="230"/>
      <c r="BF39" s="41" t="s">
        <v>458</v>
      </c>
      <c r="BG39" s="41" t="s">
        <v>458</v>
      </c>
      <c r="BH39" s="41" t="s">
        <v>458</v>
      </c>
      <c r="BI39" s="41" t="s">
        <v>458</v>
      </c>
      <c r="BJ39" s="41" t="s">
        <v>458</v>
      </c>
      <c r="BK39" s="230"/>
      <c r="BL39" s="230"/>
      <c r="BM39" s="41" t="s">
        <v>458</v>
      </c>
      <c r="BN39" s="41" t="s">
        <v>458</v>
      </c>
      <c r="BO39" s="41" t="s">
        <v>458</v>
      </c>
      <c r="BP39" s="41" t="s">
        <v>458</v>
      </c>
      <c r="BQ39" s="41" t="s">
        <v>458</v>
      </c>
      <c r="BR39" s="41"/>
      <c r="BS39" s="41"/>
      <c r="BT39" s="41" t="s">
        <v>458</v>
      </c>
      <c r="BU39" s="41" t="s">
        <v>458</v>
      </c>
      <c r="BV39" s="41" t="s">
        <v>458</v>
      </c>
      <c r="BW39" s="41" t="s">
        <v>458</v>
      </c>
      <c r="BX39" s="41" t="s">
        <v>458</v>
      </c>
      <c r="BY39" s="41"/>
      <c r="BZ39" s="41"/>
      <c r="CA39" s="41" t="s">
        <v>458</v>
      </c>
      <c r="CB39" s="41" t="s">
        <v>458</v>
      </c>
      <c r="CC39" s="41" t="s">
        <v>458</v>
      </c>
      <c r="CD39" s="41" t="s">
        <v>458</v>
      </c>
      <c r="CE39" s="41" t="s">
        <v>458</v>
      </c>
      <c r="CF39" s="41"/>
      <c r="CG39" s="41"/>
      <c r="CH39" s="41" t="s">
        <v>458</v>
      </c>
      <c r="CI39" s="41" t="s">
        <v>458</v>
      </c>
      <c r="CJ39" s="41" t="s">
        <v>458</v>
      </c>
      <c r="CK39" s="41" t="s">
        <v>458</v>
      </c>
      <c r="CL39" s="41" t="s">
        <v>458</v>
      </c>
      <c r="CM39" s="41"/>
      <c r="CN39" s="41"/>
      <c r="CO39" s="41" t="s">
        <v>458</v>
      </c>
      <c r="CP39" s="41" t="s">
        <v>458</v>
      </c>
      <c r="CQ39" s="41" t="s">
        <v>458</v>
      </c>
      <c r="CR39" s="41" t="s">
        <v>458</v>
      </c>
      <c r="CS39" s="41" t="s">
        <v>458</v>
      </c>
      <c r="CT39" s="41"/>
      <c r="CU39" s="41"/>
      <c r="CV39" s="41" t="s">
        <v>458</v>
      </c>
      <c r="CW39" s="41" t="s">
        <v>458</v>
      </c>
      <c r="CX39" s="41" t="s">
        <v>458</v>
      </c>
      <c r="CY39" s="41" t="s">
        <v>458</v>
      </c>
      <c r="CZ39" s="41" t="s">
        <v>458</v>
      </c>
      <c r="DA39" s="41"/>
      <c r="DB39" s="41"/>
      <c r="DC39" s="41" t="s">
        <v>458</v>
      </c>
      <c r="DD39" s="41" t="s">
        <v>458</v>
      </c>
      <c r="DE39" s="41" t="s">
        <v>458</v>
      </c>
      <c r="DF39" s="41" t="s">
        <v>458</v>
      </c>
      <c r="DG39" s="41" t="s">
        <v>458</v>
      </c>
      <c r="DH39" s="41"/>
      <c r="DI39" s="41"/>
      <c r="DJ39" s="41" t="s">
        <v>458</v>
      </c>
      <c r="DK39" s="41" t="s">
        <v>458</v>
      </c>
      <c r="DL39" s="41" t="s">
        <v>458</v>
      </c>
      <c r="DM39" s="41" t="s">
        <v>458</v>
      </c>
      <c r="DN39" s="41" t="s">
        <v>458</v>
      </c>
      <c r="DO39" s="41"/>
      <c r="DP39" s="41"/>
      <c r="DQ39" s="41" t="s">
        <v>460</v>
      </c>
      <c r="DR39" s="41" t="s">
        <v>458</v>
      </c>
      <c r="DS39" s="41" t="s">
        <v>458</v>
      </c>
      <c r="DT39" s="41" t="s">
        <v>458</v>
      </c>
      <c r="DU39" s="41" t="s">
        <v>458</v>
      </c>
      <c r="DV39" s="41"/>
      <c r="DW39" s="41"/>
      <c r="DX39" s="41" t="s">
        <v>458</v>
      </c>
      <c r="DY39" s="41" t="s">
        <v>458</v>
      </c>
      <c r="DZ39" s="41" t="s">
        <v>458</v>
      </c>
      <c r="EA39" s="41" t="s">
        <v>460</v>
      </c>
      <c r="EB39" s="41" t="s">
        <v>458</v>
      </c>
      <c r="EC39" s="41"/>
      <c r="ED39" s="41"/>
      <c r="EE39" s="41" t="s">
        <v>458</v>
      </c>
      <c r="EF39" s="41" t="s">
        <v>458</v>
      </c>
      <c r="EG39" s="41" t="s">
        <v>458</v>
      </c>
      <c r="EH39" s="41" t="s">
        <v>458</v>
      </c>
      <c r="EI39" s="41" t="s">
        <v>458</v>
      </c>
      <c r="EJ39" s="41"/>
      <c r="EK39" s="41"/>
      <c r="EL39" s="41" t="s">
        <v>458</v>
      </c>
      <c r="EM39" s="41" t="s">
        <v>458</v>
      </c>
      <c r="EN39" s="41" t="s">
        <v>458</v>
      </c>
      <c r="EO39" s="41" t="s">
        <v>458</v>
      </c>
      <c r="EP39" s="41" t="s">
        <v>458</v>
      </c>
      <c r="EQ39" s="41"/>
      <c r="ER39" s="41"/>
      <c r="ES39" s="41" t="s">
        <v>458</v>
      </c>
      <c r="ET39" s="41" t="s">
        <v>458</v>
      </c>
      <c r="EU39" s="41" t="s">
        <v>458</v>
      </c>
      <c r="EV39" s="41" t="s">
        <v>458</v>
      </c>
      <c r="EW39" s="41" t="s">
        <v>458</v>
      </c>
      <c r="EX39" s="41"/>
      <c r="EY39" s="41"/>
      <c r="EZ39" s="41" t="s">
        <v>458</v>
      </c>
      <c r="FA39" s="41" t="s">
        <v>458</v>
      </c>
      <c r="FB39" s="41" t="s">
        <v>458</v>
      </c>
      <c r="FC39" s="41" t="s">
        <v>458</v>
      </c>
      <c r="FD39" s="41" t="s">
        <v>458</v>
      </c>
      <c r="FE39" s="41"/>
      <c r="FF39" s="41"/>
      <c r="FG39" s="41" t="s">
        <v>458</v>
      </c>
      <c r="FH39" s="41" t="s">
        <v>458</v>
      </c>
      <c r="FI39" s="41" t="s">
        <v>458</v>
      </c>
      <c r="FJ39" s="41" t="s">
        <v>458</v>
      </c>
      <c r="FK39" s="41" t="s">
        <v>458</v>
      </c>
      <c r="FL39" s="41"/>
      <c r="FM39" s="41"/>
      <c r="FN39" s="41" t="s">
        <v>460</v>
      </c>
      <c r="FO39" s="41" t="s">
        <v>458</v>
      </c>
      <c r="FP39" s="41" t="s">
        <v>458</v>
      </c>
      <c r="FQ39" s="41" t="s">
        <v>458</v>
      </c>
      <c r="FR39" s="41" t="s">
        <v>458</v>
      </c>
      <c r="FS39" s="41"/>
      <c r="FT39" s="41"/>
      <c r="FU39" s="41" t="s">
        <v>458</v>
      </c>
      <c r="FV39" s="41" t="s">
        <v>458</v>
      </c>
      <c r="FW39" s="41" t="s">
        <v>458</v>
      </c>
      <c r="FX39" s="41" t="s">
        <v>458</v>
      </c>
      <c r="FY39" s="41" t="s">
        <v>458</v>
      </c>
      <c r="FZ39" s="41"/>
      <c r="GA39" s="41"/>
      <c r="GB39" s="41" t="s">
        <v>458</v>
      </c>
      <c r="GC39" s="41" t="s">
        <v>458</v>
      </c>
      <c r="GD39" s="41" t="s">
        <v>458</v>
      </c>
      <c r="GE39" s="41" t="s">
        <v>458</v>
      </c>
      <c r="GF39" s="41" t="s">
        <v>458</v>
      </c>
      <c r="GG39" s="41"/>
      <c r="GH39" s="41"/>
      <c r="GI39" s="41" t="s">
        <v>458</v>
      </c>
      <c r="GJ39" s="41" t="s">
        <v>458</v>
      </c>
      <c r="GK39" s="41" t="s">
        <v>458</v>
      </c>
      <c r="GL39" s="41" t="s">
        <v>458</v>
      </c>
      <c r="GM39" s="41" t="s">
        <v>458</v>
      </c>
      <c r="GN39" s="41"/>
      <c r="GO39" s="41"/>
      <c r="GP39" s="41" t="s">
        <v>458</v>
      </c>
      <c r="GQ39" s="41" t="s">
        <v>458</v>
      </c>
      <c r="GR39" s="41" t="s">
        <v>458</v>
      </c>
      <c r="GS39" s="41" t="s">
        <v>458</v>
      </c>
      <c r="GT39" s="41" t="s">
        <v>458</v>
      </c>
      <c r="GU39" s="41"/>
      <c r="GV39" s="41"/>
      <c r="GW39" s="41" t="s">
        <v>460</v>
      </c>
      <c r="GX39" s="41" t="s">
        <v>458</v>
      </c>
      <c r="GY39" s="41" t="s">
        <v>458</v>
      </c>
      <c r="GZ39" s="41" t="s">
        <v>458</v>
      </c>
      <c r="HA39" s="41" t="s">
        <v>458</v>
      </c>
      <c r="HB39" s="230"/>
      <c r="HC39" s="230"/>
      <c r="HD39" s="41" t="s">
        <v>458</v>
      </c>
      <c r="HE39" s="41" t="s">
        <v>458</v>
      </c>
      <c r="HF39" s="41" t="s">
        <v>458</v>
      </c>
      <c r="HG39" s="41" t="s">
        <v>458</v>
      </c>
      <c r="HH39" s="41" t="s">
        <v>458</v>
      </c>
      <c r="HI39" s="230"/>
      <c r="HJ39" s="230"/>
      <c r="HK39" s="372" t="s">
        <v>458</v>
      </c>
      <c r="HL39" s="372" t="s">
        <v>458</v>
      </c>
      <c r="HM39" s="372" t="s">
        <v>458</v>
      </c>
      <c r="HN39" s="372" t="s">
        <v>458</v>
      </c>
      <c r="HO39" s="372" t="s">
        <v>458</v>
      </c>
      <c r="HP39" s="230"/>
      <c r="HQ39" s="230"/>
      <c r="HR39" s="372" t="s">
        <v>460</v>
      </c>
      <c r="HS39" s="372" t="s">
        <v>460</v>
      </c>
      <c r="HT39" s="372" t="s">
        <v>460</v>
      </c>
      <c r="HU39" s="372" t="s">
        <v>460</v>
      </c>
      <c r="HV39" s="372" t="s">
        <v>460</v>
      </c>
      <c r="HW39" s="230"/>
      <c r="HX39" s="230"/>
      <c r="HY39" s="372" t="s">
        <v>460</v>
      </c>
      <c r="HZ39" s="372" t="s">
        <v>460</v>
      </c>
      <c r="IA39" s="372" t="s">
        <v>460</v>
      </c>
      <c r="IB39" s="372" t="s">
        <v>460</v>
      </c>
      <c r="IC39" s="372" t="s">
        <v>460</v>
      </c>
      <c r="ID39" s="230"/>
      <c r="IE39" s="230"/>
      <c r="IF39" s="372" t="s">
        <v>458</v>
      </c>
      <c r="IG39" s="372" t="s">
        <v>458</v>
      </c>
      <c r="IH39" s="372" t="s">
        <v>458</v>
      </c>
      <c r="II39" s="372" t="s">
        <v>458</v>
      </c>
      <c r="IJ39" s="372" t="s">
        <v>458</v>
      </c>
      <c r="IK39" s="230"/>
      <c r="IL39" s="230"/>
      <c r="IM39" s="372" t="s">
        <v>458</v>
      </c>
      <c r="IN39" s="372" t="s">
        <v>458</v>
      </c>
      <c r="IO39" s="372" t="s">
        <v>458</v>
      </c>
      <c r="IP39" s="372" t="s">
        <v>458</v>
      </c>
      <c r="IQ39" s="372" t="s">
        <v>458</v>
      </c>
      <c r="IR39" s="41"/>
      <c r="IS39" s="41"/>
      <c r="IT39" s="372" t="s">
        <v>458</v>
      </c>
      <c r="IU39" s="372" t="s">
        <v>458</v>
      </c>
      <c r="IV39" s="372" t="s">
        <v>458</v>
      </c>
      <c r="IW39" s="372" t="s">
        <v>458</v>
      </c>
      <c r="IX39" s="372" t="s">
        <v>458</v>
      </c>
      <c r="IY39" s="41"/>
      <c r="IZ39" s="41"/>
      <c r="JA39" s="372" t="s">
        <v>458</v>
      </c>
      <c r="JB39" s="372" t="s">
        <v>458</v>
      </c>
      <c r="JC39" s="372" t="s">
        <v>458</v>
      </c>
      <c r="JD39" s="372" t="s">
        <v>458</v>
      </c>
      <c r="JE39" s="372" t="s">
        <v>458</v>
      </c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  <c r="LW39" s="41"/>
      <c r="LX39" s="41"/>
      <c r="LY39" s="41"/>
      <c r="LZ39" s="41"/>
      <c r="MA39" s="41"/>
      <c r="MB39" s="41"/>
      <c r="MC39" s="41"/>
      <c r="MD39" s="41"/>
      <c r="ME39" s="41"/>
      <c r="MF39" s="41"/>
      <c r="MG39" s="41"/>
      <c r="MH39" s="41"/>
      <c r="MI39" s="41"/>
      <c r="MJ39" s="41"/>
      <c r="MK39" s="41"/>
      <c r="ML39" s="41"/>
      <c r="MM39" s="41"/>
      <c r="MN39" s="41"/>
      <c r="MO39" s="41"/>
      <c r="MP39" s="41"/>
      <c r="MQ39" s="41"/>
      <c r="MR39" s="41"/>
      <c r="MS39" s="41"/>
      <c r="MT39" s="41"/>
      <c r="MU39" s="41"/>
      <c r="MV39" s="41"/>
      <c r="MW39" s="41"/>
      <c r="MX39" s="41"/>
      <c r="MY39" s="41"/>
      <c r="MZ39" s="41"/>
      <c r="NA39" s="41"/>
      <c r="NB39" s="41"/>
      <c r="NC39" s="41"/>
      <c r="ND39" s="41"/>
      <c r="NE39" s="41"/>
      <c r="NF39" s="41"/>
      <c r="NG39" s="41"/>
      <c r="NH39" s="41"/>
      <c r="NI39" s="41"/>
      <c r="NJ39" s="41"/>
      <c r="NK39" s="41"/>
      <c r="NL39" s="41"/>
      <c r="NM39" s="41"/>
      <c r="NN39" s="41"/>
      <c r="NO39" s="41"/>
    </row>
    <row r="40" spans="4:379" x14ac:dyDescent="0.3">
      <c r="D40" s="206" t="s">
        <v>60</v>
      </c>
      <c r="E40" s="187" t="s">
        <v>8</v>
      </c>
      <c r="F40" s="351" t="s">
        <v>9</v>
      </c>
      <c r="G40" s="363" t="s">
        <v>924</v>
      </c>
      <c r="H40" s="156" t="s">
        <v>325</v>
      </c>
      <c r="I40" s="125"/>
      <c r="J40" s="41"/>
      <c r="K40" s="41"/>
      <c r="L40" s="41"/>
      <c r="M40" s="41"/>
      <c r="N40" s="230"/>
      <c r="O40" s="230"/>
      <c r="P40" s="41"/>
      <c r="Q40" s="41"/>
      <c r="R40" s="41"/>
      <c r="S40" s="41"/>
      <c r="T40" s="41"/>
      <c r="U40" s="230"/>
      <c r="V40" s="230"/>
      <c r="W40" s="41"/>
      <c r="X40" s="41"/>
      <c r="Y40" s="41"/>
      <c r="Z40" s="41"/>
      <c r="AA40" s="41"/>
      <c r="AB40" s="230"/>
      <c r="AC40" s="230"/>
      <c r="AD40" s="41"/>
      <c r="AE40" s="41"/>
      <c r="AF40" s="41"/>
      <c r="AG40" s="41"/>
      <c r="AH40" s="41"/>
      <c r="AI40" s="230"/>
      <c r="AJ40" s="230"/>
      <c r="AK40" s="41"/>
      <c r="AL40" s="41"/>
      <c r="AM40" s="41"/>
      <c r="AN40" s="41"/>
      <c r="AO40" s="41"/>
      <c r="AP40" s="230"/>
      <c r="AQ40" s="230"/>
      <c r="AR40" s="41"/>
      <c r="AS40" s="41"/>
      <c r="AT40" s="41"/>
      <c r="AU40" s="41"/>
      <c r="AV40" s="41"/>
      <c r="AW40" s="230"/>
      <c r="AX40" s="230"/>
      <c r="AY40" s="41"/>
      <c r="AZ40" s="41"/>
      <c r="BA40" s="41"/>
      <c r="BB40" s="41"/>
      <c r="BC40" s="41"/>
      <c r="BD40" s="230"/>
      <c r="BE40" s="230"/>
      <c r="BF40" s="41"/>
      <c r="BG40" s="41"/>
      <c r="BH40" s="41"/>
      <c r="BI40" s="41"/>
      <c r="BJ40" s="41"/>
      <c r="BK40" s="230"/>
      <c r="BL40" s="230"/>
      <c r="BM40" s="41"/>
      <c r="BN40" s="41"/>
      <c r="BO40" s="41"/>
      <c r="BP40" s="41"/>
      <c r="BQ40" s="41"/>
      <c r="BR40" s="230"/>
      <c r="BS40" s="230"/>
      <c r="BT40" s="41"/>
      <c r="BU40" s="41"/>
      <c r="BV40" s="41"/>
      <c r="BW40" s="41"/>
      <c r="BX40" s="41"/>
      <c r="BY40" s="230"/>
      <c r="BZ40" s="230"/>
      <c r="CA40" s="41"/>
      <c r="CB40" s="41"/>
      <c r="CC40" s="41"/>
      <c r="CD40" s="41"/>
      <c r="CE40" s="41"/>
      <c r="CF40" s="234"/>
      <c r="CG40" s="234"/>
      <c r="CH40" s="41"/>
      <c r="CI40" s="41"/>
      <c r="CJ40" s="41"/>
      <c r="CK40" s="41"/>
      <c r="CL40" s="41"/>
      <c r="CM40" s="230"/>
      <c r="CN40" s="230"/>
      <c r="CO40" s="41"/>
      <c r="CP40" s="41"/>
      <c r="CQ40" s="41"/>
      <c r="CR40" s="41"/>
      <c r="CS40" s="41"/>
      <c r="CT40" s="230"/>
      <c r="CU40" s="230"/>
      <c r="CV40" s="41"/>
      <c r="CW40" s="41"/>
      <c r="CX40" s="41"/>
      <c r="CY40" s="41"/>
      <c r="CZ40" s="41"/>
      <c r="DA40" s="230"/>
      <c r="DB40" s="230"/>
      <c r="DC40" s="41"/>
      <c r="DD40" s="41"/>
      <c r="DE40" s="41"/>
      <c r="DF40" s="41"/>
      <c r="DG40" s="41"/>
      <c r="DH40" s="230"/>
      <c r="DI40" s="230"/>
      <c r="DJ40" s="41"/>
      <c r="DK40" s="41"/>
      <c r="DL40" s="41"/>
      <c r="DM40" s="41"/>
      <c r="DN40" s="41"/>
      <c r="DO40" s="230"/>
      <c r="DP40" s="230"/>
      <c r="DQ40" s="41" t="s">
        <v>460</v>
      </c>
      <c r="DR40" s="41" t="s">
        <v>460</v>
      </c>
      <c r="DS40" s="41"/>
      <c r="DT40" s="41"/>
      <c r="DU40" s="41"/>
      <c r="DV40" s="230"/>
      <c r="DW40" s="234"/>
      <c r="DX40" s="41"/>
      <c r="DY40" s="41"/>
      <c r="DZ40" s="41"/>
      <c r="EA40" s="41" t="s">
        <v>460</v>
      </c>
      <c r="EB40" s="41"/>
      <c r="EC40" s="230"/>
      <c r="ED40" s="230"/>
      <c r="EE40" s="41"/>
      <c r="EF40" s="41"/>
      <c r="EG40" s="41"/>
      <c r="EH40" s="41"/>
      <c r="EI40" s="41"/>
      <c r="EJ40" s="230"/>
      <c r="EK40" s="230"/>
      <c r="EL40" s="41"/>
      <c r="EM40" s="41"/>
      <c r="EN40" s="41"/>
      <c r="EO40" s="41"/>
      <c r="EP40" s="41"/>
      <c r="EQ40" s="230"/>
      <c r="ER40" s="230"/>
      <c r="ES40" s="41"/>
      <c r="ET40" s="41"/>
      <c r="EU40" s="41"/>
      <c r="EV40" s="41"/>
      <c r="EW40" s="41"/>
      <c r="EX40" s="230"/>
      <c r="EY40" s="230"/>
      <c r="EZ40" s="41"/>
      <c r="FA40" s="41"/>
      <c r="FB40" s="41"/>
      <c r="FC40" s="41"/>
      <c r="FD40" s="41"/>
      <c r="FE40" s="230"/>
      <c r="FF40" s="230"/>
      <c r="FG40" s="41"/>
      <c r="FH40" s="41"/>
      <c r="FI40" s="41"/>
      <c r="FJ40" s="41"/>
      <c r="FK40" s="41"/>
      <c r="FL40" s="230"/>
      <c r="FM40" s="230"/>
      <c r="FN40" s="41" t="s">
        <v>460</v>
      </c>
      <c r="FO40" s="41"/>
      <c r="FP40" s="41"/>
      <c r="FQ40" s="41"/>
      <c r="FR40" s="41"/>
      <c r="FS40" s="230"/>
      <c r="FT40" s="230"/>
      <c r="FU40" s="41"/>
      <c r="FV40" s="41"/>
      <c r="FW40" s="41"/>
      <c r="FX40" s="41"/>
      <c r="FY40" s="41"/>
      <c r="FZ40" s="230"/>
      <c r="GA40" s="230"/>
      <c r="GB40" s="41"/>
      <c r="GC40" s="41"/>
      <c r="GD40" s="41"/>
      <c r="GE40" s="41"/>
      <c r="GF40" s="41"/>
      <c r="GG40" s="230"/>
      <c r="GH40" s="230"/>
      <c r="GI40" s="41"/>
      <c r="GJ40" s="41"/>
      <c r="GK40" s="41"/>
      <c r="GL40" s="41"/>
      <c r="GM40" s="41"/>
      <c r="GN40" s="230"/>
      <c r="GO40" s="230"/>
      <c r="GP40" s="41"/>
      <c r="GQ40" s="41"/>
      <c r="GR40" s="41"/>
      <c r="GS40" s="41"/>
      <c r="GT40" s="41"/>
      <c r="GU40" s="230"/>
      <c r="GV40" s="230"/>
      <c r="GW40" s="41" t="s">
        <v>460</v>
      </c>
      <c r="GX40" s="41"/>
      <c r="GY40" s="41"/>
      <c r="GZ40" s="41"/>
      <c r="HA40" s="41"/>
      <c r="HB40" s="230"/>
      <c r="HC40" s="230"/>
      <c r="HD40" s="372"/>
      <c r="HE40" s="372"/>
      <c r="HF40" s="372"/>
      <c r="HG40" s="372"/>
      <c r="HH40" s="372"/>
      <c r="HI40" s="230"/>
      <c r="HJ40" s="230"/>
      <c r="HK40" s="372"/>
      <c r="HL40" s="372"/>
      <c r="HM40" s="372"/>
      <c r="HN40" s="372"/>
      <c r="HO40" s="372"/>
      <c r="HP40" s="230"/>
      <c r="HQ40" s="230"/>
      <c r="HR40" s="372"/>
      <c r="HS40" s="372"/>
      <c r="HT40" s="372"/>
      <c r="HU40" s="372"/>
      <c r="HV40" s="372"/>
      <c r="HW40" s="230"/>
      <c r="HX40" s="230"/>
      <c r="HY40" s="372"/>
      <c r="HZ40" s="372"/>
      <c r="IA40" s="372"/>
      <c r="IB40" s="372"/>
      <c r="IC40" s="372"/>
      <c r="ID40" s="230"/>
      <c r="IE40" s="230"/>
      <c r="IF40" s="372"/>
      <c r="IG40" s="372"/>
      <c r="IH40" s="372"/>
      <c r="II40" s="372"/>
      <c r="IJ40" s="372"/>
      <c r="IK40" s="230"/>
      <c r="IL40" s="230"/>
      <c r="IM40" s="372"/>
      <c r="IN40" s="372"/>
      <c r="IO40" s="372"/>
      <c r="IP40" s="372"/>
      <c r="IQ40" s="372"/>
      <c r="IR40" s="234"/>
      <c r="IS40" s="234"/>
      <c r="IT40" s="372"/>
      <c r="IU40" s="372"/>
      <c r="IV40" s="372"/>
      <c r="IW40" s="372"/>
      <c r="IX40" s="372"/>
      <c r="IY40" s="234"/>
      <c r="IZ40" s="234"/>
      <c r="JA40" s="372"/>
      <c r="JB40" s="372"/>
      <c r="JC40" s="372"/>
      <c r="JD40" s="372"/>
      <c r="JE40" s="372"/>
      <c r="JF40" s="234"/>
      <c r="JG40" s="234"/>
      <c r="JH40" s="234"/>
      <c r="JI40" s="234"/>
      <c r="JJ40" s="234"/>
      <c r="JK40" s="234"/>
      <c r="JL40" s="234"/>
      <c r="JM40" s="234"/>
      <c r="JN40" s="234"/>
      <c r="JO40" s="234"/>
      <c r="JP40" s="234"/>
      <c r="JQ40" s="234"/>
      <c r="JR40" s="234"/>
      <c r="JS40" s="234"/>
      <c r="JT40" s="234"/>
      <c r="JU40" s="234"/>
      <c r="JV40" s="234"/>
      <c r="JW40" s="234"/>
      <c r="JX40" s="234"/>
      <c r="JY40" s="234"/>
      <c r="JZ40" s="234"/>
      <c r="KA40" s="234"/>
      <c r="KB40" s="234"/>
      <c r="KC40" s="234"/>
      <c r="KD40" s="234"/>
      <c r="KE40" s="234"/>
      <c r="KF40" s="234"/>
      <c r="KG40" s="234"/>
      <c r="KH40" s="234"/>
      <c r="KI40" s="234"/>
      <c r="KJ40" s="234"/>
      <c r="KK40" s="234"/>
      <c r="KL40" s="234"/>
      <c r="KM40" s="234"/>
      <c r="KN40" s="234"/>
      <c r="KO40" s="234"/>
      <c r="KP40" s="234"/>
      <c r="KQ40" s="234"/>
      <c r="KR40" s="234"/>
      <c r="KS40" s="234"/>
      <c r="KT40" s="234"/>
      <c r="KU40" s="234"/>
      <c r="KV40" s="234"/>
      <c r="KW40" s="234"/>
      <c r="KX40" s="234"/>
      <c r="KY40" s="234"/>
      <c r="KZ40" s="234"/>
      <c r="LA40" s="234"/>
      <c r="LB40" s="234"/>
      <c r="LC40" s="234"/>
      <c r="LD40" s="234"/>
      <c r="LE40" s="234"/>
      <c r="LF40" s="234"/>
      <c r="LG40" s="234"/>
      <c r="LH40" s="234"/>
      <c r="LI40" s="234"/>
      <c r="LJ40" s="234"/>
      <c r="LK40" s="234"/>
      <c r="LL40" s="234"/>
      <c r="LM40" s="234"/>
      <c r="LN40" s="234"/>
      <c r="LO40" s="234"/>
      <c r="LP40" s="234"/>
      <c r="LQ40" s="234"/>
      <c r="LR40" s="234"/>
      <c r="LS40" s="234"/>
      <c r="LT40" s="234"/>
      <c r="LU40" s="234"/>
      <c r="LV40" s="234"/>
      <c r="LW40" s="234"/>
      <c r="LX40" s="234"/>
      <c r="LY40" s="234"/>
      <c r="LZ40" s="234"/>
      <c r="MA40" s="234"/>
      <c r="MB40" s="234"/>
      <c r="MC40" s="234"/>
      <c r="MD40" s="234"/>
      <c r="ME40" s="234"/>
      <c r="MF40" s="234"/>
      <c r="MG40" s="234"/>
      <c r="MH40" s="234"/>
      <c r="MI40" s="234"/>
      <c r="MJ40" s="234"/>
      <c r="MK40" s="234"/>
      <c r="ML40" s="234"/>
      <c r="MM40" s="234"/>
      <c r="MN40" s="234"/>
      <c r="MO40" s="234"/>
      <c r="MP40" s="234"/>
      <c r="MQ40" s="234"/>
      <c r="MR40" s="234"/>
      <c r="MS40" s="234"/>
      <c r="MT40" s="234"/>
      <c r="MU40" s="234"/>
      <c r="MV40" s="234"/>
      <c r="MW40" s="234"/>
      <c r="MX40" s="234"/>
      <c r="MY40" s="234"/>
      <c r="MZ40" s="234"/>
      <c r="NA40" s="234"/>
      <c r="NB40" s="234"/>
      <c r="NC40" s="234"/>
      <c r="ND40" s="234"/>
      <c r="NE40" s="234"/>
      <c r="NF40" s="234"/>
      <c r="NG40" s="234"/>
      <c r="NH40" s="234"/>
      <c r="NI40" s="234"/>
      <c r="NJ40" s="234"/>
      <c r="NK40" s="234"/>
      <c r="NL40" s="234"/>
      <c r="NM40" s="234"/>
      <c r="NN40" s="234"/>
      <c r="NO40" s="234"/>
    </row>
    <row r="41" spans="4:379" x14ac:dyDescent="0.3">
      <c r="D41" s="206" t="s">
        <v>60</v>
      </c>
      <c r="E41" s="187" t="s">
        <v>21</v>
      </c>
      <c r="F41" s="351" t="s">
        <v>9</v>
      </c>
      <c r="G41" s="363" t="s">
        <v>1296</v>
      </c>
      <c r="H41" s="156" t="s">
        <v>710</v>
      </c>
      <c r="I41" s="125"/>
      <c r="J41" s="41"/>
      <c r="K41" s="41"/>
      <c r="L41" s="41"/>
      <c r="M41" s="41"/>
      <c r="N41" s="230"/>
      <c r="O41" s="230"/>
      <c r="P41" s="41"/>
      <c r="Q41" s="41"/>
      <c r="R41" s="41"/>
      <c r="S41" s="41"/>
      <c r="T41" s="41"/>
      <c r="U41" s="230"/>
      <c r="V41" s="230"/>
      <c r="W41" s="41"/>
      <c r="X41" s="41"/>
      <c r="Y41" s="41"/>
      <c r="Z41" s="41"/>
      <c r="AA41" s="41"/>
      <c r="AB41" s="230"/>
      <c r="AC41" s="230"/>
      <c r="AD41" s="41"/>
      <c r="AE41" s="41"/>
      <c r="AF41" s="41"/>
      <c r="AG41" s="41"/>
      <c r="AH41" s="41"/>
      <c r="AI41" s="230"/>
      <c r="AJ41" s="230"/>
      <c r="AK41" s="41"/>
      <c r="AL41" s="41"/>
      <c r="AM41" s="41"/>
      <c r="AN41" s="41"/>
      <c r="AO41" s="41"/>
      <c r="AP41" s="230"/>
      <c r="AQ41" s="230"/>
      <c r="AR41" s="41"/>
      <c r="AS41" s="41"/>
      <c r="AT41" s="41"/>
      <c r="AU41" s="41"/>
      <c r="AV41" s="41"/>
      <c r="AW41" s="230"/>
      <c r="AX41" s="230"/>
      <c r="AY41" s="41"/>
      <c r="AZ41" s="41"/>
      <c r="BA41" s="41"/>
      <c r="BB41" s="41"/>
      <c r="BC41" s="41"/>
      <c r="BD41" s="230"/>
      <c r="BE41" s="230"/>
      <c r="BF41" s="41"/>
      <c r="BG41" s="41"/>
      <c r="BH41" s="41"/>
      <c r="BI41" s="41"/>
      <c r="BJ41" s="41"/>
      <c r="BK41" s="230"/>
      <c r="BL41" s="230"/>
      <c r="BM41" s="41"/>
      <c r="BN41" s="41"/>
      <c r="BO41" s="41"/>
      <c r="BP41" s="41"/>
      <c r="BQ41" s="41"/>
      <c r="BR41" s="230"/>
      <c r="BS41" s="230"/>
      <c r="BT41" s="41"/>
      <c r="BU41" s="41"/>
      <c r="BV41" s="41"/>
      <c r="BW41" s="41"/>
      <c r="BX41" s="41"/>
      <c r="BY41" s="230"/>
      <c r="BZ41" s="230"/>
      <c r="CA41" s="41"/>
      <c r="CB41" s="41"/>
      <c r="CC41" s="41"/>
      <c r="CD41" s="41"/>
      <c r="CE41" s="41"/>
      <c r="CF41" s="234"/>
      <c r="CG41" s="234"/>
      <c r="CH41" s="41"/>
      <c r="CI41" s="41"/>
      <c r="CJ41" s="41"/>
      <c r="CK41" s="41"/>
      <c r="CL41" s="41"/>
      <c r="CM41" s="230"/>
      <c r="CN41" s="230"/>
      <c r="CO41" s="41"/>
      <c r="CP41" s="41"/>
      <c r="CQ41" s="41"/>
      <c r="CR41" s="41"/>
      <c r="CS41" s="41"/>
      <c r="CT41" s="230"/>
      <c r="CU41" s="230"/>
      <c r="CV41" s="41"/>
      <c r="CW41" s="41"/>
      <c r="CX41" s="41"/>
      <c r="CY41" s="41"/>
      <c r="CZ41" s="41"/>
      <c r="DA41" s="230"/>
      <c r="DB41" s="230"/>
      <c r="DC41" s="41"/>
      <c r="DD41" s="41"/>
      <c r="DE41" s="41"/>
      <c r="DF41" s="41"/>
      <c r="DG41" s="41"/>
      <c r="DH41" s="230"/>
      <c r="DI41" s="230"/>
      <c r="DJ41" s="41"/>
      <c r="DK41" s="41"/>
      <c r="DL41" s="41"/>
      <c r="DM41" s="41"/>
      <c r="DN41" s="41"/>
      <c r="DO41" s="230"/>
      <c r="DP41" s="230"/>
      <c r="DQ41" s="41"/>
      <c r="DR41" s="41"/>
      <c r="DS41" s="41"/>
      <c r="DT41" s="41"/>
      <c r="DU41" s="41"/>
      <c r="DV41" s="230"/>
      <c r="DW41" s="234"/>
      <c r="DX41" s="41"/>
      <c r="DY41" s="41"/>
      <c r="DZ41" s="41"/>
      <c r="EA41" s="41"/>
      <c r="EB41" s="41"/>
      <c r="EC41" s="230"/>
      <c r="ED41" s="230"/>
      <c r="EE41" s="41"/>
      <c r="EF41" s="41"/>
      <c r="EG41" s="41"/>
      <c r="EH41" s="41"/>
      <c r="EI41" s="41"/>
      <c r="EJ41" s="230"/>
      <c r="EK41" s="230"/>
      <c r="EL41" s="41"/>
      <c r="EM41" s="41"/>
      <c r="EN41" s="41"/>
      <c r="EO41" s="41"/>
      <c r="EP41" s="41"/>
      <c r="EQ41" s="230"/>
      <c r="ER41" s="230"/>
      <c r="ES41" s="41"/>
      <c r="ET41" s="41"/>
      <c r="EU41" s="41"/>
      <c r="EV41" s="41"/>
      <c r="EW41" s="41"/>
      <c r="EX41" s="230"/>
      <c r="EY41" s="230"/>
      <c r="EZ41" s="41"/>
      <c r="FA41" s="41"/>
      <c r="FB41" s="41"/>
      <c r="FC41" s="41"/>
      <c r="FD41" s="41"/>
      <c r="FE41" s="230"/>
      <c r="FF41" s="230"/>
      <c r="FG41" s="41"/>
      <c r="FH41" s="41"/>
      <c r="FI41" s="41"/>
      <c r="FJ41" s="41"/>
      <c r="FK41" s="41"/>
      <c r="FL41" s="230"/>
      <c r="FM41" s="230"/>
      <c r="FN41" s="41"/>
      <c r="FO41" s="41"/>
      <c r="FP41" s="41"/>
      <c r="FQ41" s="41"/>
      <c r="FR41" s="41"/>
      <c r="FS41" s="230"/>
      <c r="FT41" s="230"/>
      <c r="FU41" s="41"/>
      <c r="FV41" s="41"/>
      <c r="FW41" s="41"/>
      <c r="FX41" s="41"/>
      <c r="FY41" s="41"/>
      <c r="FZ41" s="230"/>
      <c r="GA41" s="230"/>
      <c r="GB41" s="41"/>
      <c r="GC41" s="41"/>
      <c r="GD41" s="41"/>
      <c r="GE41" s="41"/>
      <c r="GF41" s="41"/>
      <c r="GG41" s="230"/>
      <c r="GH41" s="230"/>
      <c r="GI41" s="41"/>
      <c r="GJ41" s="41"/>
      <c r="GK41" s="41"/>
      <c r="GL41" s="41"/>
      <c r="GM41" s="41"/>
      <c r="GN41" s="230"/>
      <c r="GO41" s="230"/>
      <c r="GP41" s="41"/>
      <c r="GQ41" s="41"/>
      <c r="GR41" s="41"/>
      <c r="GS41" s="41"/>
      <c r="GT41" s="41"/>
      <c r="GU41" s="230"/>
      <c r="GV41" s="230"/>
      <c r="GW41" s="41" t="s">
        <v>460</v>
      </c>
      <c r="GX41" s="41"/>
      <c r="GY41" s="41"/>
      <c r="GZ41" s="41"/>
      <c r="HA41" s="41"/>
      <c r="HB41" s="230"/>
      <c r="HC41" s="230"/>
      <c r="HD41" s="372"/>
      <c r="HE41" s="372"/>
      <c r="HF41" s="372"/>
      <c r="HG41" s="372"/>
      <c r="HH41" s="372"/>
      <c r="HI41" s="230"/>
      <c r="HJ41" s="230"/>
      <c r="HK41" s="372"/>
      <c r="HL41" s="372"/>
      <c r="HM41" s="372"/>
      <c r="HN41" s="372"/>
      <c r="HO41" s="372"/>
      <c r="HP41" s="230"/>
      <c r="HQ41" s="230"/>
      <c r="HR41" s="372"/>
      <c r="HS41" s="372"/>
      <c r="HT41" s="372"/>
      <c r="HU41" s="372"/>
      <c r="HV41" s="372"/>
      <c r="HW41" s="230"/>
      <c r="HX41" s="230"/>
      <c r="HY41" s="372"/>
      <c r="HZ41" s="372"/>
      <c r="IA41" s="372"/>
      <c r="IB41" s="372"/>
      <c r="IC41" s="372"/>
      <c r="ID41" s="230"/>
      <c r="IE41" s="230"/>
      <c r="IF41" s="372"/>
      <c r="IG41" s="372"/>
      <c r="IH41" s="372"/>
      <c r="II41" s="372"/>
      <c r="IJ41" s="372"/>
      <c r="IK41" s="230"/>
      <c r="IL41" s="230"/>
      <c r="IM41" s="234"/>
      <c r="IN41" s="234"/>
      <c r="IO41" s="234"/>
      <c r="IP41" s="234"/>
      <c r="IQ41" s="234"/>
      <c r="IR41" s="234"/>
      <c r="IS41" s="234"/>
      <c r="IT41" s="234"/>
      <c r="IU41" s="234"/>
      <c r="IV41" s="234"/>
      <c r="IW41" s="234"/>
      <c r="IX41" s="234"/>
      <c r="IY41" s="234"/>
      <c r="IZ41" s="234"/>
      <c r="JA41" s="372"/>
      <c r="JB41" s="372"/>
      <c r="JC41" s="372"/>
      <c r="JD41" s="372"/>
      <c r="JE41" s="372"/>
      <c r="JF41" s="234"/>
      <c r="JG41" s="234"/>
      <c r="JH41" s="234"/>
      <c r="JI41" s="234"/>
      <c r="JJ41" s="234"/>
      <c r="JK41" s="234"/>
      <c r="JL41" s="234"/>
      <c r="JM41" s="234"/>
      <c r="JN41" s="234"/>
      <c r="JO41" s="234"/>
      <c r="JP41" s="234"/>
      <c r="JQ41" s="234"/>
      <c r="JR41" s="234"/>
      <c r="JS41" s="234"/>
      <c r="JT41" s="234"/>
      <c r="JU41" s="234"/>
      <c r="JV41" s="234"/>
      <c r="JW41" s="234"/>
      <c r="JX41" s="234"/>
      <c r="JY41" s="234"/>
      <c r="JZ41" s="234"/>
      <c r="KA41" s="234"/>
      <c r="KB41" s="234"/>
      <c r="KC41" s="234"/>
      <c r="KD41" s="234"/>
      <c r="KE41" s="234"/>
      <c r="KF41" s="234"/>
      <c r="KG41" s="234"/>
      <c r="KH41" s="234"/>
      <c r="KI41" s="234"/>
      <c r="KJ41" s="234"/>
      <c r="KK41" s="234"/>
      <c r="KL41" s="234"/>
      <c r="KM41" s="234"/>
      <c r="KN41" s="234"/>
      <c r="KO41" s="234"/>
      <c r="KP41" s="234"/>
      <c r="KQ41" s="234"/>
      <c r="KR41" s="234"/>
      <c r="KS41" s="234"/>
      <c r="KT41" s="234"/>
      <c r="KU41" s="234"/>
      <c r="KV41" s="234"/>
      <c r="KW41" s="234"/>
      <c r="KX41" s="234"/>
      <c r="KY41" s="234"/>
      <c r="KZ41" s="234"/>
      <c r="LA41" s="234"/>
      <c r="LB41" s="234"/>
      <c r="LC41" s="234"/>
      <c r="LD41" s="234"/>
      <c r="LE41" s="234"/>
      <c r="LF41" s="234"/>
      <c r="LG41" s="234"/>
      <c r="LH41" s="234"/>
      <c r="LI41" s="234"/>
      <c r="LJ41" s="234"/>
      <c r="LK41" s="234"/>
      <c r="LL41" s="234"/>
      <c r="LM41" s="234"/>
      <c r="LN41" s="234"/>
      <c r="LO41" s="234"/>
      <c r="LP41" s="234"/>
      <c r="LQ41" s="234"/>
      <c r="LR41" s="234"/>
      <c r="LS41" s="234"/>
      <c r="LT41" s="234"/>
      <c r="LU41" s="234"/>
      <c r="LV41" s="234"/>
      <c r="LW41" s="234"/>
      <c r="LX41" s="234"/>
      <c r="LY41" s="234"/>
      <c r="LZ41" s="234"/>
      <c r="MA41" s="234"/>
      <c r="MB41" s="234"/>
      <c r="MC41" s="234"/>
      <c r="MD41" s="234"/>
      <c r="ME41" s="234"/>
      <c r="MF41" s="234"/>
      <c r="MG41" s="234"/>
      <c r="MH41" s="234"/>
      <c r="MI41" s="234"/>
      <c r="MJ41" s="234"/>
      <c r="MK41" s="234"/>
      <c r="ML41" s="234"/>
      <c r="MM41" s="234"/>
      <c r="MN41" s="234"/>
      <c r="MO41" s="234"/>
      <c r="MP41" s="234"/>
      <c r="MQ41" s="234"/>
      <c r="MR41" s="234"/>
      <c r="MS41" s="234"/>
      <c r="MT41" s="234"/>
      <c r="MU41" s="234"/>
      <c r="MV41" s="234"/>
      <c r="MW41" s="234"/>
      <c r="MX41" s="234"/>
      <c r="MY41" s="234"/>
      <c r="MZ41" s="234"/>
      <c r="NA41" s="234"/>
      <c r="NB41" s="234"/>
      <c r="NC41" s="234"/>
      <c r="ND41" s="234"/>
      <c r="NE41" s="234"/>
      <c r="NF41" s="234"/>
      <c r="NG41" s="234"/>
      <c r="NH41" s="234"/>
      <c r="NI41" s="234"/>
      <c r="NJ41" s="234"/>
      <c r="NK41" s="234"/>
      <c r="NL41" s="234"/>
      <c r="NM41" s="234"/>
      <c r="NN41" s="234"/>
      <c r="NO41" s="234"/>
    </row>
    <row r="42" spans="4:379" x14ac:dyDescent="0.3">
      <c r="D42" s="206" t="s">
        <v>60</v>
      </c>
      <c r="E42" s="187" t="s">
        <v>29</v>
      </c>
      <c r="F42" s="351" t="s">
        <v>9</v>
      </c>
      <c r="G42" s="355" t="s">
        <v>1294</v>
      </c>
      <c r="H42" s="154" t="s">
        <v>1295</v>
      </c>
      <c r="I42" s="125"/>
      <c r="J42" s="41"/>
      <c r="K42" s="41"/>
      <c r="L42" s="41"/>
      <c r="M42" s="41"/>
      <c r="N42" s="234"/>
      <c r="O42" s="234"/>
      <c r="P42" s="41"/>
      <c r="Q42" s="41"/>
      <c r="R42" s="41"/>
      <c r="S42" s="41"/>
      <c r="T42" s="41"/>
      <c r="U42" s="230"/>
      <c r="V42" s="230"/>
      <c r="W42" s="41"/>
      <c r="X42" s="41"/>
      <c r="Y42" s="41"/>
      <c r="Z42" s="41"/>
      <c r="AA42" s="41"/>
      <c r="AB42" s="230"/>
      <c r="AC42" s="230"/>
      <c r="AD42" s="41"/>
      <c r="AE42" s="41"/>
      <c r="AF42" s="41"/>
      <c r="AG42" s="41"/>
      <c r="AH42" s="41"/>
      <c r="AI42" s="230"/>
      <c r="AJ42" s="230"/>
      <c r="AK42" s="41"/>
      <c r="AL42" s="41"/>
      <c r="AM42" s="41"/>
      <c r="AN42" s="41"/>
      <c r="AO42" s="41"/>
      <c r="AP42" s="230"/>
      <c r="AQ42" s="230"/>
      <c r="AR42" s="41"/>
      <c r="AS42" s="41"/>
      <c r="AT42" s="41"/>
      <c r="AU42" s="41"/>
      <c r="AV42" s="41"/>
      <c r="AW42" s="230"/>
      <c r="AX42" s="230"/>
      <c r="AY42" s="41"/>
      <c r="AZ42" s="41"/>
      <c r="BA42" s="41"/>
      <c r="BB42" s="41"/>
      <c r="BC42" s="41"/>
      <c r="BD42" s="230"/>
      <c r="BE42" s="230"/>
      <c r="BF42" s="41"/>
      <c r="BG42" s="41"/>
      <c r="BH42" s="41"/>
      <c r="BI42" s="41"/>
      <c r="BJ42" s="41"/>
      <c r="BK42" s="230"/>
      <c r="BL42" s="230"/>
      <c r="BM42" s="41"/>
      <c r="BN42" s="41"/>
      <c r="BO42" s="41"/>
      <c r="BP42" s="41"/>
      <c r="BQ42" s="41"/>
      <c r="BR42" s="234"/>
      <c r="BS42" s="234"/>
      <c r="BT42" s="41"/>
      <c r="BU42" s="41"/>
      <c r="BV42" s="41"/>
      <c r="BW42" s="41"/>
      <c r="BX42" s="41"/>
      <c r="BY42" s="234"/>
      <c r="BZ42" s="234"/>
      <c r="CA42" s="41"/>
      <c r="CB42" s="41"/>
      <c r="CC42" s="41"/>
      <c r="CD42" s="41"/>
      <c r="CE42" s="41"/>
      <c r="CF42" s="234"/>
      <c r="CG42" s="234"/>
      <c r="CH42" s="41"/>
      <c r="CI42" s="41"/>
      <c r="CJ42" s="41"/>
      <c r="CK42" s="41"/>
      <c r="CL42" s="41"/>
      <c r="CM42" s="234"/>
      <c r="CN42" s="234"/>
      <c r="CO42" s="41"/>
      <c r="CP42" s="41"/>
      <c r="CQ42" s="41"/>
      <c r="CR42" s="41"/>
      <c r="CS42" s="41"/>
      <c r="CT42" s="234"/>
      <c r="CU42" s="234"/>
      <c r="CV42" s="41"/>
      <c r="CW42" s="41"/>
      <c r="CX42" s="41"/>
      <c r="CY42" s="41"/>
      <c r="CZ42" s="41"/>
      <c r="DA42" s="234"/>
      <c r="DB42" s="234"/>
      <c r="DC42" s="41"/>
      <c r="DD42" s="41"/>
      <c r="DE42" s="41"/>
      <c r="DF42" s="41"/>
      <c r="DG42" s="41"/>
      <c r="DH42" s="234"/>
      <c r="DI42" s="234"/>
      <c r="DJ42" s="41"/>
      <c r="DK42" s="41"/>
      <c r="DL42" s="41"/>
      <c r="DM42" s="41"/>
      <c r="DN42" s="41"/>
      <c r="DO42" s="234"/>
      <c r="DP42" s="234"/>
      <c r="DQ42" s="41" t="s">
        <v>460</v>
      </c>
      <c r="DR42" s="41"/>
      <c r="DS42" s="41"/>
      <c r="DT42" s="41"/>
      <c r="DU42" s="41"/>
      <c r="DV42" s="234"/>
      <c r="DW42" s="234"/>
      <c r="DX42" s="41"/>
      <c r="DY42" s="41"/>
      <c r="DZ42" s="41"/>
      <c r="EA42" s="41" t="s">
        <v>460</v>
      </c>
      <c r="EB42" s="41"/>
      <c r="EC42" s="234"/>
      <c r="ED42" s="234"/>
      <c r="EE42" s="41"/>
      <c r="EF42" s="41"/>
      <c r="EG42" s="41"/>
      <c r="EH42" s="41"/>
      <c r="EI42" s="41"/>
      <c r="EJ42" s="234"/>
      <c r="EK42" s="234"/>
      <c r="EL42" s="41"/>
      <c r="EM42" s="41"/>
      <c r="EN42" s="41"/>
      <c r="EO42" s="41"/>
      <c r="EP42" s="41"/>
      <c r="EQ42" s="234"/>
      <c r="ER42" s="234"/>
      <c r="ES42" s="41"/>
      <c r="ET42" s="41"/>
      <c r="EU42" s="41"/>
      <c r="EV42" s="41"/>
      <c r="EW42" s="41"/>
      <c r="EX42" s="234"/>
      <c r="EY42" s="234"/>
      <c r="EZ42" s="41"/>
      <c r="FA42" s="41"/>
      <c r="FB42" s="41"/>
      <c r="FC42" s="41"/>
      <c r="FD42" s="41"/>
      <c r="FE42" s="234"/>
      <c r="FF42" s="234"/>
      <c r="FG42" s="41"/>
      <c r="FH42" s="41"/>
      <c r="FI42" s="41"/>
      <c r="FJ42" s="41"/>
      <c r="FK42" s="41"/>
      <c r="FL42" s="234"/>
      <c r="FM42" s="234"/>
      <c r="FN42" s="41" t="s">
        <v>460</v>
      </c>
      <c r="FO42" s="41"/>
      <c r="FP42" s="41"/>
      <c r="FQ42" s="41"/>
      <c r="FR42" s="41"/>
      <c r="FS42" s="234"/>
      <c r="FT42" s="234"/>
      <c r="FU42" s="41"/>
      <c r="FV42" s="41"/>
      <c r="FW42" s="41"/>
      <c r="FX42" s="41"/>
      <c r="FY42" s="41"/>
      <c r="FZ42" s="234"/>
      <c r="GA42" s="234"/>
      <c r="GB42" s="41"/>
      <c r="GC42" s="41"/>
      <c r="GD42" s="41"/>
      <c r="GE42" s="41"/>
      <c r="GF42" s="41"/>
      <c r="GG42" s="234"/>
      <c r="GH42" s="234"/>
      <c r="GI42" s="41"/>
      <c r="GJ42" s="41"/>
      <c r="GK42" s="41"/>
      <c r="GL42" s="41"/>
      <c r="GM42" s="41"/>
      <c r="GN42" s="234"/>
      <c r="GO42" s="234"/>
      <c r="GP42" s="41"/>
      <c r="GQ42" s="41"/>
      <c r="GR42" s="41"/>
      <c r="GS42" s="41"/>
      <c r="GT42" s="41"/>
      <c r="GU42" s="234"/>
      <c r="GV42" s="234"/>
      <c r="GW42" s="41" t="s">
        <v>460</v>
      </c>
      <c r="GX42" s="41"/>
      <c r="GY42" s="41"/>
      <c r="GZ42" s="41"/>
      <c r="HA42" s="41"/>
      <c r="HB42" s="230"/>
      <c r="HC42" s="230"/>
      <c r="HD42" s="372"/>
      <c r="HE42" s="372"/>
      <c r="HF42" s="372"/>
      <c r="HG42" s="372"/>
      <c r="HH42" s="372"/>
      <c r="HI42" s="230"/>
      <c r="HJ42" s="230"/>
      <c r="HK42" s="372"/>
      <c r="HL42" s="372"/>
      <c r="HM42" s="372"/>
      <c r="HN42" s="372"/>
      <c r="HO42" s="372"/>
      <c r="HP42" s="230"/>
      <c r="HQ42" s="230"/>
      <c r="HR42" s="372"/>
      <c r="HS42" s="372"/>
      <c r="HT42" s="372"/>
      <c r="HU42" s="372"/>
      <c r="HV42" s="372"/>
      <c r="HW42" s="230"/>
      <c r="HX42" s="230"/>
      <c r="HY42" s="372"/>
      <c r="HZ42" s="372"/>
      <c r="IA42" s="372"/>
      <c r="IB42" s="372"/>
      <c r="IC42" s="372"/>
      <c r="ID42" s="230"/>
      <c r="IE42" s="230"/>
      <c r="IF42" s="372"/>
      <c r="IG42" s="372"/>
      <c r="IH42" s="372"/>
      <c r="II42" s="372"/>
      <c r="IJ42" s="372"/>
      <c r="IK42" s="230"/>
      <c r="IL42" s="230"/>
      <c r="IM42" s="372"/>
      <c r="IN42" s="372"/>
      <c r="IO42" s="372"/>
      <c r="IP42" s="372"/>
      <c r="IQ42" s="372"/>
      <c r="IR42" s="234"/>
      <c r="IS42" s="234"/>
      <c r="IT42" s="372"/>
      <c r="IU42" s="372"/>
      <c r="IV42" s="372"/>
      <c r="IW42" s="372"/>
      <c r="IX42" s="372"/>
      <c r="IY42" s="234"/>
      <c r="IZ42" s="234"/>
      <c r="JA42" s="372"/>
      <c r="JB42" s="372"/>
      <c r="JC42" s="372"/>
      <c r="JD42" s="372"/>
      <c r="JE42" s="372"/>
      <c r="JF42" s="234"/>
      <c r="JG42" s="234"/>
      <c r="JH42" s="234"/>
      <c r="JI42" s="234"/>
      <c r="JJ42" s="234"/>
      <c r="JK42" s="234"/>
      <c r="JL42" s="234"/>
      <c r="JM42" s="234"/>
      <c r="JN42" s="234"/>
      <c r="JO42" s="234"/>
      <c r="JP42" s="234"/>
      <c r="JQ42" s="234"/>
      <c r="JR42" s="234"/>
      <c r="JS42" s="234"/>
      <c r="JT42" s="234"/>
      <c r="JU42" s="234"/>
      <c r="JV42" s="234"/>
      <c r="JW42" s="234"/>
      <c r="JX42" s="234"/>
      <c r="JY42" s="234"/>
      <c r="JZ42" s="234"/>
      <c r="KA42" s="234"/>
      <c r="KB42" s="234"/>
      <c r="KC42" s="234"/>
      <c r="KD42" s="234"/>
      <c r="KE42" s="234"/>
      <c r="KF42" s="234"/>
      <c r="KG42" s="234"/>
      <c r="KH42" s="234"/>
      <c r="KI42" s="234"/>
      <c r="KJ42" s="234"/>
      <c r="KK42" s="234"/>
      <c r="KL42" s="234"/>
      <c r="KM42" s="234"/>
      <c r="KN42" s="234"/>
      <c r="KO42" s="234"/>
      <c r="KP42" s="234"/>
      <c r="KQ42" s="234"/>
      <c r="KR42" s="234"/>
      <c r="KS42" s="234"/>
      <c r="KT42" s="234"/>
      <c r="KU42" s="234"/>
      <c r="KV42" s="234"/>
      <c r="KW42" s="234"/>
      <c r="KX42" s="234"/>
      <c r="KY42" s="234"/>
      <c r="KZ42" s="234"/>
      <c r="LA42" s="234"/>
      <c r="LB42" s="234"/>
      <c r="LC42" s="234"/>
      <c r="LD42" s="234"/>
      <c r="LE42" s="234"/>
      <c r="LF42" s="234"/>
      <c r="LG42" s="234"/>
      <c r="LH42" s="234"/>
      <c r="LI42" s="234"/>
      <c r="LJ42" s="234"/>
      <c r="LK42" s="234"/>
      <c r="LL42" s="234"/>
      <c r="LM42" s="234"/>
      <c r="LN42" s="234"/>
      <c r="LO42" s="234"/>
      <c r="LP42" s="234"/>
      <c r="LQ42" s="234"/>
      <c r="LR42" s="234"/>
      <c r="LS42" s="234"/>
      <c r="LT42" s="234"/>
      <c r="LU42" s="234"/>
      <c r="LV42" s="234"/>
      <c r="LW42" s="234"/>
      <c r="LX42" s="234"/>
      <c r="LY42" s="234"/>
      <c r="LZ42" s="234"/>
      <c r="MA42" s="234"/>
      <c r="MB42" s="234"/>
      <c r="MC42" s="234"/>
      <c r="MD42" s="234"/>
      <c r="ME42" s="234"/>
      <c r="MF42" s="234"/>
      <c r="MG42" s="234"/>
      <c r="MH42" s="234"/>
      <c r="MI42" s="234"/>
      <c r="MJ42" s="234"/>
      <c r="MK42" s="234"/>
      <c r="ML42" s="234"/>
      <c r="MM42" s="234"/>
      <c r="MN42" s="234"/>
      <c r="MO42" s="234"/>
      <c r="MP42" s="234"/>
      <c r="MQ42" s="234"/>
      <c r="MR42" s="234"/>
      <c r="MS42" s="234"/>
      <c r="MT42" s="234"/>
      <c r="MU42" s="234"/>
      <c r="MV42" s="234"/>
      <c r="MW42" s="234"/>
      <c r="MX42" s="234"/>
      <c r="MY42" s="234"/>
      <c r="MZ42" s="234"/>
      <c r="NA42" s="234"/>
      <c r="NB42" s="234"/>
      <c r="NC42" s="234"/>
      <c r="ND42" s="234"/>
      <c r="NE42" s="234"/>
      <c r="NF42" s="234"/>
      <c r="NG42" s="234"/>
      <c r="NH42" s="234"/>
      <c r="NI42" s="234"/>
      <c r="NJ42" s="234"/>
      <c r="NK42" s="234"/>
      <c r="NL42" s="234"/>
      <c r="NM42" s="234"/>
      <c r="NN42" s="234"/>
      <c r="NO42" s="234"/>
    </row>
    <row r="43" spans="4:379" x14ac:dyDescent="0.3">
      <c r="D43" s="206" t="s">
        <v>60</v>
      </c>
      <c r="E43" s="187" t="s">
        <v>29</v>
      </c>
      <c r="F43" s="351" t="s">
        <v>9</v>
      </c>
      <c r="G43" s="363" t="s">
        <v>1300</v>
      </c>
      <c r="H43" s="156" t="s">
        <v>1301</v>
      </c>
      <c r="I43" s="125"/>
      <c r="J43" s="41"/>
      <c r="K43" s="41"/>
      <c r="L43" s="41"/>
      <c r="M43" s="41"/>
      <c r="N43" s="230"/>
      <c r="O43" s="230"/>
      <c r="P43" s="41"/>
      <c r="Q43" s="41"/>
      <c r="R43" s="41"/>
      <c r="S43" s="41"/>
      <c r="T43" s="41"/>
      <c r="U43" s="230"/>
      <c r="V43" s="230"/>
      <c r="W43" s="41"/>
      <c r="X43" s="41"/>
      <c r="Y43" s="41"/>
      <c r="Z43" s="41"/>
      <c r="AA43" s="41"/>
      <c r="AB43" s="230"/>
      <c r="AC43" s="230"/>
      <c r="AD43" s="41"/>
      <c r="AE43" s="41"/>
      <c r="AF43" s="41"/>
      <c r="AG43" s="41"/>
      <c r="AH43" s="41"/>
      <c r="AI43" s="230"/>
      <c r="AJ43" s="230"/>
      <c r="AK43" s="41"/>
      <c r="AL43" s="41"/>
      <c r="AM43" s="41"/>
      <c r="AN43" s="41"/>
      <c r="AO43" s="41"/>
      <c r="AP43" s="230"/>
      <c r="AQ43" s="230"/>
      <c r="AR43" s="41"/>
      <c r="AS43" s="41"/>
      <c r="AT43" s="41"/>
      <c r="AU43" s="41"/>
      <c r="AV43" s="41"/>
      <c r="AW43" s="230"/>
      <c r="AX43" s="230"/>
      <c r="AY43" s="41"/>
      <c r="AZ43" s="41"/>
      <c r="BA43" s="41"/>
      <c r="BB43" s="41"/>
      <c r="BC43" s="41"/>
      <c r="BD43" s="230"/>
      <c r="BE43" s="230"/>
      <c r="BF43" s="41"/>
      <c r="BG43" s="41"/>
      <c r="BH43" s="41"/>
      <c r="BI43" s="41"/>
      <c r="BJ43" s="41"/>
      <c r="BK43" s="230"/>
      <c r="BL43" s="230"/>
      <c r="BM43" s="41"/>
      <c r="BN43" s="41"/>
      <c r="BO43" s="41"/>
      <c r="BP43" s="41"/>
      <c r="BQ43" s="41"/>
      <c r="BR43" s="230"/>
      <c r="BS43" s="230"/>
      <c r="BT43" s="41"/>
      <c r="BU43" s="41"/>
      <c r="BV43" s="41"/>
      <c r="BW43" s="41"/>
      <c r="BX43" s="41"/>
      <c r="BY43" s="230"/>
      <c r="BZ43" s="230"/>
      <c r="CA43" s="41"/>
      <c r="CB43" s="41"/>
      <c r="CC43" s="41"/>
      <c r="CD43" s="41"/>
      <c r="CE43" s="41"/>
      <c r="CF43" s="234"/>
      <c r="CG43" s="234"/>
      <c r="CH43" s="41"/>
      <c r="CI43" s="41"/>
      <c r="CJ43" s="41"/>
      <c r="CK43" s="41"/>
      <c r="CL43" s="41"/>
      <c r="CM43" s="230"/>
      <c r="CN43" s="230"/>
      <c r="CO43" s="41"/>
      <c r="CP43" s="41"/>
      <c r="CQ43" s="41"/>
      <c r="CR43" s="41"/>
      <c r="CS43" s="41"/>
      <c r="CT43" s="230"/>
      <c r="CU43" s="230"/>
      <c r="CV43" s="41"/>
      <c r="CW43" s="41"/>
      <c r="CX43" s="41"/>
      <c r="CY43" s="41"/>
      <c r="CZ43" s="41"/>
      <c r="DA43" s="230"/>
      <c r="DB43" s="230"/>
      <c r="DC43" s="41"/>
      <c r="DD43" s="41"/>
      <c r="DE43" s="41"/>
      <c r="DF43" s="41"/>
      <c r="DG43" s="41"/>
      <c r="DH43" s="230"/>
      <c r="DI43" s="230"/>
      <c r="DJ43" s="41"/>
      <c r="DK43" s="41"/>
      <c r="DL43" s="41"/>
      <c r="DM43" s="41"/>
      <c r="DN43" s="41"/>
      <c r="DO43" s="230"/>
      <c r="DP43" s="230"/>
      <c r="DQ43" s="41"/>
      <c r="DR43" s="41"/>
      <c r="DS43" s="41"/>
      <c r="DT43" s="41"/>
      <c r="DU43" s="41"/>
      <c r="DV43" s="230"/>
      <c r="DW43" s="234"/>
      <c r="DX43" s="41"/>
      <c r="DY43" s="41"/>
      <c r="DZ43" s="41"/>
      <c r="EA43" s="41"/>
      <c r="EB43" s="41"/>
      <c r="EC43" s="230"/>
      <c r="ED43" s="230"/>
      <c r="EE43" s="41"/>
      <c r="EF43" s="41"/>
      <c r="EG43" s="41"/>
      <c r="EH43" s="41"/>
      <c r="EI43" s="41"/>
      <c r="EJ43" s="230"/>
      <c r="EK43" s="230"/>
      <c r="EL43" s="41"/>
      <c r="EM43" s="41"/>
      <c r="EN43" s="41"/>
      <c r="EO43" s="41"/>
      <c r="EP43" s="41"/>
      <c r="EQ43" s="230"/>
      <c r="ER43" s="230"/>
      <c r="ES43" s="41"/>
      <c r="ET43" s="41"/>
      <c r="EU43" s="41"/>
      <c r="EV43" s="41"/>
      <c r="EW43" s="41"/>
      <c r="EX43" s="230"/>
      <c r="EY43" s="230"/>
      <c r="EZ43" s="41"/>
      <c r="FA43" s="41"/>
      <c r="FB43" s="41"/>
      <c r="FC43" s="41"/>
      <c r="FD43" s="41"/>
      <c r="FE43" s="230"/>
      <c r="FF43" s="230"/>
      <c r="FG43" s="41"/>
      <c r="FH43" s="41"/>
      <c r="FI43" s="41"/>
      <c r="FJ43" s="41"/>
      <c r="FK43" s="41"/>
      <c r="FL43" s="230"/>
      <c r="FM43" s="230"/>
      <c r="FN43" s="41"/>
      <c r="FO43" s="41"/>
      <c r="FP43" s="41"/>
      <c r="FQ43" s="41"/>
      <c r="FR43" s="41"/>
      <c r="FS43" s="230"/>
      <c r="FT43" s="230"/>
      <c r="FU43" s="41"/>
      <c r="FV43" s="41"/>
      <c r="FW43" s="41"/>
      <c r="FX43" s="41"/>
      <c r="FY43" s="41"/>
      <c r="FZ43" s="230"/>
      <c r="GA43" s="230"/>
      <c r="GB43" s="41"/>
      <c r="GC43" s="41"/>
      <c r="GD43" s="41"/>
      <c r="GE43" s="41"/>
      <c r="GF43" s="41"/>
      <c r="GG43" s="230"/>
      <c r="GH43" s="230"/>
      <c r="GI43" s="41"/>
      <c r="GJ43" s="41"/>
      <c r="GK43" s="41"/>
      <c r="GL43" s="41"/>
      <c r="GM43" s="41"/>
      <c r="GN43" s="230"/>
      <c r="GO43" s="230"/>
      <c r="GP43" s="41"/>
      <c r="GQ43" s="41"/>
      <c r="GR43" s="41"/>
      <c r="GS43" s="41"/>
      <c r="GT43" s="41"/>
      <c r="GU43" s="230"/>
      <c r="GV43" s="230"/>
      <c r="GW43" s="41" t="s">
        <v>460</v>
      </c>
      <c r="GX43" s="41"/>
      <c r="GY43" s="41"/>
      <c r="GZ43" s="41"/>
      <c r="HA43" s="41"/>
      <c r="HB43" s="230"/>
      <c r="HC43" s="230"/>
      <c r="HD43" s="372"/>
      <c r="HE43" s="372"/>
      <c r="HF43" s="372"/>
      <c r="HG43" s="372"/>
      <c r="HH43" s="372"/>
      <c r="HI43" s="230"/>
      <c r="HJ43" s="230"/>
      <c r="HK43" s="372"/>
      <c r="HL43" s="372"/>
      <c r="HM43" s="372"/>
      <c r="HN43" s="372"/>
      <c r="HO43" s="372"/>
      <c r="HP43" s="230"/>
      <c r="HQ43" s="230"/>
      <c r="HR43" s="372"/>
      <c r="HS43" s="372"/>
      <c r="HT43" s="372"/>
      <c r="HU43" s="372"/>
      <c r="HV43" s="372"/>
      <c r="HW43" s="230"/>
      <c r="HX43" s="230"/>
      <c r="HY43" s="372"/>
      <c r="HZ43" s="372"/>
      <c r="IA43" s="372"/>
      <c r="IB43" s="372"/>
      <c r="IC43" s="372"/>
      <c r="ID43" s="230"/>
      <c r="IE43" s="230"/>
      <c r="IF43" s="372"/>
      <c r="IG43" s="372"/>
      <c r="IH43" s="372"/>
      <c r="II43" s="372"/>
      <c r="IJ43" s="372"/>
      <c r="IK43" s="230"/>
      <c r="IL43" s="230"/>
      <c r="IM43" s="234"/>
      <c r="IN43" s="234"/>
      <c r="IO43" s="234"/>
      <c r="IP43" s="234"/>
      <c r="IQ43" s="234"/>
      <c r="IR43" s="234"/>
      <c r="IS43" s="234"/>
      <c r="IT43" s="234"/>
      <c r="IU43" s="234"/>
      <c r="IV43" s="234"/>
      <c r="IW43" s="234"/>
      <c r="IX43" s="234"/>
      <c r="IY43" s="234"/>
      <c r="IZ43" s="234"/>
      <c r="JA43" s="372"/>
      <c r="JB43" s="372"/>
      <c r="JC43" s="372"/>
      <c r="JD43" s="372"/>
      <c r="JE43" s="372"/>
      <c r="JF43" s="234"/>
      <c r="JG43" s="234"/>
      <c r="JH43" s="234"/>
      <c r="JI43" s="234"/>
      <c r="JJ43" s="234"/>
      <c r="JK43" s="234"/>
      <c r="JL43" s="234"/>
      <c r="JM43" s="234"/>
      <c r="JN43" s="234"/>
      <c r="JO43" s="234"/>
      <c r="JP43" s="234"/>
      <c r="JQ43" s="234"/>
      <c r="JR43" s="234"/>
      <c r="JS43" s="234"/>
      <c r="JT43" s="234"/>
      <c r="JU43" s="234"/>
      <c r="JV43" s="234"/>
      <c r="JW43" s="234"/>
      <c r="JX43" s="234"/>
      <c r="JY43" s="234"/>
      <c r="JZ43" s="234"/>
      <c r="KA43" s="234"/>
      <c r="KB43" s="234"/>
      <c r="KC43" s="234"/>
      <c r="KD43" s="234"/>
      <c r="KE43" s="234"/>
      <c r="KF43" s="234"/>
      <c r="KG43" s="234"/>
      <c r="KH43" s="234"/>
      <c r="KI43" s="234"/>
      <c r="KJ43" s="234"/>
      <c r="KK43" s="234"/>
      <c r="KL43" s="234"/>
      <c r="KM43" s="234"/>
      <c r="KN43" s="234"/>
      <c r="KO43" s="234"/>
      <c r="KP43" s="234"/>
      <c r="KQ43" s="234"/>
      <c r="KR43" s="234"/>
      <c r="KS43" s="234"/>
      <c r="KT43" s="234"/>
      <c r="KU43" s="234"/>
      <c r="KV43" s="234"/>
      <c r="KW43" s="234"/>
      <c r="KX43" s="234"/>
      <c r="KY43" s="234"/>
      <c r="KZ43" s="234"/>
      <c r="LA43" s="234"/>
      <c r="LB43" s="234"/>
      <c r="LC43" s="234"/>
      <c r="LD43" s="234"/>
      <c r="LE43" s="234"/>
      <c r="LF43" s="234"/>
      <c r="LG43" s="234"/>
      <c r="LH43" s="234"/>
      <c r="LI43" s="234"/>
      <c r="LJ43" s="234"/>
      <c r="LK43" s="234"/>
      <c r="LL43" s="234"/>
      <c r="LM43" s="234"/>
      <c r="LN43" s="234"/>
      <c r="LO43" s="234"/>
      <c r="LP43" s="234"/>
      <c r="LQ43" s="234"/>
      <c r="LR43" s="234"/>
      <c r="LS43" s="234"/>
      <c r="LT43" s="234"/>
      <c r="LU43" s="234"/>
      <c r="LV43" s="234"/>
      <c r="LW43" s="234"/>
      <c r="LX43" s="234"/>
      <c r="LY43" s="234"/>
      <c r="LZ43" s="234"/>
      <c r="MA43" s="234"/>
      <c r="MB43" s="234"/>
      <c r="MC43" s="234"/>
      <c r="MD43" s="234"/>
      <c r="ME43" s="234"/>
      <c r="MF43" s="234"/>
      <c r="MG43" s="234"/>
      <c r="MH43" s="234"/>
      <c r="MI43" s="234"/>
      <c r="MJ43" s="234"/>
      <c r="MK43" s="234"/>
      <c r="ML43" s="234"/>
      <c r="MM43" s="234"/>
      <c r="MN43" s="234"/>
      <c r="MO43" s="234"/>
      <c r="MP43" s="234"/>
      <c r="MQ43" s="234"/>
      <c r="MR43" s="234"/>
      <c r="MS43" s="234"/>
      <c r="MT43" s="234"/>
      <c r="MU43" s="234"/>
      <c r="MV43" s="234"/>
      <c r="MW43" s="234"/>
      <c r="MX43" s="234"/>
      <c r="MY43" s="234"/>
      <c r="MZ43" s="234"/>
      <c r="NA43" s="234"/>
      <c r="NB43" s="234"/>
      <c r="NC43" s="234"/>
      <c r="ND43" s="234"/>
      <c r="NE43" s="234"/>
      <c r="NF43" s="234"/>
      <c r="NG43" s="234"/>
      <c r="NH43" s="234"/>
      <c r="NI43" s="234"/>
      <c r="NJ43" s="234"/>
      <c r="NK43" s="234"/>
      <c r="NL43" s="234"/>
      <c r="NM43" s="234"/>
      <c r="NN43" s="234"/>
      <c r="NO43" s="234"/>
    </row>
    <row r="44" spans="4:379" ht="15" thickBot="1" x14ac:dyDescent="0.35"/>
    <row r="45" spans="4:379" ht="15" thickBot="1" x14ac:dyDescent="0.35">
      <c r="N45" s="221" t="str">
        <f>P2</f>
        <v>S2</v>
      </c>
      <c r="O45" s="218"/>
      <c r="U45" s="221" t="str">
        <f>W2</f>
        <v>S3</v>
      </c>
      <c r="V45" s="218"/>
      <c r="AB45" s="221" t="str">
        <f>AD2</f>
        <v>S4</v>
      </c>
      <c r="AC45" s="218"/>
      <c r="AI45" s="221" t="str">
        <f>AK2</f>
        <v>S5</v>
      </c>
      <c r="AJ45" s="218"/>
      <c r="AP45" s="221" t="str">
        <f>AR2</f>
        <v>S6</v>
      </c>
      <c r="AQ45" s="218"/>
      <c r="AW45" s="221" t="str">
        <f>AY2</f>
        <v>S7</v>
      </c>
      <c r="AX45" s="218"/>
      <c r="BD45" s="221" t="str">
        <f>BF2</f>
        <v>S8</v>
      </c>
      <c r="BE45" s="218"/>
      <c r="BK45" s="221" t="str">
        <f>BM2</f>
        <v>S9</v>
      </c>
      <c r="BL45" s="218"/>
      <c r="BR45" s="221" t="str">
        <f>BM2</f>
        <v>S9</v>
      </c>
      <c r="BS45" s="218"/>
      <c r="BY45" s="221" t="str">
        <f>BT2</f>
        <v>S10</v>
      </c>
      <c r="BZ45" s="218"/>
      <c r="CF45" s="221" t="str">
        <f>CA2</f>
        <v>S11</v>
      </c>
      <c r="CG45" s="218"/>
      <c r="CM45" s="221" t="str">
        <f>CH2</f>
        <v>S12</v>
      </c>
      <c r="CN45" s="218"/>
      <c r="CT45" s="221" t="str">
        <f>CO2</f>
        <v>S13</v>
      </c>
      <c r="CU45" s="218"/>
      <c r="DA45" s="221" t="str">
        <f>CV2</f>
        <v>S14</v>
      </c>
      <c r="DB45" s="218"/>
      <c r="DH45" s="221" t="str">
        <f>DC2</f>
        <v>S15</v>
      </c>
      <c r="DI45" s="218"/>
      <c r="DO45" s="221" t="str">
        <f>DJ2</f>
        <v>S16</v>
      </c>
      <c r="DP45" s="218"/>
      <c r="DV45" s="221" t="str">
        <f>DQ2</f>
        <v>S17</v>
      </c>
      <c r="DW45" s="218"/>
      <c r="EC45" s="221" t="str">
        <f>DX2</f>
        <v>S18</v>
      </c>
      <c r="ED45" s="218"/>
      <c r="EJ45" s="221" t="str">
        <f>EE2</f>
        <v>S19</v>
      </c>
      <c r="EK45" s="218"/>
      <c r="EQ45" s="221" t="str">
        <f>EL2</f>
        <v>S20</v>
      </c>
      <c r="ER45" s="218"/>
      <c r="EX45" s="221" t="str">
        <f>ES2</f>
        <v>S21</v>
      </c>
      <c r="EY45" s="218"/>
      <c r="FE45" s="221" t="str">
        <f>EZ2</f>
        <v>S22</v>
      </c>
      <c r="FF45" s="218"/>
      <c r="FL45" s="221" t="str">
        <f>FG2</f>
        <v>S23</v>
      </c>
      <c r="FM45" s="218"/>
      <c r="FS45" s="221" t="str">
        <f>FN2</f>
        <v>S24</v>
      </c>
      <c r="FT45" s="218"/>
      <c r="FZ45" s="221" t="str">
        <f>FU2</f>
        <v>S25</v>
      </c>
      <c r="GA45" s="218"/>
      <c r="GG45" s="221" t="str">
        <f>GB2</f>
        <v>S26</v>
      </c>
      <c r="GH45" s="218"/>
      <c r="GN45" s="221" t="str">
        <f>GI2</f>
        <v>S27</v>
      </c>
      <c r="GO45" s="218"/>
      <c r="GU45" s="221" t="str">
        <f>GP2</f>
        <v>S28</v>
      </c>
      <c r="GV45" s="218"/>
      <c r="HB45" s="221" t="str">
        <f>GW2</f>
        <v>S29</v>
      </c>
      <c r="HC45" s="218"/>
      <c r="HI45" s="221" t="str">
        <f>HD2</f>
        <v>S30</v>
      </c>
      <c r="HJ45" s="218"/>
      <c r="HP45" s="221" t="str">
        <f>HK2</f>
        <v>S31</v>
      </c>
      <c r="HQ45" s="218"/>
      <c r="HW45" s="221" t="str">
        <f>HR2</f>
        <v>S32</v>
      </c>
      <c r="HX45" s="218"/>
      <c r="ID45" s="221" t="str">
        <f>HY2</f>
        <v>S33</v>
      </c>
      <c r="IE45" s="218"/>
      <c r="IK45" s="221" t="str">
        <f>IF2</f>
        <v>S34</v>
      </c>
      <c r="IL45" s="218"/>
      <c r="IR45" s="221" t="str">
        <f>IM2</f>
        <v>S35</v>
      </c>
      <c r="IS45" s="218"/>
      <c r="IY45" s="221" t="str">
        <f>IT2</f>
        <v>S36</v>
      </c>
      <c r="IZ45" s="218"/>
      <c r="JF45" s="221" t="str">
        <f>JA2</f>
        <v>S37</v>
      </c>
      <c r="JG45" s="218"/>
      <c r="JM45" s="221" t="str">
        <f>JH2</f>
        <v>S38</v>
      </c>
      <c r="JN45" s="218"/>
      <c r="JT45" s="221" t="str">
        <f>JO2</f>
        <v>S39</v>
      </c>
      <c r="JU45" s="218"/>
      <c r="KA45" s="221" t="str">
        <f>JV2</f>
        <v>S40</v>
      </c>
      <c r="KB45" s="218"/>
      <c r="KH45" s="221" t="str">
        <f>KC2</f>
        <v>S41</v>
      </c>
      <c r="KI45" s="218"/>
      <c r="KO45" s="221" t="str">
        <f>KJ2</f>
        <v>S42</v>
      </c>
      <c r="KP45" s="218"/>
      <c r="KV45" s="221" t="str">
        <f>KQ2</f>
        <v>S43</v>
      </c>
      <c r="KW45" s="218"/>
      <c r="LC45" s="221" t="str">
        <f>KX2</f>
        <v>S44</v>
      </c>
      <c r="LD45" s="218"/>
      <c r="LJ45" s="221" t="str">
        <f>LE2</f>
        <v>S45</v>
      </c>
      <c r="LK45" s="218"/>
      <c r="LQ45" s="221" t="str">
        <f>LL2</f>
        <v>S46</v>
      </c>
      <c r="LR45" s="218"/>
      <c r="LX45" s="221" t="str">
        <f>LS2</f>
        <v>S47</v>
      </c>
      <c r="LY45" s="218"/>
      <c r="ME45" s="221" t="str">
        <f>LZ2</f>
        <v>S48</v>
      </c>
      <c r="MF45" s="218"/>
      <c r="ML45" s="221" t="str">
        <f>MG2</f>
        <v>S49</v>
      </c>
      <c r="MM45" s="218"/>
      <c r="MS45" s="221" t="str">
        <f>MN2</f>
        <v>S50</v>
      </c>
      <c r="MT45" s="218"/>
      <c r="MZ45" s="221" t="str">
        <f>MU2</f>
        <v>S51</v>
      </c>
      <c r="NA45" s="218"/>
      <c r="NG45" s="221" t="str">
        <f>NB2</f>
        <v>S52</v>
      </c>
      <c r="NH45" s="218"/>
      <c r="NN45" s="221" t="str">
        <f>NI2</f>
        <v>S53</v>
      </c>
      <c r="NO45" s="218"/>
    </row>
    <row r="46" spans="4:379" x14ac:dyDescent="0.3">
      <c r="H46" s="212" t="s">
        <v>497</v>
      </c>
      <c r="I46" s="215">
        <f>COUNTIF(Tableau1[lun.30.12],"&lt;&gt;"&amp;"A.")</f>
        <v>38</v>
      </c>
      <c r="J46" s="209">
        <f>COUNTIF(Tableau1[mar.11],"&lt;&gt;"&amp;"A.")</f>
        <v>38</v>
      </c>
      <c r="K46" s="209">
        <f>COUNTIF(Tableau1[mer.12],"&lt;&gt;"&amp;"A.")</f>
        <v>38</v>
      </c>
      <c r="L46" s="209">
        <f>COUNTIF(Tableau1[jeu.13],"&lt;&gt;"&amp;"A.")</f>
        <v>38</v>
      </c>
      <c r="M46" s="209">
        <f>COUNTIF(Tableau1[ven.14],"&lt;&gt;"&amp;"A.")</f>
        <v>38</v>
      </c>
      <c r="N46" s="231">
        <f>AVERAGE(I46:M46)</f>
        <v>38</v>
      </c>
      <c r="O46" s="209">
        <f>COUNTIF(Tableau1[dim.16],"&lt;&gt;"&amp;"A.")</f>
        <v>39</v>
      </c>
      <c r="P46" s="209">
        <f>COUNTIF(Tableau1[lun.17],"&lt;&gt;"&amp;"A.")</f>
        <v>38</v>
      </c>
      <c r="Q46" s="209">
        <f>COUNTIF(Tableau1[mar.18],"&lt;&gt;"&amp;"A.")</f>
        <v>38</v>
      </c>
      <c r="R46" s="209">
        <f>COUNTIF(Tableau1[mer.19],"&lt;&gt;"&amp;"A.")</f>
        <v>38</v>
      </c>
      <c r="S46" s="209">
        <f>COUNTIF(Tableau1[jeu.20],"&lt;&gt;"&amp;"A.")</f>
        <v>38</v>
      </c>
      <c r="T46" s="209">
        <f>COUNTIF(Tableau1[ven.21],"&lt;&gt;"&amp;"A.")</f>
        <v>38</v>
      </c>
      <c r="U46" s="231">
        <f>AVERAGE(P46:T46)</f>
        <v>38</v>
      </c>
      <c r="V46" s="209">
        <f>COUNTIF(Tableau1[dim.23],"&lt;&gt;"&amp;"A.")</f>
        <v>39</v>
      </c>
      <c r="W46" s="209">
        <f>COUNTIF(Tableau1[lun.24],"&lt;&gt;"&amp;"A.")</f>
        <v>37</v>
      </c>
      <c r="X46" s="209">
        <f>COUNTIF(Tableau1[mar.25],"&lt;&gt;"&amp;"A.")</f>
        <v>37</v>
      </c>
      <c r="Y46" s="209">
        <f>COUNTIF(Tableau1[mer.26],"&lt;&gt;"&amp;"A.")</f>
        <v>37</v>
      </c>
      <c r="Z46" s="209">
        <f>COUNTIF(Tableau1[jeu.27],"&lt;&gt;"&amp;"A.")</f>
        <v>37</v>
      </c>
      <c r="AA46" s="209">
        <f>COUNTIF(Tableau1[ven.28],"&lt;&gt;"&amp;"A.")</f>
        <v>37</v>
      </c>
      <c r="AB46" s="231">
        <f>AVERAGE(W46:AA46)</f>
        <v>37</v>
      </c>
      <c r="AC46" s="209">
        <f>COUNTIF(Tableau1[dim.30],"&lt;&gt;"&amp;"A.")</f>
        <v>39</v>
      </c>
      <c r="AD46" s="209">
        <f>COUNTIF(Tableau1[lun.01],"&lt;&gt;"&amp;"A.")</f>
        <v>37</v>
      </c>
      <c r="AE46" s="209">
        <f>COUNTIF(Tableau1[mar.02],"&lt;&gt;"&amp;"A.")</f>
        <v>37</v>
      </c>
      <c r="AF46" s="209">
        <f>COUNTIF(Tableau1[mer.03],"&lt;&gt;"&amp;"A.")</f>
        <v>37</v>
      </c>
      <c r="AG46" s="209">
        <f>COUNTIF(Tableau1[jeu.04],"&lt;&gt;"&amp;"A.")</f>
        <v>37</v>
      </c>
      <c r="AH46" s="209">
        <f>COUNTIF(Tableau1[ven.05],"&lt;&gt;"&amp;"A.")</f>
        <v>37</v>
      </c>
      <c r="AI46" s="231">
        <f>AVERAGE(AD46:AH46)</f>
        <v>37</v>
      </c>
      <c r="AJ46" s="209">
        <f>COUNTIF(Tableau1[dim.07],"&lt;&gt;"&amp;"A.")</f>
        <v>39</v>
      </c>
      <c r="AK46" s="209">
        <f>COUNTIF(Tableau1[lun.08],"&lt;&gt;"&amp;"A.")</f>
        <v>37</v>
      </c>
      <c r="AL46" s="209">
        <f>COUNTIF(Tableau1[mar.09],"&lt;&gt;"&amp;"A.")</f>
        <v>37</v>
      </c>
      <c r="AM46" s="209">
        <f>COUNTIF(Tableau1[mer.10],"&lt;&gt;"&amp;"A.")</f>
        <v>37</v>
      </c>
      <c r="AN46" s="209">
        <f>COUNTIF(Tableau1[jeu.11],"&lt;&gt;"&amp;"A.")</f>
        <v>37</v>
      </c>
      <c r="AO46" s="209">
        <f>COUNTIF(Tableau1[ven.12],"&lt;&gt;"&amp;"A.")</f>
        <v>37</v>
      </c>
      <c r="AP46" s="231">
        <f>AVERAGE(AK46:AO46)</f>
        <v>37</v>
      </c>
      <c r="AQ46" s="209">
        <f>COUNTIF(Tableau1[dim.14],"&lt;&gt;"&amp;"A.")</f>
        <v>39</v>
      </c>
      <c r="AR46" s="209">
        <f>COUNTIF(Tableau1[lun.15],"&lt;&gt;"&amp;"A.")</f>
        <v>37</v>
      </c>
      <c r="AS46" s="209">
        <f>COUNTIF(Tableau1[mar.16],"&lt;&gt;"&amp;"A.")</f>
        <v>37</v>
      </c>
      <c r="AT46" s="209">
        <f>COUNTIF(Tableau1[mer.17],"&lt;&gt;"&amp;"A.")</f>
        <v>37</v>
      </c>
      <c r="AU46" s="209">
        <f>COUNTIF(Tableau1[jeu.18],"&lt;&gt;"&amp;"A.")</f>
        <v>37</v>
      </c>
      <c r="AV46" s="209">
        <f>COUNTIF(Tableau1[ven.19],"&lt;&gt;"&amp;"A.")</f>
        <v>37</v>
      </c>
      <c r="AW46" s="231">
        <f>AVERAGE(AR46:AV46)</f>
        <v>37</v>
      </c>
      <c r="AX46" s="209">
        <f>COUNTIF(Tableau1[dim.21],"&lt;&gt;"&amp;"A.")</f>
        <v>39</v>
      </c>
      <c r="AY46" s="209">
        <f>COUNTIF(Tableau1[lun.10],"&lt;&gt;"&amp;"A.")</f>
        <v>36</v>
      </c>
      <c r="AZ46" s="209">
        <f>COUNTIF(Tableau1[mars.11],"&lt;&gt;"&amp;"A.")</f>
        <v>36</v>
      </c>
      <c r="BA46" s="209">
        <f>COUNTIF(Tableau1[mer.122],"&lt;&gt;"&amp;"A.")</f>
        <v>36</v>
      </c>
      <c r="BB46" s="209">
        <f>COUNTIF(Tableau1[jeu.132],"&lt;&gt;"&amp;"A.")</f>
        <v>35</v>
      </c>
      <c r="BC46" s="209">
        <f>COUNTIF(Tableau1[ven.142],"&lt;&gt;"&amp;"A.")</f>
        <v>36</v>
      </c>
      <c r="BD46" s="231">
        <f>AVERAGE(AY46:BC46)</f>
        <v>35.799999999999997</v>
      </c>
      <c r="BE46" s="209">
        <f>COUNTIF(Tableau1[dim.28],"&lt;&gt;"&amp;"A.")</f>
        <v>39</v>
      </c>
      <c r="BF46" s="209">
        <f>COUNTIF(Tableau1[lun.172],"&lt;&gt;"&amp;"A.")</f>
        <v>36</v>
      </c>
      <c r="BG46" s="209">
        <f>COUNTIF(Tableau1[mar.30],"&lt;&gt;"&amp;"A.")</f>
        <v>36</v>
      </c>
      <c r="BH46" s="209">
        <f>COUNTIF(Tableau1[mer.31],"&lt;&gt;"&amp;"A.")</f>
        <v>36</v>
      </c>
      <c r="BI46" s="209">
        <f>COUNTIF(Tableau1[jeu.01],"&lt;&gt;"&amp;"A.")</f>
        <v>36</v>
      </c>
      <c r="BJ46" s="209">
        <f>COUNTIF(Tableau1[ven.02],"&lt;&gt;"&amp;"A.")</f>
        <v>36</v>
      </c>
      <c r="BK46" s="231">
        <f>AVERAGE(BF46:BJ46)</f>
        <v>36</v>
      </c>
      <c r="BL46" s="209">
        <f>COUNTIF(Tableau1[dim.04],"&lt;&gt;"&amp;"A.")</f>
        <v>39</v>
      </c>
      <c r="BM46" s="209">
        <f>COUNTIF(Tableau1[lun.05],"&lt;&gt;"&amp;"A.")</f>
        <v>39</v>
      </c>
      <c r="BN46" s="209">
        <f>COUNTIF(Tableau1[mar.06],"&lt;&gt;"&amp;"A.")</f>
        <v>39</v>
      </c>
      <c r="BO46" s="209">
        <f>COUNTIF(Tableau1[mer.07],"&lt;&gt;"&amp;"A.")</f>
        <v>39</v>
      </c>
      <c r="BP46" s="209">
        <f>COUNTIF(Tableau1[jeu.08],"&lt;&gt;"&amp;"A.")</f>
        <v>39</v>
      </c>
      <c r="BQ46" s="209">
        <f>COUNTIF(Tableau1[ven.09],"&lt;&gt;"&amp;"A.")</f>
        <v>39</v>
      </c>
      <c r="BR46" s="231">
        <f>AVERAGE(BM46:BQ46)</f>
        <v>39</v>
      </c>
      <c r="BS46" s="209">
        <f>COUNTIF(Tableau1[dim.11],"&lt;&gt;"&amp;"A.")</f>
        <v>39</v>
      </c>
      <c r="BT46" s="209">
        <f>COUNTIF(Tableau1[lun.12],"&lt;&gt;"&amp;"A.")</f>
        <v>38</v>
      </c>
      <c r="BU46" s="209">
        <f>COUNTIF(Tableau1[mar.13],"&lt;&gt;"&amp;"A.")</f>
        <v>38</v>
      </c>
      <c r="BV46" s="209">
        <f>COUNTIF(Tableau1[mer.14],"&lt;&gt;"&amp;"A.")</f>
        <v>38</v>
      </c>
      <c r="BW46" s="209">
        <f>COUNTIF(Tableau1[jeu.15],"&lt;&gt;"&amp;"A.")</f>
        <v>38</v>
      </c>
      <c r="BX46" s="209">
        <f>COUNTIF(Tableau1[ven.16],"&lt;&gt;"&amp;"A.")</f>
        <v>38</v>
      </c>
      <c r="BY46" s="231">
        <f>AVERAGE(BT46:BX46)</f>
        <v>38</v>
      </c>
      <c r="BZ46" s="209">
        <f>COUNTIF(Tableau1[dim.18],"&lt;&gt;"&amp;"A.")</f>
        <v>39</v>
      </c>
      <c r="CA46" s="209">
        <f>COUNTIF(Tableau1[lun.19],"&lt;&gt;"&amp;"A.")</f>
        <v>37</v>
      </c>
      <c r="CB46" s="209">
        <f>COUNTIF(Tableau1[mar.20],"&lt;&gt;"&amp;"A.")</f>
        <v>37</v>
      </c>
      <c r="CC46" s="209">
        <f>COUNTIF(Tableau1[mer.21],"&lt;&gt;"&amp;"A.")</f>
        <v>37</v>
      </c>
      <c r="CD46" s="209">
        <f>COUNTIF(Tableau1[jeu.22],"&lt;&gt;"&amp;"A.")</f>
        <v>37</v>
      </c>
      <c r="CE46" s="209">
        <f>COUNTIF(Tableau1[ven.23],"&lt;&gt;"&amp;"A.")</f>
        <v>37</v>
      </c>
      <c r="CF46" s="231">
        <f>AVERAGE(CA46:CE46)</f>
        <v>37</v>
      </c>
      <c r="CG46" s="209">
        <f>COUNTIF(Tableau1[dim.25],"&lt;&gt;"&amp;"A.")</f>
        <v>39</v>
      </c>
      <c r="CH46" s="209">
        <f>COUNTIF(Tableau1[lun.26],"&lt;&gt;"&amp;"A.")</f>
        <v>38</v>
      </c>
      <c r="CI46" s="209">
        <f>COUNTIF(Tableau1[mar.27],"&lt;&gt;"&amp;"A.")</f>
        <v>38</v>
      </c>
      <c r="CJ46" s="209">
        <f>COUNTIF(Tableau1[mer.28],"&lt;&gt;"&amp;"A.")</f>
        <v>38</v>
      </c>
      <c r="CK46" s="209">
        <f>COUNTIF(Tableau1[jeu.29],"&lt;&gt;"&amp;"A.")</f>
        <v>38</v>
      </c>
      <c r="CL46" s="209">
        <f>COUNTIF(Tableau1[ven.30],"&lt;&gt;"&amp;"A.")</f>
        <v>38</v>
      </c>
      <c r="CM46" s="231">
        <f>AVERAGE(CH46:CL46)</f>
        <v>38</v>
      </c>
      <c r="CN46" s="209">
        <f>COUNTIF(Tableau1[dim.01],"&lt;&gt;"&amp;"A.")</f>
        <v>39</v>
      </c>
      <c r="CO46" s="209">
        <f>COUNTIF(Tableau1[lun.02],"&lt;&gt;"&amp;"A.")</f>
        <v>37</v>
      </c>
      <c r="CP46" s="209">
        <f>COUNTIF(Tableau1[mar.03],"&lt;&gt;"&amp;"A.")</f>
        <v>37</v>
      </c>
      <c r="CQ46" s="209">
        <f>COUNTIF(Tableau1[mer.04],"&lt;&gt;"&amp;"A.")</f>
        <v>37</v>
      </c>
      <c r="CR46" s="209">
        <f>COUNTIF(Tableau1[jeu.05],"&lt;&gt;"&amp;"A.")</f>
        <v>37</v>
      </c>
      <c r="CS46" s="209">
        <f>COUNTIF(Tableau1[ven.06],"&lt;&gt;"&amp;"A.")</f>
        <v>37</v>
      </c>
      <c r="CT46" s="231">
        <f>AVERAGE(CO46:CS46)</f>
        <v>37</v>
      </c>
      <c r="CU46" s="209">
        <f>COUNTIF(Tableau1[dim.08],"&lt;&gt;"&amp;"A.")</f>
        <v>39</v>
      </c>
      <c r="CV46" s="209">
        <f>COUNTIF(Tableau1[lun.09],"&lt;&gt;"&amp;"A.")</f>
        <v>38</v>
      </c>
      <c r="CW46" s="209">
        <f>COUNTIF(Tableau1[mar.10],"&lt;&gt;"&amp;"A.")</f>
        <v>38</v>
      </c>
      <c r="CX46" s="209">
        <f>COUNTIF(Tableau1[mer.11],"&lt;&gt;"&amp;"A.")</f>
        <v>38</v>
      </c>
      <c r="CY46" s="209">
        <f>COUNTIF(Tableau1[jeu.12],"&lt;&gt;"&amp;"A.")</f>
        <v>38</v>
      </c>
      <c r="CZ46" s="209">
        <f>COUNTIF(Tableau1[ven.13],"&lt;&gt;"&amp;"A.")</f>
        <v>38</v>
      </c>
      <c r="DA46" s="231">
        <f>AVERAGE(CV46:CZ46)</f>
        <v>38</v>
      </c>
      <c r="DB46" s="209">
        <f>COUNTIF(Tableau1[dim.15],"&lt;&gt;"&amp;"A.")</f>
        <v>39</v>
      </c>
      <c r="DC46" s="209">
        <f>COUNTIF(Tableau1[lun.16],"&lt;&gt;"&amp;"A.")</f>
        <v>36</v>
      </c>
      <c r="DD46" s="209">
        <f>COUNTIF(Tableau1[mar.17],"&lt;&gt;"&amp;"A.")</f>
        <v>36</v>
      </c>
      <c r="DE46" s="209">
        <f>COUNTIF(Tableau1[mer.18],"&lt;&gt;"&amp;"A.")</f>
        <v>36</v>
      </c>
      <c r="DF46" s="209">
        <f>COUNTIF(Tableau1[jeu.19],"&lt;&gt;"&amp;"A.")</f>
        <v>36</v>
      </c>
      <c r="DG46" s="209">
        <f>COUNTIF(Tableau1[ven.20],"&lt;&gt;"&amp;"A.")</f>
        <v>36</v>
      </c>
      <c r="DH46" s="231">
        <f>AVERAGE(DC46:DG46)</f>
        <v>36</v>
      </c>
      <c r="DI46" s="209">
        <f>COUNTIF(Tableau1[dim.22],"&lt;&gt;"&amp;"A.")</f>
        <v>39</v>
      </c>
      <c r="DJ46" s="209">
        <f>COUNTIF(Tableau1[lun.23],"&lt;&gt;"&amp;"A.")</f>
        <v>33</v>
      </c>
      <c r="DK46" s="209">
        <f>COUNTIF(Tableau1[mar.24],"&lt;&gt;"&amp;"A.")</f>
        <v>33</v>
      </c>
      <c r="DL46" s="209">
        <f>COUNTIF(Tableau1[mer.25],"&lt;&gt;"&amp;"A.")</f>
        <v>33</v>
      </c>
      <c r="DM46" s="209">
        <f>COUNTIF(Tableau1[jeu.26],"&lt;&gt;"&amp;"A.")</f>
        <v>33</v>
      </c>
      <c r="DN46" s="209">
        <f>COUNTIF(Tableau1[ven.27],"&lt;&gt;"&amp;"A.")</f>
        <v>33</v>
      </c>
      <c r="DO46" s="231">
        <f>AVERAGE(DJ46:DN46)</f>
        <v>33</v>
      </c>
      <c r="DP46" s="209">
        <f>COUNTIF(Tableau1[dim.29],"&lt;&gt;"&amp;"A.")</f>
        <v>39</v>
      </c>
      <c r="DQ46" s="209">
        <f>COUNTIF(Tableau1[lun.30],"&lt;&gt;"&amp;"A.")</f>
        <v>10</v>
      </c>
      <c r="DR46" s="209">
        <f>COUNTIF(Tableau1[mar.01],"&lt;&gt;"&amp;"A.")</f>
        <v>32</v>
      </c>
      <c r="DS46" s="209">
        <f>COUNTIF(Tableau1[mer.02],"&lt;&gt;"&amp;"A.")</f>
        <v>33</v>
      </c>
      <c r="DT46" s="209">
        <f>COUNTIF(Tableau1[jeu.03],"&lt;&gt;"&amp;"A.")</f>
        <v>33</v>
      </c>
      <c r="DU46" s="209">
        <f>COUNTIF(Tableau1[ven.04],"&lt;&gt;"&amp;"A.")</f>
        <v>33</v>
      </c>
      <c r="DV46" s="231">
        <f>AVERAGE(DQ46:DU46)</f>
        <v>28.2</v>
      </c>
      <c r="DW46" s="209">
        <f>COUNTIF(Tableau1[dim.06],"&lt;&gt;"&amp;"A.")</f>
        <v>39</v>
      </c>
      <c r="DX46" s="209">
        <f>COUNTIF(Tableau1[lun.07],"&lt;&gt;"&amp;"A.")</f>
        <v>34</v>
      </c>
      <c r="DY46" s="209">
        <f>COUNTIF(Tableau1[mar.08],"&lt;&gt;"&amp;"A.")</f>
        <v>34</v>
      </c>
      <c r="DZ46" s="209">
        <f>COUNTIF(Tableau1[mer.09],"&lt;&gt;"&amp;"A.")</f>
        <v>34</v>
      </c>
      <c r="EA46" s="209">
        <f>COUNTIF(Tableau1[jeu.10],"&lt;&gt;"&amp;"A.")</f>
        <v>10</v>
      </c>
      <c r="EB46" s="209">
        <f>COUNTIF(Tableau1[ven.11],"&lt;&gt;"&amp;"A.")</f>
        <v>34</v>
      </c>
      <c r="EC46" s="231">
        <f>AVERAGE(DX46:EB46)</f>
        <v>29.2</v>
      </c>
      <c r="ED46" s="209">
        <f>COUNTIF(Tableau1[dim.13],"&lt;&gt;"&amp;"A.")</f>
        <v>39</v>
      </c>
      <c r="EE46" s="209">
        <f>COUNTIF(Tableau1[lun.14],"&lt;&gt;"&amp;"A.")</f>
        <v>32</v>
      </c>
      <c r="EF46" s="209">
        <f>COUNTIF(Tableau1[mar.15],"&lt;&gt;"&amp;"A.")</f>
        <v>32</v>
      </c>
      <c r="EG46" s="209">
        <f>COUNTIF(Tableau1[mer.16],"&lt;&gt;"&amp;"A.")</f>
        <v>32</v>
      </c>
      <c r="EH46" s="209">
        <f>COUNTIF(Tableau1[jeu.17],"&lt;&gt;"&amp;"A.")</f>
        <v>32</v>
      </c>
      <c r="EI46" s="209">
        <f>COUNTIF(Tableau1[ven.18],"&lt;&gt;"&amp;"A.")</f>
        <v>32</v>
      </c>
      <c r="EJ46" s="231">
        <f>AVERAGE(EE46:EI46)</f>
        <v>32</v>
      </c>
      <c r="EK46" s="209">
        <f>COUNTIF(Tableau1[dim.20],"&lt;&gt;"&amp;"A.")</f>
        <v>39</v>
      </c>
      <c r="EL46" s="209">
        <f>COUNTIF(Tableau1[lun.21],"&lt;&gt;"&amp;"A.")</f>
        <v>33</v>
      </c>
      <c r="EM46" s="209">
        <f>COUNTIF(Tableau1[mar.22],"&lt;&gt;"&amp;"A.")</f>
        <v>33</v>
      </c>
      <c r="EN46" s="209">
        <f>COUNTIF(Tableau1[mer.23],"&lt;&gt;"&amp;"A.")</f>
        <v>34</v>
      </c>
      <c r="EO46" s="209">
        <f>COUNTIF(Tableau1[jeu.24],"&lt;&gt;"&amp;"A.")</f>
        <v>34</v>
      </c>
      <c r="EP46" s="209">
        <f>COUNTIF(Tableau1[ven.25],"&lt;&gt;"&amp;"A.")</f>
        <v>34</v>
      </c>
      <c r="EQ46" s="231">
        <f>AVERAGE(EL46:EP46)</f>
        <v>33.6</v>
      </c>
      <c r="ER46" s="209">
        <f>COUNTIF(Tableau1[dim.27],"&lt;&gt;"&amp;"A.")</f>
        <v>39</v>
      </c>
      <c r="ES46" s="209">
        <f>COUNTIF(Tableau1[lun.28],"&lt;&gt;"&amp;"A.")</f>
        <v>34</v>
      </c>
      <c r="ET46" s="209">
        <f>COUNTIF(Tableau1[mar.29],"&lt;&gt;"&amp;"A.")</f>
        <v>34</v>
      </c>
      <c r="EU46" s="209">
        <f>COUNTIF(Tableau1[mer.30],"&lt;&gt;"&amp;"A.")</f>
        <v>34</v>
      </c>
      <c r="EV46" s="209">
        <f>COUNTIF(Tableau1[jeu.31],"&lt;&gt;"&amp;"A.")</f>
        <v>34</v>
      </c>
      <c r="EW46" s="209">
        <f>COUNTIF(Tableau1[ven.01],"&lt;&gt;"&amp;"A.")</f>
        <v>34</v>
      </c>
      <c r="EX46" s="231">
        <f>AVERAGE(ES46:EW46)</f>
        <v>34</v>
      </c>
      <c r="EY46" s="209">
        <f>COUNTIF(Tableau1[dim.03],"&lt;&gt;"&amp;"A.")</f>
        <v>39</v>
      </c>
      <c r="EZ46" s="209">
        <f>COUNTIF(Tableau1[lun.04],"&lt;&gt;"&amp;"A.")</f>
        <v>32</v>
      </c>
      <c r="FA46" s="209">
        <f>COUNTIF(Tableau1[mar.05],"&lt;&gt;"&amp;"A.")</f>
        <v>32</v>
      </c>
      <c r="FB46" s="209">
        <f>COUNTIF(Tableau1[mer.06],"&lt;&gt;"&amp;"A.")</f>
        <v>32</v>
      </c>
      <c r="FC46" s="209">
        <f>COUNTIF(Tableau1[jeu.07],"&lt;&gt;"&amp;"A.")</f>
        <v>32</v>
      </c>
      <c r="FD46" s="209">
        <f>COUNTIF(Tableau1[ven.08],"&lt;&gt;"&amp;"A.")</f>
        <v>32</v>
      </c>
      <c r="FE46" s="231">
        <f>AVERAGE(EZ46:FD46)</f>
        <v>32</v>
      </c>
      <c r="FF46" s="209">
        <f>COUNTIF(Tableau1[dim.10],"&lt;&gt;"&amp;"A.")</f>
        <v>39</v>
      </c>
      <c r="FG46" s="209">
        <f>COUNTIF(Tableau1[lun.11],"&lt;&gt;"&amp;"A.")</f>
        <v>36</v>
      </c>
      <c r="FH46" s="209">
        <f>COUNTIF(Tableau1[mar.12],"&lt;&gt;"&amp;"A.")</f>
        <v>36</v>
      </c>
      <c r="FI46" s="209">
        <f>COUNTIF(Tableau1[mer.13],"&lt;&gt;"&amp;"A.")</f>
        <v>36</v>
      </c>
      <c r="FJ46" s="209">
        <f>COUNTIF(Tableau1[jeu.14],"&lt;&gt;"&amp;"A.")</f>
        <v>36</v>
      </c>
      <c r="FK46" s="209">
        <f>COUNTIF(Tableau1[ven.15],"&lt;&gt;"&amp;"A.")</f>
        <v>36</v>
      </c>
      <c r="FL46" s="231">
        <f>AVERAGE(FG46:FK46)</f>
        <v>36</v>
      </c>
      <c r="FM46" s="209">
        <f>COUNTIF(Tableau1[dim.17],"&lt;&gt;"&amp;"A.")</f>
        <v>39</v>
      </c>
      <c r="FN46" s="209">
        <f>COUNTIF(Tableau1[lun.18],"&lt;&gt;"&amp;"A.")</f>
        <v>9</v>
      </c>
      <c r="FO46" s="209">
        <f>COUNTIF(Tableau1[mar.19],"&lt;&gt;"&amp;"A.")</f>
        <v>33</v>
      </c>
      <c r="FP46" s="209">
        <f>COUNTIF(Tableau1[mer.20],"&lt;&gt;"&amp;"A.")</f>
        <v>33</v>
      </c>
      <c r="FQ46" s="209">
        <f>COUNTIF(Tableau1[jeu.21],"&lt;&gt;"&amp;"A.")</f>
        <v>33</v>
      </c>
      <c r="FR46" s="209">
        <f>COUNTIF(Tableau1[ven.22],"&lt;&gt;"&amp;"A.")</f>
        <v>33</v>
      </c>
      <c r="FS46" s="231">
        <f>AVERAGE(FN46:FR46)</f>
        <v>28.2</v>
      </c>
      <c r="FT46" s="209">
        <f>COUNTIF(Tableau1[dim.24],"&lt;&gt;"&amp;"A.")</f>
        <v>39</v>
      </c>
      <c r="FU46" s="209">
        <f>COUNTIF(Tableau1[lun.25],"&lt;&gt;"&amp;"A.")</f>
        <v>32</v>
      </c>
      <c r="FV46" s="209">
        <f>COUNTIF(Tableau1[mar.26],"&lt;&gt;"&amp;"A.")</f>
        <v>32</v>
      </c>
      <c r="FW46" s="209">
        <f>COUNTIF(Tableau1[mer.27],"&lt;&gt;"&amp;"A.")</f>
        <v>32</v>
      </c>
      <c r="FX46" s="209">
        <f>COUNTIF(Tableau1[jeu.28],"&lt;&gt;"&amp;"A.")</f>
        <v>32</v>
      </c>
      <c r="FY46" s="209">
        <f>COUNTIF(Tableau1[ven.29],"&lt;&gt;"&amp;"A.")</f>
        <v>32</v>
      </c>
      <c r="FZ46" s="231">
        <f>AVERAGE(FU46:FY46)</f>
        <v>32</v>
      </c>
      <c r="GA46" s="209">
        <f>COUNTIF(Tableau1[dim.012],"&lt;&gt;"&amp;"A.")</f>
        <v>39</v>
      </c>
      <c r="GB46" s="209">
        <f>COUNTIF(Tableau1[lun.023],"&lt;&gt;"&amp;"A.")</f>
        <v>32</v>
      </c>
      <c r="GC46" s="209">
        <f>COUNTIF(Tableau1[mar.034],"&lt;&gt;"&amp;"A.")</f>
        <v>32</v>
      </c>
      <c r="GD46" s="209">
        <f>COUNTIF(Tableau1[mer.045],"&lt;&gt;"&amp;"A.")</f>
        <v>32</v>
      </c>
      <c r="GE46" s="209">
        <f>COUNTIF(Tableau1[jeu.056],"&lt;&gt;"&amp;"A.")</f>
        <v>32</v>
      </c>
      <c r="GF46" s="209">
        <f>COUNTIF(Tableau1[ven.067],"&lt;&gt;"&amp;"A.")</f>
        <v>32</v>
      </c>
      <c r="GG46" s="231">
        <f>AVERAGE(GB46:GF46)</f>
        <v>32</v>
      </c>
      <c r="GH46" s="209">
        <f>COUNTIF(Tableau1[dim.089],"&lt;&gt;"&amp;"A.")</f>
        <v>39</v>
      </c>
      <c r="GI46" s="209">
        <f>COUNTIF(Tableau1[lun.0910],"&lt;&gt;"&amp;"A.")</f>
        <v>32</v>
      </c>
      <c r="GJ46" s="209">
        <f>COUNTIF(Tableau1[mar.1011],"&lt;&gt;"&amp;"A.")</f>
        <v>32</v>
      </c>
      <c r="GK46" s="209">
        <f>COUNTIF(Tableau1[mer.1112],"&lt;&gt;"&amp;"A.")</f>
        <v>32</v>
      </c>
      <c r="GL46" s="209">
        <f>COUNTIF(Tableau1[jeu.1213],"&lt;&gt;"&amp;"A.")</f>
        <v>32</v>
      </c>
      <c r="GM46" s="209">
        <f>COUNTIF(Tableau1[ven.1314],"&lt;&gt;"&amp;"A.")</f>
        <v>32</v>
      </c>
      <c r="GN46" s="231">
        <f>AVERAGE(GI46:GM46)</f>
        <v>32</v>
      </c>
      <c r="GO46" s="209">
        <f>COUNTIF(Tableau1[dim.1516],"&lt;&gt;"&amp;"A.")</f>
        <v>39</v>
      </c>
      <c r="GP46" s="209">
        <f>COUNTIF(Tableau1[lun.1617],"&lt;&gt;"&amp;"A.")</f>
        <v>31</v>
      </c>
      <c r="GQ46" s="209">
        <f>COUNTIF(Tableau1[mar.1718],"&lt;&gt;"&amp;"A.")</f>
        <v>31</v>
      </c>
      <c r="GR46" s="209">
        <f>COUNTIF(Tableau1[mer.1819],"&lt;&gt;"&amp;"A.")</f>
        <v>31</v>
      </c>
      <c r="GS46" s="209">
        <f>COUNTIF(Tableau1[jeu.1920],"&lt;&gt;"&amp;"A.")</f>
        <v>31</v>
      </c>
      <c r="GT46" s="209">
        <f>COUNTIF(Tableau1[ven.2021],"&lt;&gt;"&amp;"A.")</f>
        <v>31</v>
      </c>
      <c r="GU46" s="231">
        <f>AVERAGE(GP46:GT46)</f>
        <v>31</v>
      </c>
      <c r="GV46" s="209">
        <f>COUNTIF(Tableau1[dim.2223],"&lt;&gt;"&amp;"A.")</f>
        <v>39</v>
      </c>
      <c r="GW46" s="209">
        <f>COUNTIF(Tableau1[lun.2324],"&lt;&gt;"&amp;"A.")</f>
        <v>0</v>
      </c>
      <c r="GX46" s="209">
        <f>COUNTIF(Tableau1[mar.2425],"&lt;&gt;"&amp;"A.")</f>
        <v>33</v>
      </c>
      <c r="GY46" s="209">
        <f>COUNTIF(Tableau1[mer.2526],"&lt;&gt;"&amp;"A.")</f>
        <v>33</v>
      </c>
      <c r="GZ46" s="209">
        <f>COUNTIF(Tableau1[jeu.2627],"&lt;&gt;"&amp;"A.")</f>
        <v>33</v>
      </c>
      <c r="HA46" s="209">
        <f>COUNTIF(Tableau1[ven.2728],"&lt;&gt;"&amp;"A.")</f>
        <v>33</v>
      </c>
      <c r="HB46" s="231">
        <f>AVERAGE(GW46:HA46)</f>
        <v>26.4</v>
      </c>
      <c r="HC46" s="209">
        <f>COUNTIF(Tableau1[dim.2930],"&lt;&gt;"&amp;"A.")</f>
        <v>39</v>
      </c>
      <c r="HD46" s="209">
        <f>COUNTIF(Tableau1[lun.014],"&lt;&gt;"&amp;"A.")</f>
        <v>32</v>
      </c>
      <c r="HE46" s="209">
        <f>COUNTIF(Tableau1[mar.025],"&lt;&gt;"&amp;"A.")</f>
        <v>32</v>
      </c>
      <c r="HF46" s="209">
        <f>COUNTIF(Tableau1[mer.036],"&lt;&gt;"&amp;"A.")</f>
        <v>32</v>
      </c>
      <c r="HG46" s="209">
        <f>COUNTIF(Tableau1[jeu.047],"&lt;&gt;"&amp;"A.")</f>
        <v>32</v>
      </c>
      <c r="HH46" s="209">
        <f>COUNTIF(Tableau1[ven.058],"&lt;&gt;"&amp;"A.")</f>
        <v>32</v>
      </c>
      <c r="HI46" s="231">
        <f>AVERAGE(HD46:HH46)</f>
        <v>32</v>
      </c>
      <c r="HJ46" s="209">
        <f>COUNTIF(Tableau1[dim.0710],"&lt;&gt;"&amp;"A.")</f>
        <v>39</v>
      </c>
      <c r="HK46" s="209">
        <f>COUNTIF(Tableau1[lun.0811],"&lt;&gt;"&amp;"A.")</f>
        <v>26</v>
      </c>
      <c r="HL46" s="209">
        <f>COUNTIF(Tableau1[mar.0912],"&lt;&gt;"&amp;"A.")</f>
        <v>26</v>
      </c>
      <c r="HM46" s="209">
        <f>COUNTIF(Tableau1[mer.1013],"&lt;&gt;"&amp;"A.")</f>
        <v>26</v>
      </c>
      <c r="HN46" s="209">
        <f>COUNTIF(Tableau1[jeu.1114],"&lt;&gt;"&amp;"A.")</f>
        <v>26</v>
      </c>
      <c r="HO46" s="209">
        <f>COUNTIF(Tableau1[ven.1215],"&lt;&gt;"&amp;"A.")</f>
        <v>26</v>
      </c>
      <c r="HP46" s="231">
        <f>AVERAGE(HK46:HO46)</f>
        <v>26</v>
      </c>
      <c r="HQ46" s="209">
        <f>COUNTIF(Tableau1[dim.1417],"&lt;&gt;"&amp;"A.")</f>
        <v>39</v>
      </c>
      <c r="HR46" s="209">
        <f>COUNTIF(Tableau1[lun.1518],"&lt;&gt;"&amp;"A.")</f>
        <v>25</v>
      </c>
      <c r="HS46" s="209">
        <f>COUNTIF(Tableau1[mar.1619],"&lt;&gt;"&amp;"A.")</f>
        <v>25</v>
      </c>
      <c r="HT46" s="209">
        <f>COUNTIF(Tableau1[mer.1720],"&lt;&gt;"&amp;"A.")</f>
        <v>25</v>
      </c>
      <c r="HU46" s="209">
        <f>COUNTIF(Tableau1[jeu.1821],"&lt;&gt;"&amp;"A.")</f>
        <v>25</v>
      </c>
      <c r="HV46" s="209">
        <f>COUNTIF(Tableau1[ven.1922],"&lt;&gt;"&amp;"A.")</f>
        <v>25</v>
      </c>
      <c r="HW46" s="231">
        <f>AVERAGE(HR46:HV46)</f>
        <v>25</v>
      </c>
      <c r="HX46" s="209">
        <f>COUNTIF(Tableau1[dim.2124],"&lt;&gt;"&amp;"A.")</f>
        <v>39</v>
      </c>
      <c r="HY46" s="209">
        <f>COUNTIF(Tableau1[lun.2225],"&lt;&gt;"&amp;"A.")</f>
        <v>27</v>
      </c>
      <c r="HZ46" s="209">
        <f>COUNTIF(Tableau1[mar.2326],"&lt;&gt;"&amp;"A.")</f>
        <v>27</v>
      </c>
      <c r="IA46" s="209">
        <f>COUNTIF(Tableau1[mer.2427],"&lt;&gt;"&amp;"A.")</f>
        <v>27</v>
      </c>
      <c r="IB46" s="209">
        <f>COUNTIF(Tableau1[jeu.2528],"&lt;&gt;"&amp;"A.")</f>
        <v>27</v>
      </c>
      <c r="IC46" s="209">
        <f>COUNTIF(Tableau1[ven.2629],"&lt;&gt;"&amp;"A.")</f>
        <v>27</v>
      </c>
      <c r="ID46" s="231">
        <f>AVERAGE(HY46:IC46)</f>
        <v>27</v>
      </c>
      <c r="IE46" s="209">
        <f>COUNTIF(Tableau1[dim.2831],"&lt;&gt;"&amp;"A.")</f>
        <v>39</v>
      </c>
      <c r="IF46" s="209">
        <f>COUNTIF(Tableau1[lun.2932],"&lt;&gt;"&amp;"A.")</f>
        <v>34</v>
      </c>
      <c r="IG46" s="209">
        <f>COUNTIF(Tableau1[mar.3033],"&lt;&gt;"&amp;"A.")</f>
        <v>34</v>
      </c>
      <c r="IH46" s="209">
        <f>COUNTIF(Tableau1[mer.3134],"&lt;&gt;"&amp;"A.")</f>
        <v>34</v>
      </c>
      <c r="II46" s="209">
        <f>COUNTIF(Tableau1[jeu.0135],"&lt;&gt;"&amp;"A.")</f>
        <v>34</v>
      </c>
      <c r="IJ46" s="209">
        <f>COUNTIF(Tableau1[ven.0236],"&lt;&gt;"&amp;"A.")</f>
        <v>34</v>
      </c>
      <c r="IK46" s="231">
        <f>AVERAGE(IF46:IJ46)</f>
        <v>34</v>
      </c>
      <c r="IL46" s="209">
        <f>COUNTIF(Tableau1[dim.0438],"&lt;&gt;"&amp;"A.")</f>
        <v>39</v>
      </c>
      <c r="IM46" s="209">
        <f>COUNTIF(Tableau1[lun.0539],"&lt;&gt;"&amp;"A.")</f>
        <v>34</v>
      </c>
      <c r="IN46" s="209">
        <f>COUNTIF(Tableau1[mar.0640],"&lt;&gt;"&amp;"A.")</f>
        <v>34</v>
      </c>
      <c r="IO46" s="209">
        <f>COUNTIF(Tableau1[mer.0741],"&lt;&gt;"&amp;"A.")</f>
        <v>34</v>
      </c>
      <c r="IP46" s="209">
        <f>COUNTIF(Tableau1[jeu.0842],"&lt;&gt;"&amp;"A.")</f>
        <v>34</v>
      </c>
      <c r="IQ46" s="209">
        <f>COUNTIF(Tableau1[ven.0943],"&lt;&gt;"&amp;"A.")</f>
        <v>34</v>
      </c>
      <c r="IR46" s="231">
        <f>AVERAGE(IM46:IQ46)</f>
        <v>34</v>
      </c>
      <c r="IS46" s="209">
        <f>COUNTIF(Tableau1[dim.1145],"&lt;&gt;"&amp;"A.")</f>
        <v>39</v>
      </c>
      <c r="IT46" s="209">
        <f>COUNTIF(Tableau1[lun.1246],"&lt;&gt;"&amp;"A.")</f>
        <v>34</v>
      </c>
      <c r="IU46" s="209">
        <f>COUNTIF(Tableau1[mar.1347],"&lt;&gt;"&amp;"A.")</f>
        <v>34</v>
      </c>
      <c r="IV46" s="209">
        <f>COUNTIF(Tableau1[mer.1448],"&lt;&gt;"&amp;"A.")</f>
        <v>35</v>
      </c>
      <c r="IW46" s="209">
        <f>COUNTIF(Tableau1[jeu.1549],"&lt;&gt;"&amp;"A.")</f>
        <v>35</v>
      </c>
      <c r="IX46" s="209">
        <f>COUNTIF(Tableau1[ven.1650],"&lt;&gt;"&amp;"A.")</f>
        <v>35</v>
      </c>
      <c r="IY46" s="231">
        <f>AVERAGE(IT46:IX46)</f>
        <v>34.6</v>
      </c>
      <c r="IZ46" s="209">
        <f>COUNTIF(Tableau1[dim.1852],"&lt;&gt;"&amp;"A.")</f>
        <v>39</v>
      </c>
      <c r="JA46" s="209">
        <f>COUNTIF(Tableau1[lun.1953],"&lt;&gt;"&amp;"A.")</f>
        <v>35</v>
      </c>
      <c r="JB46" s="209">
        <f>COUNTIF(Tableau1[mar.2054],"&lt;&gt;"&amp;"A.")</f>
        <v>35</v>
      </c>
      <c r="JC46" s="209">
        <f>COUNTIF(Tableau1[mer.2155],"&lt;&gt;"&amp;"A.")</f>
        <v>35</v>
      </c>
      <c r="JD46" s="209">
        <f>COUNTIF(Tableau1[jeu.2256],"&lt;&gt;"&amp;"A.")</f>
        <v>35</v>
      </c>
      <c r="JE46" s="209">
        <f>COUNTIF(Tableau1[ven.2357],"&lt;&gt;"&amp;"A.")</f>
        <v>35</v>
      </c>
      <c r="JF46" s="231">
        <f>AVERAGE(JA46:JE46)</f>
        <v>35</v>
      </c>
      <c r="JG46" s="209">
        <f>COUNTIF(Tableau1[dim.2559],"&lt;&gt;"&amp;"A.")</f>
        <v>39</v>
      </c>
      <c r="JH46" s="209">
        <f>COUNTIF(Tableau1[lun.2660],"&lt;&gt;"&amp;"A.")</f>
        <v>39</v>
      </c>
      <c r="JI46" s="209">
        <f>COUNTIF(Tableau1[mar.2761],"&lt;&gt;"&amp;"A.")</f>
        <v>39</v>
      </c>
      <c r="JJ46" s="209">
        <f>COUNTIF(Tableau1[mer.2862],"&lt;&gt;"&amp;"A.")</f>
        <v>39</v>
      </c>
      <c r="JK46" s="209">
        <f>COUNTIF(Tableau1[jeu.2963],"&lt;&gt;"&amp;"A.")</f>
        <v>39</v>
      </c>
      <c r="JL46" s="209">
        <f>COUNTIF(Tableau1[ven.3064],"&lt;&gt;"&amp;"A.")</f>
        <v>39</v>
      </c>
      <c r="JM46" s="231">
        <f>AVERAGE(JH46:JL46)</f>
        <v>39</v>
      </c>
      <c r="JN46" s="209">
        <f>COUNTIF(Tableau1[dim.0166],"&lt;&gt;"&amp;"A.")</f>
        <v>39</v>
      </c>
      <c r="JO46" s="209">
        <f>COUNTIF(Tableau1[lun.0267],"&lt;&gt;"&amp;"A.")</f>
        <v>39</v>
      </c>
      <c r="JP46" s="209">
        <f>COUNTIF(Tableau1[mar.0368],"&lt;&gt;"&amp;"A.")</f>
        <v>39</v>
      </c>
      <c r="JQ46" s="209">
        <f>COUNTIF(Tableau1[mer.0469],"&lt;&gt;"&amp;"A.")</f>
        <v>39</v>
      </c>
      <c r="JR46" s="209">
        <f>COUNTIF(Tableau1[jeu.0570],"&lt;&gt;"&amp;"A.")</f>
        <v>39</v>
      </c>
      <c r="JS46" s="209">
        <f>COUNTIF(Tableau1[ven.0671],"&lt;&gt;"&amp;"A.")</f>
        <v>39</v>
      </c>
      <c r="JT46" s="231">
        <f>AVERAGE(JO46:JS46)</f>
        <v>39</v>
      </c>
      <c r="JU46" s="209">
        <f>COUNTIF(Tableau1[dim.0873],"&lt;&gt;"&amp;"A.")</f>
        <v>39</v>
      </c>
      <c r="JV46" s="209">
        <f>COUNTIF(Tableau1[lun.0974],"&lt;&gt;"&amp;"A.")</f>
        <v>39</v>
      </c>
      <c r="JW46" s="209">
        <f>COUNTIF(Tableau1[mar.1075],"&lt;&gt;"&amp;"A.")</f>
        <v>39</v>
      </c>
      <c r="JX46" s="209">
        <f>COUNTIF(Tableau1[mer.1176],"&lt;&gt;"&amp;"A.")</f>
        <v>39</v>
      </c>
      <c r="JY46" s="209">
        <f>COUNTIF(Tableau1[jeu.1277],"&lt;&gt;"&amp;"A.")</f>
        <v>39</v>
      </c>
      <c r="JZ46" s="209">
        <f>COUNTIF(Tableau1[ven.1378],"&lt;&gt;"&amp;"A.")</f>
        <v>39</v>
      </c>
      <c r="KA46" s="231">
        <f>AVERAGE(JV46:JZ46)</f>
        <v>39</v>
      </c>
      <c r="KB46" s="209">
        <f>COUNTIF(Tableau1[dim.1580],"&lt;&gt;"&amp;"A.")</f>
        <v>39</v>
      </c>
      <c r="KC46" s="209">
        <f>COUNTIF(Tableau1[lun.1681],"&lt;&gt;"&amp;"A.")</f>
        <v>39</v>
      </c>
      <c r="KD46" s="209">
        <f>COUNTIF(Tableau1[mar.1782],"&lt;&gt;"&amp;"A.")</f>
        <v>39</v>
      </c>
      <c r="KE46" s="209">
        <f>COUNTIF(Tableau1[mer.1883],"&lt;&gt;"&amp;"A.")</f>
        <v>39</v>
      </c>
      <c r="KF46" s="209">
        <f>COUNTIF(Tableau1[jeu.1984],"&lt;&gt;"&amp;"A.")</f>
        <v>39</v>
      </c>
      <c r="KG46" s="209">
        <f>COUNTIF(Tableau1[ven.2085],"&lt;&gt;"&amp;"A.")</f>
        <v>39</v>
      </c>
      <c r="KH46" s="231">
        <f>AVERAGE(KC46:KG46)</f>
        <v>39</v>
      </c>
      <c r="KI46" s="209">
        <f>COUNTIF(Tableau1[dim.2287],"&lt;&gt;"&amp;"A.")</f>
        <v>39</v>
      </c>
      <c r="KJ46" s="209">
        <f>COUNTIF(Tableau1[lun.2388],"&lt;&gt;"&amp;"A.")</f>
        <v>39</v>
      </c>
      <c r="KK46" s="209">
        <f>COUNTIF(Tableau1[mar.2489],"&lt;&gt;"&amp;"A.")</f>
        <v>39</v>
      </c>
      <c r="KL46" s="209">
        <f>COUNTIF(Tableau1[mer.2590],"&lt;&gt;"&amp;"A.")</f>
        <v>39</v>
      </c>
      <c r="KM46" s="209">
        <f>COUNTIF(Tableau1[jeu.2691],"&lt;&gt;"&amp;"A.")</f>
        <v>39</v>
      </c>
      <c r="KN46" s="209">
        <f>COUNTIF(Tableau1[ven.2792],"&lt;&gt;"&amp;"A.")</f>
        <v>39</v>
      </c>
      <c r="KO46" s="231">
        <f>AVERAGE(KJ46:KN46)</f>
        <v>39</v>
      </c>
      <c r="KP46" s="209">
        <f>COUNTIF(Tableau1[dim.2994],"&lt;&gt;"&amp;"A.")</f>
        <v>39</v>
      </c>
      <c r="KQ46" s="209">
        <f>COUNTIF(Tableau1[lun.3095],"&lt;&gt;"&amp;"A.")</f>
        <v>39</v>
      </c>
      <c r="KR46" s="209">
        <f>COUNTIF(Tableau1[mar.0196],"&lt;&gt;"&amp;"A.")</f>
        <v>39</v>
      </c>
      <c r="KS46" s="209">
        <f>COUNTIF(Tableau1[mer.0297],"&lt;&gt;"&amp;"A.")</f>
        <v>39</v>
      </c>
      <c r="KT46" s="209">
        <f>COUNTIF(Tableau1[jeu.0398],"&lt;&gt;"&amp;"A.")</f>
        <v>39</v>
      </c>
      <c r="KU46" s="209">
        <f>COUNTIF(Tableau1[ven.0499],"&lt;&gt;"&amp;"A.")</f>
        <v>39</v>
      </c>
      <c r="KV46" s="231">
        <f>AVERAGE(KQ46:KU46)</f>
        <v>39</v>
      </c>
      <c r="KW46" s="209">
        <f>COUNTIF(Tableau1[dim.06101],"&lt;&gt;"&amp;"A.")</f>
        <v>39</v>
      </c>
      <c r="KX46" s="209">
        <f>COUNTIF(Tableau1[lun.07102],"&lt;&gt;"&amp;"A.")</f>
        <v>39</v>
      </c>
      <c r="KY46" s="209">
        <f>COUNTIF(Tableau1[mar.08103],"&lt;&gt;"&amp;"A.")</f>
        <v>39</v>
      </c>
      <c r="KZ46" s="209">
        <f>COUNTIF(Tableau1[mer.09104],"&lt;&gt;"&amp;"A.")</f>
        <v>39</v>
      </c>
      <c r="LA46" s="209">
        <f>COUNTIF(Tableau1[jeu.10105],"&lt;&gt;"&amp;"A.")</f>
        <v>39</v>
      </c>
      <c r="LB46" s="209">
        <f>COUNTIF(Tableau1[ven.11106],"&lt;&gt;"&amp;"A.")</f>
        <v>39</v>
      </c>
      <c r="LC46" s="231">
        <f>AVERAGE(KX46:LB46)</f>
        <v>39</v>
      </c>
      <c r="LD46" s="209">
        <f>COUNTIF(Tableau1[dim.13108],"&lt;&gt;"&amp;"A.")</f>
        <v>39</v>
      </c>
      <c r="LE46" s="209">
        <f>COUNTIF(Tableau1[lun.14109],"&lt;&gt;"&amp;"A.")</f>
        <v>39</v>
      </c>
      <c r="LF46" s="209">
        <f>COUNTIF(Tableau1[mar.15110],"&lt;&gt;"&amp;"A.")</f>
        <v>39</v>
      </c>
      <c r="LG46" s="209">
        <f>COUNTIF(Tableau1[mer.16111],"&lt;&gt;"&amp;"A.")</f>
        <v>39</v>
      </c>
      <c r="LH46" s="209">
        <f>COUNTIF(Tableau1[jeu.17112],"&lt;&gt;"&amp;"A.")</f>
        <v>39</v>
      </c>
      <c r="LI46" s="209">
        <f>COUNTIF(Tableau1[ven.18113],"&lt;&gt;"&amp;"A.")</f>
        <v>39</v>
      </c>
      <c r="LJ46" s="231">
        <f>AVERAGE(LE46:LI46)</f>
        <v>39</v>
      </c>
      <c r="LK46" s="209">
        <f>COUNTIF(Tableau1[dim.20115],"&lt;&gt;"&amp;"A.")</f>
        <v>39</v>
      </c>
      <c r="LL46" s="209">
        <f>COUNTIF(Tableau1[lun.21116],"&lt;&gt;"&amp;"A.")</f>
        <v>39</v>
      </c>
      <c r="LM46" s="209">
        <f>COUNTIF(Tableau1[mar.22117],"&lt;&gt;"&amp;"A.")</f>
        <v>39</v>
      </c>
      <c r="LN46" s="209">
        <f>COUNTIF(Tableau1[mer.23118],"&lt;&gt;"&amp;"A.")</f>
        <v>39</v>
      </c>
      <c r="LO46" s="209">
        <f>COUNTIF(Tableau1[jeu.24119],"&lt;&gt;"&amp;"A.")</f>
        <v>39</v>
      </c>
      <c r="LP46" s="209">
        <f>COUNTIF(Tableau1[ven.25120],"&lt;&gt;"&amp;"A.")</f>
        <v>39</v>
      </c>
      <c r="LQ46" s="231">
        <f>AVERAGE(LL46:LP46)</f>
        <v>39</v>
      </c>
      <c r="LR46" s="209">
        <f>COUNTIF(Tableau1[dim.27122],"&lt;&gt;"&amp;"A.")</f>
        <v>39</v>
      </c>
      <c r="LS46" s="209">
        <f>COUNTIF(Tableau1[lun.28123],"&lt;&gt;"&amp;"A.")</f>
        <v>39</v>
      </c>
      <c r="LT46" s="209">
        <f>COUNTIF(Tableau1[mar.29124],"&lt;&gt;"&amp;"A.")</f>
        <v>39</v>
      </c>
      <c r="LU46" s="209">
        <f>COUNTIF(Tableau1[mer.30125],"&lt;&gt;"&amp;"A.")</f>
        <v>39</v>
      </c>
      <c r="LV46" s="209">
        <f>COUNTIF(Tableau1[jeu.31126],"&lt;&gt;"&amp;"A.")</f>
        <v>39</v>
      </c>
      <c r="LW46" s="209">
        <f>COUNTIF(Tableau1[ven.01127],"&lt;&gt;"&amp;"A.")</f>
        <v>39</v>
      </c>
      <c r="LX46" s="231">
        <f>AVERAGE(LS46:LW46)</f>
        <v>39</v>
      </c>
      <c r="LY46" s="209">
        <f>COUNTIF(Tableau1[dim.03129],"&lt;&gt;"&amp;"A.")</f>
        <v>39</v>
      </c>
      <c r="LZ46" s="209">
        <f>COUNTIF(Tableau1[lun.04130],"&lt;&gt;"&amp;"A.")</f>
        <v>39</v>
      </c>
      <c r="MA46" s="209">
        <f>COUNTIF(Tableau1[mar.05131],"&lt;&gt;"&amp;"A.")</f>
        <v>39</v>
      </c>
      <c r="MB46" s="209">
        <f>COUNTIF(Tableau1[mer.06132],"&lt;&gt;"&amp;"A.")</f>
        <v>39</v>
      </c>
      <c r="MC46" s="209">
        <f>COUNTIF(Tableau1[jeu.07133],"&lt;&gt;"&amp;"A.")</f>
        <v>39</v>
      </c>
      <c r="MD46" s="209">
        <f>COUNTIF(Tableau1[ven.08134],"&lt;&gt;"&amp;"A.")</f>
        <v>39</v>
      </c>
      <c r="ME46" s="231">
        <f>AVERAGE(LZ46:MD46)</f>
        <v>39</v>
      </c>
      <c r="MF46" s="209">
        <f>COUNTIF(Tableau1[dim.10136],"&lt;&gt;"&amp;"A.")</f>
        <v>39</v>
      </c>
      <c r="MG46" s="209">
        <f>COUNTIF(Tableau1[lun.11137],"&lt;&gt;"&amp;"A.")</f>
        <v>39</v>
      </c>
      <c r="MH46" s="209">
        <f>COUNTIF(Tableau1[mar.12138],"&lt;&gt;"&amp;"A.")</f>
        <v>39</v>
      </c>
      <c r="MI46" s="209">
        <f>COUNTIF(Tableau1[mer.13139],"&lt;&gt;"&amp;"A.")</f>
        <v>39</v>
      </c>
      <c r="MJ46" s="209">
        <f>COUNTIF(Tableau1[jeu.14140],"&lt;&gt;"&amp;"A.")</f>
        <v>39</v>
      </c>
      <c r="MK46" s="209">
        <f>COUNTIF(Tableau1[ven.15141],"&lt;&gt;"&amp;"A.")</f>
        <v>39</v>
      </c>
      <c r="ML46" s="231">
        <f>AVERAGE(MG46:MK46)</f>
        <v>39</v>
      </c>
      <c r="MM46" s="209">
        <f>COUNTIF(Tableau1[dim.17143],"&lt;&gt;"&amp;"A.")</f>
        <v>39</v>
      </c>
      <c r="MN46" s="209">
        <f>COUNTIF(Tableau1[lun.18144],"&lt;&gt;"&amp;"A.")</f>
        <v>39</v>
      </c>
      <c r="MO46" s="209">
        <f>COUNTIF(Tableau1[mar.19145],"&lt;&gt;"&amp;"A.")</f>
        <v>39</v>
      </c>
      <c r="MP46" s="209">
        <f>COUNTIF(Tableau1[mer.20146],"&lt;&gt;"&amp;"A.")</f>
        <v>39</v>
      </c>
      <c r="MQ46" s="209">
        <f>COUNTIF(Tableau1[jeu.21147],"&lt;&gt;"&amp;"A.")</f>
        <v>39</v>
      </c>
      <c r="MR46" s="209">
        <f>COUNTIF(Tableau1[ven.22148],"&lt;&gt;"&amp;"A.")</f>
        <v>39</v>
      </c>
      <c r="MS46" s="231">
        <f>AVERAGE(MN46:MR46)</f>
        <v>39</v>
      </c>
      <c r="MT46" s="209">
        <f>COUNTIF(Tableau1[dim.24150],"&lt;&gt;"&amp;"A.")</f>
        <v>39</v>
      </c>
      <c r="MU46" s="209">
        <f>COUNTIF(Tableau1[lun.25151],"&lt;&gt;"&amp;"A.")</f>
        <v>39</v>
      </c>
      <c r="MV46" s="209">
        <f>COUNTIF(Tableau1[mar.26152],"&lt;&gt;"&amp;"A.")</f>
        <v>39</v>
      </c>
      <c r="MW46" s="209">
        <f>COUNTIF(Tableau1[mer.27153],"&lt;&gt;"&amp;"A.")</f>
        <v>39</v>
      </c>
      <c r="MX46" s="209">
        <f>COUNTIF(Tableau1[jeu.28154],"&lt;&gt;"&amp;"A.")</f>
        <v>39</v>
      </c>
      <c r="MY46" s="209">
        <f>COUNTIF(Tableau1[ven.29155],"&lt;&gt;"&amp;"A.")</f>
        <v>39</v>
      </c>
      <c r="MZ46" s="231">
        <f>AVERAGE(MU46:MY46)</f>
        <v>39</v>
      </c>
      <c r="NA46" s="209">
        <f>COUNTIF(Tableau1[dim.012157],"&lt;&gt;"&amp;"A.")</f>
        <v>39</v>
      </c>
      <c r="NB46" s="209">
        <f>COUNTIF(Tableau1[lun.023158],"&lt;&gt;"&amp;"A.")</f>
        <v>39</v>
      </c>
      <c r="NC46" s="209">
        <f>COUNTIF(Tableau1[mar.034159],"&lt;&gt;"&amp;"A.")</f>
        <v>39</v>
      </c>
      <c r="ND46" s="209">
        <f>COUNTIF(Tableau1[mer.045160],"&lt;&gt;"&amp;"A.")</f>
        <v>39</v>
      </c>
      <c r="NE46" s="209">
        <f>COUNTIF(Tableau1[jeu.056161],"&lt;&gt;"&amp;"A.")</f>
        <v>39</v>
      </c>
      <c r="NF46" s="209">
        <f>COUNTIF(Tableau1[ven.067162],"&lt;&gt;"&amp;"A.")</f>
        <v>39</v>
      </c>
      <c r="NG46" s="231">
        <f>AVERAGE(NB46:NF46)</f>
        <v>39</v>
      </c>
      <c r="NH46" s="209">
        <f>COUNTIF(Tableau1[dim.089164],"&lt;&gt;"&amp;"A.")</f>
        <v>39</v>
      </c>
      <c r="NI46" s="209">
        <f>COUNTIF(Tableau1[lun.0910165],"&lt;&gt;"&amp;"A.")</f>
        <v>39</v>
      </c>
      <c r="NJ46" s="209">
        <f>COUNTIF(Tableau1[mar.1011166],"&lt;&gt;"&amp;"A.")</f>
        <v>39</v>
      </c>
      <c r="NK46" s="209">
        <f>COUNTIF(Tableau1[mer.1112167],"&lt;&gt;"&amp;"A.")</f>
        <v>39</v>
      </c>
      <c r="NL46" s="209">
        <f>COUNTIF(Tableau1[jeu.1213168],"&lt;&gt;"&amp;"A.")</f>
        <v>39</v>
      </c>
      <c r="NM46" s="209">
        <f>COUNTIF(Tableau1[ven.1314169],"&lt;&gt;"&amp;"A.")</f>
        <v>39</v>
      </c>
      <c r="NN46" s="231">
        <f>AVERAGE(NI46:NM46)</f>
        <v>39</v>
      </c>
      <c r="NO46" s="209">
        <f>COUNTIF(Tableau1[dim.1516171],"&lt;&gt;"&amp;"A.")</f>
        <v>39</v>
      </c>
    </row>
    <row r="47" spans="4:379" x14ac:dyDescent="0.3">
      <c r="H47" s="213" t="s">
        <v>498</v>
      </c>
      <c r="I47" s="216">
        <f>COUNTIF(Tableau1[lun.30.12],"="&amp;"")</f>
        <v>37</v>
      </c>
      <c r="J47" s="210">
        <f>COUNTIF(Tableau1[mar.11],"="&amp;"")</f>
        <v>37</v>
      </c>
      <c r="K47" s="210">
        <f>COUNTIF(Tableau1[mer.12],"="&amp;"")</f>
        <v>37</v>
      </c>
      <c r="L47" s="210">
        <f>COUNTIF(Tableau1[jeu.13],"="&amp;"")</f>
        <v>37</v>
      </c>
      <c r="M47" s="210">
        <f>COUNTIF(Tableau1[ven.14],"="&amp;"")</f>
        <v>37</v>
      </c>
      <c r="N47" s="232">
        <f>AVERAGE(I47:M47)</f>
        <v>37</v>
      </c>
      <c r="O47" s="210">
        <f>COUNTIF(Tableau1[dim.16],"="&amp;"")</f>
        <v>39</v>
      </c>
      <c r="P47" s="210">
        <f>COUNTIF(Tableau1[lun.17],"="&amp;"")</f>
        <v>37</v>
      </c>
      <c r="Q47" s="210">
        <f>COUNTIF(Tableau1[mar.18],"="&amp;"")</f>
        <v>37</v>
      </c>
      <c r="R47" s="210">
        <f>COUNTIF(Tableau1[mer.19],"="&amp;"")</f>
        <v>37</v>
      </c>
      <c r="S47" s="210">
        <f>COUNTIF(Tableau1[jeu.20],"="&amp;"")</f>
        <v>37</v>
      </c>
      <c r="T47" s="210">
        <f>COUNTIF(Tableau1[ven.21],"="&amp;"")</f>
        <v>37</v>
      </c>
      <c r="U47" s="232">
        <f>AVERAGE(P47:T47)</f>
        <v>37</v>
      </c>
      <c r="V47" s="210">
        <f>COUNTIF(Tableau1[dim.23],"="&amp;"")</f>
        <v>39</v>
      </c>
      <c r="W47" s="210">
        <f>COUNTIF(Tableau1[lun.24],"="&amp;"")</f>
        <v>35</v>
      </c>
      <c r="X47" s="210">
        <f>COUNTIF(Tableau1[mar.25],"="&amp;"")</f>
        <v>35</v>
      </c>
      <c r="Y47" s="210">
        <f>COUNTIF(Tableau1[mer.26],"="&amp;"")</f>
        <v>35</v>
      </c>
      <c r="Z47" s="210">
        <f>COUNTIF(Tableau1[jeu.27],"="&amp;"")</f>
        <v>35</v>
      </c>
      <c r="AA47" s="210">
        <f>COUNTIF(Tableau1[ven.28],"="&amp;"")</f>
        <v>35</v>
      </c>
      <c r="AB47" s="232">
        <f>AVERAGE(W47:AA47)</f>
        <v>35</v>
      </c>
      <c r="AC47" s="210">
        <f>COUNTIF(Tableau1[dim.30],"="&amp;"")</f>
        <v>39</v>
      </c>
      <c r="AD47" s="210">
        <f>COUNTIF(Tableau1[lun.01],"="&amp;"")</f>
        <v>35</v>
      </c>
      <c r="AE47" s="210">
        <f>COUNTIF(Tableau1[mar.02],"="&amp;"")</f>
        <v>35</v>
      </c>
      <c r="AF47" s="210">
        <f>COUNTIF(Tableau1[mer.03],"="&amp;"")</f>
        <v>35</v>
      </c>
      <c r="AG47" s="210">
        <f>COUNTIF(Tableau1[jeu.04],"="&amp;"")</f>
        <v>35</v>
      </c>
      <c r="AH47" s="210">
        <f>COUNTIF(Tableau1[ven.05],"="&amp;"")</f>
        <v>35</v>
      </c>
      <c r="AI47" s="232">
        <f>AVERAGE(AD47:AH47)</f>
        <v>35</v>
      </c>
      <c r="AJ47" s="210">
        <f>COUNTIF(Tableau1[dim.07],"="&amp;"")</f>
        <v>39</v>
      </c>
      <c r="AK47" s="210">
        <f>COUNTIF(Tableau1[lun.08],"="&amp;"")</f>
        <v>35</v>
      </c>
      <c r="AL47" s="210">
        <f>COUNTIF(Tableau1[mar.09],"="&amp;"")</f>
        <v>35</v>
      </c>
      <c r="AM47" s="210">
        <f>COUNTIF(Tableau1[mer.10],"="&amp;"")</f>
        <v>35</v>
      </c>
      <c r="AN47" s="210">
        <f>COUNTIF(Tableau1[jeu.11],"="&amp;"")</f>
        <v>35</v>
      </c>
      <c r="AO47" s="210">
        <f>COUNTIF(Tableau1[ven.12],"="&amp;"")</f>
        <v>35</v>
      </c>
      <c r="AP47" s="232">
        <f>AVERAGE(AK47:AO47)</f>
        <v>35</v>
      </c>
      <c r="AQ47" s="210">
        <f>COUNTIF(Tableau1[dim.14],"="&amp;"")</f>
        <v>39</v>
      </c>
      <c r="AR47" s="210">
        <f>COUNTIF(Tableau1[lun.15],"="&amp;"")</f>
        <v>35</v>
      </c>
      <c r="AS47" s="210">
        <f>COUNTIF(Tableau1[mar.16],"="&amp;"")</f>
        <v>35</v>
      </c>
      <c r="AT47" s="210">
        <f>COUNTIF(Tableau1[mer.17],"="&amp;"")</f>
        <v>35</v>
      </c>
      <c r="AU47" s="210">
        <f>COUNTIF(Tableau1[jeu.18],"="&amp;"")</f>
        <v>35</v>
      </c>
      <c r="AV47" s="210">
        <f>COUNTIF(Tableau1[ven.19],"="&amp;"")</f>
        <v>35</v>
      </c>
      <c r="AW47" s="232">
        <f>AVERAGE(AR47:AV47)</f>
        <v>35</v>
      </c>
      <c r="AX47" s="210">
        <f>COUNTIF(Tableau1[dim.21],"="&amp;"")</f>
        <v>39</v>
      </c>
      <c r="AY47" s="210">
        <f>COUNTIF(Tableau1[lun.10],"="&amp;"")</f>
        <v>34</v>
      </c>
      <c r="AZ47" s="210">
        <f>COUNTIF(Tableau1[mars.11],"="&amp;"")</f>
        <v>34</v>
      </c>
      <c r="BA47" s="210">
        <f>COUNTIF(Tableau1[mer.122],"="&amp;"")</f>
        <v>34</v>
      </c>
      <c r="BB47" s="210">
        <f>COUNTIF(Tableau1[jeu.132],"="&amp;"")</f>
        <v>33</v>
      </c>
      <c r="BC47" s="210">
        <f>COUNTIF(Tableau1[ven.142],"="&amp;"")</f>
        <v>34</v>
      </c>
      <c r="BD47" s="232">
        <f>AVERAGE(AY47:BC47)</f>
        <v>33.799999999999997</v>
      </c>
      <c r="BE47" s="210">
        <f>COUNTIF(Tableau1[dim.28],"="&amp;"")</f>
        <v>39</v>
      </c>
      <c r="BF47" s="210">
        <f>COUNTIF(Tableau1[lun.172],"="&amp;"")</f>
        <v>34</v>
      </c>
      <c r="BG47" s="210">
        <f>COUNTIF(Tableau1[mar.30],"="&amp;"")</f>
        <v>34</v>
      </c>
      <c r="BH47" s="210">
        <f>COUNTIF(Tableau1[mer.31],"="&amp;"")</f>
        <v>34</v>
      </c>
      <c r="BI47" s="210">
        <f>COUNTIF(Tableau1[jeu.01],"="&amp;"")</f>
        <v>34</v>
      </c>
      <c r="BJ47" s="210">
        <f>COUNTIF(Tableau1[ven.02],"="&amp;"")</f>
        <v>34</v>
      </c>
      <c r="BK47" s="232">
        <f>AVERAGE(BF47:BJ47)</f>
        <v>34</v>
      </c>
      <c r="BL47" s="210">
        <f>COUNTIF(Tableau1[dim.04],"="&amp;"")</f>
        <v>39</v>
      </c>
      <c r="BM47" s="210">
        <f>COUNTIF(Tableau1[lun.05],"="&amp;"")</f>
        <v>37</v>
      </c>
      <c r="BN47" s="210">
        <f>COUNTIF(Tableau1[mar.06],"="&amp;"")</f>
        <v>37</v>
      </c>
      <c r="BO47" s="210">
        <f>COUNTIF(Tableau1[mer.07],"="&amp;"")</f>
        <v>37</v>
      </c>
      <c r="BP47" s="210">
        <f>COUNTIF(Tableau1[jeu.08],"="&amp;"")</f>
        <v>37</v>
      </c>
      <c r="BQ47" s="210">
        <f>COUNTIF(Tableau1[ven.09],"="&amp;"")</f>
        <v>37</v>
      </c>
      <c r="BR47" s="232">
        <f>AVERAGE(BM47:BQ47)</f>
        <v>37</v>
      </c>
      <c r="BS47" s="210">
        <f>COUNTIF(Tableau1[dim.11],"="&amp;"")</f>
        <v>39</v>
      </c>
      <c r="BT47" s="210">
        <f>COUNTIF(Tableau1[lun.12],"="&amp;"")</f>
        <v>36</v>
      </c>
      <c r="BU47" s="210">
        <f>COUNTIF(Tableau1[mar.13],"="&amp;"")</f>
        <v>36</v>
      </c>
      <c r="BV47" s="210">
        <f>COUNTIF(Tableau1[mer.14],"="&amp;"")</f>
        <v>36</v>
      </c>
      <c r="BW47" s="210">
        <f>COUNTIF(Tableau1[jeu.15],"="&amp;"")</f>
        <v>36</v>
      </c>
      <c r="BX47" s="210">
        <f>COUNTIF(Tableau1[ven.16],"="&amp;"")</f>
        <v>36</v>
      </c>
      <c r="BY47" s="232">
        <f>AVERAGE(BT47:BX47)</f>
        <v>36</v>
      </c>
      <c r="BZ47" s="210">
        <f>COUNTIF(Tableau1[dim.18],"="&amp;"")</f>
        <v>39</v>
      </c>
      <c r="CA47" s="210">
        <f>COUNTIF(Tableau1[lun.19],"="&amp;"")</f>
        <v>35</v>
      </c>
      <c r="CB47" s="210">
        <f>COUNTIF(Tableau1[mar.20],"="&amp;"")</f>
        <v>35</v>
      </c>
      <c r="CC47" s="210">
        <f>COUNTIF(Tableau1[mer.21],"="&amp;"")</f>
        <v>35</v>
      </c>
      <c r="CD47" s="210">
        <f>COUNTIF(Tableau1[jeu.22],"="&amp;"")</f>
        <v>35</v>
      </c>
      <c r="CE47" s="210">
        <f>COUNTIF(Tableau1[ven.23],"="&amp;"")</f>
        <v>35</v>
      </c>
      <c r="CF47" s="232">
        <f>AVERAGE(CA47:CE47)</f>
        <v>35</v>
      </c>
      <c r="CG47" s="210">
        <f>COUNTIF(Tableau1[dim.25],"="&amp;"")</f>
        <v>39</v>
      </c>
      <c r="CH47" s="210">
        <f>COUNTIF(Tableau1[lun.26],"="&amp;"")</f>
        <v>36</v>
      </c>
      <c r="CI47" s="210">
        <f>COUNTIF(Tableau1[mar.27],"="&amp;"")</f>
        <v>36</v>
      </c>
      <c r="CJ47" s="210">
        <f>COUNTIF(Tableau1[mer.28],"="&amp;"")</f>
        <v>36</v>
      </c>
      <c r="CK47" s="210">
        <f>COUNTIF(Tableau1[jeu.29],"="&amp;"")</f>
        <v>36</v>
      </c>
      <c r="CL47" s="210">
        <f>COUNTIF(Tableau1[ven.30],"="&amp;"")</f>
        <v>36</v>
      </c>
      <c r="CM47" s="232">
        <f>AVERAGE(CH47:CL47)</f>
        <v>36</v>
      </c>
      <c r="CN47" s="210">
        <f>COUNTIF(Tableau1[dim.01],"="&amp;"")</f>
        <v>39</v>
      </c>
      <c r="CO47" s="210">
        <f>COUNTIF(Tableau1[lun.02],"="&amp;"")</f>
        <v>35</v>
      </c>
      <c r="CP47" s="210">
        <f>COUNTIF(Tableau1[mar.03],"="&amp;"")</f>
        <v>35</v>
      </c>
      <c r="CQ47" s="210">
        <f>COUNTIF(Tableau1[mer.04],"="&amp;"")</f>
        <v>35</v>
      </c>
      <c r="CR47" s="210">
        <f>COUNTIF(Tableau1[jeu.05],"="&amp;"")</f>
        <v>35</v>
      </c>
      <c r="CS47" s="210">
        <f>COUNTIF(Tableau1[ven.06],"="&amp;"")</f>
        <v>35</v>
      </c>
      <c r="CT47" s="232">
        <f>AVERAGE(CO47:CS47)</f>
        <v>35</v>
      </c>
      <c r="CU47" s="210">
        <f>COUNTIF(Tableau1[dim.08],"="&amp;"")</f>
        <v>39</v>
      </c>
      <c r="CV47" s="210">
        <f>COUNTIF(Tableau1[lun.09],"="&amp;"")</f>
        <v>35</v>
      </c>
      <c r="CW47" s="210">
        <f>COUNTIF(Tableau1[mar.10],"="&amp;"")</f>
        <v>35</v>
      </c>
      <c r="CX47" s="210">
        <f>COUNTIF(Tableau1[mer.11],"="&amp;"")</f>
        <v>35</v>
      </c>
      <c r="CY47" s="210">
        <f>COUNTIF(Tableau1[jeu.12],"="&amp;"")</f>
        <v>35</v>
      </c>
      <c r="CZ47" s="210">
        <f>COUNTIF(Tableau1[ven.13],"="&amp;"")</f>
        <v>35</v>
      </c>
      <c r="DA47" s="232">
        <f>AVERAGE(CV47:CZ47)</f>
        <v>35</v>
      </c>
      <c r="DB47" s="210">
        <f>COUNTIF(Tableau1[dim.15],"="&amp;"")</f>
        <v>39</v>
      </c>
      <c r="DC47" s="210">
        <f>COUNTIF(Tableau1[lun.16],"="&amp;"")</f>
        <v>33</v>
      </c>
      <c r="DD47" s="210">
        <f>COUNTIF(Tableau1[mar.17],"="&amp;"")</f>
        <v>33</v>
      </c>
      <c r="DE47" s="210">
        <f>COUNTIF(Tableau1[mer.18],"="&amp;"")</f>
        <v>33</v>
      </c>
      <c r="DF47" s="210">
        <f>COUNTIF(Tableau1[jeu.19],"="&amp;"")</f>
        <v>33</v>
      </c>
      <c r="DG47" s="210">
        <f>COUNTIF(Tableau1[ven.20],"="&amp;"")</f>
        <v>33</v>
      </c>
      <c r="DH47" s="232">
        <f>AVERAGE(DC47:DG47)</f>
        <v>33</v>
      </c>
      <c r="DI47" s="210">
        <f>COUNTIF(Tableau1[dim.22],"="&amp;"")</f>
        <v>39</v>
      </c>
      <c r="DJ47" s="210">
        <f>COUNTIF(Tableau1[lun.23],"="&amp;"")</f>
        <v>30</v>
      </c>
      <c r="DK47" s="210">
        <f>COUNTIF(Tableau1[mar.24],"="&amp;"")</f>
        <v>30</v>
      </c>
      <c r="DL47" s="210">
        <f>COUNTIF(Tableau1[mer.25],"="&amp;"")</f>
        <v>30</v>
      </c>
      <c r="DM47" s="210">
        <f>COUNTIF(Tableau1[jeu.26],"="&amp;"")</f>
        <v>30</v>
      </c>
      <c r="DN47" s="210">
        <f>COUNTIF(Tableau1[ven.27],"="&amp;"")</f>
        <v>30</v>
      </c>
      <c r="DO47" s="232">
        <f>AVERAGE(DJ47:DN47)</f>
        <v>30</v>
      </c>
      <c r="DP47" s="210">
        <f>COUNTIF(Tableau1[dim.29],"="&amp;"")</f>
        <v>39</v>
      </c>
      <c r="DQ47" s="210">
        <f>COUNTIF(Tableau1[lun.30],"="&amp;"")</f>
        <v>10</v>
      </c>
      <c r="DR47" s="210">
        <f>COUNTIF(Tableau1[mar.01],"="&amp;"")</f>
        <v>29</v>
      </c>
      <c r="DS47" s="210">
        <f>COUNTIF(Tableau1[mer.02],"="&amp;"")</f>
        <v>30</v>
      </c>
      <c r="DT47" s="210">
        <f>COUNTIF(Tableau1[jeu.03],"="&amp;"")</f>
        <v>30</v>
      </c>
      <c r="DU47" s="210">
        <f>COUNTIF(Tableau1[ven.04],"="&amp;"")</f>
        <v>30</v>
      </c>
      <c r="DV47" s="232">
        <f>AVERAGE(DQ47:DU47)</f>
        <v>25.8</v>
      </c>
      <c r="DW47" s="210">
        <f>COUNTIF(Tableau1[dim.06],"="&amp;"")</f>
        <v>39</v>
      </c>
      <c r="DX47" s="210">
        <f>COUNTIF(Tableau1[lun.07],"="&amp;"")</f>
        <v>31</v>
      </c>
      <c r="DY47" s="210">
        <f>COUNTIF(Tableau1[mar.08],"="&amp;"")</f>
        <v>31</v>
      </c>
      <c r="DZ47" s="210">
        <f>COUNTIF(Tableau1[mer.09],"="&amp;"")</f>
        <v>31</v>
      </c>
      <c r="EA47" s="210">
        <f>COUNTIF(Tableau1[jeu.10],"="&amp;"")</f>
        <v>10</v>
      </c>
      <c r="EB47" s="210">
        <f>COUNTIF(Tableau1[ven.11],"="&amp;"")</f>
        <v>31</v>
      </c>
      <c r="EC47" s="232">
        <f>AVERAGE(DX47:EB47)</f>
        <v>26.8</v>
      </c>
      <c r="ED47" s="210">
        <f>COUNTIF(Tableau1[dim.13],"="&amp;"")</f>
        <v>39</v>
      </c>
      <c r="EE47" s="210">
        <f>COUNTIF(Tableau1[lun.14],"="&amp;"")</f>
        <v>29</v>
      </c>
      <c r="EF47" s="210">
        <f>COUNTIF(Tableau1[mar.15],"="&amp;"")</f>
        <v>29</v>
      </c>
      <c r="EG47" s="210">
        <f>COUNTIF(Tableau1[mer.16],"="&amp;"")</f>
        <v>29</v>
      </c>
      <c r="EH47" s="210">
        <f>COUNTIF(Tableau1[jeu.17],"="&amp;"")</f>
        <v>29</v>
      </c>
      <c r="EI47" s="210">
        <f>COUNTIF(Tableau1[ven.18],"="&amp;"")</f>
        <v>29</v>
      </c>
      <c r="EJ47" s="232">
        <f>AVERAGE(EE47:EI47)</f>
        <v>29</v>
      </c>
      <c r="EK47" s="210">
        <f>COUNTIF(Tableau1[dim.20],"="&amp;"")</f>
        <v>39</v>
      </c>
      <c r="EL47" s="210">
        <f>COUNTIF(Tableau1[lun.21],"="&amp;"")</f>
        <v>31</v>
      </c>
      <c r="EM47" s="210">
        <f>COUNTIF(Tableau1[mar.22],"="&amp;"")</f>
        <v>31</v>
      </c>
      <c r="EN47" s="210">
        <f>COUNTIF(Tableau1[mer.23],"="&amp;"")</f>
        <v>32</v>
      </c>
      <c r="EO47" s="210">
        <f>COUNTIF(Tableau1[jeu.24],"="&amp;"")</f>
        <v>32</v>
      </c>
      <c r="EP47" s="210">
        <f>COUNTIF(Tableau1[ven.25],"="&amp;"")</f>
        <v>32</v>
      </c>
      <c r="EQ47" s="232">
        <f>AVERAGE(EL47:EP47)</f>
        <v>31.6</v>
      </c>
      <c r="ER47" s="210">
        <f>COUNTIF(Tableau1[dim.27],"="&amp;"")</f>
        <v>39</v>
      </c>
      <c r="ES47" s="210">
        <f>COUNTIF(Tableau1[lun.28],"="&amp;"")</f>
        <v>31</v>
      </c>
      <c r="ET47" s="210">
        <f>COUNTIF(Tableau1[mar.29],"="&amp;"")</f>
        <v>31</v>
      </c>
      <c r="EU47" s="210">
        <f>COUNTIF(Tableau1[mer.30],"="&amp;"")</f>
        <v>31</v>
      </c>
      <c r="EV47" s="210">
        <f>COUNTIF(Tableau1[jeu.31],"="&amp;"")</f>
        <v>31</v>
      </c>
      <c r="EW47" s="210">
        <f>COUNTIF(Tableau1[ven.01],"="&amp;"")</f>
        <v>31</v>
      </c>
      <c r="EX47" s="232">
        <f>AVERAGE(ES47:EW47)</f>
        <v>31</v>
      </c>
      <c r="EY47" s="210">
        <f>COUNTIF(Tableau1[dim.03],"="&amp;"")</f>
        <v>39</v>
      </c>
      <c r="EZ47" s="210">
        <f>COUNTIF(Tableau1[lun.04],"="&amp;"")</f>
        <v>29</v>
      </c>
      <c r="FA47" s="210">
        <f>COUNTIF(Tableau1[mar.05],"="&amp;"")</f>
        <v>29</v>
      </c>
      <c r="FB47" s="210">
        <f>COUNTIF(Tableau1[mer.06],"="&amp;"")</f>
        <v>29</v>
      </c>
      <c r="FC47" s="210">
        <f>COUNTIF(Tableau1[jeu.07],"="&amp;"")</f>
        <v>29</v>
      </c>
      <c r="FD47" s="210">
        <f>COUNTIF(Tableau1[ven.08],"="&amp;"")</f>
        <v>29</v>
      </c>
      <c r="FE47" s="232">
        <f>AVERAGE(EZ47:FD47)</f>
        <v>29</v>
      </c>
      <c r="FF47" s="210">
        <f>COUNTIF(Tableau1[dim.10],"="&amp;"")</f>
        <v>39</v>
      </c>
      <c r="FG47" s="210">
        <f>COUNTIF(Tableau1[lun.11],"="&amp;"")</f>
        <v>33</v>
      </c>
      <c r="FH47" s="210">
        <f>COUNTIF(Tableau1[mar.12],"="&amp;"")</f>
        <v>33</v>
      </c>
      <c r="FI47" s="210">
        <f>COUNTIF(Tableau1[mer.13],"="&amp;"")</f>
        <v>33</v>
      </c>
      <c r="FJ47" s="210">
        <f>COUNTIF(Tableau1[jeu.14],"="&amp;"")</f>
        <v>33</v>
      </c>
      <c r="FK47" s="210">
        <f>COUNTIF(Tableau1[ven.15],"="&amp;"")</f>
        <v>33</v>
      </c>
      <c r="FL47" s="232">
        <f>AVERAGE(FG47:FK47)</f>
        <v>33</v>
      </c>
      <c r="FM47" s="210">
        <f>COUNTIF(Tableau1[dim.17],"="&amp;"")</f>
        <v>39</v>
      </c>
      <c r="FN47" s="210">
        <f>COUNTIF(Tableau1[lun.18],"="&amp;"")</f>
        <v>9</v>
      </c>
      <c r="FO47" s="210">
        <f>COUNTIF(Tableau1[mar.19],"="&amp;"")</f>
        <v>30</v>
      </c>
      <c r="FP47" s="210">
        <f>COUNTIF(Tableau1[mer.20],"="&amp;"")</f>
        <v>30</v>
      </c>
      <c r="FQ47" s="210">
        <f>COUNTIF(Tableau1[jeu.21],"="&amp;"")</f>
        <v>30</v>
      </c>
      <c r="FR47" s="210">
        <f>COUNTIF(Tableau1[ven.22],"="&amp;"")</f>
        <v>30</v>
      </c>
      <c r="FS47" s="232">
        <f>AVERAGE(FN47:FR47)</f>
        <v>25.8</v>
      </c>
      <c r="FT47" s="210">
        <f>COUNTIF(Tableau1[dim.24],"="&amp;"")</f>
        <v>39</v>
      </c>
      <c r="FU47" s="210">
        <f>COUNTIF(Tableau1[lun.25],"="&amp;"")</f>
        <v>29</v>
      </c>
      <c r="FV47" s="210">
        <f>COUNTIF(Tableau1[mar.26],"="&amp;"")</f>
        <v>29</v>
      </c>
      <c r="FW47" s="210">
        <f>COUNTIF(Tableau1[mer.27],"="&amp;"")</f>
        <v>29</v>
      </c>
      <c r="FX47" s="210">
        <f>COUNTIF(Tableau1[jeu.28],"="&amp;"")</f>
        <v>29</v>
      </c>
      <c r="FY47" s="210">
        <f>COUNTIF(Tableau1[ven.29],"="&amp;"")</f>
        <v>29</v>
      </c>
      <c r="FZ47" s="232">
        <f>AVERAGE(FU47:FY47)</f>
        <v>29</v>
      </c>
      <c r="GA47" s="210">
        <f>COUNTIF(Tableau1[dim.012],"="&amp;"")</f>
        <v>39</v>
      </c>
      <c r="GB47" s="210">
        <f>COUNTIF(Tableau1[lun.023],"="&amp;"")</f>
        <v>29</v>
      </c>
      <c r="GC47" s="210">
        <f>COUNTIF(Tableau1[mar.034],"="&amp;"")</f>
        <v>29</v>
      </c>
      <c r="GD47" s="210">
        <f>COUNTIF(Tableau1[mer.045],"="&amp;"")</f>
        <v>29</v>
      </c>
      <c r="GE47" s="210">
        <f>COUNTIF(Tableau1[jeu.056],"="&amp;"")</f>
        <v>29</v>
      </c>
      <c r="GF47" s="210">
        <f>COUNTIF(Tableau1[ven.067],"="&amp;"")</f>
        <v>29</v>
      </c>
      <c r="GG47" s="232">
        <f>AVERAGE(GB47:GF47)</f>
        <v>29</v>
      </c>
      <c r="GH47" s="210">
        <f>COUNTIF(Tableau1[dim.089],"="&amp;"")</f>
        <v>39</v>
      </c>
      <c r="GI47" s="210">
        <f>COUNTIF(Tableau1[lun.0910],"="&amp;"")</f>
        <v>29</v>
      </c>
      <c r="GJ47" s="210">
        <f>COUNTIF(Tableau1[mar.1011],"="&amp;"")</f>
        <v>29</v>
      </c>
      <c r="GK47" s="210">
        <f>COUNTIF(Tableau1[mer.1112],"="&amp;"")</f>
        <v>29</v>
      </c>
      <c r="GL47" s="210">
        <f>COUNTIF(Tableau1[jeu.1213],"="&amp;"")</f>
        <v>29</v>
      </c>
      <c r="GM47" s="210">
        <f>COUNTIF(Tableau1[ven.1314],"="&amp;"")</f>
        <v>29</v>
      </c>
      <c r="GN47" s="232">
        <f>AVERAGE(GI47:GM47)</f>
        <v>29</v>
      </c>
      <c r="GO47" s="210">
        <f>COUNTIF(Tableau1[dim.1516],"="&amp;"")</f>
        <v>39</v>
      </c>
      <c r="GP47" s="210">
        <f>COUNTIF(Tableau1[lun.1617],"="&amp;"")</f>
        <v>28</v>
      </c>
      <c r="GQ47" s="210">
        <f>COUNTIF(Tableau1[mar.1718],"="&amp;"")</f>
        <v>28</v>
      </c>
      <c r="GR47" s="210">
        <f>COUNTIF(Tableau1[mer.1819],"="&amp;"")</f>
        <v>28</v>
      </c>
      <c r="GS47" s="210">
        <f>COUNTIF(Tableau1[jeu.1920],"="&amp;"")</f>
        <v>28</v>
      </c>
      <c r="GT47" s="210">
        <f>COUNTIF(Tableau1[ven.2021],"="&amp;"")</f>
        <v>28</v>
      </c>
      <c r="GU47" s="232">
        <f>AVERAGE(GP47:GT47)</f>
        <v>28</v>
      </c>
      <c r="GV47" s="210">
        <f>COUNTIF(Tableau1[dim.2223],"="&amp;"")</f>
        <v>39</v>
      </c>
      <c r="GW47" s="210">
        <f>COUNTIF(Tableau1[lun.2324],"="&amp;"")</f>
        <v>0</v>
      </c>
      <c r="GX47" s="210">
        <f>COUNTIF(Tableau1[mar.2425],"="&amp;"")</f>
        <v>30</v>
      </c>
      <c r="GY47" s="210">
        <f>COUNTIF(Tableau1[mer.2526],"="&amp;"")</f>
        <v>30</v>
      </c>
      <c r="GZ47" s="210">
        <f>COUNTIF(Tableau1[jeu.2627],"="&amp;"")</f>
        <v>30</v>
      </c>
      <c r="HA47" s="210">
        <f>COUNTIF(Tableau1[ven.2728],"="&amp;"")</f>
        <v>30</v>
      </c>
      <c r="HB47" s="232">
        <f>AVERAGE(GW47:HA47)</f>
        <v>24</v>
      </c>
      <c r="HC47" s="210">
        <f>COUNTIF(Tableau1[dim.2930],"="&amp;"")</f>
        <v>39</v>
      </c>
      <c r="HD47" s="210">
        <f>COUNTIF(Tableau1[lun.014],"="&amp;"")</f>
        <v>29</v>
      </c>
      <c r="HE47" s="210">
        <f>COUNTIF(Tableau1[mar.025],"="&amp;"")</f>
        <v>29</v>
      </c>
      <c r="HF47" s="210">
        <f>COUNTIF(Tableau1[mer.036],"="&amp;"")</f>
        <v>29</v>
      </c>
      <c r="HG47" s="210">
        <f>COUNTIF(Tableau1[jeu.047],"="&amp;"")</f>
        <v>29</v>
      </c>
      <c r="HH47" s="210">
        <f>COUNTIF(Tableau1[ven.058],"="&amp;"")</f>
        <v>29</v>
      </c>
      <c r="HI47" s="232">
        <f>AVERAGE(HD47:HH47)</f>
        <v>29</v>
      </c>
      <c r="HJ47" s="210">
        <f>COUNTIF(Tableau1[dim.0710],"="&amp;"")</f>
        <v>39</v>
      </c>
      <c r="HK47" s="210">
        <f>COUNTIF(Tableau1[lun.0811],"="&amp;"")</f>
        <v>23</v>
      </c>
      <c r="HL47" s="210">
        <f>COUNTIF(Tableau1[mar.0912],"="&amp;"")</f>
        <v>23</v>
      </c>
      <c r="HM47" s="210">
        <f>COUNTIF(Tableau1[mer.1013],"="&amp;"")</f>
        <v>23</v>
      </c>
      <c r="HN47" s="210">
        <f>COUNTIF(Tableau1[jeu.1114],"="&amp;"")</f>
        <v>23</v>
      </c>
      <c r="HO47" s="210">
        <f>COUNTIF(Tableau1[ven.1215],"="&amp;"")</f>
        <v>23</v>
      </c>
      <c r="HP47" s="232">
        <f>AVERAGE(HK47:HO47)</f>
        <v>23</v>
      </c>
      <c r="HQ47" s="210">
        <f>COUNTIF(Tableau1[dim.1417],"="&amp;"")</f>
        <v>39</v>
      </c>
      <c r="HR47" s="210">
        <f>COUNTIF(Tableau1[lun.1518],"="&amp;"")</f>
        <v>23</v>
      </c>
      <c r="HS47" s="210">
        <f>COUNTIF(Tableau1[mar.1619],"="&amp;"")</f>
        <v>23</v>
      </c>
      <c r="HT47" s="210">
        <f>COUNTIF(Tableau1[mer.1720],"="&amp;"")</f>
        <v>23</v>
      </c>
      <c r="HU47" s="210">
        <f>COUNTIF(Tableau1[jeu.1821],"="&amp;"")</f>
        <v>23</v>
      </c>
      <c r="HV47" s="210">
        <f>COUNTIF(Tableau1[ven.1922],"="&amp;"")</f>
        <v>23</v>
      </c>
      <c r="HW47" s="232">
        <f>AVERAGE(HR47:HV47)</f>
        <v>23</v>
      </c>
      <c r="HX47" s="210">
        <f>COUNTIF(Tableau1[dim.2124],"="&amp;"")</f>
        <v>39</v>
      </c>
      <c r="HY47" s="210">
        <f>COUNTIF(Tableau1[lun.2225],"="&amp;"")</f>
        <v>25</v>
      </c>
      <c r="HZ47" s="210">
        <f>COUNTIF(Tableau1[mar.2326],"="&amp;"")</f>
        <v>25</v>
      </c>
      <c r="IA47" s="210">
        <f>COUNTIF(Tableau1[mer.2427],"="&amp;"")</f>
        <v>25</v>
      </c>
      <c r="IB47" s="210">
        <f>COUNTIF(Tableau1[jeu.2528],"="&amp;"")</f>
        <v>25</v>
      </c>
      <c r="IC47" s="210">
        <f>COUNTIF(Tableau1[ven.2629],"="&amp;"")</f>
        <v>25</v>
      </c>
      <c r="ID47" s="232">
        <f>AVERAGE(HY47:IC47)</f>
        <v>25</v>
      </c>
      <c r="IE47" s="210">
        <f>COUNTIF(Tableau1[dim.2831],"="&amp;"")</f>
        <v>39</v>
      </c>
      <c r="IF47" s="210">
        <f>COUNTIF(Tableau1[lun.2932],"="&amp;"")</f>
        <v>31</v>
      </c>
      <c r="IG47" s="210">
        <f>COUNTIF(Tableau1[mar.3033],"="&amp;"")</f>
        <v>31</v>
      </c>
      <c r="IH47" s="210">
        <f>COUNTIF(Tableau1[mer.3134],"="&amp;"")</f>
        <v>31</v>
      </c>
      <c r="II47" s="210">
        <f>COUNTIF(Tableau1[jeu.0135],"="&amp;"")</f>
        <v>31</v>
      </c>
      <c r="IJ47" s="210">
        <f>COUNTIF(Tableau1[ven.0236],"="&amp;"")</f>
        <v>31</v>
      </c>
      <c r="IK47" s="232">
        <f>AVERAGE(IF47:IJ47)</f>
        <v>31</v>
      </c>
      <c r="IL47" s="210">
        <f>COUNTIF(Tableau1[dim.0438],"="&amp;"")</f>
        <v>39</v>
      </c>
      <c r="IM47" s="210">
        <f>COUNTIF(Tableau1[lun.0539],"="&amp;"")</f>
        <v>31</v>
      </c>
      <c r="IN47" s="210">
        <f>COUNTIF(Tableau1[mar.0640],"="&amp;"")</f>
        <v>31</v>
      </c>
      <c r="IO47" s="210">
        <f>COUNTIF(Tableau1[mer.0741],"="&amp;"")</f>
        <v>31</v>
      </c>
      <c r="IP47" s="210">
        <f>COUNTIF(Tableau1[jeu.0842],"="&amp;"")</f>
        <v>31</v>
      </c>
      <c r="IQ47" s="210">
        <f>COUNTIF(Tableau1[ven.0943],"="&amp;"")</f>
        <v>31</v>
      </c>
      <c r="IR47" s="232">
        <f>AVERAGE(IM47:IQ47)</f>
        <v>31</v>
      </c>
      <c r="IS47" s="210">
        <f>COUNTIF(Tableau1[dim.1145],"="&amp;"")</f>
        <v>39</v>
      </c>
      <c r="IT47" s="210">
        <f>COUNTIF(Tableau1[lun.1246],"="&amp;"")</f>
        <v>31</v>
      </c>
      <c r="IU47" s="210">
        <f>COUNTIF(Tableau1[mar.1347],"="&amp;"")</f>
        <v>31</v>
      </c>
      <c r="IV47" s="210">
        <f>COUNTIF(Tableau1[mer.1448],"="&amp;"")</f>
        <v>32</v>
      </c>
      <c r="IW47" s="210">
        <f>COUNTIF(Tableau1[jeu.1549],"="&amp;"")</f>
        <v>32</v>
      </c>
      <c r="IX47" s="210">
        <f>COUNTIF(Tableau1[ven.1650],"="&amp;"")</f>
        <v>32</v>
      </c>
      <c r="IY47" s="232">
        <f>AVERAGE(IT47:IX47)</f>
        <v>31.6</v>
      </c>
      <c r="IZ47" s="210">
        <f>COUNTIF(Tableau1[dim.1852],"="&amp;"")</f>
        <v>39</v>
      </c>
      <c r="JA47" s="210">
        <f>COUNTIF(Tableau1[lun.1953],"="&amp;"")</f>
        <v>32</v>
      </c>
      <c r="JB47" s="210">
        <f>COUNTIF(Tableau1[mar.2054],"="&amp;"")</f>
        <v>32</v>
      </c>
      <c r="JC47" s="210">
        <f>COUNTIF(Tableau1[mer.2155],"="&amp;"")</f>
        <v>32</v>
      </c>
      <c r="JD47" s="210">
        <f>COUNTIF(Tableau1[jeu.2256],"="&amp;"")</f>
        <v>32</v>
      </c>
      <c r="JE47" s="210">
        <f>COUNTIF(Tableau1[ven.2357],"="&amp;"")</f>
        <v>32</v>
      </c>
      <c r="JF47" s="232">
        <f>AVERAGE(JA47:JE47)</f>
        <v>32</v>
      </c>
      <c r="JG47" s="210">
        <f>COUNTIF(Tableau1[dim.2559],"="&amp;"")</f>
        <v>39</v>
      </c>
      <c r="JH47" s="210">
        <f>COUNTIF(Tableau1[lun.2660],"="&amp;"")</f>
        <v>39</v>
      </c>
      <c r="JI47" s="210">
        <f>COUNTIF(Tableau1[mar.2761],"="&amp;"")</f>
        <v>39</v>
      </c>
      <c r="JJ47" s="210">
        <f>COUNTIF(Tableau1[mer.2862],"="&amp;"")</f>
        <v>39</v>
      </c>
      <c r="JK47" s="210">
        <f>COUNTIF(Tableau1[jeu.2963],"="&amp;"")</f>
        <v>39</v>
      </c>
      <c r="JL47" s="210">
        <f>COUNTIF(Tableau1[ven.3064],"="&amp;"")</f>
        <v>39</v>
      </c>
      <c r="JM47" s="232">
        <f>AVERAGE(JH47:JL47)</f>
        <v>39</v>
      </c>
      <c r="JN47" s="210">
        <f>COUNTIF(Tableau1[dim.0166],"="&amp;"")</f>
        <v>39</v>
      </c>
      <c r="JO47" s="210">
        <f>COUNTIF(Tableau1[lun.0267],"="&amp;"")</f>
        <v>39</v>
      </c>
      <c r="JP47" s="210">
        <f>COUNTIF(Tableau1[mar.0368],"="&amp;"")</f>
        <v>39</v>
      </c>
      <c r="JQ47" s="210">
        <f>COUNTIF(Tableau1[mer.0469],"="&amp;"")</f>
        <v>39</v>
      </c>
      <c r="JR47" s="210">
        <f>COUNTIF(Tableau1[jeu.0570],"="&amp;"")</f>
        <v>39</v>
      </c>
      <c r="JS47" s="210">
        <f>COUNTIF(Tableau1[ven.0671],"="&amp;"")</f>
        <v>39</v>
      </c>
      <c r="JT47" s="232">
        <f>AVERAGE(JO47:JS47)</f>
        <v>39</v>
      </c>
      <c r="JU47" s="210">
        <f>COUNTIF(Tableau1[dim.0873],"="&amp;"")</f>
        <v>39</v>
      </c>
      <c r="JV47" s="210">
        <f>COUNTIF(Tableau1[lun.0974],"="&amp;"")</f>
        <v>39</v>
      </c>
      <c r="JW47" s="210">
        <f>COUNTIF(Tableau1[mar.1075],"="&amp;"")</f>
        <v>39</v>
      </c>
      <c r="JX47" s="210">
        <f>COUNTIF(Tableau1[mer.1176],"="&amp;"")</f>
        <v>39</v>
      </c>
      <c r="JY47" s="210">
        <f>COUNTIF(Tableau1[jeu.1277],"="&amp;"")</f>
        <v>39</v>
      </c>
      <c r="JZ47" s="210">
        <f>COUNTIF(Tableau1[ven.1378],"="&amp;"")</f>
        <v>39</v>
      </c>
      <c r="KA47" s="232">
        <f>AVERAGE(JV47:JZ47)</f>
        <v>39</v>
      </c>
      <c r="KB47" s="210">
        <f>COUNTIF(Tableau1[dim.1580],"="&amp;"")</f>
        <v>39</v>
      </c>
      <c r="KC47" s="210">
        <f>COUNTIF(Tableau1[lun.1681],"="&amp;"")</f>
        <v>39</v>
      </c>
      <c r="KD47" s="210">
        <f>COUNTIF(Tableau1[mar.1782],"="&amp;"")</f>
        <v>39</v>
      </c>
      <c r="KE47" s="210">
        <f>COUNTIF(Tableau1[mer.1883],"="&amp;"")</f>
        <v>39</v>
      </c>
      <c r="KF47" s="210">
        <f>COUNTIF(Tableau1[jeu.1984],"="&amp;"")</f>
        <v>39</v>
      </c>
      <c r="KG47" s="210">
        <f>COUNTIF(Tableau1[ven.2085],"="&amp;"")</f>
        <v>39</v>
      </c>
      <c r="KH47" s="232">
        <f>AVERAGE(KC47:KG47)</f>
        <v>39</v>
      </c>
      <c r="KI47" s="210">
        <f>COUNTIF(Tableau1[dim.2287],"="&amp;"")</f>
        <v>39</v>
      </c>
      <c r="KJ47" s="210">
        <f>COUNTIF(Tableau1[lun.2388],"="&amp;"")</f>
        <v>39</v>
      </c>
      <c r="KK47" s="210">
        <f>COUNTIF(Tableau1[mar.2489],"="&amp;"")</f>
        <v>39</v>
      </c>
      <c r="KL47" s="210">
        <f>COUNTIF(Tableau1[mer.2590],"="&amp;"")</f>
        <v>39</v>
      </c>
      <c r="KM47" s="210">
        <f>COUNTIF(Tableau1[jeu.2691],"="&amp;"")</f>
        <v>39</v>
      </c>
      <c r="KN47" s="210">
        <f>COUNTIF(Tableau1[ven.2792],"="&amp;"")</f>
        <v>39</v>
      </c>
      <c r="KO47" s="232">
        <f>AVERAGE(KJ47:KN47)</f>
        <v>39</v>
      </c>
      <c r="KP47" s="210">
        <f>COUNTIF(Tableau1[dim.2994],"="&amp;"")</f>
        <v>39</v>
      </c>
      <c r="KQ47" s="210">
        <f>COUNTIF(Tableau1[lun.3095],"="&amp;"")</f>
        <v>39</v>
      </c>
      <c r="KR47" s="210">
        <f>COUNTIF(Tableau1[mar.0196],"="&amp;"")</f>
        <v>39</v>
      </c>
      <c r="KS47" s="210">
        <f>COUNTIF(Tableau1[mer.0297],"="&amp;"")</f>
        <v>39</v>
      </c>
      <c r="KT47" s="210">
        <f>COUNTIF(Tableau1[jeu.0398],"="&amp;"")</f>
        <v>39</v>
      </c>
      <c r="KU47" s="210">
        <f>COUNTIF(Tableau1[ven.0499],"="&amp;"")</f>
        <v>39</v>
      </c>
      <c r="KV47" s="232">
        <f>AVERAGE(KQ47:KU47)</f>
        <v>39</v>
      </c>
      <c r="KW47" s="210">
        <f>COUNTIF(Tableau1[dim.06101],"="&amp;"")</f>
        <v>39</v>
      </c>
      <c r="KX47" s="210">
        <f>COUNTIF(Tableau1[lun.07102],"="&amp;"")</f>
        <v>39</v>
      </c>
      <c r="KY47" s="210">
        <f>COUNTIF(Tableau1[mar.08103],"="&amp;"")</f>
        <v>39</v>
      </c>
      <c r="KZ47" s="210">
        <f>COUNTIF(Tableau1[mer.09104],"="&amp;"")</f>
        <v>39</v>
      </c>
      <c r="LA47" s="210">
        <f>COUNTIF(Tableau1[jeu.10105],"="&amp;"")</f>
        <v>39</v>
      </c>
      <c r="LB47" s="210">
        <f>COUNTIF(Tableau1[ven.11106],"="&amp;"")</f>
        <v>39</v>
      </c>
      <c r="LC47" s="232">
        <f>AVERAGE(KX47:LB47)</f>
        <v>39</v>
      </c>
      <c r="LD47" s="210">
        <f>COUNTIF(Tableau1[dim.13108],"="&amp;"")</f>
        <v>39</v>
      </c>
      <c r="LE47" s="210">
        <f>COUNTIF(Tableau1[lun.14109],"="&amp;"")</f>
        <v>39</v>
      </c>
      <c r="LF47" s="210">
        <f>COUNTIF(Tableau1[mar.15110],"="&amp;"")</f>
        <v>39</v>
      </c>
      <c r="LG47" s="210">
        <f>COUNTIF(Tableau1[mer.16111],"="&amp;"")</f>
        <v>39</v>
      </c>
      <c r="LH47" s="210">
        <f>COUNTIF(Tableau1[jeu.17112],"="&amp;"")</f>
        <v>39</v>
      </c>
      <c r="LI47" s="210">
        <f>COUNTIF(Tableau1[ven.18113],"="&amp;"")</f>
        <v>39</v>
      </c>
      <c r="LJ47" s="232">
        <f>AVERAGE(LE47:LI47)</f>
        <v>39</v>
      </c>
      <c r="LK47" s="210">
        <f>COUNTIF(Tableau1[dim.20115],"="&amp;"")</f>
        <v>39</v>
      </c>
      <c r="LL47" s="210">
        <f>COUNTIF(Tableau1[lun.21116],"="&amp;"")</f>
        <v>39</v>
      </c>
      <c r="LM47" s="210">
        <f>COUNTIF(Tableau1[mar.22117],"="&amp;"")</f>
        <v>39</v>
      </c>
      <c r="LN47" s="210">
        <f>COUNTIF(Tableau1[mer.23118],"="&amp;"")</f>
        <v>39</v>
      </c>
      <c r="LO47" s="210">
        <f>COUNTIF(Tableau1[jeu.24119],"="&amp;"")</f>
        <v>39</v>
      </c>
      <c r="LP47" s="210">
        <f>COUNTIF(Tableau1[ven.25120],"="&amp;"")</f>
        <v>39</v>
      </c>
      <c r="LQ47" s="232">
        <f>AVERAGE(LL47:LP47)</f>
        <v>39</v>
      </c>
      <c r="LR47" s="210">
        <f>COUNTIF(Tableau1[dim.27122],"="&amp;"")</f>
        <v>39</v>
      </c>
      <c r="LS47" s="210">
        <f>COUNTIF(Tableau1[lun.28123],"="&amp;"")</f>
        <v>39</v>
      </c>
      <c r="LT47" s="210">
        <f>COUNTIF(Tableau1[mar.29124],"="&amp;"")</f>
        <v>39</v>
      </c>
      <c r="LU47" s="210">
        <f>COUNTIF(Tableau1[mer.30125],"="&amp;"")</f>
        <v>39</v>
      </c>
      <c r="LV47" s="210">
        <f>COUNTIF(Tableau1[jeu.31126],"="&amp;"")</f>
        <v>39</v>
      </c>
      <c r="LW47" s="210">
        <f>COUNTIF(Tableau1[ven.01127],"="&amp;"")</f>
        <v>39</v>
      </c>
      <c r="LX47" s="232">
        <f>AVERAGE(LS47:LW47)</f>
        <v>39</v>
      </c>
      <c r="LY47" s="210">
        <f>COUNTIF(Tableau1[dim.03129],"="&amp;"")</f>
        <v>39</v>
      </c>
      <c r="LZ47" s="210">
        <f>COUNTIF(Tableau1[lun.04130],"="&amp;"")</f>
        <v>39</v>
      </c>
      <c r="MA47" s="210">
        <f>COUNTIF(Tableau1[mar.05131],"="&amp;"")</f>
        <v>39</v>
      </c>
      <c r="MB47" s="210">
        <f>COUNTIF(Tableau1[mer.06132],"="&amp;"")</f>
        <v>39</v>
      </c>
      <c r="MC47" s="210">
        <f>COUNTIF(Tableau1[jeu.07133],"="&amp;"")</f>
        <v>39</v>
      </c>
      <c r="MD47" s="210">
        <f>COUNTIF(Tableau1[ven.08134],"="&amp;"")</f>
        <v>39</v>
      </c>
      <c r="ME47" s="232">
        <f>AVERAGE(LZ47:MD47)</f>
        <v>39</v>
      </c>
      <c r="MF47" s="210">
        <f>COUNTIF(Tableau1[dim.10136],"="&amp;"")</f>
        <v>39</v>
      </c>
      <c r="MG47" s="210">
        <f>COUNTIF(Tableau1[lun.11137],"="&amp;"")</f>
        <v>39</v>
      </c>
      <c r="MH47" s="210">
        <f>COUNTIF(Tableau1[mar.12138],"="&amp;"")</f>
        <v>39</v>
      </c>
      <c r="MI47" s="210">
        <f>COUNTIF(Tableau1[mer.13139],"="&amp;"")</f>
        <v>39</v>
      </c>
      <c r="MJ47" s="210">
        <f>COUNTIF(Tableau1[jeu.14140],"="&amp;"")</f>
        <v>39</v>
      </c>
      <c r="MK47" s="210">
        <f>COUNTIF(Tableau1[ven.15141],"="&amp;"")</f>
        <v>39</v>
      </c>
      <c r="ML47" s="232">
        <f>AVERAGE(MG47:MK47)</f>
        <v>39</v>
      </c>
      <c r="MM47" s="210">
        <f>COUNTIF(Tableau1[dim.17143],"="&amp;"")</f>
        <v>39</v>
      </c>
      <c r="MN47" s="210">
        <f>COUNTIF(Tableau1[lun.18144],"="&amp;"")</f>
        <v>39</v>
      </c>
      <c r="MO47" s="210">
        <f>COUNTIF(Tableau1[mar.19145],"="&amp;"")</f>
        <v>39</v>
      </c>
      <c r="MP47" s="210">
        <f>COUNTIF(Tableau1[mer.20146],"="&amp;"")</f>
        <v>39</v>
      </c>
      <c r="MQ47" s="210">
        <f>COUNTIF(Tableau1[jeu.21147],"="&amp;"")</f>
        <v>39</v>
      </c>
      <c r="MR47" s="210">
        <f>COUNTIF(Tableau1[ven.22148],"="&amp;"")</f>
        <v>39</v>
      </c>
      <c r="MS47" s="232">
        <f>AVERAGE(MN47:MR47)</f>
        <v>39</v>
      </c>
      <c r="MT47" s="210">
        <f>COUNTIF(Tableau1[dim.24150],"="&amp;"")</f>
        <v>39</v>
      </c>
      <c r="MU47" s="210">
        <f>COUNTIF(Tableau1[lun.25151],"="&amp;"")</f>
        <v>39</v>
      </c>
      <c r="MV47" s="210">
        <f>COUNTIF(Tableau1[mar.26152],"="&amp;"")</f>
        <v>39</v>
      </c>
      <c r="MW47" s="210">
        <f>COUNTIF(Tableau1[mer.27153],"="&amp;"")</f>
        <v>39</v>
      </c>
      <c r="MX47" s="210">
        <f>COUNTIF(Tableau1[jeu.28154],"="&amp;"")</f>
        <v>39</v>
      </c>
      <c r="MY47" s="210">
        <f>COUNTIF(Tableau1[ven.29155],"="&amp;"")</f>
        <v>39</v>
      </c>
      <c r="MZ47" s="232">
        <f>AVERAGE(MU47:MY47)</f>
        <v>39</v>
      </c>
      <c r="NA47" s="210">
        <f>COUNTIF(Tableau1[dim.012157],"="&amp;"")</f>
        <v>39</v>
      </c>
      <c r="NB47" s="210">
        <f>COUNTIF(Tableau1[lun.023158],"="&amp;"")</f>
        <v>39</v>
      </c>
      <c r="NC47" s="210">
        <f>COUNTIF(Tableau1[mar.034159],"="&amp;"")</f>
        <v>39</v>
      </c>
      <c r="ND47" s="210">
        <f>COUNTIF(Tableau1[mer.045160],"="&amp;"")</f>
        <v>39</v>
      </c>
      <c r="NE47" s="210">
        <f>COUNTIF(Tableau1[jeu.056161],"="&amp;"")</f>
        <v>39</v>
      </c>
      <c r="NF47" s="210">
        <f>COUNTIF(Tableau1[ven.067162],"="&amp;"")</f>
        <v>39</v>
      </c>
      <c r="NG47" s="232">
        <f>AVERAGE(NB47:NF47)</f>
        <v>39</v>
      </c>
      <c r="NH47" s="210">
        <f>COUNTIF(Tableau1[dim.089164],"="&amp;"")</f>
        <v>39</v>
      </c>
      <c r="NI47" s="210">
        <f>COUNTIF(Tableau1[lun.0910165],"="&amp;"")</f>
        <v>39</v>
      </c>
      <c r="NJ47" s="210">
        <f>COUNTIF(Tableau1[mar.1011166],"="&amp;"")</f>
        <v>39</v>
      </c>
      <c r="NK47" s="210">
        <f>COUNTIF(Tableau1[mer.1112167],"="&amp;"")</f>
        <v>39</v>
      </c>
      <c r="NL47" s="210">
        <f>COUNTIF(Tableau1[jeu.1213168],"="&amp;"")</f>
        <v>39</v>
      </c>
      <c r="NM47" s="210">
        <f>COUNTIF(Tableau1[ven.1314169],"="&amp;"")</f>
        <v>39</v>
      </c>
      <c r="NN47" s="232">
        <f>AVERAGE(NI47:NM47)</f>
        <v>39</v>
      </c>
      <c r="NO47" s="210">
        <f>COUNTIF(Tableau1[dim.1516171],"="&amp;"")</f>
        <v>39</v>
      </c>
    </row>
    <row r="48" spans="4:379" x14ac:dyDescent="0.3">
      <c r="H48" s="290" t="s">
        <v>695</v>
      </c>
      <c r="I48" s="216">
        <f>COUNTIF(Tableau1[lun.30.12],"="&amp;"ECH")+COUNTIF(Tableau1[lun.30.12],"="&amp;"PTRI")</f>
        <v>0</v>
      </c>
      <c r="J48" s="291">
        <f>COUNTIF(Tableau1[mar.11],"="&amp;"ECH")+COUNTIF(Tableau1[mar.11],"="&amp;"PTRI")</f>
        <v>0</v>
      </c>
      <c r="K48" s="291">
        <f>COUNTIF(Tableau1[mer.12],"="&amp;"ECH")+COUNTIF(Tableau1[mer.12],"="&amp;"PTRI")</f>
        <v>0</v>
      </c>
      <c r="L48" s="291">
        <f>COUNTIF(Tableau1[jeu.13],"="&amp;"ECH")+COUNTIF(Tableau1[jeu.13],"="&amp;"PTRI")</f>
        <v>0</v>
      </c>
      <c r="M48" s="291">
        <f>COUNTIF(Tableau1[ven.14],"="&amp;"ECH")+COUNTIF(Tableau1[ven.14],"="&amp;"PTRI")</f>
        <v>0</v>
      </c>
      <c r="N48" s="232">
        <f>AVERAGE(I48:M48)</f>
        <v>0</v>
      </c>
      <c r="O48" s="291">
        <f>COUNTIF(Tableau1[dim.16],"="&amp;"ECH")+COUNTIF(Tableau1[dim.16],"="&amp;"PTRI")</f>
        <v>0</v>
      </c>
      <c r="P48" s="291">
        <f>COUNTIF(Tableau1[lun.17],"="&amp;"ECH")+COUNTIF(Tableau1[lun.17],"="&amp;"PTRI")</f>
        <v>0</v>
      </c>
      <c r="Q48" s="291">
        <f>COUNTIF(Tableau1[mar.18],"="&amp;"ECH")+COUNTIF(Tableau1[mar.18],"="&amp;"PTRI")</f>
        <v>0</v>
      </c>
      <c r="R48" s="291">
        <f>COUNTIF(Tableau1[mer.19],"="&amp;"ECH")+COUNTIF(Tableau1[mer.19],"="&amp;"PTRI")</f>
        <v>0</v>
      </c>
      <c r="S48" s="291">
        <f>COUNTIF(Tableau1[jeu.20],"="&amp;"ECH")+COUNTIF(Tableau1[jeu.20],"="&amp;"PTRI")</f>
        <v>0</v>
      </c>
      <c r="T48" s="291">
        <f>COUNTIF(Tableau1[ven.21],"="&amp;"ECH")+COUNTIF(Tableau1[ven.21],"="&amp;"PTRI")</f>
        <v>0</v>
      </c>
      <c r="U48" s="232">
        <f>AVERAGE(P48:T48)</f>
        <v>0</v>
      </c>
      <c r="V48" s="291">
        <f>COUNTIF(Tableau1[dim.23],"="&amp;"ECH")+COUNTIF(Tableau1[dim.23],"="&amp;"PTRI")</f>
        <v>0</v>
      </c>
      <c r="W48" s="291">
        <f>COUNTIF(Tableau1[lun.24],"="&amp;"ECH")+COUNTIF(Tableau1[lun.24],"="&amp;"PTRI")</f>
        <v>0</v>
      </c>
      <c r="X48" s="291">
        <f>COUNTIF(Tableau1[mar.25],"="&amp;"ECH")+COUNTIF(Tableau1[mar.25],"="&amp;"PTRI")</f>
        <v>0</v>
      </c>
      <c r="Y48" s="291">
        <f>COUNTIF(Tableau1[mer.26],"="&amp;"ECH")+COUNTIF(Tableau1[mer.26],"="&amp;"PTRI")</f>
        <v>0</v>
      </c>
      <c r="Z48" s="291">
        <f>COUNTIF(Tableau1[jeu.27],"="&amp;"ECH")+COUNTIF(Tableau1[jeu.27],"="&amp;"PTRI")</f>
        <v>0</v>
      </c>
      <c r="AA48" s="291">
        <f>COUNTIF(Tableau1[ven.28],"="&amp;"ECH")+COUNTIF(Tableau1[ven.28],"="&amp;"PTRI")</f>
        <v>0</v>
      </c>
      <c r="AB48" s="232">
        <f>AVERAGE(W48:AA48)</f>
        <v>0</v>
      </c>
      <c r="AC48" s="291">
        <f>COUNTIF(Tableau1[dim.30],"="&amp;"ECH")+COUNTIF(Tableau1[dim.30],"="&amp;"PTRI")</f>
        <v>0</v>
      </c>
      <c r="AD48" s="291">
        <f>COUNTIF(Tableau1[lun.01],"="&amp;"ECH")+COUNTIF(Tableau1[lun.01],"="&amp;"PTRI")</f>
        <v>0</v>
      </c>
      <c r="AE48" s="291">
        <f>COUNTIF(Tableau1[mar.02],"="&amp;"ECH")+COUNTIF(Tableau1[mar.02],"="&amp;"PTRI")</f>
        <v>0</v>
      </c>
      <c r="AF48" s="291">
        <f>COUNTIF(Tableau1[mer.03],"="&amp;"ECH")+COUNTIF(Tableau1[mer.03],"="&amp;"PTRI")</f>
        <v>0</v>
      </c>
      <c r="AG48" s="291">
        <f>COUNTIF(Tableau1[jeu.04],"="&amp;"ECH")+COUNTIF(Tableau1[jeu.04],"="&amp;"PTRI")</f>
        <v>0</v>
      </c>
      <c r="AH48" s="291">
        <f>COUNTIF(Tableau1[ven.05],"="&amp;"ECH")+COUNTIF(Tableau1[ven.05],"="&amp;"PTRI")</f>
        <v>0</v>
      </c>
      <c r="AI48" s="232">
        <f>AVERAGE(AD48:AH48)</f>
        <v>0</v>
      </c>
      <c r="AJ48" s="291">
        <f>COUNTIF(Tableau1[dim.07],"="&amp;"ECH")+COUNTIF(Tableau1[dim.07],"="&amp;"PTRI")</f>
        <v>0</v>
      </c>
      <c r="AK48" s="291">
        <f>COUNTIF(Tableau1[lun.08],"="&amp;"ECH")+COUNTIF(Tableau1[lun.08],"="&amp;"PTRI")</f>
        <v>0</v>
      </c>
      <c r="AL48" s="291">
        <f>COUNTIF(Tableau1[mar.09],"="&amp;"ECH")+COUNTIF(Tableau1[mar.09],"="&amp;"PTRI")</f>
        <v>0</v>
      </c>
      <c r="AM48" s="291">
        <f>COUNTIF(Tableau1[mer.10],"="&amp;"ECH")+COUNTIF(Tableau1[mer.10],"="&amp;"PTRI")</f>
        <v>0</v>
      </c>
      <c r="AN48" s="291">
        <f>COUNTIF(Tableau1[jeu.11],"="&amp;"ECH")+COUNTIF(Tableau1[jeu.11],"="&amp;"PTRI")</f>
        <v>0</v>
      </c>
      <c r="AO48" s="291">
        <f>COUNTIF(Tableau1[ven.12],"="&amp;"ECH")+COUNTIF(Tableau1[ven.12],"="&amp;"PTRI")</f>
        <v>0</v>
      </c>
      <c r="AP48" s="232">
        <f>AVERAGE(AK48:AO48)</f>
        <v>0</v>
      </c>
      <c r="AQ48" s="291">
        <f>COUNTIF(Tableau1[dim.14],"="&amp;"ECH")+COUNTIF(Tableau1[dim.14],"="&amp;"PTRI")</f>
        <v>0</v>
      </c>
      <c r="AR48" s="291">
        <f>COUNTIF(Tableau1[lun.15],"="&amp;"ECH")+COUNTIF(Tableau1[lun.15],"="&amp;"PTRI")</f>
        <v>0</v>
      </c>
      <c r="AS48" s="291">
        <f>COUNTIF(Tableau1[mar.16],"="&amp;"ECH")+COUNTIF(Tableau1[mar.16],"="&amp;"PTRI")</f>
        <v>0</v>
      </c>
      <c r="AT48" s="291">
        <f>COUNTIF(Tableau1[mer.17],"="&amp;"ECH")+COUNTIF(Tableau1[mer.17],"="&amp;"PTRI")</f>
        <v>0</v>
      </c>
      <c r="AU48" s="291">
        <f>COUNTIF(Tableau1[jeu.18],"="&amp;"ECH")+COUNTIF(Tableau1[jeu.18],"="&amp;"PTRI")</f>
        <v>0</v>
      </c>
      <c r="AV48" s="291">
        <f>COUNTIF(Tableau1[ven.19],"="&amp;"ECH")+COUNTIF(Tableau1[ven.19],"="&amp;"PTRI")</f>
        <v>0</v>
      </c>
      <c r="AW48" s="232">
        <f>AVERAGE(AR48:AV48)</f>
        <v>0</v>
      </c>
      <c r="AX48" s="291">
        <f>COUNTIF(Tableau1[dim.21],"="&amp;"ECH")+COUNTIF(Tableau1[dim.21],"="&amp;"PTRI")</f>
        <v>0</v>
      </c>
      <c r="AY48" s="291">
        <f>COUNTIF(Tableau1[lun.10],"="&amp;"ECH")+COUNTIF(Tableau1[lun.10],"="&amp;"PTRI")</f>
        <v>0</v>
      </c>
      <c r="AZ48" s="291">
        <f>COUNTIF(Tableau1[mars.11],"="&amp;"ECH")+COUNTIF(Tableau1[mars.11],"="&amp;"PTRI")</f>
        <v>0</v>
      </c>
      <c r="BA48" s="291">
        <f>COUNTIF(Tableau1[mer.122],"="&amp;"ECH")+COUNTIF(Tableau1[mer.122],"="&amp;"PTRI")</f>
        <v>0</v>
      </c>
      <c r="BB48" s="291">
        <f>COUNTIF(Tableau1[jeu.132],"="&amp;"ECH")+COUNTIF(Tableau1[jeu.132],"="&amp;"PTRI")</f>
        <v>0</v>
      </c>
      <c r="BC48" s="291">
        <f>COUNTIF(Tableau1[ven.142],"="&amp;"ECH")+COUNTIF(Tableau1[ven.142],"="&amp;"PTRI")</f>
        <v>0</v>
      </c>
      <c r="BD48" s="232">
        <f>AVERAGE(AY48:BC48)</f>
        <v>0</v>
      </c>
      <c r="BE48" s="291">
        <f>COUNTIF(Tableau1[dim.28],"="&amp;"ECH")+COUNTIF(Tableau1[dim.28],"="&amp;"PTRI")</f>
        <v>0</v>
      </c>
      <c r="BF48" s="291">
        <f>COUNTIF(Tableau1[lun.172],"="&amp;"ECH")+COUNTIF(Tableau1[lun.172],"="&amp;"PTRI")</f>
        <v>0</v>
      </c>
      <c r="BG48" s="291">
        <f>COUNTIF(Tableau1[mar.30],"="&amp;"ECH")+COUNTIF(Tableau1[mar.30],"="&amp;"PTRI")</f>
        <v>0</v>
      </c>
      <c r="BH48" s="291">
        <f>COUNTIF(Tableau1[mer.31],"="&amp;"ECH")+COUNTIF(Tableau1[mer.31],"="&amp;"PTRI")</f>
        <v>0</v>
      </c>
      <c r="BI48" s="291">
        <f>COUNTIF(Tableau1[jeu.01],"="&amp;"ECH")+COUNTIF(Tableau1[jeu.01],"="&amp;"PTRI")</f>
        <v>0</v>
      </c>
      <c r="BJ48" s="291">
        <f>COUNTIF(Tableau1[ven.02],"="&amp;"ECH")+COUNTIF(Tableau1[ven.02],"="&amp;"PTRI")</f>
        <v>0</v>
      </c>
      <c r="BK48" s="232">
        <f>AVERAGE(BF48:BJ48)</f>
        <v>0</v>
      </c>
      <c r="BL48" s="291">
        <f>COUNTIF(Tableau1[dim.04],"="&amp;"ECH")+COUNTIF(Tableau1[dim.04],"="&amp;"PTRI")</f>
        <v>0</v>
      </c>
      <c r="BM48" s="291">
        <f>COUNTIF(Tableau1[lun.05],"="&amp;"ECH")+COUNTIF(Tableau1[lun.05],"="&amp;"PTRI")</f>
        <v>0</v>
      </c>
      <c r="BN48" s="291">
        <f>COUNTIF(Tableau1[mar.06],"="&amp;"ECH")+COUNTIF(Tableau1[mar.06],"="&amp;"PTRI")</f>
        <v>0</v>
      </c>
      <c r="BO48" s="291">
        <f>COUNTIF(Tableau1[mer.07],"="&amp;"ECH")+COUNTIF(Tableau1[mer.07],"="&amp;"PTRI")</f>
        <v>0</v>
      </c>
      <c r="BP48" s="291">
        <f>COUNTIF(Tableau1[jeu.08],"="&amp;"ECH")+COUNTIF(Tableau1[jeu.08],"="&amp;"PTRI")</f>
        <v>0</v>
      </c>
      <c r="BQ48" s="291">
        <f>COUNTIF(Tableau1[ven.09],"="&amp;"ECH")+COUNTIF(Tableau1[ven.09],"="&amp;"PTRI")</f>
        <v>0</v>
      </c>
      <c r="BR48" s="232">
        <f>AVERAGE(BM48:BQ48)</f>
        <v>0</v>
      </c>
      <c r="BS48" s="291">
        <f>COUNTIF(Tableau1[dim.11],"="&amp;"ECH")+COUNTIF(Tableau1[dim.11],"="&amp;"PTRI")</f>
        <v>0</v>
      </c>
      <c r="BT48" s="291">
        <f>COUNTIF(Tableau1[lun.12],"="&amp;"ECH")+COUNTIF(Tableau1[lun.12],"="&amp;"PTRI")</f>
        <v>0</v>
      </c>
      <c r="BU48" s="291">
        <f>COUNTIF(Tableau1[mar.13],"="&amp;"ECH")+COUNTIF(Tableau1[mar.13],"="&amp;"PTRI")</f>
        <v>0</v>
      </c>
      <c r="BV48" s="291">
        <f>COUNTIF(Tableau1[mer.14],"="&amp;"ECH")+COUNTIF(Tableau1[mer.14],"="&amp;"PTRI")</f>
        <v>0</v>
      </c>
      <c r="BW48" s="291">
        <f>COUNTIF(Tableau1[jeu.15],"="&amp;"ECH")+COUNTIF(Tableau1[jeu.15],"="&amp;"PTRI")</f>
        <v>0</v>
      </c>
      <c r="BX48" s="291">
        <f>COUNTIF(Tableau1[ven.16],"="&amp;"ECH")+COUNTIF(Tableau1[ven.16],"="&amp;"PTRI")</f>
        <v>0</v>
      </c>
      <c r="BY48" s="232">
        <f>AVERAGE(BT48:BX48)</f>
        <v>0</v>
      </c>
      <c r="BZ48" s="291">
        <f>COUNTIF(Tableau1[dim.18],"="&amp;"ECH")+COUNTIF(Tableau1[dim.18],"="&amp;"PTRI")</f>
        <v>0</v>
      </c>
      <c r="CA48" s="291">
        <f>COUNTIF(Tableau1[lun.19],"="&amp;"ECH")+COUNTIF(Tableau1[lun.19],"="&amp;"PTRI")</f>
        <v>0</v>
      </c>
      <c r="CB48" s="291">
        <f>COUNTIF(Tableau1[mar.20],"="&amp;"ECH")+COUNTIF(Tableau1[mar.20],"="&amp;"PTRI")</f>
        <v>0</v>
      </c>
      <c r="CC48" s="291">
        <f>COUNTIF(Tableau1[mer.21],"="&amp;"ECH")+COUNTIF(Tableau1[mer.21],"="&amp;"PTRI")</f>
        <v>0</v>
      </c>
      <c r="CD48" s="291">
        <f>COUNTIF(Tableau1[jeu.22],"="&amp;"ECH")+COUNTIF(Tableau1[jeu.22],"="&amp;"PTRI")</f>
        <v>0</v>
      </c>
      <c r="CE48" s="291">
        <f>COUNTIF(Tableau1[ven.23],"="&amp;"ECH")+COUNTIF(Tableau1[ven.23],"="&amp;"PTRI")</f>
        <v>0</v>
      </c>
      <c r="CF48" s="232">
        <f>AVERAGE(CA48:CE48)</f>
        <v>0</v>
      </c>
      <c r="CG48" s="291">
        <f>COUNTIF(Tableau1[dim.25],"="&amp;"ECH")+COUNTIF(Tableau1[dim.25],"="&amp;"PTRI")</f>
        <v>0</v>
      </c>
      <c r="CH48" s="291">
        <f>COUNTIF(Tableau1[lun.26],"="&amp;"ECH")+COUNTIF(Tableau1[lun.26],"="&amp;"PTRI")</f>
        <v>0</v>
      </c>
      <c r="CI48" s="291">
        <f>COUNTIF(Tableau1[mar.27],"="&amp;"ECH")+COUNTIF(Tableau1[mar.27],"="&amp;"PTRI")</f>
        <v>0</v>
      </c>
      <c r="CJ48" s="291">
        <f>COUNTIF(Tableau1[mer.28],"="&amp;"ECH")+COUNTIF(Tableau1[mer.28],"="&amp;"PTRI")</f>
        <v>0</v>
      </c>
      <c r="CK48" s="291">
        <f>COUNTIF(Tableau1[jeu.29],"="&amp;"ECH")+COUNTIF(Tableau1[jeu.29],"="&amp;"PTRI")</f>
        <v>0</v>
      </c>
      <c r="CL48" s="291">
        <f>COUNTIF(Tableau1[ven.30],"="&amp;"ECH")+COUNTIF(Tableau1[ven.30],"="&amp;"PTRI")</f>
        <v>0</v>
      </c>
      <c r="CM48" s="232">
        <f>AVERAGE(CH48:CL48)</f>
        <v>0</v>
      </c>
      <c r="CN48" s="291">
        <f>COUNTIF(Tableau1[dim.01],"="&amp;"ECH")+COUNTIF(Tableau1[dim.01],"="&amp;"PTRI")</f>
        <v>0</v>
      </c>
      <c r="CO48" s="291">
        <f>COUNTIF(Tableau1[lun.02],"="&amp;"ECH")+COUNTIF(Tableau1[lun.02],"="&amp;"PTRI")</f>
        <v>0</v>
      </c>
      <c r="CP48" s="291">
        <f>COUNTIF(Tableau1[mar.03],"="&amp;"ECH")+COUNTIF(Tableau1[mar.03],"="&amp;"PTRI")</f>
        <v>0</v>
      </c>
      <c r="CQ48" s="291">
        <f>COUNTIF(Tableau1[mer.04],"="&amp;"ECH")+COUNTIF(Tableau1[mer.04],"="&amp;"PTRI")</f>
        <v>0</v>
      </c>
      <c r="CR48" s="291">
        <f>COUNTIF(Tableau1[jeu.05],"="&amp;"ECH")+COUNTIF(Tableau1[jeu.05],"="&amp;"PTRI")</f>
        <v>0</v>
      </c>
      <c r="CS48" s="291">
        <f>COUNTIF(Tableau1[ven.06],"="&amp;"ECH")+COUNTIF(Tableau1[ven.06],"="&amp;"PTRI")</f>
        <v>0</v>
      </c>
      <c r="CT48" s="232">
        <f>AVERAGE(CO48:CS48)</f>
        <v>0</v>
      </c>
      <c r="CU48" s="291">
        <f>COUNTIF(Tableau1[dim.08],"="&amp;"ECH")+COUNTIF(Tableau1[dim.08],"="&amp;"PTRI")</f>
        <v>0</v>
      </c>
      <c r="CV48" s="291">
        <f>COUNTIF(Tableau1[lun.09],"="&amp;"ECH")+COUNTIF(Tableau1[lun.09],"="&amp;"PTRI")</f>
        <v>0</v>
      </c>
      <c r="CW48" s="291">
        <f>COUNTIF(Tableau1[mar.10],"="&amp;"ECH")+COUNTIF(Tableau1[mar.10],"="&amp;"PTRI")</f>
        <v>0</v>
      </c>
      <c r="CX48" s="291">
        <f>COUNTIF(Tableau1[mer.11],"="&amp;"ECH")+COUNTIF(Tableau1[mer.11],"="&amp;"PTRI")</f>
        <v>0</v>
      </c>
      <c r="CY48" s="291">
        <f>COUNTIF(Tableau1[jeu.12],"="&amp;"ECH")+COUNTIF(Tableau1[jeu.12],"="&amp;"PTRI")</f>
        <v>0</v>
      </c>
      <c r="CZ48" s="291">
        <f>COUNTIF(Tableau1[ven.13],"="&amp;"ECH")+COUNTIF(Tableau1[ven.13],"="&amp;"PTRI")</f>
        <v>0</v>
      </c>
      <c r="DA48" s="232">
        <f>AVERAGE(CV48:CZ48)</f>
        <v>0</v>
      </c>
      <c r="DB48" s="291">
        <f>COUNTIF(Tableau1[dim.15],"="&amp;"ECH")+COUNTIF(Tableau1[dim.15],"="&amp;"PTRI")</f>
        <v>0</v>
      </c>
      <c r="DC48" s="291">
        <f>COUNTIF(Tableau1[lun.16],"="&amp;"ECH")+COUNTIF(Tableau1[lun.16],"="&amp;"PTRI")</f>
        <v>0</v>
      </c>
      <c r="DD48" s="291">
        <f>COUNTIF(Tableau1[mar.17],"="&amp;"ECH")+COUNTIF(Tableau1[mar.17],"="&amp;"PTRI")</f>
        <v>0</v>
      </c>
      <c r="DE48" s="291">
        <f>COUNTIF(Tableau1[mer.18],"="&amp;"ECH")+COUNTIF(Tableau1[mer.18],"="&amp;"PTRI")</f>
        <v>0</v>
      </c>
      <c r="DF48" s="291">
        <f>COUNTIF(Tableau1[jeu.19],"="&amp;"ECH")+COUNTIF(Tableau1[jeu.19],"="&amp;"PTRI")</f>
        <v>0</v>
      </c>
      <c r="DG48" s="291">
        <f>COUNTIF(Tableau1[ven.20],"="&amp;"ECH")+COUNTIF(Tableau1[ven.20],"="&amp;"PTRI")</f>
        <v>0</v>
      </c>
      <c r="DH48" s="232">
        <f>AVERAGE(DC48:DG48)</f>
        <v>0</v>
      </c>
      <c r="DI48" s="291">
        <f>COUNTIF(Tableau1[dim.22],"="&amp;"ECH")+COUNTIF(Tableau1[dim.22],"="&amp;"PTRI")</f>
        <v>0</v>
      </c>
      <c r="DJ48" s="291">
        <f>COUNTIF(Tableau1[lun.23],"="&amp;"ECH")+COUNTIF(Tableau1[lun.23],"="&amp;"PTRI")</f>
        <v>0</v>
      </c>
      <c r="DK48" s="291">
        <f>COUNTIF(Tableau1[mar.24],"="&amp;"ECH")+COUNTIF(Tableau1[mar.24],"="&amp;"PTRI")</f>
        <v>0</v>
      </c>
      <c r="DL48" s="291">
        <f>COUNTIF(Tableau1[mer.25],"="&amp;"ECH")+COUNTIF(Tableau1[mer.25],"="&amp;"PTRI")</f>
        <v>0</v>
      </c>
      <c r="DM48" s="291">
        <f>COUNTIF(Tableau1[jeu.26],"="&amp;"ECH")+COUNTIF(Tableau1[jeu.26],"="&amp;"PTRI")</f>
        <v>0</v>
      </c>
      <c r="DN48" s="291">
        <f>COUNTIF(Tableau1[ven.27],"="&amp;"ECH")+COUNTIF(Tableau1[ven.27],"="&amp;"PTRI")</f>
        <v>0</v>
      </c>
      <c r="DO48" s="232">
        <f>AVERAGE(DJ48:DN48)</f>
        <v>0</v>
      </c>
      <c r="DP48" s="291">
        <f>COUNTIF(Tableau1[dim.29],"="&amp;"ECH")+COUNTIF(Tableau1[dim.29],"="&amp;"PTRI")</f>
        <v>0</v>
      </c>
      <c r="DQ48" s="291">
        <f>COUNTIF(Tableau1[lun.30],"="&amp;"ECH")+COUNTIF(Tableau1[lun.30],"="&amp;"PTRI")</f>
        <v>0</v>
      </c>
      <c r="DR48" s="291">
        <f>COUNTIF(Tableau1[mar.01],"="&amp;"ECH")+COUNTIF(Tableau1[mar.01],"="&amp;"PTRI")</f>
        <v>0</v>
      </c>
      <c r="DS48" s="291">
        <f>COUNTIF(Tableau1[mer.02],"="&amp;"ECH")+COUNTIF(Tableau1[mer.02],"="&amp;"PTRI")</f>
        <v>0</v>
      </c>
      <c r="DT48" s="291">
        <f>COUNTIF(Tableau1[jeu.03],"="&amp;"ECH")+COUNTIF(Tableau1[jeu.03],"="&amp;"PTRI")</f>
        <v>0</v>
      </c>
      <c r="DU48" s="291">
        <f>COUNTIF(Tableau1[ven.04],"="&amp;"ECH")+COUNTIF(Tableau1[ven.04],"="&amp;"PTRI")</f>
        <v>0</v>
      </c>
      <c r="DV48" s="232">
        <f>AVERAGE(DQ48:DU48)</f>
        <v>0</v>
      </c>
      <c r="DW48" s="291">
        <f>COUNTIF(Tableau1[dim.06],"="&amp;"ECH")+COUNTIF(Tableau1[dim.06],"="&amp;"PTRI")</f>
        <v>0</v>
      </c>
      <c r="DX48" s="291">
        <f>COUNTIF(Tableau1[lun.07],"="&amp;"ECH")+COUNTIF(Tableau1[lun.07],"="&amp;"PTRI")</f>
        <v>0</v>
      </c>
      <c r="DY48" s="291">
        <f>COUNTIF(Tableau1[mar.08],"="&amp;"ECH")+COUNTIF(Tableau1[mar.08],"="&amp;"PTRI")</f>
        <v>0</v>
      </c>
      <c r="DZ48" s="291">
        <f>COUNTIF(Tableau1[mer.09],"="&amp;"ECH")+COUNTIF(Tableau1[mer.09],"="&amp;"PTRI")</f>
        <v>0</v>
      </c>
      <c r="EA48" s="291">
        <f>COUNTIF(Tableau1[jeu.10],"="&amp;"ECH")+COUNTIF(Tableau1[jeu.10],"="&amp;"PTRI")</f>
        <v>0</v>
      </c>
      <c r="EB48" s="291">
        <f>COUNTIF(Tableau1[ven.11],"="&amp;"ECH")+COUNTIF(Tableau1[ven.11],"="&amp;"PTRI")</f>
        <v>0</v>
      </c>
      <c r="EC48" s="232">
        <f>AVERAGE(DX48:EB48)</f>
        <v>0</v>
      </c>
      <c r="ED48" s="291">
        <f>COUNTIF(Tableau1[dim.13],"="&amp;"ECH")+COUNTIF(Tableau1[dim.13],"="&amp;"PTRI")</f>
        <v>0</v>
      </c>
      <c r="EE48" s="291">
        <f>COUNTIF(Tableau1[lun.14],"="&amp;"ECH")+COUNTIF(Tableau1[lun.14],"="&amp;"PTRI")</f>
        <v>0</v>
      </c>
      <c r="EF48" s="291">
        <f>COUNTIF(Tableau1[mar.15],"="&amp;"ECH")+COUNTIF(Tableau1[mar.15],"="&amp;"PTRI")</f>
        <v>0</v>
      </c>
      <c r="EG48" s="291">
        <f>COUNTIF(Tableau1[mer.16],"="&amp;"ECH")+COUNTIF(Tableau1[mer.16],"="&amp;"PTRI")</f>
        <v>0</v>
      </c>
      <c r="EH48" s="291">
        <f>COUNTIF(Tableau1[jeu.17],"="&amp;"ECH")+COUNTIF(Tableau1[jeu.17],"="&amp;"PTRI")</f>
        <v>0</v>
      </c>
      <c r="EI48" s="291">
        <f>COUNTIF(Tableau1[ven.18],"="&amp;"ECH")+COUNTIF(Tableau1[ven.18],"="&amp;"PTRI")</f>
        <v>0</v>
      </c>
      <c r="EJ48" s="232">
        <f>AVERAGE(EE48:EI48)</f>
        <v>0</v>
      </c>
      <c r="EK48" s="291">
        <f>COUNTIF(Tableau1[dim.20],"="&amp;"ECH")+COUNTIF(Tableau1[dim.20],"="&amp;"PTRI")</f>
        <v>0</v>
      </c>
      <c r="EL48" s="291">
        <f>COUNTIF(Tableau1[lun.21],"="&amp;"ECH")+COUNTIF(Tableau1[lun.21],"="&amp;"PTRI")</f>
        <v>0</v>
      </c>
      <c r="EM48" s="291">
        <f>COUNTIF(Tableau1[mar.22],"="&amp;"ECH")+COUNTIF(Tableau1[mar.22],"="&amp;"PTRI")</f>
        <v>0</v>
      </c>
      <c r="EN48" s="291">
        <f>COUNTIF(Tableau1[mer.23],"="&amp;"ECH")+COUNTIF(Tableau1[mer.23],"="&amp;"PTRI")</f>
        <v>0</v>
      </c>
      <c r="EO48" s="291">
        <f>COUNTIF(Tableau1[jeu.24],"="&amp;"ECH")+COUNTIF(Tableau1[jeu.24],"="&amp;"PTRI")</f>
        <v>0</v>
      </c>
      <c r="EP48" s="291">
        <f>COUNTIF(Tableau1[ven.25],"="&amp;"ECH")+COUNTIF(Tableau1[ven.25],"="&amp;"PTRI")</f>
        <v>0</v>
      </c>
      <c r="EQ48" s="232">
        <f>AVERAGE(EL48:EP48)</f>
        <v>0</v>
      </c>
      <c r="ER48" s="291">
        <f>COUNTIF(Tableau1[dim.27],"="&amp;"ECH")+COUNTIF(Tableau1[dim.27],"="&amp;"PTRI")</f>
        <v>0</v>
      </c>
      <c r="ES48" s="291">
        <f>COUNTIF(Tableau1[lun.28],"="&amp;"ECH")+COUNTIF(Tableau1[lun.28],"="&amp;"PTRI")</f>
        <v>0</v>
      </c>
      <c r="ET48" s="291">
        <f>COUNTIF(Tableau1[mar.29],"="&amp;"ECH")+COUNTIF(Tableau1[mar.29],"="&amp;"PTRI")</f>
        <v>0</v>
      </c>
      <c r="EU48" s="291">
        <f>COUNTIF(Tableau1[mer.30],"="&amp;"ECH")+COUNTIF(Tableau1[mer.30],"="&amp;"PTRI")</f>
        <v>0</v>
      </c>
      <c r="EV48" s="291">
        <f>COUNTIF(Tableau1[jeu.31],"="&amp;"ECH")+COUNTIF(Tableau1[jeu.31],"="&amp;"PTRI")</f>
        <v>0</v>
      </c>
      <c r="EW48" s="291">
        <f>COUNTIF(Tableau1[ven.01],"="&amp;"ECH")+COUNTIF(Tableau1[ven.01],"="&amp;"PTRI")</f>
        <v>0</v>
      </c>
      <c r="EX48" s="232">
        <f>AVERAGE(ES48:EW48)</f>
        <v>0</v>
      </c>
      <c r="EY48" s="291">
        <f>COUNTIF(Tableau1[dim.03],"="&amp;"ECH")+COUNTIF(Tableau1[dim.03],"="&amp;"PTRI")</f>
        <v>0</v>
      </c>
      <c r="EZ48" s="291">
        <f>COUNTIF(Tableau1[lun.04],"="&amp;"ECH")+COUNTIF(Tableau1[lun.04],"="&amp;"PTRI")</f>
        <v>0</v>
      </c>
      <c r="FA48" s="291">
        <f>COUNTIF(Tableau1[mar.05],"="&amp;"ECH")+COUNTIF(Tableau1[mar.05],"="&amp;"PTRI")</f>
        <v>0</v>
      </c>
      <c r="FB48" s="291">
        <f>COUNTIF(Tableau1[mer.06],"="&amp;"ECH")+COUNTIF(Tableau1[mer.06],"="&amp;"PTRI")</f>
        <v>0</v>
      </c>
      <c r="FC48" s="291">
        <f>COUNTIF(Tableau1[jeu.07],"="&amp;"ECH")+COUNTIF(Tableau1[jeu.07],"="&amp;"PTRI")</f>
        <v>0</v>
      </c>
      <c r="FD48" s="291">
        <f>COUNTIF(Tableau1[ven.08],"="&amp;"ECH")+COUNTIF(Tableau1[ven.08],"="&amp;"PTRI")</f>
        <v>0</v>
      </c>
      <c r="FE48" s="232">
        <f>AVERAGE(EZ48:FD48)</f>
        <v>0</v>
      </c>
      <c r="FF48" s="291">
        <f>COUNTIF(Tableau1[dim.10],"="&amp;"ECH")+COUNTIF(Tableau1[dim.10],"="&amp;"PTRI")</f>
        <v>0</v>
      </c>
      <c r="FG48" s="291">
        <f>COUNTIF(Tableau1[lun.11],"="&amp;"ECH")+COUNTIF(Tableau1[lun.11],"="&amp;"PTRI")</f>
        <v>0</v>
      </c>
      <c r="FH48" s="291">
        <f>COUNTIF(Tableau1[mar.12],"="&amp;"ECH")+COUNTIF(Tableau1[mar.12],"="&amp;"PTRI")</f>
        <v>0</v>
      </c>
      <c r="FI48" s="291">
        <f>COUNTIF(Tableau1[mer.13],"="&amp;"ECH")+COUNTIF(Tableau1[mer.13],"="&amp;"PTRI")</f>
        <v>0</v>
      </c>
      <c r="FJ48" s="291">
        <f>COUNTIF(Tableau1[jeu.14],"="&amp;"ECH")+COUNTIF(Tableau1[jeu.14],"="&amp;"PTRI")</f>
        <v>0</v>
      </c>
      <c r="FK48" s="291">
        <f>COUNTIF(Tableau1[ven.15],"="&amp;"ECH")+COUNTIF(Tableau1[ven.15],"="&amp;"PTRI")</f>
        <v>0</v>
      </c>
      <c r="FL48" s="232">
        <f>AVERAGE(FG48:FK48)</f>
        <v>0</v>
      </c>
      <c r="FM48" s="291">
        <f>COUNTIF(Tableau1[dim.17],"="&amp;"ECH")+COUNTIF(Tableau1[dim.17],"="&amp;"PTRI")</f>
        <v>0</v>
      </c>
      <c r="FN48" s="291">
        <f>COUNTIF(Tableau1[lun.18],"="&amp;"ECH")+COUNTIF(Tableau1[lun.18],"="&amp;"PTRI")</f>
        <v>0</v>
      </c>
      <c r="FO48" s="291">
        <f>COUNTIF(Tableau1[mar.19],"="&amp;"ECH")+COUNTIF(Tableau1[mar.19],"="&amp;"PTRI")</f>
        <v>0</v>
      </c>
      <c r="FP48" s="291">
        <f>COUNTIF(Tableau1[mer.20],"="&amp;"ECH")+COUNTIF(Tableau1[mer.20],"="&amp;"PTRI")</f>
        <v>0</v>
      </c>
      <c r="FQ48" s="291">
        <f>COUNTIF(Tableau1[jeu.21],"="&amp;"ECH")+COUNTIF(Tableau1[jeu.21],"="&amp;"PTRI")</f>
        <v>0</v>
      </c>
      <c r="FR48" s="291">
        <f>COUNTIF(Tableau1[ven.22],"="&amp;"ECH")+COUNTIF(Tableau1[ven.22],"="&amp;"PTRI")</f>
        <v>0</v>
      </c>
      <c r="FS48" s="232">
        <f>AVERAGE(FN48:FR48)</f>
        <v>0</v>
      </c>
      <c r="FT48" s="291">
        <f>COUNTIF(Tableau1[dim.24],"="&amp;"ECH")+COUNTIF(Tableau1[dim.24],"="&amp;"PTRI")</f>
        <v>0</v>
      </c>
      <c r="FU48" s="291">
        <f>COUNTIF(Tableau1[lun.25],"="&amp;"ECH")+COUNTIF(Tableau1[lun.25],"="&amp;"PTRI")</f>
        <v>0</v>
      </c>
      <c r="FV48" s="291">
        <f>COUNTIF(Tableau1[mar.26],"="&amp;"ECH")+COUNTIF(Tableau1[mar.26],"="&amp;"PTRI")</f>
        <v>0</v>
      </c>
      <c r="FW48" s="291">
        <f>COUNTIF(Tableau1[mer.27],"="&amp;"ECH")+COUNTIF(Tableau1[mer.27],"="&amp;"PTRI")</f>
        <v>0</v>
      </c>
      <c r="FX48" s="291">
        <f>COUNTIF(Tableau1[jeu.28],"="&amp;"ECH")+COUNTIF(Tableau1[jeu.28],"="&amp;"PTRI")</f>
        <v>0</v>
      </c>
      <c r="FY48" s="291">
        <f>COUNTIF(Tableau1[ven.29],"="&amp;"ECH")+COUNTIF(Tableau1[ven.29],"="&amp;"PTRI")</f>
        <v>0</v>
      </c>
      <c r="FZ48" s="232">
        <f>AVERAGE(FU48:FY48)</f>
        <v>0</v>
      </c>
      <c r="GA48" s="291">
        <f>COUNTIF(Tableau1[dim.012],"="&amp;"ECH")+COUNTIF(Tableau1[dim.012],"="&amp;"PTRI")</f>
        <v>0</v>
      </c>
      <c r="GB48" s="291">
        <f>COUNTIF(Tableau1[lun.023],"="&amp;"ECH")+COUNTIF(Tableau1[lun.023],"="&amp;"PTRI")</f>
        <v>0</v>
      </c>
      <c r="GC48" s="291">
        <f>COUNTIF(Tableau1[mar.034],"="&amp;"ECH")+COUNTIF(Tableau1[mar.034],"="&amp;"PTRI")</f>
        <v>0</v>
      </c>
      <c r="GD48" s="291">
        <f>COUNTIF(Tableau1[mer.045],"="&amp;"ECH")+COUNTIF(Tableau1[mer.045],"="&amp;"PTRI")</f>
        <v>0</v>
      </c>
      <c r="GE48" s="291">
        <f>COUNTIF(Tableau1[jeu.056],"="&amp;"ECH")+COUNTIF(Tableau1[jeu.056],"="&amp;"PTRI")</f>
        <v>0</v>
      </c>
      <c r="GF48" s="291">
        <f>COUNTIF(Tableau1[ven.067],"="&amp;"ECH")+COUNTIF(Tableau1[ven.067],"="&amp;"PTRI")</f>
        <v>0</v>
      </c>
      <c r="GG48" s="232">
        <f>AVERAGE(GB48:GF48)</f>
        <v>0</v>
      </c>
      <c r="GH48" s="291">
        <f>COUNTIF(Tableau1[dim.089],"="&amp;"ECH")+COUNTIF(Tableau1[dim.089],"="&amp;"PTRI")</f>
        <v>0</v>
      </c>
      <c r="GI48" s="291">
        <f>COUNTIF(Tableau1[lun.0910],"="&amp;"ECH")+COUNTIF(Tableau1[lun.0910],"="&amp;"PTRI")</f>
        <v>0</v>
      </c>
      <c r="GJ48" s="291">
        <f>COUNTIF(Tableau1[mar.1011],"="&amp;"ECH")+COUNTIF(Tableau1[mar.1011],"="&amp;"PTRI")</f>
        <v>0</v>
      </c>
      <c r="GK48" s="291">
        <f>COUNTIF(Tableau1[mer.1112],"="&amp;"ECH")+COUNTIF(Tableau1[mer.1112],"="&amp;"PTRI")</f>
        <v>0</v>
      </c>
      <c r="GL48" s="291">
        <f>COUNTIF(Tableau1[jeu.1213],"="&amp;"ECH")+COUNTIF(Tableau1[jeu.1213],"="&amp;"PTRI")</f>
        <v>0</v>
      </c>
      <c r="GM48" s="291">
        <f>COUNTIF(Tableau1[ven.1314],"="&amp;"ECH")+COUNTIF(Tableau1[ven.1314],"="&amp;"PTRI")</f>
        <v>0</v>
      </c>
      <c r="GN48" s="232">
        <f>AVERAGE(GI48:GM48)</f>
        <v>0</v>
      </c>
      <c r="GO48" s="291">
        <f>COUNTIF(Tableau1[dim.1516],"="&amp;"ECH")+COUNTIF(Tableau1[dim.1516],"="&amp;"PTRI")</f>
        <v>0</v>
      </c>
      <c r="GP48" s="291">
        <f>COUNTIF(Tableau1[lun.1617],"="&amp;"ECH")+COUNTIF(Tableau1[lun.1617],"="&amp;"PTRI")</f>
        <v>0</v>
      </c>
      <c r="GQ48" s="291">
        <f>COUNTIF(Tableau1[mar.1718],"="&amp;"ECH")+COUNTIF(Tableau1[mar.1718],"="&amp;"PTRI")</f>
        <v>0</v>
      </c>
      <c r="GR48" s="291">
        <f>COUNTIF(Tableau1[mer.1819],"="&amp;"ECH")+COUNTIF(Tableau1[mer.1819],"="&amp;"PTRI")</f>
        <v>0</v>
      </c>
      <c r="GS48" s="291">
        <f>COUNTIF(Tableau1[jeu.1920],"="&amp;"ECH")+COUNTIF(Tableau1[jeu.1920],"="&amp;"PTRI")</f>
        <v>0</v>
      </c>
      <c r="GT48" s="291">
        <f>COUNTIF(Tableau1[ven.2021],"="&amp;"ECH")+COUNTIF(Tableau1[ven.2021],"="&amp;"PTRI")</f>
        <v>0</v>
      </c>
      <c r="GU48" s="232">
        <f>AVERAGE(GP48:GT48)</f>
        <v>0</v>
      </c>
      <c r="GV48" s="291">
        <f>COUNTIF(Tableau1[dim.2223],"="&amp;"ECH")+COUNTIF(Tableau1[dim.2223],"="&amp;"PTRI")</f>
        <v>0</v>
      </c>
      <c r="GW48" s="291">
        <f>COUNTIF(Tableau1[lun.2324],"="&amp;"ECH")+COUNTIF(Tableau1[lun.2324],"="&amp;"PTRI")</f>
        <v>0</v>
      </c>
      <c r="GX48" s="291">
        <f>COUNTIF(Tableau1[mar.2425],"="&amp;"ECH")+COUNTIF(Tableau1[mar.2425],"="&amp;"PTRI")</f>
        <v>0</v>
      </c>
      <c r="GY48" s="291">
        <f>COUNTIF(Tableau1[mer.2526],"="&amp;"ECH")+COUNTIF(Tableau1[mer.2526],"="&amp;"PTRI")</f>
        <v>0</v>
      </c>
      <c r="GZ48" s="291">
        <f>COUNTIF(Tableau1[jeu.2627],"="&amp;"ECH")+COUNTIF(Tableau1[jeu.2627],"="&amp;"PTRI")</f>
        <v>0</v>
      </c>
      <c r="HA48" s="291">
        <f>COUNTIF(Tableau1[ven.2728],"="&amp;"ECH")+COUNTIF(Tableau1[ven.2728],"="&amp;"PTRI")</f>
        <v>0</v>
      </c>
      <c r="HB48" s="232">
        <f>AVERAGE(GW48:HA48)</f>
        <v>0</v>
      </c>
      <c r="HC48" s="291">
        <f>COUNTIF(Tableau1[dim.2930],"="&amp;"ECH")+COUNTIF(Tableau1[dim.2930],"="&amp;"PTRI")</f>
        <v>0</v>
      </c>
      <c r="HD48" s="291">
        <f>COUNTIF(Tableau1[lun.014],"="&amp;"ECH")+COUNTIF(Tableau1[lun.014],"="&amp;"PTRI")</f>
        <v>0</v>
      </c>
      <c r="HE48" s="291">
        <f>COUNTIF(Tableau1[mar.025],"="&amp;"ECH")+COUNTIF(Tableau1[mar.025],"="&amp;"PTRI")</f>
        <v>0</v>
      </c>
      <c r="HF48" s="291">
        <f>COUNTIF(Tableau1[mer.036],"="&amp;"ECH")+COUNTIF(Tableau1[mer.036],"="&amp;"PTRI")</f>
        <v>0</v>
      </c>
      <c r="HG48" s="291">
        <f>COUNTIF(Tableau1[jeu.047],"="&amp;"ECH")+COUNTIF(Tableau1[jeu.047],"="&amp;"PTRI")</f>
        <v>0</v>
      </c>
      <c r="HH48" s="291">
        <f>COUNTIF(Tableau1[ven.058],"="&amp;"ECH")+COUNTIF(Tableau1[ven.058],"="&amp;"PTRI")</f>
        <v>0</v>
      </c>
      <c r="HI48" s="232">
        <f>AVERAGE(HD48:HH48)</f>
        <v>0</v>
      </c>
      <c r="HJ48" s="291">
        <f>COUNTIF(Tableau1[dim.0710],"="&amp;"ECH")+COUNTIF(Tableau1[dim.0710],"="&amp;"PTRI")</f>
        <v>0</v>
      </c>
      <c r="HK48" s="291">
        <f>COUNTIF(Tableau1[lun.0811],"="&amp;"ECH")+COUNTIF(Tableau1[lun.0811],"="&amp;"PTRI")</f>
        <v>0</v>
      </c>
      <c r="HL48" s="291">
        <f>COUNTIF(Tableau1[mar.0912],"="&amp;"ECH")+COUNTIF(Tableau1[mar.0912],"="&amp;"PTRI")</f>
        <v>0</v>
      </c>
      <c r="HM48" s="291">
        <f>COUNTIF(Tableau1[mer.1013],"="&amp;"ECH")+COUNTIF(Tableau1[mer.1013],"="&amp;"PTRI")</f>
        <v>0</v>
      </c>
      <c r="HN48" s="291">
        <f>COUNTIF(Tableau1[jeu.1114],"="&amp;"ECH")+COUNTIF(Tableau1[jeu.1114],"="&amp;"PTRI")</f>
        <v>0</v>
      </c>
      <c r="HO48" s="291">
        <f>COUNTIF(Tableau1[ven.1215],"="&amp;"ECH")+COUNTIF(Tableau1[ven.1215],"="&amp;"PTRI")</f>
        <v>0</v>
      </c>
      <c r="HP48" s="232">
        <f>AVERAGE(HK48:HO48)</f>
        <v>0</v>
      </c>
      <c r="HQ48" s="291">
        <f>COUNTIF(Tableau1[dim.1417],"="&amp;"ECH")+COUNTIF(Tableau1[dim.1417],"="&amp;"PTRI")</f>
        <v>0</v>
      </c>
      <c r="HR48" s="291">
        <f>COUNTIF(Tableau1[lun.1518],"="&amp;"ECH")+COUNTIF(Tableau1[lun.1518],"="&amp;"PTRI")</f>
        <v>0</v>
      </c>
      <c r="HS48" s="291">
        <f>COUNTIF(Tableau1[mar.1619],"="&amp;"ECH")+COUNTIF(Tableau1[mar.1619],"="&amp;"PTRI")</f>
        <v>0</v>
      </c>
      <c r="HT48" s="291">
        <f>COUNTIF(Tableau1[mer.1720],"="&amp;"ECH")+COUNTIF(Tableau1[mer.1720],"="&amp;"PTRI")</f>
        <v>0</v>
      </c>
      <c r="HU48" s="291">
        <f>COUNTIF(Tableau1[jeu.1821],"="&amp;"ECH")+COUNTIF(Tableau1[jeu.1821],"="&amp;"PTRI")</f>
        <v>0</v>
      </c>
      <c r="HV48" s="291">
        <f>COUNTIF(Tableau1[ven.1922],"="&amp;"ECH")+COUNTIF(Tableau1[ven.1922],"="&amp;"PTRI")</f>
        <v>0</v>
      </c>
      <c r="HW48" s="232">
        <f>AVERAGE(HR48:HV48)</f>
        <v>0</v>
      </c>
      <c r="HX48" s="291">
        <f>COUNTIF(Tableau1[dim.2124],"="&amp;"ECH")+COUNTIF(Tableau1[dim.2124],"="&amp;"PTRI")</f>
        <v>0</v>
      </c>
      <c r="HY48" s="291">
        <f>COUNTIF(Tableau1[lun.2225],"="&amp;"ECH")+COUNTIF(Tableau1[lun.2225],"="&amp;"PTRI")</f>
        <v>0</v>
      </c>
      <c r="HZ48" s="291">
        <f>COUNTIF(Tableau1[mar.2326],"="&amp;"ECH")+COUNTIF(Tableau1[mar.2326],"="&amp;"PTRI")</f>
        <v>0</v>
      </c>
      <c r="IA48" s="291">
        <f>COUNTIF(Tableau1[mer.2427],"="&amp;"ECH")+COUNTIF(Tableau1[mer.2427],"="&amp;"PTRI")</f>
        <v>0</v>
      </c>
      <c r="IB48" s="291">
        <f>COUNTIF(Tableau1[jeu.2528],"="&amp;"ECH")+COUNTIF(Tableau1[jeu.2528],"="&amp;"PTRI")</f>
        <v>0</v>
      </c>
      <c r="IC48" s="291">
        <f>COUNTIF(Tableau1[ven.2629],"="&amp;"ECH")+COUNTIF(Tableau1[ven.2629],"="&amp;"PTRI")</f>
        <v>0</v>
      </c>
      <c r="ID48" s="232">
        <f>AVERAGE(HY48:IC48)</f>
        <v>0</v>
      </c>
      <c r="IE48" s="291">
        <f>COUNTIF(Tableau1[dim.2831],"="&amp;"ECH")+COUNTIF(Tableau1[dim.2831],"="&amp;"PTRI")</f>
        <v>0</v>
      </c>
      <c r="IF48" s="291">
        <f>COUNTIF(Tableau1[lun.2932],"="&amp;"ECH")+COUNTIF(Tableau1[lun.2932],"="&amp;"PTRI")</f>
        <v>0</v>
      </c>
      <c r="IG48" s="291">
        <f>COUNTIF(Tableau1[mar.3033],"="&amp;"ECH")+COUNTIF(Tableau1[mar.3033],"="&amp;"PTRI")</f>
        <v>0</v>
      </c>
      <c r="IH48" s="291">
        <f>COUNTIF(Tableau1[mer.3134],"="&amp;"ECH")+COUNTIF(Tableau1[mer.3134],"="&amp;"PTRI")</f>
        <v>0</v>
      </c>
      <c r="II48" s="291">
        <f>COUNTIF(Tableau1[jeu.0135],"="&amp;"ECH")+COUNTIF(Tableau1[jeu.0135],"="&amp;"PTRI")</f>
        <v>0</v>
      </c>
      <c r="IJ48" s="291">
        <f>COUNTIF(Tableau1[ven.0236],"="&amp;"ECH")+COUNTIF(Tableau1[ven.0236],"="&amp;"PTRI")</f>
        <v>0</v>
      </c>
      <c r="IK48" s="232">
        <f>AVERAGE(IF48:IJ48)</f>
        <v>0</v>
      </c>
      <c r="IL48" s="291">
        <f>COUNTIF(Tableau1[dim.0438],"="&amp;"ECH")+COUNTIF(Tableau1[dim.0438],"="&amp;"PTRI")</f>
        <v>0</v>
      </c>
      <c r="IM48" s="291">
        <f>COUNTIF(Tableau1[lun.0539],"="&amp;"ECH")+COUNTIF(Tableau1[lun.0539],"="&amp;"PTRI")</f>
        <v>0</v>
      </c>
      <c r="IN48" s="291">
        <f>COUNTIF(Tableau1[mar.0640],"="&amp;"ECH")+COUNTIF(Tableau1[mar.0640],"="&amp;"PTRI")</f>
        <v>0</v>
      </c>
      <c r="IO48" s="291">
        <f>COUNTIF(Tableau1[mer.0741],"="&amp;"ECH")+COUNTIF(Tableau1[mer.0741],"="&amp;"PTRI")</f>
        <v>0</v>
      </c>
      <c r="IP48" s="291">
        <f>COUNTIF(Tableau1[jeu.0842],"="&amp;"ECH")+COUNTIF(Tableau1[jeu.0842],"="&amp;"PTRI")</f>
        <v>0</v>
      </c>
      <c r="IQ48" s="291">
        <f>COUNTIF(Tableau1[ven.0943],"="&amp;"ECH")+COUNTIF(Tableau1[ven.0943],"="&amp;"PTRI")</f>
        <v>0</v>
      </c>
      <c r="IR48" s="232">
        <f>AVERAGE(IM48:IQ48)</f>
        <v>0</v>
      </c>
      <c r="IS48" s="291">
        <f>COUNTIF(Tableau1[dim.1145],"="&amp;"ECH")+COUNTIF(Tableau1[dim.1145],"="&amp;"PTRI")</f>
        <v>0</v>
      </c>
      <c r="IT48" s="291">
        <f>COUNTIF(Tableau1[lun.1246],"="&amp;"ECH")+COUNTIF(Tableau1[lun.1246],"="&amp;"PTRI")</f>
        <v>0</v>
      </c>
      <c r="IU48" s="291">
        <f>COUNTIF(Tableau1[mar.1347],"="&amp;"ECH")+COUNTIF(Tableau1[mar.1347],"="&amp;"PTRI")</f>
        <v>0</v>
      </c>
      <c r="IV48" s="291">
        <f>COUNTIF(Tableau1[mer.1448],"="&amp;"ECH")+COUNTIF(Tableau1[mer.1448],"="&amp;"PTRI")</f>
        <v>0</v>
      </c>
      <c r="IW48" s="291">
        <f>COUNTIF(Tableau1[jeu.1549],"="&amp;"ECH")+COUNTIF(Tableau1[jeu.1549],"="&amp;"PTRI")</f>
        <v>0</v>
      </c>
      <c r="IX48" s="291">
        <f>COUNTIF(Tableau1[ven.1650],"="&amp;"ECH")+COUNTIF(Tableau1[ven.1650],"="&amp;"PTRI")</f>
        <v>0</v>
      </c>
      <c r="IY48" s="232">
        <f>AVERAGE(IT48:IX48)</f>
        <v>0</v>
      </c>
      <c r="IZ48" s="291">
        <f>COUNTIF(Tableau1[dim.1852],"="&amp;"ECH")+COUNTIF(Tableau1[dim.1852],"="&amp;"PTRI")</f>
        <v>0</v>
      </c>
      <c r="JA48" s="291">
        <f>COUNTIF(Tableau1[lun.1953],"="&amp;"ECH")+COUNTIF(Tableau1[lun.1953],"="&amp;"PTRI")</f>
        <v>0</v>
      </c>
      <c r="JB48" s="291">
        <f>COUNTIF(Tableau1[mar.2054],"="&amp;"ECH")+COUNTIF(Tableau1[mar.2054],"="&amp;"PTRI")</f>
        <v>0</v>
      </c>
      <c r="JC48" s="291">
        <f>COUNTIF(Tableau1[mer.2155],"="&amp;"ECH")+COUNTIF(Tableau1[mer.2155],"="&amp;"PTRI")</f>
        <v>0</v>
      </c>
      <c r="JD48" s="291">
        <f>COUNTIF(Tableau1[jeu.2256],"="&amp;"ECH")+COUNTIF(Tableau1[jeu.2256],"="&amp;"PTRI")</f>
        <v>0</v>
      </c>
      <c r="JE48" s="291">
        <f>COUNTIF(Tableau1[ven.2357],"="&amp;"ECH")+COUNTIF(Tableau1[ven.2357],"="&amp;"PTRI")</f>
        <v>0</v>
      </c>
      <c r="JF48" s="232">
        <f>AVERAGE(JA48:JE48)</f>
        <v>0</v>
      </c>
      <c r="JG48" s="291">
        <f>COUNTIF(Tableau1[dim.2559],"="&amp;"ECH")+COUNTIF(Tableau1[dim.2559],"="&amp;"PTRI")</f>
        <v>0</v>
      </c>
      <c r="JH48" s="291">
        <f>COUNTIF(Tableau1[lun.2660],"="&amp;"ECH")+COUNTIF(Tableau1[lun.2660],"="&amp;"PTRI")</f>
        <v>0</v>
      </c>
      <c r="JI48" s="291">
        <f>COUNTIF(Tableau1[mar.2761],"="&amp;"ECH")+COUNTIF(Tableau1[mar.2761],"="&amp;"PTRI")</f>
        <v>0</v>
      </c>
      <c r="JJ48" s="291">
        <f>COUNTIF(Tableau1[mer.2862],"="&amp;"ECH")+COUNTIF(Tableau1[mer.2862],"="&amp;"PTRI")</f>
        <v>0</v>
      </c>
      <c r="JK48" s="291">
        <f>COUNTIF(Tableau1[jeu.2963],"="&amp;"ECH")+COUNTIF(Tableau1[jeu.2963],"="&amp;"PTRI")</f>
        <v>0</v>
      </c>
      <c r="JL48" s="291">
        <f>COUNTIF(Tableau1[ven.3064],"="&amp;"ECH")+COUNTIF(Tableau1[ven.3064],"="&amp;"PTRI")</f>
        <v>0</v>
      </c>
      <c r="JM48" s="232">
        <f>AVERAGE(JH48:JL48)</f>
        <v>0</v>
      </c>
      <c r="JN48" s="291">
        <f>COUNTIF(Tableau1[dim.0166],"="&amp;"ECH")+COUNTIF(Tableau1[dim.0166],"="&amp;"PTRI")</f>
        <v>0</v>
      </c>
      <c r="JO48" s="291">
        <f>COUNTIF(Tableau1[lun.0267],"="&amp;"ECH")+COUNTIF(Tableau1[lun.0267],"="&amp;"PTRI")</f>
        <v>0</v>
      </c>
      <c r="JP48" s="291">
        <f>COUNTIF(Tableau1[mar.0368],"="&amp;"ECH")+COUNTIF(Tableau1[mar.0368],"="&amp;"PTRI")</f>
        <v>0</v>
      </c>
      <c r="JQ48" s="291">
        <f>COUNTIF(Tableau1[mer.0469],"="&amp;"ECH")+COUNTIF(Tableau1[mer.0469],"="&amp;"PTRI")</f>
        <v>0</v>
      </c>
      <c r="JR48" s="291">
        <f>COUNTIF(Tableau1[jeu.0570],"="&amp;"ECH")+COUNTIF(Tableau1[jeu.0570],"="&amp;"PTRI")</f>
        <v>0</v>
      </c>
      <c r="JS48" s="291">
        <f>COUNTIF(Tableau1[ven.0671],"="&amp;"ECH")+COUNTIF(Tableau1[ven.0671],"="&amp;"PTRI")</f>
        <v>0</v>
      </c>
      <c r="JT48" s="232">
        <f>AVERAGE(JO48:JS48)</f>
        <v>0</v>
      </c>
      <c r="JU48" s="291">
        <f>COUNTIF(Tableau1[dim.0873],"="&amp;"ECH")+COUNTIF(Tableau1[dim.0873],"="&amp;"PTRI")</f>
        <v>0</v>
      </c>
      <c r="JV48" s="291">
        <f>COUNTIF(Tableau1[lun.0974],"="&amp;"ECH")+COUNTIF(Tableau1[lun.0974],"="&amp;"PTRI")</f>
        <v>0</v>
      </c>
      <c r="JW48" s="291">
        <f>COUNTIF(Tableau1[mar.1075],"="&amp;"ECH")+COUNTIF(Tableau1[mar.1075],"="&amp;"PTRI")</f>
        <v>0</v>
      </c>
      <c r="JX48" s="291">
        <f>COUNTIF(Tableau1[mer.1176],"="&amp;"ECH")+COUNTIF(Tableau1[mer.1176],"="&amp;"PTRI")</f>
        <v>0</v>
      </c>
      <c r="JY48" s="291">
        <f>COUNTIF(Tableau1[jeu.1277],"="&amp;"ECH")+COUNTIF(Tableau1[jeu.1277],"="&amp;"PTRI")</f>
        <v>0</v>
      </c>
      <c r="JZ48" s="291">
        <f>COUNTIF(Tableau1[ven.1378],"="&amp;"ECH")+COUNTIF(Tableau1[ven.1378],"="&amp;"PTRI")</f>
        <v>0</v>
      </c>
      <c r="KA48" s="232">
        <f>AVERAGE(JV48:JZ48)</f>
        <v>0</v>
      </c>
      <c r="KB48" s="291">
        <f>COUNTIF(Tableau1[dim.1580],"="&amp;"ECH")+COUNTIF(Tableau1[dim.1580],"="&amp;"PTRI")</f>
        <v>0</v>
      </c>
      <c r="KC48" s="291">
        <f>COUNTIF(Tableau1[lun.1681],"="&amp;"ECH")+COUNTIF(Tableau1[lun.1681],"="&amp;"PTRI")</f>
        <v>0</v>
      </c>
      <c r="KD48" s="291">
        <f>COUNTIF(Tableau1[mar.1782],"="&amp;"ECH")+COUNTIF(Tableau1[mar.1782],"="&amp;"PTRI")</f>
        <v>0</v>
      </c>
      <c r="KE48" s="291">
        <f>COUNTIF(Tableau1[mer.1883],"="&amp;"ECH")+COUNTIF(Tableau1[mer.1883],"="&amp;"PTRI")</f>
        <v>0</v>
      </c>
      <c r="KF48" s="291">
        <f>COUNTIF(Tableau1[jeu.1984],"="&amp;"ECH")+COUNTIF(Tableau1[jeu.1984],"="&amp;"PTRI")</f>
        <v>0</v>
      </c>
      <c r="KG48" s="291">
        <f>COUNTIF(Tableau1[ven.2085],"="&amp;"ECH")+COUNTIF(Tableau1[ven.2085],"="&amp;"PTRI")</f>
        <v>0</v>
      </c>
      <c r="KH48" s="232">
        <f>AVERAGE(KC48:KG48)</f>
        <v>0</v>
      </c>
      <c r="KI48" s="291">
        <f>COUNTIF(Tableau1[dim.2287],"="&amp;"ECH")+COUNTIF(Tableau1[dim.2287],"="&amp;"PTRI")</f>
        <v>0</v>
      </c>
      <c r="KJ48" s="291">
        <f>COUNTIF(Tableau1[lun.2388],"="&amp;"ECH")+COUNTIF(Tableau1[lun.2388],"="&amp;"PTRI")</f>
        <v>0</v>
      </c>
      <c r="KK48" s="291">
        <f>COUNTIF(Tableau1[mar.2489],"="&amp;"ECH")+COUNTIF(Tableau1[mar.2489],"="&amp;"PTRI")</f>
        <v>0</v>
      </c>
      <c r="KL48" s="291">
        <f>COUNTIF(Tableau1[mer.2590],"="&amp;"ECH")+COUNTIF(Tableau1[mer.2590],"="&amp;"PTRI")</f>
        <v>0</v>
      </c>
      <c r="KM48" s="291">
        <f>COUNTIF(Tableau1[jeu.2691],"="&amp;"ECH")+COUNTIF(Tableau1[jeu.2691],"="&amp;"PTRI")</f>
        <v>0</v>
      </c>
      <c r="KN48" s="291">
        <f>COUNTIF(Tableau1[ven.2792],"="&amp;"ECH")+COUNTIF(Tableau1[ven.2792],"="&amp;"PTRI")</f>
        <v>0</v>
      </c>
      <c r="KO48" s="232">
        <f>AVERAGE(KJ48:KN48)</f>
        <v>0</v>
      </c>
      <c r="KP48" s="291">
        <f>COUNTIF(Tableau1[dim.2994],"="&amp;"ECH")+COUNTIF(Tableau1[dim.2994],"="&amp;"PTRI")</f>
        <v>0</v>
      </c>
      <c r="KQ48" s="291">
        <f>COUNTIF(Tableau1[lun.3095],"="&amp;"ECH")+COUNTIF(Tableau1[lun.3095],"="&amp;"PTRI")</f>
        <v>0</v>
      </c>
      <c r="KR48" s="291">
        <f>COUNTIF(Tableau1[mar.0196],"="&amp;"ECH")+COUNTIF(Tableau1[mar.0196],"="&amp;"PTRI")</f>
        <v>0</v>
      </c>
      <c r="KS48" s="291">
        <f>COUNTIF(Tableau1[mer.0297],"="&amp;"ECH")+COUNTIF(Tableau1[mer.0297],"="&amp;"PTRI")</f>
        <v>0</v>
      </c>
      <c r="KT48" s="291">
        <f>COUNTIF(Tableau1[jeu.0398],"="&amp;"ECH")+COUNTIF(Tableau1[jeu.0398],"="&amp;"PTRI")</f>
        <v>0</v>
      </c>
      <c r="KU48" s="291">
        <f>COUNTIF(Tableau1[ven.0499],"="&amp;"ECH")+COUNTIF(Tableau1[ven.0499],"="&amp;"PTRI")</f>
        <v>0</v>
      </c>
      <c r="KV48" s="232">
        <f>AVERAGE(KQ48:KU48)</f>
        <v>0</v>
      </c>
      <c r="KW48" s="291">
        <f>COUNTIF(Tableau1[dim.06101],"="&amp;"ECH")+COUNTIF(Tableau1[dim.06101],"="&amp;"PTRI")</f>
        <v>0</v>
      </c>
      <c r="KX48" s="291">
        <f>COUNTIF(Tableau1[lun.07102],"="&amp;"ECH")+COUNTIF(Tableau1[lun.07102],"="&amp;"PTRI")</f>
        <v>0</v>
      </c>
      <c r="KY48" s="291">
        <f>COUNTIF(Tableau1[mar.08103],"="&amp;"ECH")+COUNTIF(Tableau1[mar.08103],"="&amp;"PTRI")</f>
        <v>0</v>
      </c>
      <c r="KZ48" s="291">
        <f>COUNTIF(Tableau1[mer.09104],"="&amp;"ECH")+COUNTIF(Tableau1[mer.09104],"="&amp;"PTRI")</f>
        <v>0</v>
      </c>
      <c r="LA48" s="291">
        <f>COUNTIF(Tableau1[jeu.10105],"="&amp;"ECH")+COUNTIF(Tableau1[jeu.10105],"="&amp;"PTRI")</f>
        <v>0</v>
      </c>
      <c r="LB48" s="291">
        <f>COUNTIF(Tableau1[ven.11106],"="&amp;"ECH")+COUNTIF(Tableau1[ven.11106],"="&amp;"PTRI")</f>
        <v>0</v>
      </c>
      <c r="LC48" s="232">
        <f>AVERAGE(KX48:LB48)</f>
        <v>0</v>
      </c>
      <c r="LD48" s="291">
        <f>COUNTIF(Tableau1[dim.13108],"="&amp;"ECH")+COUNTIF(Tableau1[dim.13108],"="&amp;"PTRI")</f>
        <v>0</v>
      </c>
      <c r="LE48" s="291">
        <f>COUNTIF(Tableau1[lun.14109],"="&amp;"ECH")+COUNTIF(Tableau1[lun.14109],"="&amp;"PTRI")</f>
        <v>0</v>
      </c>
      <c r="LF48" s="291">
        <f>COUNTIF(Tableau1[mar.15110],"="&amp;"ECH")+COUNTIF(Tableau1[mar.15110],"="&amp;"PTRI")</f>
        <v>0</v>
      </c>
      <c r="LG48" s="291">
        <f>COUNTIF(Tableau1[mer.16111],"="&amp;"ECH")+COUNTIF(Tableau1[mer.16111],"="&amp;"PTRI")</f>
        <v>0</v>
      </c>
      <c r="LH48" s="291">
        <f>COUNTIF(Tableau1[jeu.17112],"="&amp;"ECH")+COUNTIF(Tableau1[jeu.17112],"="&amp;"PTRI")</f>
        <v>0</v>
      </c>
      <c r="LI48" s="291">
        <f>COUNTIF(Tableau1[ven.18113],"="&amp;"ECH")+COUNTIF(Tableau1[ven.18113],"="&amp;"PTRI")</f>
        <v>0</v>
      </c>
      <c r="LJ48" s="232">
        <f>AVERAGE(LE48:LI48)</f>
        <v>0</v>
      </c>
      <c r="LK48" s="291">
        <f>COUNTIF(Tableau1[dim.20115],"="&amp;"ECH")+COUNTIF(Tableau1[dim.20115],"="&amp;"PTRI")</f>
        <v>0</v>
      </c>
      <c r="LL48" s="291">
        <f>COUNTIF(Tableau1[lun.21116],"="&amp;"ECH")+COUNTIF(Tableau1[lun.21116],"="&amp;"PTRI")</f>
        <v>0</v>
      </c>
      <c r="LM48" s="291">
        <f>COUNTIF(Tableau1[mar.22117],"="&amp;"ECH")+COUNTIF(Tableau1[mar.22117],"="&amp;"PTRI")</f>
        <v>0</v>
      </c>
      <c r="LN48" s="291">
        <f>COUNTIF(Tableau1[mer.23118],"="&amp;"ECH")+COUNTIF(Tableau1[mer.23118],"="&amp;"PTRI")</f>
        <v>0</v>
      </c>
      <c r="LO48" s="291">
        <f>COUNTIF(Tableau1[jeu.24119],"="&amp;"ECH")+COUNTIF(Tableau1[jeu.24119],"="&amp;"PTRI")</f>
        <v>0</v>
      </c>
      <c r="LP48" s="291">
        <f>COUNTIF(Tableau1[ven.25120],"="&amp;"ECH")+COUNTIF(Tableau1[ven.25120],"="&amp;"PTRI")</f>
        <v>0</v>
      </c>
      <c r="LQ48" s="232">
        <f>AVERAGE(LL48:LP48)</f>
        <v>0</v>
      </c>
      <c r="LR48" s="291">
        <f>COUNTIF(Tableau1[dim.27122],"="&amp;"ECH")+COUNTIF(Tableau1[dim.27122],"="&amp;"PTRI")</f>
        <v>0</v>
      </c>
      <c r="LS48" s="291">
        <f>COUNTIF(Tableau1[lun.28123],"="&amp;"ECH")+COUNTIF(Tableau1[lun.28123],"="&amp;"PTRI")</f>
        <v>0</v>
      </c>
      <c r="LT48" s="291">
        <f>COUNTIF(Tableau1[mar.29124],"="&amp;"ECH")+COUNTIF(Tableau1[mar.29124],"="&amp;"PTRI")</f>
        <v>0</v>
      </c>
      <c r="LU48" s="291">
        <f>COUNTIF(Tableau1[mer.30125],"="&amp;"ECH")+COUNTIF(Tableau1[mer.30125],"="&amp;"PTRI")</f>
        <v>0</v>
      </c>
      <c r="LV48" s="291">
        <f>COUNTIF(Tableau1[jeu.31126],"="&amp;"ECH")+COUNTIF(Tableau1[jeu.31126],"="&amp;"PTRI")</f>
        <v>0</v>
      </c>
      <c r="LW48" s="291">
        <f>COUNTIF(Tableau1[ven.01127],"="&amp;"ECH")+COUNTIF(Tableau1[ven.01127],"="&amp;"PTRI")</f>
        <v>0</v>
      </c>
      <c r="LX48" s="232">
        <f>AVERAGE(LS48:LW48)</f>
        <v>0</v>
      </c>
      <c r="LY48" s="291">
        <f>COUNTIF(Tableau1[dim.03129],"="&amp;"ECH")+COUNTIF(Tableau1[dim.03129],"="&amp;"PTRI")</f>
        <v>0</v>
      </c>
      <c r="LZ48" s="291">
        <f>COUNTIF(Tableau1[lun.04130],"="&amp;"ECH")+COUNTIF(Tableau1[lun.04130],"="&amp;"PTRI")</f>
        <v>0</v>
      </c>
      <c r="MA48" s="291">
        <f>COUNTIF(Tableau1[mar.05131],"="&amp;"ECH")+COUNTIF(Tableau1[mar.05131],"="&amp;"PTRI")</f>
        <v>0</v>
      </c>
      <c r="MB48" s="291">
        <f>COUNTIF(Tableau1[mer.06132],"="&amp;"ECH")+COUNTIF(Tableau1[mer.06132],"="&amp;"PTRI")</f>
        <v>0</v>
      </c>
      <c r="MC48" s="291">
        <f>COUNTIF(Tableau1[jeu.07133],"="&amp;"ECH")+COUNTIF(Tableau1[jeu.07133],"="&amp;"PTRI")</f>
        <v>0</v>
      </c>
      <c r="MD48" s="291">
        <f>COUNTIF(Tableau1[ven.08134],"="&amp;"ECH")+COUNTIF(Tableau1[ven.08134],"="&amp;"PTRI")</f>
        <v>0</v>
      </c>
      <c r="ME48" s="232">
        <f>AVERAGE(LZ48:MD48)</f>
        <v>0</v>
      </c>
      <c r="MF48" s="291">
        <f>COUNTIF(Tableau1[dim.10136],"="&amp;"ECH")+COUNTIF(Tableau1[dim.10136],"="&amp;"PTRI")</f>
        <v>0</v>
      </c>
      <c r="MG48" s="291">
        <f>COUNTIF(Tableau1[lun.11137],"="&amp;"ECH")+COUNTIF(Tableau1[lun.11137],"="&amp;"PTRI")</f>
        <v>0</v>
      </c>
      <c r="MH48" s="291">
        <f>COUNTIF(Tableau1[mar.12138],"="&amp;"ECH")+COUNTIF(Tableau1[mar.12138],"="&amp;"PTRI")</f>
        <v>0</v>
      </c>
      <c r="MI48" s="291">
        <f>COUNTIF(Tableau1[mer.13139],"="&amp;"ECH")+COUNTIF(Tableau1[mer.13139],"="&amp;"PTRI")</f>
        <v>0</v>
      </c>
      <c r="MJ48" s="291">
        <f>COUNTIF(Tableau1[jeu.14140],"="&amp;"ECH")+COUNTIF(Tableau1[jeu.14140],"="&amp;"PTRI")</f>
        <v>0</v>
      </c>
      <c r="MK48" s="291">
        <f>COUNTIF(Tableau1[ven.15141],"="&amp;"ECH")+COUNTIF(Tableau1[ven.15141],"="&amp;"PTRI")</f>
        <v>0</v>
      </c>
      <c r="ML48" s="232">
        <f>AVERAGE(MG48:MK48)</f>
        <v>0</v>
      </c>
      <c r="MM48" s="291">
        <f>COUNTIF(Tableau1[dim.17143],"="&amp;"ECH")+COUNTIF(Tableau1[dim.17143],"="&amp;"PTRI")</f>
        <v>0</v>
      </c>
      <c r="MN48" s="291">
        <f>COUNTIF(Tableau1[lun.18144],"="&amp;"ECH")+COUNTIF(Tableau1[lun.18144],"="&amp;"PTRI")</f>
        <v>0</v>
      </c>
      <c r="MO48" s="291">
        <f>COUNTIF(Tableau1[mar.19145],"="&amp;"ECH")+COUNTIF(Tableau1[mar.19145],"="&amp;"PTRI")</f>
        <v>0</v>
      </c>
      <c r="MP48" s="291">
        <f>COUNTIF(Tableau1[mer.20146],"="&amp;"ECH")+COUNTIF(Tableau1[mer.20146],"="&amp;"PTRI")</f>
        <v>0</v>
      </c>
      <c r="MQ48" s="291">
        <f>COUNTIF(Tableau1[jeu.21147],"="&amp;"ECH")+COUNTIF(Tableau1[jeu.21147],"="&amp;"PTRI")</f>
        <v>0</v>
      </c>
      <c r="MR48" s="291">
        <f>COUNTIF(Tableau1[ven.22148],"="&amp;"ECH")+COUNTIF(Tableau1[ven.22148],"="&amp;"PTRI")</f>
        <v>0</v>
      </c>
      <c r="MS48" s="232">
        <f>AVERAGE(MN48:MR48)</f>
        <v>0</v>
      </c>
      <c r="MT48" s="291">
        <f>COUNTIF(Tableau1[dim.24150],"="&amp;"ECH")+COUNTIF(Tableau1[dim.24150],"="&amp;"PTRI")</f>
        <v>0</v>
      </c>
      <c r="MU48" s="291">
        <f>COUNTIF(Tableau1[lun.25151],"="&amp;"ECH")+COUNTIF(Tableau1[lun.25151],"="&amp;"PTRI")</f>
        <v>0</v>
      </c>
      <c r="MV48" s="291">
        <f>COUNTIF(Tableau1[mar.26152],"="&amp;"ECH")+COUNTIF(Tableau1[mar.26152],"="&amp;"PTRI")</f>
        <v>0</v>
      </c>
      <c r="MW48" s="291">
        <f>COUNTIF(Tableau1[mer.27153],"="&amp;"ECH")+COUNTIF(Tableau1[mer.27153],"="&amp;"PTRI")</f>
        <v>0</v>
      </c>
      <c r="MX48" s="291">
        <f>COUNTIF(Tableau1[jeu.28154],"="&amp;"ECH")+COUNTIF(Tableau1[jeu.28154],"="&amp;"PTRI")</f>
        <v>0</v>
      </c>
      <c r="MY48" s="291">
        <f>COUNTIF(Tableau1[ven.29155],"="&amp;"ECH")+COUNTIF(Tableau1[ven.29155],"="&amp;"PTRI")</f>
        <v>0</v>
      </c>
      <c r="MZ48" s="232">
        <f>AVERAGE(MU48:MY48)</f>
        <v>0</v>
      </c>
      <c r="NA48" s="291">
        <f>COUNTIF(Tableau1[dim.012157],"="&amp;"ECH")+COUNTIF(Tableau1[dim.012157],"="&amp;"PTRI")</f>
        <v>0</v>
      </c>
      <c r="NB48" s="291">
        <f>COUNTIF(Tableau1[lun.023158],"="&amp;"ECH")+COUNTIF(Tableau1[lun.023158],"="&amp;"PTRI")</f>
        <v>0</v>
      </c>
      <c r="NC48" s="291">
        <f>COUNTIF(Tableau1[mar.034159],"="&amp;"ECH")+COUNTIF(Tableau1[mar.034159],"="&amp;"PTRI")</f>
        <v>0</v>
      </c>
      <c r="ND48" s="291">
        <f>COUNTIF(Tableau1[mer.045160],"="&amp;"ECH")+COUNTIF(Tableau1[mer.045160],"="&amp;"PTRI")</f>
        <v>0</v>
      </c>
      <c r="NE48" s="291">
        <f>COUNTIF(Tableau1[jeu.056161],"="&amp;"ECH")+COUNTIF(Tableau1[jeu.056161],"="&amp;"PTRI")</f>
        <v>0</v>
      </c>
      <c r="NF48" s="291">
        <f>COUNTIF(Tableau1[ven.067162],"="&amp;"ECH")+COUNTIF(Tableau1[ven.067162],"="&amp;"PTRI")</f>
        <v>0</v>
      </c>
      <c r="NG48" s="232">
        <f>AVERAGE(NB48:NF48)</f>
        <v>0</v>
      </c>
      <c r="NH48" s="291">
        <f>COUNTIF(Tableau1[dim.089164],"="&amp;"ECH")+COUNTIF(Tableau1[dim.089164],"="&amp;"PTRI")</f>
        <v>0</v>
      </c>
      <c r="NI48" s="291">
        <f>COUNTIF(Tableau1[lun.0910165],"="&amp;"ECH")+COUNTIF(Tableau1[lun.0910165],"="&amp;"PTRI")</f>
        <v>0</v>
      </c>
      <c r="NJ48" s="291">
        <f>COUNTIF(Tableau1[mar.1011166],"="&amp;"ECH")+COUNTIF(Tableau1[mar.1011166],"="&amp;"PTRI")</f>
        <v>0</v>
      </c>
      <c r="NK48" s="291">
        <f>COUNTIF(Tableau1[mer.1112167],"="&amp;"ECH")+COUNTIF(Tableau1[mer.1112167],"="&amp;"PTRI")</f>
        <v>0</v>
      </c>
      <c r="NL48" s="291">
        <f>COUNTIF(Tableau1[jeu.1213168],"="&amp;"ECH")+COUNTIF(Tableau1[jeu.1213168],"="&amp;"PTRI")</f>
        <v>0</v>
      </c>
      <c r="NM48" s="291">
        <f>COUNTIF(Tableau1[ven.1314169],"="&amp;"ECH")+COUNTIF(Tableau1[ven.1314169],"="&amp;"PTRI")</f>
        <v>0</v>
      </c>
      <c r="NN48" s="232">
        <f>AVERAGE(NI48:NM48)</f>
        <v>0</v>
      </c>
      <c r="NO48" s="291">
        <f>COUNTIF(Tableau1[dim.1516171],"="&amp;"ECH")+COUNTIF(Tableau1[dim.1516171],"="&amp;"PTRI")</f>
        <v>0</v>
      </c>
    </row>
    <row r="49" spans="8:379" ht="15" thickBot="1" x14ac:dyDescent="0.35">
      <c r="H49" s="214" t="s">
        <v>499</v>
      </c>
      <c r="I49" s="217">
        <f>I47*7</f>
        <v>259</v>
      </c>
      <c r="J49" s="211">
        <f>J47*7</f>
        <v>259</v>
      </c>
      <c r="K49" s="211">
        <f>K47*7</f>
        <v>259</v>
      </c>
      <c r="L49" s="211">
        <f>L47*7</f>
        <v>259</v>
      </c>
      <c r="M49" s="211">
        <f>M47*7</f>
        <v>259</v>
      </c>
      <c r="N49" s="233">
        <f>SUM(I49:M49)</f>
        <v>1295</v>
      </c>
      <c r="O49" s="211">
        <f>O47*35</f>
        <v>1365</v>
      </c>
      <c r="P49" s="211">
        <f>P47*7</f>
        <v>259</v>
      </c>
      <c r="Q49" s="211">
        <f t="shared" ref="Q49:X49" si="0">Q47*7</f>
        <v>259</v>
      </c>
      <c r="R49" s="211">
        <f t="shared" si="0"/>
        <v>259</v>
      </c>
      <c r="S49" s="211">
        <f t="shared" si="0"/>
        <v>259</v>
      </c>
      <c r="T49" s="211">
        <f t="shared" si="0"/>
        <v>259</v>
      </c>
      <c r="U49" s="233">
        <f>SUM(P49:T49)</f>
        <v>1295</v>
      </c>
      <c r="V49" s="211">
        <f t="shared" si="0"/>
        <v>273</v>
      </c>
      <c r="W49" s="211">
        <f t="shared" si="0"/>
        <v>245</v>
      </c>
      <c r="X49" s="211">
        <f t="shared" si="0"/>
        <v>245</v>
      </c>
      <c r="Y49" s="211">
        <f>Y47*7</f>
        <v>245</v>
      </c>
      <c r="Z49" s="211">
        <f>Z47*7</f>
        <v>245</v>
      </c>
      <c r="AA49" s="211">
        <f t="shared" ref="AA49:CL49" si="1">AA47*7</f>
        <v>245</v>
      </c>
      <c r="AB49" s="233">
        <f>SUM(W49:AA49)</f>
        <v>1225</v>
      </c>
      <c r="AC49" s="211">
        <f t="shared" si="1"/>
        <v>273</v>
      </c>
      <c r="AD49" s="211">
        <f t="shared" si="1"/>
        <v>245</v>
      </c>
      <c r="AE49" s="211">
        <f t="shared" si="1"/>
        <v>245</v>
      </c>
      <c r="AF49" s="211">
        <f t="shared" si="1"/>
        <v>245</v>
      </c>
      <c r="AG49" s="211">
        <f t="shared" si="1"/>
        <v>245</v>
      </c>
      <c r="AH49" s="211">
        <f t="shared" si="1"/>
        <v>245</v>
      </c>
      <c r="AI49" s="233">
        <f>SUM(AD49:AH49)</f>
        <v>1225</v>
      </c>
      <c r="AJ49" s="211">
        <f t="shared" si="1"/>
        <v>273</v>
      </c>
      <c r="AK49" s="211">
        <f t="shared" si="1"/>
        <v>245</v>
      </c>
      <c r="AL49" s="211">
        <f t="shared" si="1"/>
        <v>245</v>
      </c>
      <c r="AM49" s="211">
        <f t="shared" si="1"/>
        <v>245</v>
      </c>
      <c r="AN49" s="211">
        <f t="shared" si="1"/>
        <v>245</v>
      </c>
      <c r="AO49" s="211">
        <f t="shared" si="1"/>
        <v>245</v>
      </c>
      <c r="AP49" s="233">
        <f>SUM(AK49:AO49)</f>
        <v>1225</v>
      </c>
      <c r="AQ49" s="211">
        <f t="shared" si="1"/>
        <v>273</v>
      </c>
      <c r="AR49" s="211">
        <f t="shared" si="1"/>
        <v>245</v>
      </c>
      <c r="AS49" s="211">
        <f t="shared" si="1"/>
        <v>245</v>
      </c>
      <c r="AT49" s="211">
        <f t="shared" si="1"/>
        <v>245</v>
      </c>
      <c r="AU49" s="211">
        <f t="shared" si="1"/>
        <v>245</v>
      </c>
      <c r="AV49" s="211">
        <f t="shared" si="1"/>
        <v>245</v>
      </c>
      <c r="AW49" s="233">
        <f>SUM(AR49:AV49)</f>
        <v>1225</v>
      </c>
      <c r="AX49" s="211">
        <f t="shared" si="1"/>
        <v>273</v>
      </c>
      <c r="AY49" s="211">
        <f t="shared" si="1"/>
        <v>238</v>
      </c>
      <c r="AZ49" s="211">
        <f t="shared" si="1"/>
        <v>238</v>
      </c>
      <c r="BA49" s="211">
        <f t="shared" si="1"/>
        <v>238</v>
      </c>
      <c r="BB49" s="211">
        <f t="shared" si="1"/>
        <v>231</v>
      </c>
      <c r="BC49" s="211">
        <f t="shared" si="1"/>
        <v>238</v>
      </c>
      <c r="BD49" s="233">
        <f>SUM(AY49:BC49)</f>
        <v>1183</v>
      </c>
      <c r="BE49" s="211">
        <f t="shared" si="1"/>
        <v>273</v>
      </c>
      <c r="BF49" s="211">
        <f t="shared" si="1"/>
        <v>238</v>
      </c>
      <c r="BG49" s="211">
        <f t="shared" si="1"/>
        <v>238</v>
      </c>
      <c r="BH49" s="211">
        <f t="shared" si="1"/>
        <v>238</v>
      </c>
      <c r="BI49" s="211">
        <f t="shared" si="1"/>
        <v>238</v>
      </c>
      <c r="BJ49" s="211">
        <f t="shared" si="1"/>
        <v>238</v>
      </c>
      <c r="BK49" s="233">
        <f>SUM(BF49:BJ49)</f>
        <v>1190</v>
      </c>
      <c r="BL49" s="211">
        <f t="shared" si="1"/>
        <v>273</v>
      </c>
      <c r="BM49" s="211">
        <f t="shared" si="1"/>
        <v>259</v>
      </c>
      <c r="BN49" s="211">
        <f t="shared" si="1"/>
        <v>259</v>
      </c>
      <c r="BO49" s="211">
        <f t="shared" si="1"/>
        <v>259</v>
      </c>
      <c r="BP49" s="211">
        <f t="shared" si="1"/>
        <v>259</v>
      </c>
      <c r="BQ49" s="211">
        <f t="shared" si="1"/>
        <v>259</v>
      </c>
      <c r="BR49" s="233">
        <f>SUM(BM49:BQ49)</f>
        <v>1295</v>
      </c>
      <c r="BS49" s="211">
        <f t="shared" si="1"/>
        <v>273</v>
      </c>
      <c r="BT49" s="211">
        <f t="shared" si="1"/>
        <v>252</v>
      </c>
      <c r="BU49" s="211">
        <f t="shared" si="1"/>
        <v>252</v>
      </c>
      <c r="BV49" s="211">
        <f t="shared" si="1"/>
        <v>252</v>
      </c>
      <c r="BW49" s="211">
        <f t="shared" si="1"/>
        <v>252</v>
      </c>
      <c r="BX49" s="211">
        <f t="shared" si="1"/>
        <v>252</v>
      </c>
      <c r="BY49" s="233">
        <f>SUM(BT49:BX49)</f>
        <v>1260</v>
      </c>
      <c r="BZ49" s="211">
        <f t="shared" si="1"/>
        <v>273</v>
      </c>
      <c r="CA49" s="211">
        <f t="shared" si="1"/>
        <v>245</v>
      </c>
      <c r="CB49" s="211">
        <f t="shared" si="1"/>
        <v>245</v>
      </c>
      <c r="CC49" s="211">
        <f t="shared" si="1"/>
        <v>245</v>
      </c>
      <c r="CD49" s="211">
        <f t="shared" si="1"/>
        <v>245</v>
      </c>
      <c r="CE49" s="211">
        <f t="shared" si="1"/>
        <v>245</v>
      </c>
      <c r="CF49" s="233">
        <f>SUM(CA49:CE49)</f>
        <v>1225</v>
      </c>
      <c r="CG49" s="211">
        <f t="shared" si="1"/>
        <v>273</v>
      </c>
      <c r="CH49" s="211">
        <f t="shared" si="1"/>
        <v>252</v>
      </c>
      <c r="CI49" s="211">
        <f t="shared" si="1"/>
        <v>252</v>
      </c>
      <c r="CJ49" s="211">
        <f t="shared" si="1"/>
        <v>252</v>
      </c>
      <c r="CK49" s="211">
        <f t="shared" si="1"/>
        <v>252</v>
      </c>
      <c r="CL49" s="211">
        <f t="shared" si="1"/>
        <v>252</v>
      </c>
      <c r="CM49" s="233">
        <f>SUM(CH49:CL49)</f>
        <v>1260</v>
      </c>
      <c r="CN49" s="211">
        <f t="shared" ref="CN49:EW49" si="2">CN47*7</f>
        <v>273</v>
      </c>
      <c r="CO49" s="211">
        <f t="shared" si="2"/>
        <v>245</v>
      </c>
      <c r="CP49" s="211">
        <f t="shared" si="2"/>
        <v>245</v>
      </c>
      <c r="CQ49" s="211">
        <f t="shared" si="2"/>
        <v>245</v>
      </c>
      <c r="CR49" s="211">
        <f t="shared" si="2"/>
        <v>245</v>
      </c>
      <c r="CS49" s="211">
        <f t="shared" si="2"/>
        <v>245</v>
      </c>
      <c r="CT49" s="233">
        <f>SUM(CO49:CS49)</f>
        <v>1225</v>
      </c>
      <c r="CU49" s="211">
        <f t="shared" si="2"/>
        <v>273</v>
      </c>
      <c r="CV49" s="211">
        <f t="shared" si="2"/>
        <v>245</v>
      </c>
      <c r="CW49" s="211">
        <f t="shared" si="2"/>
        <v>245</v>
      </c>
      <c r="CX49" s="211">
        <f t="shared" si="2"/>
        <v>245</v>
      </c>
      <c r="CY49" s="211">
        <f t="shared" si="2"/>
        <v>245</v>
      </c>
      <c r="CZ49" s="211">
        <f t="shared" si="2"/>
        <v>245</v>
      </c>
      <c r="DA49" s="233">
        <f>SUM(CV49:CZ49)</f>
        <v>1225</v>
      </c>
      <c r="DB49" s="211">
        <f t="shared" si="2"/>
        <v>273</v>
      </c>
      <c r="DC49" s="211">
        <f t="shared" si="2"/>
        <v>231</v>
      </c>
      <c r="DD49" s="211">
        <f t="shared" si="2"/>
        <v>231</v>
      </c>
      <c r="DE49" s="211">
        <f t="shared" si="2"/>
        <v>231</v>
      </c>
      <c r="DF49" s="211">
        <f t="shared" si="2"/>
        <v>231</v>
      </c>
      <c r="DG49" s="211">
        <f t="shared" si="2"/>
        <v>231</v>
      </c>
      <c r="DH49" s="233">
        <f>SUM(DC49:DG49)</f>
        <v>1155</v>
      </c>
      <c r="DI49" s="211">
        <f t="shared" si="2"/>
        <v>273</v>
      </c>
      <c r="DJ49" s="211">
        <f t="shared" si="2"/>
        <v>210</v>
      </c>
      <c r="DK49" s="211">
        <f t="shared" si="2"/>
        <v>210</v>
      </c>
      <c r="DL49" s="211">
        <f t="shared" si="2"/>
        <v>210</v>
      </c>
      <c r="DM49" s="211">
        <f t="shared" si="2"/>
        <v>210</v>
      </c>
      <c r="DN49" s="211">
        <f t="shared" si="2"/>
        <v>210</v>
      </c>
      <c r="DO49" s="233">
        <f>SUM(DJ49:DN49)</f>
        <v>1050</v>
      </c>
      <c r="DP49" s="211">
        <f t="shared" si="2"/>
        <v>273</v>
      </c>
      <c r="DQ49" s="211">
        <f t="shared" si="2"/>
        <v>70</v>
      </c>
      <c r="DR49" s="211">
        <f t="shared" si="2"/>
        <v>203</v>
      </c>
      <c r="DS49" s="211">
        <f t="shared" si="2"/>
        <v>210</v>
      </c>
      <c r="DT49" s="211">
        <f t="shared" si="2"/>
        <v>210</v>
      </c>
      <c r="DU49" s="211">
        <f t="shared" si="2"/>
        <v>210</v>
      </c>
      <c r="DV49" s="233">
        <f>SUM(DQ49:DU49)</f>
        <v>903</v>
      </c>
      <c r="DW49" s="211">
        <f t="shared" si="2"/>
        <v>273</v>
      </c>
      <c r="DX49" s="211">
        <f t="shared" si="2"/>
        <v>217</v>
      </c>
      <c r="DY49" s="211">
        <f t="shared" si="2"/>
        <v>217</v>
      </c>
      <c r="DZ49" s="211">
        <f t="shared" si="2"/>
        <v>217</v>
      </c>
      <c r="EA49" s="211">
        <f t="shared" si="2"/>
        <v>70</v>
      </c>
      <c r="EB49" s="211">
        <f t="shared" si="2"/>
        <v>217</v>
      </c>
      <c r="EC49" s="233">
        <f>SUM(DX49:EB49)</f>
        <v>938</v>
      </c>
      <c r="ED49" s="211">
        <f t="shared" si="2"/>
        <v>273</v>
      </c>
      <c r="EE49" s="211">
        <f t="shared" si="2"/>
        <v>203</v>
      </c>
      <c r="EF49" s="211">
        <f t="shared" si="2"/>
        <v>203</v>
      </c>
      <c r="EG49" s="211">
        <f t="shared" si="2"/>
        <v>203</v>
      </c>
      <c r="EH49" s="211">
        <f t="shared" si="2"/>
        <v>203</v>
      </c>
      <c r="EI49" s="211">
        <f t="shared" si="2"/>
        <v>203</v>
      </c>
      <c r="EJ49" s="233">
        <f>SUM(EE49:EI49)</f>
        <v>1015</v>
      </c>
      <c r="EK49" s="211">
        <f t="shared" si="2"/>
        <v>273</v>
      </c>
      <c r="EL49" s="211">
        <f t="shared" si="2"/>
        <v>217</v>
      </c>
      <c r="EM49" s="211">
        <f t="shared" si="2"/>
        <v>217</v>
      </c>
      <c r="EN49" s="211">
        <f t="shared" si="2"/>
        <v>224</v>
      </c>
      <c r="EO49" s="211">
        <f t="shared" si="2"/>
        <v>224</v>
      </c>
      <c r="EP49" s="211">
        <f t="shared" si="2"/>
        <v>224</v>
      </c>
      <c r="EQ49" s="233">
        <f>SUM(EL49:EP49)</f>
        <v>1106</v>
      </c>
      <c r="ER49" s="211">
        <f t="shared" si="2"/>
        <v>273</v>
      </c>
      <c r="ES49" s="211">
        <f t="shared" si="2"/>
        <v>217</v>
      </c>
      <c r="ET49" s="211">
        <f t="shared" si="2"/>
        <v>217</v>
      </c>
      <c r="EU49" s="211">
        <f t="shared" si="2"/>
        <v>217</v>
      </c>
      <c r="EV49" s="211">
        <f t="shared" si="2"/>
        <v>217</v>
      </c>
      <c r="EW49" s="211">
        <f t="shared" si="2"/>
        <v>217</v>
      </c>
      <c r="EX49" s="233">
        <f>SUM(ES49:EW49)</f>
        <v>1085</v>
      </c>
      <c r="EY49" s="211">
        <f t="shared" ref="EY49:HJ49" si="3">EY47*7</f>
        <v>273</v>
      </c>
      <c r="EZ49" s="211">
        <f t="shared" si="3"/>
        <v>203</v>
      </c>
      <c r="FA49" s="211">
        <f t="shared" si="3"/>
        <v>203</v>
      </c>
      <c r="FB49" s="211">
        <f t="shared" si="3"/>
        <v>203</v>
      </c>
      <c r="FC49" s="211">
        <f t="shared" si="3"/>
        <v>203</v>
      </c>
      <c r="FD49" s="211">
        <f t="shared" si="3"/>
        <v>203</v>
      </c>
      <c r="FE49" s="233">
        <f>SUM(EZ49:FD49)</f>
        <v>1015</v>
      </c>
      <c r="FF49" s="211">
        <f t="shared" si="3"/>
        <v>273</v>
      </c>
      <c r="FG49" s="211">
        <f t="shared" si="3"/>
        <v>231</v>
      </c>
      <c r="FH49" s="211">
        <f t="shared" si="3"/>
        <v>231</v>
      </c>
      <c r="FI49" s="211">
        <f t="shared" si="3"/>
        <v>231</v>
      </c>
      <c r="FJ49" s="211">
        <f t="shared" si="3"/>
        <v>231</v>
      </c>
      <c r="FK49" s="211">
        <f t="shared" si="3"/>
        <v>231</v>
      </c>
      <c r="FL49" s="233">
        <f>SUM(FG49:FK49)</f>
        <v>1155</v>
      </c>
      <c r="FM49" s="211">
        <f t="shared" si="3"/>
        <v>273</v>
      </c>
      <c r="FN49" s="211">
        <f t="shared" si="3"/>
        <v>63</v>
      </c>
      <c r="FO49" s="211">
        <f t="shared" si="3"/>
        <v>210</v>
      </c>
      <c r="FP49" s="211">
        <f t="shared" si="3"/>
        <v>210</v>
      </c>
      <c r="FQ49" s="211">
        <f t="shared" si="3"/>
        <v>210</v>
      </c>
      <c r="FR49" s="211">
        <f t="shared" si="3"/>
        <v>210</v>
      </c>
      <c r="FS49" s="233">
        <f>SUM(FN49:FR49)</f>
        <v>903</v>
      </c>
      <c r="FT49" s="211">
        <f t="shared" si="3"/>
        <v>273</v>
      </c>
      <c r="FU49" s="211">
        <f t="shared" si="3"/>
        <v>203</v>
      </c>
      <c r="FV49" s="211">
        <f t="shared" si="3"/>
        <v>203</v>
      </c>
      <c r="FW49" s="211">
        <f t="shared" si="3"/>
        <v>203</v>
      </c>
      <c r="FX49" s="211">
        <f t="shared" si="3"/>
        <v>203</v>
      </c>
      <c r="FY49" s="211">
        <f t="shared" si="3"/>
        <v>203</v>
      </c>
      <c r="FZ49" s="233">
        <f>SUM(FU49:FY49)</f>
        <v>1015</v>
      </c>
      <c r="GA49" s="211">
        <f t="shared" si="3"/>
        <v>273</v>
      </c>
      <c r="GB49" s="211">
        <f t="shared" si="3"/>
        <v>203</v>
      </c>
      <c r="GC49" s="211">
        <f t="shared" si="3"/>
        <v>203</v>
      </c>
      <c r="GD49" s="211">
        <f t="shared" si="3"/>
        <v>203</v>
      </c>
      <c r="GE49" s="211">
        <f t="shared" si="3"/>
        <v>203</v>
      </c>
      <c r="GF49" s="211">
        <f t="shared" si="3"/>
        <v>203</v>
      </c>
      <c r="GG49" s="233">
        <f>SUM(GB49:GF49)</f>
        <v>1015</v>
      </c>
      <c r="GH49" s="211">
        <f t="shared" si="3"/>
        <v>273</v>
      </c>
      <c r="GI49" s="211">
        <f t="shared" si="3"/>
        <v>203</v>
      </c>
      <c r="GJ49" s="211">
        <f t="shared" si="3"/>
        <v>203</v>
      </c>
      <c r="GK49" s="211">
        <f t="shared" si="3"/>
        <v>203</v>
      </c>
      <c r="GL49" s="211">
        <f t="shared" si="3"/>
        <v>203</v>
      </c>
      <c r="GM49" s="211">
        <f t="shared" si="3"/>
        <v>203</v>
      </c>
      <c r="GN49" s="233">
        <f>SUM(GI49:GM49)</f>
        <v>1015</v>
      </c>
      <c r="GO49" s="211">
        <f t="shared" si="3"/>
        <v>273</v>
      </c>
      <c r="GP49" s="211">
        <f t="shared" si="3"/>
        <v>196</v>
      </c>
      <c r="GQ49" s="211">
        <f t="shared" si="3"/>
        <v>196</v>
      </c>
      <c r="GR49" s="211">
        <f t="shared" si="3"/>
        <v>196</v>
      </c>
      <c r="GS49" s="211">
        <f t="shared" si="3"/>
        <v>196</v>
      </c>
      <c r="GT49" s="211">
        <f t="shared" si="3"/>
        <v>196</v>
      </c>
      <c r="GU49" s="233">
        <f>SUM(GP49:GT49)</f>
        <v>980</v>
      </c>
      <c r="GV49" s="211">
        <f t="shared" si="3"/>
        <v>273</v>
      </c>
      <c r="GW49" s="211">
        <f t="shared" si="3"/>
        <v>0</v>
      </c>
      <c r="GX49" s="211">
        <f t="shared" si="3"/>
        <v>210</v>
      </c>
      <c r="GY49" s="211">
        <f t="shared" si="3"/>
        <v>210</v>
      </c>
      <c r="GZ49" s="211">
        <f t="shared" si="3"/>
        <v>210</v>
      </c>
      <c r="HA49" s="211">
        <f t="shared" si="3"/>
        <v>210</v>
      </c>
      <c r="HB49" s="233">
        <f>SUM(GW49:HA49)</f>
        <v>840</v>
      </c>
      <c r="HC49" s="211">
        <f t="shared" si="3"/>
        <v>273</v>
      </c>
      <c r="HD49" s="211">
        <f t="shared" si="3"/>
        <v>203</v>
      </c>
      <c r="HE49" s="211">
        <f t="shared" si="3"/>
        <v>203</v>
      </c>
      <c r="HF49" s="211">
        <f t="shared" si="3"/>
        <v>203</v>
      </c>
      <c r="HG49" s="211">
        <f t="shared" si="3"/>
        <v>203</v>
      </c>
      <c r="HH49" s="211">
        <f t="shared" si="3"/>
        <v>203</v>
      </c>
      <c r="HI49" s="233">
        <f>SUM(HD49:HH49)</f>
        <v>1015</v>
      </c>
      <c r="HJ49" s="211">
        <f t="shared" si="3"/>
        <v>273</v>
      </c>
      <c r="HK49" s="211">
        <f t="shared" ref="HK49:JV49" si="4">HK47*7</f>
        <v>161</v>
      </c>
      <c r="HL49" s="211">
        <f t="shared" si="4"/>
        <v>161</v>
      </c>
      <c r="HM49" s="211">
        <f t="shared" si="4"/>
        <v>161</v>
      </c>
      <c r="HN49" s="211">
        <f t="shared" si="4"/>
        <v>161</v>
      </c>
      <c r="HO49" s="211">
        <f t="shared" si="4"/>
        <v>161</v>
      </c>
      <c r="HP49" s="233">
        <f>SUM(HK49:HO49)</f>
        <v>805</v>
      </c>
      <c r="HQ49" s="211">
        <f t="shared" si="4"/>
        <v>273</v>
      </c>
      <c r="HR49" s="211">
        <f t="shared" si="4"/>
        <v>161</v>
      </c>
      <c r="HS49" s="211">
        <f t="shared" si="4"/>
        <v>161</v>
      </c>
      <c r="HT49" s="211">
        <f t="shared" si="4"/>
        <v>161</v>
      </c>
      <c r="HU49" s="211">
        <f t="shared" si="4"/>
        <v>161</v>
      </c>
      <c r="HV49" s="211">
        <f t="shared" si="4"/>
        <v>161</v>
      </c>
      <c r="HW49" s="233">
        <f>SUM(HR49:HV49)</f>
        <v>805</v>
      </c>
      <c r="HX49" s="211">
        <f t="shared" si="4"/>
        <v>273</v>
      </c>
      <c r="HY49" s="211">
        <f t="shared" si="4"/>
        <v>175</v>
      </c>
      <c r="HZ49" s="211">
        <f t="shared" si="4"/>
        <v>175</v>
      </c>
      <c r="IA49" s="211">
        <f t="shared" si="4"/>
        <v>175</v>
      </c>
      <c r="IB49" s="211">
        <f t="shared" si="4"/>
        <v>175</v>
      </c>
      <c r="IC49" s="211">
        <f t="shared" si="4"/>
        <v>175</v>
      </c>
      <c r="ID49" s="233">
        <f>SUM(HY49:IC49)</f>
        <v>875</v>
      </c>
      <c r="IE49" s="211">
        <f t="shared" si="4"/>
        <v>273</v>
      </c>
      <c r="IF49" s="211">
        <f t="shared" si="4"/>
        <v>217</v>
      </c>
      <c r="IG49" s="211">
        <f t="shared" si="4"/>
        <v>217</v>
      </c>
      <c r="IH49" s="211">
        <f t="shared" si="4"/>
        <v>217</v>
      </c>
      <c r="II49" s="211">
        <f t="shared" si="4"/>
        <v>217</v>
      </c>
      <c r="IJ49" s="211">
        <f t="shared" si="4"/>
        <v>217</v>
      </c>
      <c r="IK49" s="233">
        <f>SUM(IF49:IJ49)</f>
        <v>1085</v>
      </c>
      <c r="IL49" s="211">
        <f t="shared" si="4"/>
        <v>273</v>
      </c>
      <c r="IM49" s="211">
        <f t="shared" si="4"/>
        <v>217</v>
      </c>
      <c r="IN49" s="211">
        <f t="shared" si="4"/>
        <v>217</v>
      </c>
      <c r="IO49" s="211">
        <f t="shared" si="4"/>
        <v>217</v>
      </c>
      <c r="IP49" s="211">
        <f t="shared" si="4"/>
        <v>217</v>
      </c>
      <c r="IQ49" s="211">
        <f t="shared" si="4"/>
        <v>217</v>
      </c>
      <c r="IR49" s="233">
        <f>SUM(IM49:IQ49)</f>
        <v>1085</v>
      </c>
      <c r="IS49" s="211">
        <f t="shared" si="4"/>
        <v>273</v>
      </c>
      <c r="IT49" s="211">
        <f t="shared" si="4"/>
        <v>217</v>
      </c>
      <c r="IU49" s="211">
        <f t="shared" si="4"/>
        <v>217</v>
      </c>
      <c r="IV49" s="211">
        <f t="shared" si="4"/>
        <v>224</v>
      </c>
      <c r="IW49" s="211">
        <f t="shared" si="4"/>
        <v>224</v>
      </c>
      <c r="IX49" s="211">
        <f t="shared" si="4"/>
        <v>224</v>
      </c>
      <c r="IY49" s="233">
        <f>SUM(IT49:IX49)</f>
        <v>1106</v>
      </c>
      <c r="IZ49" s="211">
        <f t="shared" si="4"/>
        <v>273</v>
      </c>
      <c r="JA49" s="211">
        <f t="shared" si="4"/>
        <v>224</v>
      </c>
      <c r="JB49" s="211">
        <f t="shared" si="4"/>
        <v>224</v>
      </c>
      <c r="JC49" s="211">
        <f t="shared" si="4"/>
        <v>224</v>
      </c>
      <c r="JD49" s="211">
        <f t="shared" si="4"/>
        <v>224</v>
      </c>
      <c r="JE49" s="211">
        <f t="shared" si="4"/>
        <v>224</v>
      </c>
      <c r="JF49" s="233">
        <f>SUM(JA49:JE49)</f>
        <v>1120</v>
      </c>
      <c r="JG49" s="211">
        <f t="shared" si="4"/>
        <v>273</v>
      </c>
      <c r="JH49" s="211">
        <f t="shared" si="4"/>
        <v>273</v>
      </c>
      <c r="JI49" s="211">
        <f t="shared" si="4"/>
        <v>273</v>
      </c>
      <c r="JJ49" s="211">
        <f t="shared" si="4"/>
        <v>273</v>
      </c>
      <c r="JK49" s="211">
        <f t="shared" si="4"/>
        <v>273</v>
      </c>
      <c r="JL49" s="211">
        <f t="shared" si="4"/>
        <v>273</v>
      </c>
      <c r="JM49" s="233">
        <f>SUM(JH49:JL49)</f>
        <v>1365</v>
      </c>
      <c r="JN49" s="211">
        <f t="shared" si="4"/>
        <v>273</v>
      </c>
      <c r="JO49" s="211">
        <f t="shared" si="4"/>
        <v>273</v>
      </c>
      <c r="JP49" s="211">
        <f t="shared" si="4"/>
        <v>273</v>
      </c>
      <c r="JQ49" s="211">
        <f t="shared" si="4"/>
        <v>273</v>
      </c>
      <c r="JR49" s="211">
        <f t="shared" si="4"/>
        <v>273</v>
      </c>
      <c r="JS49" s="211">
        <f t="shared" si="4"/>
        <v>273</v>
      </c>
      <c r="JT49" s="233">
        <f>SUM(JO49:JS49)</f>
        <v>1365</v>
      </c>
      <c r="JU49" s="211">
        <f t="shared" si="4"/>
        <v>273</v>
      </c>
      <c r="JV49" s="211">
        <f t="shared" si="4"/>
        <v>273</v>
      </c>
      <c r="JW49" s="211">
        <f t="shared" ref="JW49:MH49" si="5">JW47*7</f>
        <v>273</v>
      </c>
      <c r="JX49" s="211">
        <f t="shared" si="5"/>
        <v>273</v>
      </c>
      <c r="JY49" s="211">
        <f t="shared" si="5"/>
        <v>273</v>
      </c>
      <c r="JZ49" s="211">
        <f t="shared" si="5"/>
        <v>273</v>
      </c>
      <c r="KA49" s="233">
        <f>SUM(JV49:JZ49)</f>
        <v>1365</v>
      </c>
      <c r="KB49" s="211">
        <f t="shared" si="5"/>
        <v>273</v>
      </c>
      <c r="KC49" s="211">
        <f t="shared" si="5"/>
        <v>273</v>
      </c>
      <c r="KD49" s="211">
        <f t="shared" si="5"/>
        <v>273</v>
      </c>
      <c r="KE49" s="211">
        <f t="shared" si="5"/>
        <v>273</v>
      </c>
      <c r="KF49" s="211">
        <f t="shared" si="5"/>
        <v>273</v>
      </c>
      <c r="KG49" s="211">
        <f t="shared" si="5"/>
        <v>273</v>
      </c>
      <c r="KH49" s="233">
        <f>SUM(KC49:KG49)</f>
        <v>1365</v>
      </c>
      <c r="KI49" s="211">
        <f t="shared" si="5"/>
        <v>273</v>
      </c>
      <c r="KJ49" s="211">
        <f t="shared" si="5"/>
        <v>273</v>
      </c>
      <c r="KK49" s="211">
        <f t="shared" si="5"/>
        <v>273</v>
      </c>
      <c r="KL49" s="211">
        <f t="shared" si="5"/>
        <v>273</v>
      </c>
      <c r="KM49" s="211">
        <f t="shared" si="5"/>
        <v>273</v>
      </c>
      <c r="KN49" s="211">
        <f t="shared" si="5"/>
        <v>273</v>
      </c>
      <c r="KO49" s="233">
        <f>SUM(KJ49:KN49)</f>
        <v>1365</v>
      </c>
      <c r="KP49" s="211">
        <f t="shared" si="5"/>
        <v>273</v>
      </c>
      <c r="KQ49" s="211">
        <f t="shared" si="5"/>
        <v>273</v>
      </c>
      <c r="KR49" s="211">
        <f t="shared" si="5"/>
        <v>273</v>
      </c>
      <c r="KS49" s="211">
        <f t="shared" si="5"/>
        <v>273</v>
      </c>
      <c r="KT49" s="211">
        <f t="shared" si="5"/>
        <v>273</v>
      </c>
      <c r="KU49" s="211">
        <f t="shared" si="5"/>
        <v>273</v>
      </c>
      <c r="KV49" s="233">
        <f>SUM(KQ49:KU49)</f>
        <v>1365</v>
      </c>
      <c r="KW49" s="211">
        <f t="shared" si="5"/>
        <v>273</v>
      </c>
      <c r="KX49" s="211">
        <f t="shared" si="5"/>
        <v>273</v>
      </c>
      <c r="KY49" s="211">
        <f t="shared" si="5"/>
        <v>273</v>
      </c>
      <c r="KZ49" s="211">
        <f t="shared" si="5"/>
        <v>273</v>
      </c>
      <c r="LA49" s="211">
        <f t="shared" si="5"/>
        <v>273</v>
      </c>
      <c r="LB49" s="211">
        <f t="shared" si="5"/>
        <v>273</v>
      </c>
      <c r="LC49" s="233">
        <f>SUM(KX49:LB49)</f>
        <v>1365</v>
      </c>
      <c r="LD49" s="211">
        <f t="shared" si="5"/>
        <v>273</v>
      </c>
      <c r="LE49" s="211">
        <f t="shared" si="5"/>
        <v>273</v>
      </c>
      <c r="LF49" s="211">
        <f t="shared" si="5"/>
        <v>273</v>
      </c>
      <c r="LG49" s="211">
        <f t="shared" si="5"/>
        <v>273</v>
      </c>
      <c r="LH49" s="211">
        <f t="shared" si="5"/>
        <v>273</v>
      </c>
      <c r="LI49" s="211">
        <f t="shared" si="5"/>
        <v>273</v>
      </c>
      <c r="LJ49" s="233">
        <f>SUM(LE49:LI49)</f>
        <v>1365</v>
      </c>
      <c r="LK49" s="211">
        <f t="shared" si="5"/>
        <v>273</v>
      </c>
      <c r="LL49" s="211">
        <f t="shared" si="5"/>
        <v>273</v>
      </c>
      <c r="LM49" s="211">
        <f t="shared" si="5"/>
        <v>273</v>
      </c>
      <c r="LN49" s="211">
        <f t="shared" si="5"/>
        <v>273</v>
      </c>
      <c r="LO49" s="211">
        <f t="shared" si="5"/>
        <v>273</v>
      </c>
      <c r="LP49" s="211">
        <f t="shared" si="5"/>
        <v>273</v>
      </c>
      <c r="LQ49" s="233">
        <f>SUM(LL49:LP49)</f>
        <v>1365</v>
      </c>
      <c r="LR49" s="211">
        <f t="shared" si="5"/>
        <v>273</v>
      </c>
      <c r="LS49" s="211">
        <f t="shared" si="5"/>
        <v>273</v>
      </c>
      <c r="LT49" s="211">
        <f t="shared" si="5"/>
        <v>273</v>
      </c>
      <c r="LU49" s="211">
        <f t="shared" si="5"/>
        <v>273</v>
      </c>
      <c r="LV49" s="211">
        <f t="shared" si="5"/>
        <v>273</v>
      </c>
      <c r="LW49" s="211">
        <f t="shared" si="5"/>
        <v>273</v>
      </c>
      <c r="LX49" s="233">
        <f>SUM(LS49:LW49)</f>
        <v>1365</v>
      </c>
      <c r="LY49" s="211">
        <f t="shared" si="5"/>
        <v>273</v>
      </c>
      <c r="LZ49" s="211">
        <f t="shared" si="5"/>
        <v>273</v>
      </c>
      <c r="MA49" s="211">
        <f t="shared" si="5"/>
        <v>273</v>
      </c>
      <c r="MB49" s="211">
        <f t="shared" si="5"/>
        <v>273</v>
      </c>
      <c r="MC49" s="211">
        <f t="shared" si="5"/>
        <v>273</v>
      </c>
      <c r="MD49" s="211">
        <f t="shared" si="5"/>
        <v>273</v>
      </c>
      <c r="ME49" s="233">
        <f>SUM(LZ49:MD49)</f>
        <v>1365</v>
      </c>
      <c r="MF49" s="211">
        <f t="shared" si="5"/>
        <v>273</v>
      </c>
      <c r="MG49" s="211">
        <f t="shared" si="5"/>
        <v>273</v>
      </c>
      <c r="MH49" s="211">
        <f t="shared" si="5"/>
        <v>273</v>
      </c>
      <c r="MI49" s="211">
        <f t="shared" ref="MI49:NM49" si="6">MI47*7</f>
        <v>273</v>
      </c>
      <c r="MJ49" s="211">
        <f t="shared" si="6"/>
        <v>273</v>
      </c>
      <c r="MK49" s="211">
        <f t="shared" si="6"/>
        <v>273</v>
      </c>
      <c r="ML49" s="233">
        <f>SUM(MG49:MK49)</f>
        <v>1365</v>
      </c>
      <c r="MM49" s="211">
        <f t="shared" si="6"/>
        <v>273</v>
      </c>
      <c r="MN49" s="211">
        <f t="shared" si="6"/>
        <v>273</v>
      </c>
      <c r="MO49" s="211">
        <f t="shared" si="6"/>
        <v>273</v>
      </c>
      <c r="MP49" s="211">
        <f t="shared" si="6"/>
        <v>273</v>
      </c>
      <c r="MQ49" s="211">
        <f t="shared" si="6"/>
        <v>273</v>
      </c>
      <c r="MR49" s="211">
        <f t="shared" si="6"/>
        <v>273</v>
      </c>
      <c r="MS49" s="233">
        <f>SUM(MN49:MR49)</f>
        <v>1365</v>
      </c>
      <c r="MT49" s="211">
        <f t="shared" si="6"/>
        <v>273</v>
      </c>
      <c r="MU49" s="211">
        <f t="shared" si="6"/>
        <v>273</v>
      </c>
      <c r="MV49" s="211">
        <f t="shared" si="6"/>
        <v>273</v>
      </c>
      <c r="MW49" s="211">
        <f t="shared" si="6"/>
        <v>273</v>
      </c>
      <c r="MX49" s="211">
        <f t="shared" si="6"/>
        <v>273</v>
      </c>
      <c r="MY49" s="211">
        <f t="shared" si="6"/>
        <v>273</v>
      </c>
      <c r="MZ49" s="233">
        <f>SUM(MU49:MY49)</f>
        <v>1365</v>
      </c>
      <c r="NA49" s="211">
        <f t="shared" si="6"/>
        <v>273</v>
      </c>
      <c r="NB49" s="211">
        <f t="shared" si="6"/>
        <v>273</v>
      </c>
      <c r="NC49" s="211">
        <f t="shared" si="6"/>
        <v>273</v>
      </c>
      <c r="ND49" s="211">
        <f t="shared" si="6"/>
        <v>273</v>
      </c>
      <c r="NE49" s="211">
        <f t="shared" si="6"/>
        <v>273</v>
      </c>
      <c r="NF49" s="211">
        <f t="shared" si="6"/>
        <v>273</v>
      </c>
      <c r="NG49" s="233">
        <f>SUM(NB49:NF49)</f>
        <v>1365</v>
      </c>
      <c r="NH49" s="211">
        <f t="shared" si="6"/>
        <v>273</v>
      </c>
      <c r="NI49" s="211">
        <f t="shared" si="6"/>
        <v>273</v>
      </c>
      <c r="NJ49" s="211">
        <f t="shared" si="6"/>
        <v>273</v>
      </c>
      <c r="NK49" s="211">
        <f t="shared" si="6"/>
        <v>273</v>
      </c>
      <c r="NL49" s="211">
        <f t="shared" si="6"/>
        <v>273</v>
      </c>
      <c r="NM49" s="211">
        <f t="shared" si="6"/>
        <v>273</v>
      </c>
      <c r="NN49" s="233">
        <f>SUM(NI49:NM49)</f>
        <v>1365</v>
      </c>
      <c r="NO49" s="211">
        <f>NO47*7</f>
        <v>273</v>
      </c>
    </row>
    <row r="51" spans="8:379" x14ac:dyDescent="0.3">
      <c r="I51" s="208"/>
      <c r="P51" s="208"/>
      <c r="W51" s="208"/>
      <c r="AD51" s="208"/>
      <c r="AK51" s="208"/>
      <c r="AR51" s="208"/>
      <c r="AY51" s="208"/>
      <c r="BF51" s="208"/>
      <c r="BM51" s="208"/>
      <c r="BT51" s="208"/>
      <c r="CA51" s="208"/>
      <c r="CH51" s="208"/>
      <c r="CO51" s="208"/>
      <c r="CV51" s="208"/>
      <c r="DC51" s="208"/>
      <c r="DJ51" s="208"/>
      <c r="DQ51" s="208"/>
      <c r="DX51" s="208"/>
      <c r="EE51" s="208"/>
      <c r="EL51" s="208"/>
      <c r="ES51" s="208"/>
      <c r="EZ51" s="208"/>
      <c r="FG51" s="208"/>
      <c r="FN51" s="208"/>
      <c r="FU51" s="208"/>
      <c r="GB51" s="208"/>
      <c r="GI51" s="208"/>
      <c r="GP51" s="208"/>
      <c r="GW51" s="208"/>
      <c r="HD51" s="208"/>
      <c r="HK51" s="208"/>
      <c r="HR51" s="208"/>
      <c r="HY51" s="208"/>
      <c r="IF51" s="208"/>
      <c r="IM51" s="208"/>
      <c r="IT51" s="208"/>
      <c r="JA51" s="208"/>
      <c r="JH51" s="208"/>
      <c r="JO51" s="208"/>
      <c r="JV51" s="208"/>
      <c r="KC51" s="208"/>
      <c r="KJ51" s="208"/>
      <c r="KQ51" s="208"/>
      <c r="KX51" s="208"/>
      <c r="LE51" s="208"/>
      <c r="LL51" s="208"/>
      <c r="LS51" s="208"/>
      <c r="LZ51" s="208"/>
      <c r="MG51" s="208"/>
      <c r="MN51" s="208"/>
      <c r="MU51" s="208"/>
      <c r="NB51" s="208"/>
      <c r="NI51" s="208"/>
    </row>
  </sheetData>
  <phoneticPr fontId="9" type="noConversion"/>
  <conditionalFormatting sqref="E5:E43">
    <cfRule type="cellIs" dxfId="1274" priority="645" operator="equal">
      <formula>"CDD"</formula>
    </cfRule>
    <cfRule type="containsText" dxfId="1273" priority="663" operator="containsText" text="COG">
      <formula>NOT(ISERROR(SEARCH("COG",E5)))</formula>
    </cfRule>
    <cfRule type="containsText" dxfId="1272" priority="664" operator="containsText" text="CDI">
      <formula>NOT(ISERROR(SEARCH(("CDI"),(E5))))</formula>
    </cfRule>
  </conditionalFormatting>
  <conditionalFormatting sqref="N15:AC15 Q16:AA16 BN27:BV27 BY27:HA27 J27:O27 AF13:BV13 CP13:HA13 AD14:BX14 JO14:NO14 I21:AA26 CO14:HA14 JA14:JL14 IG19:IK19 HD14:IX14 BT15:BX27 CA15:CE27 JH15:JL26 LL15:LP26 NI15:NM26 JO15:JS26 JV15:JZ26 KC15:KG26 KJ15:KN26 LE15:LI26 KW15:LB26 KQ15:KU26 MU15:MY26 LS15:LW26 MG15:MK26 MN15:MR26 LZ15:MD26 NB15:NF26 IM15:IQ26 IT15:IX26 JA15:JE26 IF15:IJ19 IF20:IK20 JA12:JL12 BT28:CE43 JH28:JL43 LL28:LP43 NI28:NM43 JO28:JS43 JV28:JZ43 KC28:KG43 KJ28:KN43 LE28:LI43 KW28:LB43 KQ28:KU43 MU28:MY43 LS28:LW43 MG28:MK43 MN28:MR43 LZ28:MD43 NB28:NF43 I27:M43 P27:T43 W27:AA43 IM28:IQ43 IT28:JE43 AD15:AH43 AK15:AO43 AR15:AV43 AY15:BC43 BF15:BJ43 BM15:BQ43 CH15:CL43 CO15:CS43 CV15:CZ43 DC15:DG43 DJ15:DN43 EE15:EI43 DW15:EB43 EL15:EP43 ES15:EW43 EZ15:FD43 FG15:FK43 IF21:IJ43 FN15:FR43 FU15:FY43 GB15:GF43 GI15:GM43 DQ15:DU43 HR15:HV43 HY15:IC43 GP15:GT43 GW15:HA43 HD15:HH43 CH5:CL10 CA5:CE10 JH5:JL10 JA5:JE10 LL5:LP12 NI5:NM12 JO5:JS12 JV5:JZ12 KC5:KG12 KJ5:KN12 LE5:LI12 KW5:LB12 KQ5:KU12 MU5:MY12 LS5:LW12 MG5:MK12 MN5:MR12 LZ5:MD12 NB5:NF12 IF5:IJ12 IM5:IQ12 IT5:IX12 HY5:IC12 HD5:HH12 CA11:CL14 EA13:EA17 FN13:FN19 BT5:BX13 AD5:AH13 AK5:AO13 AR5:AV13 AY5:BC13 BF5:BJ13 BM5:BQ13 CO5:CS13 CV5:CZ13 DC5:DG13 DJ5:DN13 DQ5:DU13 DW5:EB13 EE5:EI13 EL5:EP13 ES5:EW13 EZ5:FD13 FG5:FK13 FN5:FR13 FU5:FY13 GB5:GF13 DQ5:DQ19 P5:T20 W5:AA20 I5:M20 GI5:GM13 GP5:GT13 GW5:HA13 GW10:GW39 HK15:HO43 HK5:HO12 HR5:HV12">
    <cfRule type="containsText" dxfId="1271" priority="656" operator="containsText" text="FILM">
      <formula>NOT(ISERROR(SEARCH("FILM",I5)))</formula>
    </cfRule>
    <cfRule type="containsText" dxfId="1270" priority="657" operator="containsText" text="VRAC">
      <formula>NOT(ISERROR(SEARCH("VRAC",I5)))</formula>
    </cfRule>
    <cfRule type="containsText" dxfId="1269" priority="658" operator="containsText" text="ECH">
      <formula>NOT(ISERROR(SEARCH("ECH",I5)))</formula>
    </cfRule>
    <cfRule type="containsText" dxfId="1268" priority="659" operator="containsText" text="CAR">
      <formula>NOT(ISERROR(SEARCH("CAR",I5)))</formula>
    </cfRule>
    <cfRule type="containsText" dxfId="1267" priority="660" operator="containsText" text="ETIQ">
      <formula>NOT(ISERROR(SEARCH("ETIQ",I5)))</formula>
    </cfRule>
    <cfRule type="containsText" dxfId="1266" priority="661" operator="containsText" text="ENCA">
      <formula>NOT(ISERROR(SEARCH("ENCA",I5)))</formula>
    </cfRule>
    <cfRule type="containsText" dxfId="1265" priority="662" operator="containsText" text="FERIE">
      <formula>NOT(ISERROR(SEARCH("FERIE",I5)))</formula>
    </cfRule>
  </conditionalFormatting>
  <conditionalFormatting sqref="G5:H43">
    <cfRule type="expression" dxfId="1264" priority="644">
      <formula>$D5=PA</formula>
    </cfRule>
  </conditionalFormatting>
  <conditionalFormatting sqref="I5:NO43">
    <cfRule type="expression" dxfId="1263" priority="340">
      <formula>OR(LEFT(I$4,1)="s",LEFT(I$4,1)="d")</formula>
    </cfRule>
    <cfRule type="cellIs" dxfId="1262" priority="643" operator="equal">
      <formula>"A."</formula>
    </cfRule>
  </conditionalFormatting>
  <conditionalFormatting sqref="D5:D43">
    <cfRule type="cellIs" dxfId="1261" priority="639" operator="equal">
      <formula>"PA"</formula>
    </cfRule>
    <cfRule type="cellIs" dxfId="1260" priority="640" operator="equal">
      <formula>"EUP"</formula>
    </cfRule>
    <cfRule type="cellIs" dxfId="1259" priority="641" operator="equal">
      <formula>"CFP"</formula>
    </cfRule>
    <cfRule type="cellIs" dxfId="1258" priority="642" operator="equal">
      <formula>"27O"</formula>
    </cfRule>
  </conditionalFormatting>
  <conditionalFormatting sqref="X5:AA43 LE5:LI43 KX5:LB43 DX5:EB43 EE5:EI43">
    <cfRule type="containsText" dxfId="1257" priority="632" operator="containsText" text="FILM">
      <formula>NOT(ISERROR(SEARCH("FILM",X5)))</formula>
    </cfRule>
    <cfRule type="containsText" dxfId="1256" priority="633" operator="containsText" text="VRAC">
      <formula>NOT(ISERROR(SEARCH("VRAC",X5)))</formula>
    </cfRule>
    <cfRule type="containsText" dxfId="1255" priority="634" operator="containsText" text="ECHANT">
      <formula>NOT(ISERROR(SEARCH("ECHANT",X5)))</formula>
    </cfRule>
    <cfRule type="containsText" dxfId="1254" priority="635" operator="containsText" text="CAR">
      <formula>NOT(ISERROR(SEARCH("CAR",X5)))</formula>
    </cfRule>
    <cfRule type="containsText" dxfId="1253" priority="636" operator="containsText" text="ETIQ">
      <formula>NOT(ISERROR(SEARCH("ETIQ",X5)))</formula>
    </cfRule>
    <cfRule type="containsText" dxfId="1252" priority="637" operator="containsText" text="ENCA">
      <formula>NOT(ISERROR(SEARCH("ENCA",X5)))</formula>
    </cfRule>
    <cfRule type="containsText" dxfId="1251" priority="638" operator="containsText" text="FERIE">
      <formula>NOT(ISERROR(SEARCH("FERIE",X5)))</formula>
    </cfRule>
  </conditionalFormatting>
  <conditionalFormatting sqref="N15:AC15 Q16:AA16 BN27:BV27 CF27:HA27 I21:AP26 W14:NO14 JH15:JT26 JV15:KH26 KJ15:LC26 LE15:LX26 LZ15:MS26 MU15:NN26 IF15:IR26 IT15:JF26 W15:AP20 HD13:NO13 BT11:CT12 IT12:JT12 JH28:JT43 JV28:KH43 KJ28:LC43 LE28:LX43 LZ28:MS43 MU28:NN43 I27:U43 W27:AP43 IF28:IR43 IT28:JF43 AR15:BD43 BF15:BR43 BT15:CF43 CH15:CT43 CV15:DH43 DJ15:EC43 EE15:EX43 EZ15:FS43 FU15:GN43 HR15:ID43 BT5:CF10 JH5:JT10 CH5:CT10 IT5:JF10 JV5:KH12 KJ5:LC12 LE5:LX12 LZ5:MS12 MU5:NN12 IF5:IR12 AF13:HA13 DQ13:DQ17 EA13:EA17 FN13:FN19 W5:AP13 AR5:BD13 BF5:BR13 CV5:DH13 DJ5:EC13 EE5:EX13 EZ5:FS13 I5:U20 FU5:GN13 GP5:HC13 GW10:GW39 GP15:HP43 HD5:HP12 HR5:ID12">
    <cfRule type="containsText" dxfId="1250" priority="652" operator="containsText" text="AUTRE">
      <formula>NOT(ISERROR(SEARCH("AUTRE",I5)))</formula>
    </cfRule>
  </conditionalFormatting>
  <conditionalFormatting sqref="X27:AA27">
    <cfRule type="containsText" dxfId="1249" priority="323" operator="containsText" text="FILM">
      <formula>NOT(ISERROR(SEARCH("FILM",X27)))</formula>
    </cfRule>
    <cfRule type="containsText" dxfId="1248" priority="324" operator="containsText" text="VRAC">
      <formula>NOT(ISERROR(SEARCH("VRAC",X27)))</formula>
    </cfRule>
    <cfRule type="containsText" dxfId="1247" priority="325" operator="containsText" text="ECH">
      <formula>NOT(ISERROR(SEARCH("ECH",X27)))</formula>
    </cfRule>
    <cfRule type="containsText" dxfId="1246" priority="326" operator="containsText" text="CAR">
      <formula>NOT(ISERROR(SEARCH("CAR",X27)))</formula>
    </cfRule>
    <cfRule type="containsText" dxfId="1245" priority="327" operator="containsText" text="ETIQ">
      <formula>NOT(ISERROR(SEARCH("ETIQ",X27)))</formula>
    </cfRule>
    <cfRule type="containsText" dxfId="1244" priority="328" operator="containsText" text="ENCA">
      <formula>NOT(ISERROR(SEARCH("ENCA",X27)))</formula>
    </cfRule>
    <cfRule type="containsText" dxfId="1243" priority="329" operator="containsText" text="FERIE">
      <formula>NOT(ISERROR(SEARCH("FERIE",X27)))</formula>
    </cfRule>
  </conditionalFormatting>
  <conditionalFormatting sqref="X27:AA27">
    <cfRule type="expression" dxfId="1242" priority="320">
      <formula>OR(LEFT(X$4,1)="s",LEFT(X$4,1)="d")</formula>
    </cfRule>
    <cfRule type="cellIs" dxfId="1241" priority="321" operator="equal">
      <formula>"A."</formula>
    </cfRule>
  </conditionalFormatting>
  <conditionalFormatting sqref="X27:AA27">
    <cfRule type="containsText" dxfId="1240" priority="322" operator="containsText" text="AUTRE">
      <formula>NOT(ISERROR(SEARCH("AUTRE",X27)))</formula>
    </cfRule>
  </conditionalFormatting>
  <conditionalFormatting sqref="CF27:HA27 I14:HA14 CP13:HA13 I15:GV43 DQ13:DQ17 EA13:EA17 FN13:FN19 I5:GV13 HD5:NO43">
    <cfRule type="expression" dxfId="1239" priority="302">
      <formula>OR(LEFT(I$4,1)="s",LEFT(I$4,1)="d")</formula>
    </cfRule>
  </conditionalFormatting>
  <conditionalFormatting sqref="I5:HB43 HD5:NO43">
    <cfRule type="expression" dxfId="1238" priority="20">
      <formula>OR(LEFT(I$4,1)="s",LEFT(I$4,1)="d")</formula>
    </cfRule>
  </conditionalFormatting>
  <conditionalFormatting sqref="JA11:JL11 JA13:JL13 IM27:NO27 JO13:NO13 HD13:IX13">
    <cfRule type="containsText" dxfId="1237" priority="13" operator="containsText" text="FILM">
      <formula>NOT(ISERROR(SEARCH("FILM",HD11)))</formula>
    </cfRule>
    <cfRule type="containsText" dxfId="1236" priority="14" operator="containsText" text="VRAC">
      <formula>NOT(ISERROR(SEARCH("VRAC",HD11)))</formula>
    </cfRule>
    <cfRule type="containsText" dxfId="1235" priority="15" operator="containsText" text="ECH">
      <formula>NOT(ISERROR(SEARCH("ECH",HD11)))</formula>
    </cfRule>
    <cfRule type="containsText" dxfId="1234" priority="16" operator="containsText" text="CAR">
      <formula>NOT(ISERROR(SEARCH("CAR",HD11)))</formula>
    </cfRule>
    <cfRule type="containsText" dxfId="1233" priority="17" operator="containsText" text="ETIQ">
      <formula>NOT(ISERROR(SEARCH("ETIQ",HD11)))</formula>
    </cfRule>
    <cfRule type="containsText" dxfId="1232" priority="18" operator="containsText" text="ENCA">
      <formula>NOT(ISERROR(SEARCH("ENCA",HD11)))</formula>
    </cfRule>
    <cfRule type="containsText" dxfId="1231" priority="19" operator="containsText" text="FERIE">
      <formula>NOT(ISERROR(SEARCH("FERIE",HD11)))</formula>
    </cfRule>
  </conditionalFormatting>
  <conditionalFormatting sqref="IT11:JT11 IF27:NO27">
    <cfRule type="containsText" dxfId="1230" priority="12" operator="containsText" text="AUTRE">
      <formula>NOT(ISERROR(SEARCH("AUTRE",IF11)))</formula>
    </cfRule>
  </conditionalFormatting>
  <dataValidations count="5">
    <dataValidation type="list" allowBlank="1" showInputMessage="1" showErrorMessage="1" sqref="IK15:IK18 U17:V20 N16:O20 BR15:BS26 CT15:CU26 CF15:CG26 DA15:DB26 DH15:DI26 DO15:DP26 DV15:DW26 EC15:ED26 EJ15:EK26 EQ15:ER26 EX15:EY26 FE15:FF26 FL15:FM26 FS15:FT26 FZ15:GA26 GG15:GH26 GN15:GO26 GU15:GV26 IR15:IS26 JT15:JU26 JF15:JG26 KA15:KB26 KH15:KI26 KO15:KP26 KV15:KW26 LC15:LD26 LJ15:LK26 LQ15:LR26 LX15:LY26 ME15:MF26 ML15:MM26 MS15:MT26 MZ15:NA26 NG15:NH26 NN15:NO26 AP15:AQ43 AI15:AJ43 BD15:BE43 BK15:BL43 HP15:HQ43 HI15:HJ43 ID15:IE43 HW15:HX43 AW15:AX43 AB16:AC43 IL15:IL43 N28:O43 GN28:GO43 GG28:GH43 FZ28:GA43 FS28:FT43 FL28:FM43 FE28:FF43 EX28:EY43 EQ28:ER43 EJ28:EK43 EC28:ED43 DV28:DW43 DO28:DP43 DH28:DI43 DA28:DB43 CT28:CU43 CM28:CN43 CF28:CG43 GU28:GV43 BR28:BS43 U27:V43 NN28:NO43 NG28:NH43 MZ28:NA43 MS28:MT43 ML28:MM43 ME28:MF43 LX28:LY43 LQ28:LR43 LJ28:LK43 LC28:LD43 KV28:KW43 KO28:KP43 KH28:KI43 KA28:KB43 JT28:JU43 JM28:JN43 JF28:JG43 IR28:IS43 IK21:IK43 N5:O14 U5:V14 JF5:JG10 CF5:CG10 IK5:IL12 JT5:JU12 KA5:KB12 KH5:KI12 KO5:KP12 KV5:KW12 LC5:LD12 LJ5:LK12 LQ5:LR12 LX5:LY12 ME5:MF12 ML5:MM12 MS5:MT12 MZ5:NA12 NG5:NH12 NN5:NO12 ID5:IE12 HP5:HQ12 HI5:HJ12 IR5:IS12 HW5:HX12 BK5:BL12 GU5:GV12 CT5:CU12 DA5:DB12 DH5:DI12 DO5:DP12 DV5:DW12 EC5:ED12 EJ5:EK12 EQ5:ER12 EX5:EY12 FE5:FF12 FL5:FM12 FS5:FT12 FZ5:GA12 GG5:GH12 GN5:GO12 BD5:BE12 AP5:AQ12 AI5:AJ12 BR5:BS12 AW5:AX12 AB5:AC14 BY5:BZ26 CM5:CN26 IY5:IZ26 JM5:JN26 HB5:HC43" xr:uid="{CEBD69CB-1318-4C5B-A0B5-70A417179BF7}">
      <formula1>INDIRECT($I5)</formula1>
    </dataValidation>
    <dataValidation type="list" allowBlank="1" showInputMessage="1" showErrorMessage="1" sqref="N15:AC15 BN27:BV27 BY27:BZ27 L27:O27 BG13:BL13 IG13:IL13 JP13:LV13 LX13:NO13 JF27:NO27 L24:M24 P16:AA16 AD13:BE13 CB13:CL14 BN13:BX14 JP14:NO14 AD14:BL14 EA13:EV13 J21:M23 IN27:IZ27 CF27:DP27 CP13:DP14 BU32:BX32 DR13:DZ14 IN13:IX14 N21:V24 HD14:IL14 JB13:JL14 L25:V26 DR27:FM27 EA14:FM14 EX13:FM13 J24:K32 BT28:BT32 BY28:CE32 L28:M32 BW27:BX31 BU28:BV31 IG15:IJ18 CO13:CO19 JO13:JO19 CP15:CS19 JP15:JS19 GI15:GM26 IG19:IK20 P17:T20 CO20:CS26 JO20:JS26 IN15:IQ26 FG15:FK26 GP15:GT26 DR15:DU26 ES15:EW26 EE15:EI26 EL15:EP26 DX15:EB26 DJ15:DN26 BN15:BQ26 EZ15:FD26 FU15:FY26 LS15:LW26 MN15:MR26 KQ15:KU26 KJ15:KN26 JH15:JL26 KC15:KG26 KX15:LB26 LL15:LP26 LZ15:MD26 MG15:MK26 MU15:MY26 NB15:NF26 NI15:NM26 JV15:JZ26 LE15:LI26 BT15:BX26 CH15:CL26 CV15:CZ26 DC15:DG26 IM13:IM27 BM13:BM27 CB15:CE27 IT15:IX26 JA13:JA27 CA13:CA27 FO15:FR26 JB15:JE27 GB15:GF26 HD13:IE13 FO27:GV27 FO13:HA14 CF11:CL12 JF11:JL12 GW15:HA43 HY15:IC43 HR15:HV43 HD15:HH43 AD15:AH43 AY15:BC43 AK15:AO43 BF15:BJ43 AR15:AV43 W17:AA43 IF15:IF43 BT33:CE43 GB28:GF43 EZ28:FD43 IT28:JE43 GI28:GM43 DR28:DU43 EL28:EP43 EE28:EI43 DX28:EB43 DJ28:DN43 CO28:CS43 BM28:BQ43 P27:T43 FO28:FR43 CH28:CL43 IG21:IJ43 IM28:IQ43 KX28:LB43 KQ28:KU43 KC28:KG43 JO28:JS43 NI28:NM43 LZ28:MD43 LL28:LP43 JV28:JZ43 JH28:JL43 MU28:MY43 MN28:MR43 NB28:NF43 MG28:MK43 LE28:LI43 KJ28:KN43 LS28:LW43 CV28:CZ43 DC28:DG43 ES28:EW43 FG28:FK43 I21:I43 FU28:FY43 J33:M43 GP28:GT43 I5:M20 W5:AA14 P5:T14 ES5:EW9 CH5:CL10 JH5:JL10 HK15:HO43 HK5:HO12 FG5:FK12 IG5:IJ12 HD5:HH12 ES10:EV12 IM5:IQ12 FO5:FR12 AK5:AO12 AD5:AH12 LS5:LV12 MU5:MY12 MG5:MK12 KC5:KG12 KX5:LB12 KQ5:KU12 KJ5:KN12 NI5:NM12 MN5:MR12 JO5:JS12 JV5:JZ12 LE5:LI12 LL5:LP12 GB5:GF12 LZ5:MD12 NB5:NF12 EL5:EP12 IT5:IX12 CV5:CZ12 BG5:BJ12 BM5:BQ12 GI5:GM12 FU5:FY12 AY5:BC12 BT5:BX12 CA5:CE12 CO5:CS12 AR5:AV12 BF5:BF13 IF5:IF13 LW5:LW13 DC5:DG12 DJ5:DN12 DR5:DU12 DX5:EB12 EE5:EI12 EZ5:FD12 JA5:JE12 GP5:GT12 GW5:HA12 HY5:IC12 DQ5:DQ43 FN5:FN43 EW10:EW13 HR5:HV12" xr:uid="{F3C002EA-E092-4A0F-8717-551343C5F6C7}">
      <formula1>INDIRECT($F5)</formula1>
    </dataValidation>
    <dataValidation type="list" allowBlank="1" showInputMessage="1" showErrorMessage="1" sqref="F5:F43" xr:uid="{617E1CB2-425D-4355-BAD7-F786F96B44D8}">
      <formula1>FONCTION</formula1>
    </dataValidation>
    <dataValidation type="list" allowBlank="1" showInputMessage="1" showErrorMessage="1" sqref="E5:E43" xr:uid="{B70E1C6D-A1B4-4C30-A4EC-D0656D9FAC45}">
      <formula1>STATUT</formula1>
    </dataValidation>
    <dataValidation type="list" allowBlank="1" showInputMessage="1" showErrorMessage="1" sqref="D5:D43" xr:uid="{C73C64BF-59AA-4A2E-A260-0987C3BC2DAE}">
      <formula1>SOCIETE</formula1>
    </dataValidation>
  </dataValidations>
  <pageMargins left="0.7" right="0.7" top="0.75" bottom="0.75" header="0.3" footer="0.3"/>
  <pageSetup paperSize="9" orientation="portrait" r:id="rId1"/>
  <ignoredErrors>
    <ignoredError sqref="I49:NN49" formula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646" operator="beginsWith" id="{0EFC36B7-7E70-4257-8984-7F906C2AB8F2}">
            <xm:f>LEFT(E5,LEN("INT"))="INT"</xm:f>
            <xm:f>"INT"</xm:f>
            <x14:dxf>
              <fill>
                <patternFill>
                  <bgColor theme="9" tint="0.59996337778862885"/>
                </patternFill>
              </fill>
            </x14:dxf>
          </x14:cfRule>
          <xm:sqref>E5:E43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28FD-B804-493B-995C-D00688B03229}">
  <sheetPr codeName="Feuil6">
    <tabColor theme="7" tint="0.59999389629810485"/>
  </sheetPr>
  <dimension ref="B1:OB47"/>
  <sheetViews>
    <sheetView showGridLines="0" tabSelected="1" zoomScale="70" zoomScaleNormal="70" workbookViewId="0">
      <pane xSplit="8" topLeftCell="GW1" activePane="topRight" state="frozen"/>
      <selection pane="topRight" activeCell="HK26" sqref="HK26:HO26"/>
    </sheetView>
  </sheetViews>
  <sheetFormatPr baseColWidth="10" defaultRowHeight="14.4" x14ac:dyDescent="0.3"/>
  <cols>
    <col min="1" max="1" width="2.5546875" customWidth="1"/>
    <col min="2" max="2" width="0.109375" hidden="1" customWidth="1"/>
    <col min="3" max="3" width="6.77734375" hidden="1" customWidth="1"/>
    <col min="4" max="4" width="9.33203125" style="64" customWidth="1"/>
    <col min="7" max="8" width="18.77734375" style="140" customWidth="1"/>
    <col min="9" max="14" width="5.77734375" customWidth="1"/>
    <col min="15" max="15" width="5.77734375" hidden="1" customWidth="1"/>
    <col min="16" max="21" width="5.77734375" customWidth="1"/>
    <col min="22" max="22" width="5.77734375" hidden="1" customWidth="1"/>
    <col min="23" max="28" width="5.77734375" customWidth="1"/>
    <col min="29" max="29" width="5.77734375" hidden="1" customWidth="1"/>
    <col min="30" max="35" width="5.77734375" customWidth="1"/>
    <col min="36" max="36" width="5.77734375" hidden="1" customWidth="1"/>
    <col min="37" max="42" width="5.77734375" customWidth="1"/>
    <col min="43" max="43" width="5.77734375" hidden="1" customWidth="1"/>
    <col min="44" max="49" width="5.77734375" customWidth="1"/>
    <col min="50" max="50" width="5.77734375" hidden="1" customWidth="1"/>
    <col min="51" max="56" width="5.77734375" customWidth="1"/>
    <col min="57" max="57" width="5.77734375" hidden="1" customWidth="1"/>
    <col min="58" max="63" width="5.77734375" customWidth="1"/>
    <col min="64" max="64" width="5.77734375" hidden="1" customWidth="1"/>
    <col min="65" max="70" width="5.77734375" customWidth="1"/>
    <col min="71" max="71" width="5.77734375" hidden="1" customWidth="1"/>
    <col min="72" max="77" width="5.77734375" customWidth="1"/>
    <col min="78" max="78" width="5.77734375" hidden="1" customWidth="1"/>
    <col min="79" max="84" width="5.77734375" customWidth="1"/>
    <col min="85" max="85" width="5.77734375" hidden="1" customWidth="1"/>
    <col min="86" max="91" width="5.77734375" customWidth="1"/>
    <col min="92" max="92" width="5.77734375" hidden="1" customWidth="1"/>
    <col min="93" max="98" width="5.77734375" customWidth="1"/>
    <col min="99" max="99" width="5.77734375" hidden="1" customWidth="1"/>
    <col min="100" max="105" width="5.77734375" customWidth="1"/>
    <col min="106" max="106" width="5.77734375" hidden="1" customWidth="1"/>
    <col min="107" max="112" width="5.77734375" customWidth="1"/>
    <col min="113" max="113" width="5.77734375" hidden="1" customWidth="1"/>
    <col min="114" max="119" width="5.77734375" customWidth="1"/>
    <col min="120" max="120" width="5.77734375" hidden="1" customWidth="1"/>
    <col min="121" max="126" width="5.77734375" customWidth="1"/>
    <col min="127" max="127" width="5.77734375" hidden="1" customWidth="1"/>
    <col min="128" max="133" width="5.77734375" customWidth="1"/>
    <col min="134" max="134" width="5.77734375" hidden="1" customWidth="1"/>
    <col min="135" max="140" width="5.77734375" customWidth="1"/>
    <col min="141" max="141" width="5.77734375" hidden="1" customWidth="1"/>
    <col min="142" max="147" width="5.77734375" customWidth="1"/>
    <col min="148" max="148" width="5.77734375" hidden="1" customWidth="1"/>
    <col min="149" max="154" width="5.77734375" customWidth="1"/>
    <col min="155" max="155" width="5.77734375" hidden="1" customWidth="1"/>
    <col min="156" max="161" width="5.77734375" customWidth="1"/>
    <col min="162" max="162" width="5.77734375" hidden="1" customWidth="1"/>
    <col min="163" max="168" width="5.77734375" customWidth="1"/>
    <col min="169" max="169" width="5.77734375" hidden="1" customWidth="1"/>
    <col min="170" max="175" width="5.77734375" customWidth="1"/>
    <col min="176" max="176" width="5.77734375" hidden="1" customWidth="1"/>
    <col min="177" max="182" width="5.77734375" customWidth="1"/>
    <col min="183" max="183" width="5.77734375" hidden="1" customWidth="1"/>
    <col min="184" max="189" width="5.77734375" customWidth="1"/>
    <col min="190" max="190" width="5.77734375" hidden="1" customWidth="1"/>
    <col min="191" max="196" width="5.77734375" customWidth="1"/>
    <col min="197" max="197" width="5.77734375" hidden="1" customWidth="1"/>
    <col min="198" max="203" width="5.77734375" customWidth="1"/>
    <col min="204" max="204" width="5.77734375" hidden="1" customWidth="1"/>
    <col min="205" max="210" width="5.77734375" customWidth="1"/>
    <col min="211" max="211" width="5.77734375" hidden="1" customWidth="1"/>
    <col min="212" max="217" width="5.77734375" customWidth="1"/>
    <col min="218" max="218" width="5.77734375" hidden="1" customWidth="1"/>
    <col min="219" max="224" width="5.77734375" customWidth="1"/>
    <col min="225" max="225" width="5.77734375" hidden="1" customWidth="1"/>
    <col min="226" max="231" width="5.77734375" customWidth="1"/>
    <col min="232" max="232" width="5.77734375" hidden="1" customWidth="1"/>
    <col min="233" max="238" width="5.77734375" customWidth="1"/>
    <col min="239" max="239" width="5.77734375" hidden="1" customWidth="1"/>
    <col min="240" max="245" width="5.77734375" customWidth="1"/>
    <col min="246" max="246" width="5.77734375" hidden="1" customWidth="1"/>
    <col min="247" max="252" width="5.77734375" customWidth="1"/>
    <col min="253" max="253" width="5.77734375" hidden="1" customWidth="1"/>
    <col min="254" max="259" width="5.77734375" customWidth="1"/>
    <col min="260" max="260" width="5.77734375" hidden="1" customWidth="1"/>
    <col min="261" max="266" width="5.77734375" customWidth="1"/>
    <col min="267" max="267" width="5.77734375" hidden="1" customWidth="1"/>
    <col min="268" max="273" width="5.77734375" customWidth="1"/>
    <col min="274" max="274" width="5.77734375" hidden="1" customWidth="1"/>
    <col min="275" max="280" width="5.77734375" customWidth="1"/>
    <col min="281" max="281" width="5.77734375" hidden="1" customWidth="1"/>
    <col min="282" max="287" width="5.77734375" customWidth="1"/>
    <col min="288" max="288" width="5.77734375" hidden="1" customWidth="1"/>
    <col min="289" max="294" width="5.77734375" customWidth="1"/>
    <col min="295" max="295" width="5.77734375" hidden="1" customWidth="1"/>
    <col min="296" max="301" width="5.77734375" customWidth="1"/>
    <col min="302" max="302" width="5.77734375" hidden="1" customWidth="1"/>
    <col min="303" max="308" width="5.77734375" customWidth="1"/>
    <col min="309" max="309" width="5.77734375" hidden="1" customWidth="1"/>
    <col min="310" max="315" width="5.77734375" customWidth="1"/>
    <col min="316" max="316" width="5.77734375" hidden="1" customWidth="1"/>
    <col min="317" max="322" width="5.77734375" customWidth="1"/>
    <col min="323" max="323" width="5.77734375" hidden="1" customWidth="1"/>
    <col min="324" max="329" width="5.77734375" customWidth="1"/>
    <col min="330" max="330" width="5.77734375" hidden="1" customWidth="1"/>
    <col min="331" max="336" width="5.77734375" customWidth="1"/>
    <col min="337" max="337" width="5.77734375" hidden="1" customWidth="1"/>
    <col min="338" max="343" width="5.77734375" customWidth="1"/>
    <col min="344" max="344" width="5.77734375" hidden="1" customWidth="1"/>
    <col min="345" max="350" width="5.77734375" customWidth="1"/>
    <col min="351" max="351" width="5.77734375" hidden="1" customWidth="1"/>
    <col min="352" max="357" width="5.77734375" customWidth="1"/>
    <col min="358" max="358" width="5.77734375" hidden="1" customWidth="1"/>
    <col min="359" max="364" width="5.77734375" customWidth="1"/>
    <col min="365" max="365" width="5.77734375" hidden="1" customWidth="1"/>
    <col min="366" max="371" width="5.77734375" customWidth="1"/>
    <col min="372" max="372" width="5.77734375" hidden="1" customWidth="1"/>
    <col min="373" max="378" width="5.77734375" customWidth="1"/>
    <col min="379" max="379" width="5.77734375" hidden="1" customWidth="1"/>
    <col min="380" max="385" width="5.77734375" customWidth="1"/>
    <col min="386" max="386" width="5.77734375" hidden="1" customWidth="1"/>
    <col min="387" max="392" width="5.77734375" customWidth="1"/>
  </cols>
  <sheetData>
    <row r="1" spans="2:392" ht="15" thickBot="1" x14ac:dyDescent="0.35"/>
    <row r="2" spans="2:392" ht="15" thickBot="1" x14ac:dyDescent="0.35">
      <c r="I2" s="226" t="str">
        <f>"S"&amp;WEEKNUM(I3)</f>
        <v>S53</v>
      </c>
      <c r="J2" s="225"/>
      <c r="K2" s="225"/>
      <c r="L2" s="225"/>
      <c r="M2" s="225"/>
      <c r="N2" s="218"/>
      <c r="O2" s="222"/>
      <c r="P2" s="226" t="str">
        <f>"S"&amp;WEEKNUM(P3)</f>
        <v>S2</v>
      </c>
      <c r="Q2" s="225"/>
      <c r="R2" s="225"/>
      <c r="S2" s="225"/>
      <c r="T2" s="225"/>
      <c r="U2" s="218"/>
      <c r="V2" s="226"/>
      <c r="W2" s="226" t="str">
        <f>"S"&amp;WEEKNUM(W3)</f>
        <v>S3</v>
      </c>
      <c r="X2" s="225"/>
      <c r="Y2" s="225"/>
      <c r="Z2" s="225"/>
      <c r="AA2" s="225"/>
      <c r="AB2" s="218"/>
      <c r="AC2" s="222"/>
      <c r="AD2" s="226" t="str">
        <f>"S"&amp;WEEKNUM(AD3)</f>
        <v>S4</v>
      </c>
      <c r="AE2" s="225"/>
      <c r="AF2" s="225"/>
      <c r="AG2" s="225"/>
      <c r="AH2" s="225"/>
      <c r="AI2" s="218"/>
      <c r="AJ2" s="222"/>
      <c r="AK2" s="226" t="str">
        <f>"S"&amp;WEEKNUM(AK3)</f>
        <v>S5</v>
      </c>
      <c r="AL2" s="225"/>
      <c r="AM2" s="225"/>
      <c r="AN2" s="225"/>
      <c r="AO2" s="225"/>
      <c r="AP2" s="218"/>
      <c r="AQ2" s="226"/>
      <c r="AR2" s="226" t="str">
        <f>"S"&amp;WEEKNUM(AR3)</f>
        <v>S6</v>
      </c>
      <c r="AS2" s="225"/>
      <c r="AT2" s="225"/>
      <c r="AU2" s="225"/>
      <c r="AV2" s="225"/>
      <c r="AW2" s="218"/>
      <c r="AX2" s="222"/>
      <c r="AY2" s="226" t="str">
        <f>"S"&amp;WEEKNUM(AY3)</f>
        <v>S7</v>
      </c>
      <c r="AZ2" s="225"/>
      <c r="BA2" s="225"/>
      <c r="BB2" s="225"/>
      <c r="BC2" s="225"/>
      <c r="BD2" s="218"/>
      <c r="BE2" s="226"/>
      <c r="BF2" s="226" t="str">
        <f>"S"&amp;WEEKNUM(BF3)</f>
        <v>S8</v>
      </c>
      <c r="BG2" s="225"/>
      <c r="BH2" s="225"/>
      <c r="BI2" s="225"/>
      <c r="BJ2" s="225"/>
      <c r="BK2" s="218"/>
      <c r="BL2" s="222"/>
      <c r="BM2" s="226" t="str">
        <f>"S"&amp;WEEKNUM(BM3)</f>
        <v>S9</v>
      </c>
      <c r="BN2" s="225"/>
      <c r="BO2" s="225"/>
      <c r="BP2" s="225"/>
      <c r="BQ2" s="225"/>
      <c r="BR2" s="218"/>
      <c r="BS2" s="226"/>
      <c r="BT2" s="226" t="str">
        <f>"S"&amp;WEEKNUM(BT3)</f>
        <v>S10</v>
      </c>
      <c r="BU2" s="225"/>
      <c r="BV2" s="225"/>
      <c r="BW2" s="225"/>
      <c r="BX2" s="225"/>
      <c r="BY2" s="218"/>
      <c r="BZ2" s="222"/>
      <c r="CA2" s="226" t="str">
        <f>"S"&amp;WEEKNUM(CA3)</f>
        <v>S11</v>
      </c>
      <c r="CB2" s="225"/>
      <c r="CC2" s="225"/>
      <c r="CD2" s="225"/>
      <c r="CE2" s="225"/>
      <c r="CF2" s="218"/>
      <c r="CG2" s="226"/>
      <c r="CH2" s="226" t="str">
        <f>"S"&amp;WEEKNUM(CH3)</f>
        <v>S12</v>
      </c>
      <c r="CI2" s="225"/>
      <c r="CJ2" s="225"/>
      <c r="CK2" s="225"/>
      <c r="CL2" s="225"/>
      <c r="CM2" s="218"/>
      <c r="CN2" s="222"/>
      <c r="CO2" s="226" t="str">
        <f>"S"&amp;WEEKNUM(CO3)</f>
        <v>S13</v>
      </c>
      <c r="CP2" s="225"/>
      <c r="CQ2" s="225"/>
      <c r="CR2" s="225"/>
      <c r="CS2" s="225"/>
      <c r="CT2" s="218"/>
      <c r="CU2" s="226"/>
      <c r="CV2" s="226" t="str">
        <f>"S"&amp;WEEKNUM(CV3)</f>
        <v>S14</v>
      </c>
      <c r="CW2" s="225"/>
      <c r="CX2" s="225"/>
      <c r="CY2" s="225"/>
      <c r="CZ2" s="225"/>
      <c r="DA2" s="218"/>
      <c r="DB2" s="222"/>
      <c r="DC2" s="226" t="str">
        <f>"S"&amp;WEEKNUM(DC3)</f>
        <v>S15</v>
      </c>
      <c r="DD2" s="225"/>
      <c r="DE2" s="225"/>
      <c r="DF2" s="225"/>
      <c r="DG2" s="225"/>
      <c r="DH2" s="218"/>
      <c r="DI2" s="226"/>
      <c r="DJ2" s="226" t="str">
        <f>"S"&amp;WEEKNUM(DJ3)</f>
        <v>S16</v>
      </c>
      <c r="DK2" s="225"/>
      <c r="DL2" s="225"/>
      <c r="DM2" s="225"/>
      <c r="DN2" s="225"/>
      <c r="DO2" s="218"/>
      <c r="DP2" s="222"/>
      <c r="DQ2" s="226" t="str">
        <f>"S"&amp;WEEKNUM(DQ3)</f>
        <v>S17</v>
      </c>
      <c r="DR2" s="225"/>
      <c r="DS2" s="225"/>
      <c r="DT2" s="225"/>
      <c r="DU2" s="225"/>
      <c r="DV2" s="218"/>
      <c r="DW2" s="222"/>
      <c r="DX2" s="226" t="str">
        <f>"S"&amp;WEEKNUM(DX3)</f>
        <v>S18</v>
      </c>
      <c r="DY2" s="225"/>
      <c r="DZ2" s="225"/>
      <c r="EA2" s="225"/>
      <c r="EB2" s="225"/>
      <c r="EC2" s="218"/>
      <c r="ED2" s="226"/>
      <c r="EE2" s="226" t="str">
        <f>"S"&amp;WEEKNUM(EE3)</f>
        <v>S19</v>
      </c>
      <c r="EF2" s="225"/>
      <c r="EG2" s="225"/>
      <c r="EH2" s="225"/>
      <c r="EI2" s="225"/>
      <c r="EJ2" s="218"/>
      <c r="EK2" s="222"/>
      <c r="EL2" s="226" t="str">
        <f>"S"&amp;WEEKNUM(EL3)</f>
        <v>S20</v>
      </c>
      <c r="EM2" s="225"/>
      <c r="EN2" s="225"/>
      <c r="EO2" s="225"/>
      <c r="EP2" s="225"/>
      <c r="EQ2" s="218"/>
      <c r="ER2" s="222"/>
      <c r="ES2" s="226" t="str">
        <f>"S"&amp;WEEKNUM(ES3)</f>
        <v>S21</v>
      </c>
      <c r="ET2" s="225"/>
      <c r="EU2" s="225"/>
      <c r="EV2" s="225"/>
      <c r="EW2" s="225"/>
      <c r="EX2" s="218"/>
      <c r="EY2" s="226"/>
      <c r="EZ2" s="226" t="str">
        <f>"S"&amp;WEEKNUM(EZ3)</f>
        <v>S22</v>
      </c>
      <c r="FA2" s="225"/>
      <c r="FB2" s="225"/>
      <c r="FC2" s="225"/>
      <c r="FD2" s="225"/>
      <c r="FE2" s="218"/>
      <c r="FF2" s="222"/>
      <c r="FG2" s="226" t="str">
        <f>"S"&amp;WEEKNUM(FG3)</f>
        <v>S23</v>
      </c>
      <c r="FH2" s="225"/>
      <c r="FI2" s="225"/>
      <c r="FJ2" s="225"/>
      <c r="FK2" s="225"/>
      <c r="FL2" s="218"/>
      <c r="FM2" s="222"/>
      <c r="FN2" s="226" t="str">
        <f>"S"&amp;WEEKNUM(FN3)</f>
        <v>S24</v>
      </c>
      <c r="FO2" s="225"/>
      <c r="FP2" s="225"/>
      <c r="FQ2" s="225"/>
      <c r="FR2" s="225"/>
      <c r="FS2" s="218"/>
      <c r="FT2" s="226"/>
      <c r="FU2" s="226" t="str">
        <f>"S"&amp;WEEKNUM(FU3)</f>
        <v>S25</v>
      </c>
      <c r="FV2" s="225"/>
      <c r="FW2" s="225"/>
      <c r="FX2" s="225"/>
      <c r="FY2" s="225"/>
      <c r="FZ2" s="218"/>
      <c r="GA2" s="222"/>
      <c r="GB2" s="226" t="str">
        <f>"S"&amp;WEEKNUM(GB3)</f>
        <v>S26</v>
      </c>
      <c r="GC2" s="225"/>
      <c r="GD2" s="225"/>
      <c r="GE2" s="225"/>
      <c r="GF2" s="225"/>
      <c r="GG2" s="218"/>
      <c r="GH2" s="222"/>
      <c r="GI2" s="226" t="str">
        <f>"S"&amp;WEEKNUM(GI3)</f>
        <v>S27</v>
      </c>
      <c r="GJ2" s="225"/>
      <c r="GK2" s="225"/>
      <c r="GL2" s="225"/>
      <c r="GM2" s="225"/>
      <c r="GN2" s="218"/>
      <c r="GO2" s="226"/>
      <c r="GP2" s="226" t="str">
        <f>"S"&amp;WEEKNUM(GP3)</f>
        <v>S28</v>
      </c>
      <c r="GQ2" s="225"/>
      <c r="GR2" s="225"/>
      <c r="GS2" s="225"/>
      <c r="GT2" s="225"/>
      <c r="GU2" s="218"/>
      <c r="GV2" s="222"/>
      <c r="GW2" s="226" t="str">
        <f>"S"&amp;WEEKNUM(GW3)</f>
        <v>S29</v>
      </c>
      <c r="GX2" s="225"/>
      <c r="GY2" s="225"/>
      <c r="GZ2" s="225"/>
      <c r="HA2" s="225"/>
      <c r="HB2" s="218"/>
      <c r="HC2" s="222"/>
      <c r="HD2" s="226" t="str">
        <f>"S"&amp;WEEKNUM(HD3)</f>
        <v>S30</v>
      </c>
      <c r="HE2" s="225"/>
      <c r="HF2" s="225"/>
      <c r="HG2" s="225"/>
      <c r="HH2" s="225"/>
      <c r="HI2" s="218"/>
      <c r="HJ2" s="222"/>
      <c r="HK2" s="226" t="str">
        <f>"S"&amp;WEEKNUM(HK3)</f>
        <v>S31</v>
      </c>
      <c r="HL2" s="225"/>
      <c r="HM2" s="225"/>
      <c r="HN2" s="225"/>
      <c r="HO2" s="225"/>
      <c r="HP2" s="218"/>
      <c r="HQ2" s="226"/>
      <c r="HR2" s="226" t="str">
        <f>"S"&amp;WEEKNUM(HR3)</f>
        <v>S32</v>
      </c>
      <c r="HS2" s="225"/>
      <c r="HT2" s="225"/>
      <c r="HU2" s="225"/>
      <c r="HV2" s="225"/>
      <c r="HW2" s="218"/>
      <c r="HX2" s="222"/>
      <c r="HY2" s="226" t="str">
        <f>"S"&amp;WEEKNUM(HY3)</f>
        <v>S33</v>
      </c>
      <c r="HZ2" s="225"/>
      <c r="IA2" s="225"/>
      <c r="IB2" s="225"/>
      <c r="IC2" s="225"/>
      <c r="ID2" s="218"/>
      <c r="IE2" s="226"/>
      <c r="IF2" s="226" t="str">
        <f>"S"&amp;WEEKNUM(IF3)</f>
        <v>S34</v>
      </c>
      <c r="IG2" s="225"/>
      <c r="IH2" s="225"/>
      <c r="II2" s="225"/>
      <c r="IJ2" s="225"/>
      <c r="IK2" s="218"/>
      <c r="IL2" s="222"/>
      <c r="IM2" s="226" t="str">
        <f>"S"&amp;WEEKNUM(IM3)</f>
        <v>S35</v>
      </c>
      <c r="IN2" s="225"/>
      <c r="IO2" s="225"/>
      <c r="IP2" s="225"/>
      <c r="IQ2" s="225"/>
      <c r="IR2" s="218"/>
      <c r="IS2" s="226"/>
      <c r="IT2" s="226" t="str">
        <f>"S"&amp;WEEKNUM(IT3)</f>
        <v>S36</v>
      </c>
      <c r="IU2" s="225"/>
      <c r="IV2" s="225"/>
      <c r="IW2" s="225"/>
      <c r="IX2" s="225"/>
      <c r="IY2" s="218"/>
      <c r="IZ2" s="222"/>
      <c r="JA2" s="226" t="str">
        <f>"S"&amp;WEEKNUM(JA3)</f>
        <v>S37</v>
      </c>
      <c r="JB2" s="225"/>
      <c r="JC2" s="225"/>
      <c r="JD2" s="225"/>
      <c r="JE2" s="225"/>
      <c r="JF2" s="218"/>
      <c r="JG2" s="226"/>
      <c r="JH2" s="226" t="str">
        <f>"S"&amp;WEEKNUM(JH3)</f>
        <v>S38</v>
      </c>
      <c r="JI2" s="225"/>
      <c r="JJ2" s="225"/>
      <c r="JK2" s="225"/>
      <c r="JL2" s="225"/>
      <c r="JM2" s="218"/>
      <c r="JN2" s="222"/>
      <c r="JO2" s="226" t="str">
        <f>"S"&amp;WEEKNUM(JO3)</f>
        <v>S39</v>
      </c>
      <c r="JP2" s="225"/>
      <c r="JQ2" s="225"/>
      <c r="JR2" s="225"/>
      <c r="JS2" s="225"/>
      <c r="JT2" s="218"/>
      <c r="JU2" s="226"/>
      <c r="JV2" s="226" t="str">
        <f>"S"&amp;WEEKNUM(JV3)</f>
        <v>S40</v>
      </c>
      <c r="JW2" s="225"/>
      <c r="JX2" s="225"/>
      <c r="JY2" s="225"/>
      <c r="JZ2" s="225"/>
      <c r="KA2" s="218"/>
      <c r="KB2" s="222"/>
      <c r="KC2" s="226" t="str">
        <f>"S"&amp;WEEKNUM(KC3)</f>
        <v>S41</v>
      </c>
      <c r="KD2" s="225"/>
      <c r="KE2" s="225"/>
      <c r="KF2" s="225"/>
      <c r="KG2" s="225"/>
      <c r="KH2" s="218"/>
      <c r="KI2" s="222"/>
      <c r="KJ2" s="226" t="str">
        <f>"S"&amp;WEEKNUM(KJ3)</f>
        <v>S42</v>
      </c>
      <c r="KK2" s="225"/>
      <c r="KL2" s="225"/>
      <c r="KM2" s="225"/>
      <c r="KN2" s="225"/>
      <c r="KO2" s="218"/>
      <c r="KP2" s="226"/>
      <c r="KQ2" s="226" t="str">
        <f>"S"&amp;WEEKNUM(KQ3)</f>
        <v>S43</v>
      </c>
      <c r="KR2" s="225"/>
      <c r="KS2" s="225"/>
      <c r="KT2" s="225"/>
      <c r="KU2" s="225"/>
      <c r="KV2" s="218"/>
      <c r="KW2" s="222"/>
      <c r="KX2" s="226" t="str">
        <f>"S"&amp;WEEKNUM(KX3)</f>
        <v>S44</v>
      </c>
      <c r="KY2" s="225"/>
      <c r="KZ2" s="225"/>
      <c r="LA2" s="225"/>
      <c r="LB2" s="225"/>
      <c r="LC2" s="218"/>
      <c r="LD2" s="222"/>
      <c r="LE2" s="226" t="str">
        <f>"S"&amp;WEEKNUM(LE3)</f>
        <v>S45</v>
      </c>
      <c r="LF2" s="225"/>
      <c r="LG2" s="225"/>
      <c r="LH2" s="225"/>
      <c r="LI2" s="225"/>
      <c r="LJ2" s="218"/>
      <c r="LK2" s="226"/>
      <c r="LL2" s="226" t="str">
        <f>"S"&amp;WEEKNUM(LL3)</f>
        <v>S46</v>
      </c>
      <c r="LM2" s="225"/>
      <c r="LN2" s="225"/>
      <c r="LO2" s="225"/>
      <c r="LP2" s="225"/>
      <c r="LQ2" s="218"/>
      <c r="LR2" s="222"/>
      <c r="LS2" s="226" t="str">
        <f>"S"&amp;WEEKNUM(LS3)</f>
        <v>S47</v>
      </c>
      <c r="LT2" s="225"/>
      <c r="LU2" s="225"/>
      <c r="LV2" s="225"/>
      <c r="LW2" s="225"/>
      <c r="LX2" s="218"/>
      <c r="LY2" s="222"/>
      <c r="LZ2" s="226" t="str">
        <f>"S"&amp;WEEKNUM(LZ3)</f>
        <v>S48</v>
      </c>
      <c r="MA2" s="225"/>
      <c r="MB2" s="225"/>
      <c r="MC2" s="225"/>
      <c r="MD2" s="225"/>
      <c r="ME2" s="218"/>
      <c r="MF2" s="226"/>
      <c r="MG2" s="226" t="str">
        <f>"S"&amp;WEEKNUM(MG3)</f>
        <v>S49</v>
      </c>
      <c r="MH2" s="225"/>
      <c r="MI2" s="225"/>
      <c r="MJ2" s="225"/>
      <c r="MK2" s="225"/>
      <c r="ML2" s="218"/>
      <c r="MM2" s="222"/>
      <c r="MN2" s="226" t="str">
        <f>"S"&amp;WEEKNUM(MN3)</f>
        <v>S50</v>
      </c>
      <c r="MO2" s="225"/>
      <c r="MP2" s="225"/>
      <c r="MQ2" s="225"/>
      <c r="MR2" s="225"/>
      <c r="MS2" s="218"/>
      <c r="MT2" s="222"/>
      <c r="MU2" s="226" t="str">
        <f>"S"&amp;WEEKNUM(MU3)</f>
        <v>S51</v>
      </c>
      <c r="MV2" s="225"/>
      <c r="MW2" s="225"/>
      <c r="MX2" s="225"/>
      <c r="MY2" s="225"/>
      <c r="MZ2" s="218"/>
      <c r="NA2" s="226"/>
      <c r="NB2" s="226" t="str">
        <f>"S"&amp;WEEKNUM(NB3)</f>
        <v>S52</v>
      </c>
      <c r="NC2" s="225"/>
      <c r="ND2" s="225"/>
      <c r="NE2" s="225"/>
      <c r="NF2" s="225"/>
      <c r="NG2" s="218"/>
      <c r="NH2" s="222"/>
      <c r="NI2" s="226" t="str">
        <f>"S"&amp;WEEKNUM(NI3)</f>
        <v>S53</v>
      </c>
      <c r="NJ2" s="225"/>
      <c r="NK2" s="225"/>
      <c r="NL2" s="225"/>
      <c r="NM2" s="225"/>
      <c r="NN2" s="218"/>
      <c r="NO2" s="222"/>
      <c r="NP2" s="226" t="str">
        <f>"S"&amp;WEEKNUM(NP3)</f>
        <v>S2</v>
      </c>
      <c r="NQ2" s="225"/>
      <c r="NR2" s="225"/>
      <c r="NS2" s="225"/>
      <c r="NT2" s="225"/>
      <c r="NU2" s="218"/>
      <c r="NV2" s="222"/>
      <c r="NW2" s="226" t="str">
        <f>"S"&amp;WEEKNUM(NW3)</f>
        <v>S3</v>
      </c>
      <c r="NX2" s="225"/>
      <c r="NY2" s="225"/>
      <c r="NZ2" s="225"/>
      <c r="OA2" s="225"/>
      <c r="OB2" s="218"/>
    </row>
    <row r="3" spans="2:392" ht="15" thickBot="1" x14ac:dyDescent="0.35">
      <c r="I3" s="223">
        <v>46021</v>
      </c>
      <c r="J3" s="223">
        <v>46022</v>
      </c>
      <c r="K3" s="223">
        <v>46023</v>
      </c>
      <c r="L3" s="223">
        <v>46024</v>
      </c>
      <c r="M3" s="223">
        <v>46025</v>
      </c>
      <c r="N3" s="224"/>
      <c r="O3" s="132">
        <v>45459</v>
      </c>
      <c r="P3" s="223">
        <v>45663</v>
      </c>
      <c r="Q3" s="223">
        <v>45664</v>
      </c>
      <c r="R3" s="223">
        <v>45665</v>
      </c>
      <c r="S3" s="223">
        <v>45666</v>
      </c>
      <c r="T3" s="223">
        <v>45667</v>
      </c>
      <c r="U3" s="224"/>
      <c r="V3" s="132">
        <v>45466</v>
      </c>
      <c r="W3" s="223">
        <v>45670</v>
      </c>
      <c r="X3" s="223">
        <v>45671</v>
      </c>
      <c r="Y3" s="223">
        <v>45672</v>
      </c>
      <c r="Z3" s="223">
        <v>45673</v>
      </c>
      <c r="AA3" s="223">
        <v>45674</v>
      </c>
      <c r="AB3" s="224"/>
      <c r="AC3" s="132">
        <v>45473</v>
      </c>
      <c r="AD3" s="223">
        <v>45677</v>
      </c>
      <c r="AE3" s="223">
        <v>45678</v>
      </c>
      <c r="AF3" s="223">
        <v>45679</v>
      </c>
      <c r="AG3" s="223">
        <v>45680</v>
      </c>
      <c r="AH3" s="223">
        <v>45681</v>
      </c>
      <c r="AI3" s="223">
        <v>45682</v>
      </c>
      <c r="AJ3" s="132">
        <v>45683</v>
      </c>
      <c r="AK3" s="223">
        <v>45684</v>
      </c>
      <c r="AL3" s="223">
        <v>45685</v>
      </c>
      <c r="AM3" s="223">
        <v>45686</v>
      </c>
      <c r="AN3" s="223">
        <v>45687</v>
      </c>
      <c r="AO3" s="223">
        <v>45688</v>
      </c>
      <c r="AP3" s="224">
        <v>45689</v>
      </c>
      <c r="AQ3" s="132">
        <v>45690</v>
      </c>
      <c r="AR3" s="223">
        <v>45691</v>
      </c>
      <c r="AS3" s="223">
        <v>45692</v>
      </c>
      <c r="AT3" s="223">
        <v>45693</v>
      </c>
      <c r="AU3" s="223">
        <v>45694</v>
      </c>
      <c r="AV3" s="223">
        <v>45695</v>
      </c>
      <c r="AW3" s="223">
        <v>45696</v>
      </c>
      <c r="AX3" s="132">
        <v>45697</v>
      </c>
      <c r="AY3" s="223">
        <v>45698</v>
      </c>
      <c r="AZ3" s="223">
        <v>45699</v>
      </c>
      <c r="BA3" s="223">
        <v>45700</v>
      </c>
      <c r="BB3" s="223">
        <v>45701</v>
      </c>
      <c r="BC3" s="223">
        <v>45702</v>
      </c>
      <c r="BD3" s="223">
        <v>45703</v>
      </c>
      <c r="BE3" s="132">
        <v>45704</v>
      </c>
      <c r="BF3" s="223">
        <v>45705</v>
      </c>
      <c r="BG3" s="223">
        <v>45706</v>
      </c>
      <c r="BH3" s="223">
        <v>45707</v>
      </c>
      <c r="BI3" s="223">
        <v>45708</v>
      </c>
      <c r="BJ3" s="223">
        <v>45709</v>
      </c>
      <c r="BK3" s="223">
        <v>45710</v>
      </c>
      <c r="BL3" s="132">
        <v>45711</v>
      </c>
      <c r="BM3" s="223">
        <v>45712</v>
      </c>
      <c r="BN3" s="223">
        <v>45713</v>
      </c>
      <c r="BO3" s="223">
        <v>45714</v>
      </c>
      <c r="BP3" s="223">
        <v>45715</v>
      </c>
      <c r="BQ3" s="223">
        <v>45716</v>
      </c>
      <c r="BR3" s="223">
        <v>45717</v>
      </c>
      <c r="BS3" s="132">
        <v>45718</v>
      </c>
      <c r="BT3" s="223">
        <v>45719</v>
      </c>
      <c r="BU3" s="223">
        <v>45720</v>
      </c>
      <c r="BV3" s="223">
        <v>45721</v>
      </c>
      <c r="BW3" s="223">
        <v>45722</v>
      </c>
      <c r="BX3" s="223">
        <v>45723</v>
      </c>
      <c r="BY3" s="223">
        <v>45724</v>
      </c>
      <c r="BZ3" s="132">
        <v>45725</v>
      </c>
      <c r="CA3" s="223">
        <v>45726</v>
      </c>
      <c r="CB3" s="223">
        <v>45727</v>
      </c>
      <c r="CC3" s="223">
        <v>45728</v>
      </c>
      <c r="CD3" s="223">
        <v>45729</v>
      </c>
      <c r="CE3" s="223">
        <v>45730</v>
      </c>
      <c r="CF3" s="223">
        <v>45731</v>
      </c>
      <c r="CG3" s="132">
        <v>45732</v>
      </c>
      <c r="CH3" s="223">
        <v>45733</v>
      </c>
      <c r="CI3" s="223">
        <v>45734</v>
      </c>
      <c r="CJ3" s="223">
        <v>45735</v>
      </c>
      <c r="CK3" s="223">
        <v>45736</v>
      </c>
      <c r="CL3" s="223">
        <v>45737</v>
      </c>
      <c r="CM3" s="223">
        <v>45738</v>
      </c>
      <c r="CN3" s="132">
        <v>45739</v>
      </c>
      <c r="CO3" s="223">
        <v>45740</v>
      </c>
      <c r="CP3" s="223">
        <v>45741</v>
      </c>
      <c r="CQ3" s="223">
        <v>45742</v>
      </c>
      <c r="CR3" s="223">
        <v>45743</v>
      </c>
      <c r="CS3" s="223">
        <v>45744</v>
      </c>
      <c r="CT3" s="223">
        <v>45745</v>
      </c>
      <c r="CU3" s="132">
        <v>45746</v>
      </c>
      <c r="CV3" s="223">
        <v>45747</v>
      </c>
      <c r="CW3" s="223">
        <v>45748</v>
      </c>
      <c r="CX3" s="223">
        <v>45749</v>
      </c>
      <c r="CY3" s="223">
        <v>45750</v>
      </c>
      <c r="CZ3" s="223">
        <v>45751</v>
      </c>
      <c r="DA3" s="223">
        <v>45752</v>
      </c>
      <c r="DB3" s="132">
        <v>45753</v>
      </c>
      <c r="DC3" s="223">
        <v>45754</v>
      </c>
      <c r="DD3" s="223">
        <v>45755</v>
      </c>
      <c r="DE3" s="223">
        <v>45756</v>
      </c>
      <c r="DF3" s="223">
        <v>45757</v>
      </c>
      <c r="DG3" s="223">
        <v>45758</v>
      </c>
      <c r="DH3" s="223">
        <v>45759</v>
      </c>
      <c r="DI3" s="132">
        <v>45760</v>
      </c>
      <c r="DJ3" s="223">
        <v>45761</v>
      </c>
      <c r="DK3" s="223">
        <v>45762</v>
      </c>
      <c r="DL3" s="223">
        <v>45763</v>
      </c>
      <c r="DM3" s="223">
        <v>45764</v>
      </c>
      <c r="DN3" s="223">
        <v>45765</v>
      </c>
      <c r="DO3" s="223">
        <v>45766</v>
      </c>
      <c r="DP3" s="132">
        <v>45767</v>
      </c>
      <c r="DQ3" s="223">
        <v>45768</v>
      </c>
      <c r="DR3" s="223">
        <v>45769</v>
      </c>
      <c r="DS3" s="223">
        <v>45770</v>
      </c>
      <c r="DT3" s="223">
        <v>45771</v>
      </c>
      <c r="DU3" s="223">
        <v>45772</v>
      </c>
      <c r="DV3" s="223">
        <v>45773</v>
      </c>
      <c r="DW3" s="223">
        <v>45774</v>
      </c>
      <c r="DX3" s="223">
        <v>45775</v>
      </c>
      <c r="DY3" s="223">
        <v>45776</v>
      </c>
      <c r="DZ3" s="223">
        <v>45777</v>
      </c>
      <c r="EA3" s="223">
        <v>45778</v>
      </c>
      <c r="EB3" s="223">
        <v>45779</v>
      </c>
      <c r="EC3" s="223">
        <v>45780</v>
      </c>
      <c r="ED3" s="132">
        <v>45781</v>
      </c>
      <c r="EE3" s="223">
        <v>45782</v>
      </c>
      <c r="EF3" s="223">
        <v>45783</v>
      </c>
      <c r="EG3" s="223">
        <v>45784</v>
      </c>
      <c r="EH3" s="223">
        <v>45785</v>
      </c>
      <c r="EI3" s="223">
        <v>45786</v>
      </c>
      <c r="EJ3" s="223">
        <v>45787</v>
      </c>
      <c r="EK3" s="132">
        <v>45788</v>
      </c>
      <c r="EL3" s="223">
        <v>45789</v>
      </c>
      <c r="EM3" s="223">
        <v>45790</v>
      </c>
      <c r="EN3" s="223">
        <v>45791</v>
      </c>
      <c r="EO3" s="223">
        <v>45792</v>
      </c>
      <c r="EP3" s="223">
        <v>45793</v>
      </c>
      <c r="EQ3" s="223">
        <v>45794</v>
      </c>
      <c r="ER3" s="132">
        <v>45795</v>
      </c>
      <c r="ES3" s="223">
        <v>45796</v>
      </c>
      <c r="ET3" s="223">
        <v>45797</v>
      </c>
      <c r="EU3" s="223">
        <v>45798</v>
      </c>
      <c r="EV3" s="223">
        <v>45799</v>
      </c>
      <c r="EW3" s="223">
        <v>45800</v>
      </c>
      <c r="EX3" s="223">
        <v>45801</v>
      </c>
      <c r="EY3" s="132">
        <v>45802</v>
      </c>
      <c r="EZ3" s="223">
        <v>45803</v>
      </c>
      <c r="FA3" s="223">
        <v>45804</v>
      </c>
      <c r="FB3" s="223">
        <v>45805</v>
      </c>
      <c r="FC3" s="223">
        <v>45806</v>
      </c>
      <c r="FD3" s="223">
        <v>45807</v>
      </c>
      <c r="FE3" s="223">
        <v>45808</v>
      </c>
      <c r="FF3" s="132">
        <v>45809</v>
      </c>
      <c r="FG3" s="223">
        <v>45810</v>
      </c>
      <c r="FH3" s="223">
        <v>45811</v>
      </c>
      <c r="FI3" s="223">
        <v>45812</v>
      </c>
      <c r="FJ3" s="223">
        <v>45813</v>
      </c>
      <c r="FK3" s="223">
        <v>45814</v>
      </c>
      <c r="FL3" s="223">
        <v>45815</v>
      </c>
      <c r="FM3" s="132">
        <v>45816</v>
      </c>
      <c r="FN3" s="223">
        <v>45817</v>
      </c>
      <c r="FO3" s="223">
        <v>45818</v>
      </c>
      <c r="FP3" s="223">
        <v>45819</v>
      </c>
      <c r="FQ3" s="223">
        <v>45820</v>
      </c>
      <c r="FR3" s="223">
        <v>45821</v>
      </c>
      <c r="FS3" s="223">
        <v>45822</v>
      </c>
      <c r="FT3" s="132">
        <v>45823</v>
      </c>
      <c r="FU3" s="223">
        <v>45824</v>
      </c>
      <c r="FV3" s="223">
        <v>45825</v>
      </c>
      <c r="FW3" s="223">
        <v>45826</v>
      </c>
      <c r="FX3" s="223">
        <v>45827</v>
      </c>
      <c r="FY3" s="223">
        <v>45828</v>
      </c>
      <c r="FZ3" s="223">
        <v>45829</v>
      </c>
      <c r="GA3" s="132">
        <v>45830</v>
      </c>
      <c r="GB3" s="223">
        <v>45831</v>
      </c>
      <c r="GC3" s="223">
        <v>45832</v>
      </c>
      <c r="GD3" s="223">
        <v>45833</v>
      </c>
      <c r="GE3" s="223">
        <v>45834</v>
      </c>
      <c r="GF3" s="223">
        <v>45835</v>
      </c>
      <c r="GG3" s="223">
        <v>45836</v>
      </c>
      <c r="GH3" s="132">
        <v>45837</v>
      </c>
      <c r="GI3" s="223">
        <v>45838</v>
      </c>
      <c r="GJ3" s="223">
        <v>45839</v>
      </c>
      <c r="GK3" s="223">
        <v>45840</v>
      </c>
      <c r="GL3" s="223">
        <v>45841</v>
      </c>
      <c r="GM3" s="223">
        <v>45842</v>
      </c>
      <c r="GN3" s="223">
        <v>45843</v>
      </c>
      <c r="GO3" s="223">
        <v>45844</v>
      </c>
      <c r="GP3" s="223">
        <v>45845</v>
      </c>
      <c r="GQ3" s="223">
        <v>45846</v>
      </c>
      <c r="GR3" s="223">
        <v>45847</v>
      </c>
      <c r="GS3" s="223">
        <v>45848</v>
      </c>
      <c r="GT3" s="223">
        <v>45849</v>
      </c>
      <c r="GU3" s="223">
        <v>45850</v>
      </c>
      <c r="GV3" s="132">
        <v>45851</v>
      </c>
      <c r="GW3" s="223">
        <v>45852</v>
      </c>
      <c r="GX3" s="223">
        <v>45853</v>
      </c>
      <c r="GY3" s="223">
        <v>45854</v>
      </c>
      <c r="GZ3" s="223">
        <v>45855</v>
      </c>
      <c r="HA3" s="223">
        <v>45856</v>
      </c>
      <c r="HB3" s="223">
        <v>45857</v>
      </c>
      <c r="HC3" s="132">
        <v>45858</v>
      </c>
      <c r="HD3" s="223">
        <v>45859</v>
      </c>
      <c r="HE3" s="223">
        <v>45860</v>
      </c>
      <c r="HF3" s="223">
        <v>45861</v>
      </c>
      <c r="HG3" s="223">
        <v>45862</v>
      </c>
      <c r="HH3" s="223">
        <v>45863</v>
      </c>
      <c r="HI3" s="223">
        <v>45864</v>
      </c>
      <c r="HJ3" s="132">
        <v>45865</v>
      </c>
      <c r="HK3" s="223">
        <v>45866</v>
      </c>
      <c r="HL3" s="223">
        <v>45867</v>
      </c>
      <c r="HM3" s="223">
        <v>45868</v>
      </c>
      <c r="HN3" s="223">
        <v>45869</v>
      </c>
      <c r="HO3" s="223">
        <v>45870</v>
      </c>
      <c r="HP3" s="223">
        <v>45871</v>
      </c>
      <c r="HQ3" s="132">
        <v>45872</v>
      </c>
      <c r="HR3" s="223">
        <v>45873</v>
      </c>
      <c r="HS3" s="223">
        <v>45874</v>
      </c>
      <c r="HT3" s="223">
        <v>45875</v>
      </c>
      <c r="HU3" s="223">
        <v>45876</v>
      </c>
      <c r="HV3" s="223">
        <v>45877</v>
      </c>
      <c r="HW3" s="223">
        <v>45878</v>
      </c>
      <c r="HX3" s="132">
        <v>45879</v>
      </c>
      <c r="HY3" s="223">
        <v>45880</v>
      </c>
      <c r="HZ3" s="223">
        <v>45881</v>
      </c>
      <c r="IA3" s="223">
        <v>45882</v>
      </c>
      <c r="IB3" s="223">
        <v>45883</v>
      </c>
      <c r="IC3" s="223">
        <v>45884</v>
      </c>
      <c r="ID3" s="223">
        <v>45885</v>
      </c>
      <c r="IE3" s="132">
        <v>45886</v>
      </c>
      <c r="IF3" s="223">
        <v>45887</v>
      </c>
      <c r="IG3" s="223">
        <v>45888</v>
      </c>
      <c r="IH3" s="223">
        <v>45889</v>
      </c>
      <c r="II3" s="223">
        <v>45890</v>
      </c>
      <c r="IJ3" s="223">
        <v>45891</v>
      </c>
      <c r="IK3" s="223">
        <v>45892</v>
      </c>
      <c r="IL3" s="132">
        <v>45893</v>
      </c>
      <c r="IM3" s="223">
        <v>45894</v>
      </c>
      <c r="IN3" s="223">
        <v>45895</v>
      </c>
      <c r="IO3" s="223">
        <v>45896</v>
      </c>
      <c r="IP3" s="223">
        <v>45897</v>
      </c>
      <c r="IQ3" s="223">
        <v>45898</v>
      </c>
      <c r="IR3" s="223">
        <v>45899</v>
      </c>
      <c r="IS3" s="132">
        <v>45900</v>
      </c>
      <c r="IT3" s="223">
        <v>45901</v>
      </c>
      <c r="IU3" s="223">
        <v>45902</v>
      </c>
      <c r="IV3" s="223">
        <v>45903</v>
      </c>
      <c r="IW3" s="223">
        <v>45904</v>
      </c>
      <c r="IX3" s="223">
        <v>45905</v>
      </c>
      <c r="IY3" s="223">
        <v>45906</v>
      </c>
      <c r="IZ3" s="132">
        <v>45907</v>
      </c>
      <c r="JA3" s="223">
        <v>45908</v>
      </c>
      <c r="JB3" s="223">
        <v>45909</v>
      </c>
      <c r="JC3" s="223">
        <v>45910</v>
      </c>
      <c r="JD3" s="223">
        <v>45911</v>
      </c>
      <c r="JE3" s="223">
        <v>45912</v>
      </c>
      <c r="JF3" s="223">
        <v>45913</v>
      </c>
      <c r="JG3" s="132">
        <v>45914</v>
      </c>
      <c r="JH3" s="223">
        <v>45915</v>
      </c>
      <c r="JI3" s="223">
        <v>45916</v>
      </c>
      <c r="JJ3" s="223">
        <v>45917</v>
      </c>
      <c r="JK3" s="223">
        <v>45918</v>
      </c>
      <c r="JL3" s="223">
        <v>45919</v>
      </c>
      <c r="JM3" s="223">
        <v>45920</v>
      </c>
      <c r="JN3" s="132">
        <v>45921</v>
      </c>
      <c r="JO3" s="223">
        <v>45922</v>
      </c>
      <c r="JP3" s="223">
        <v>45923</v>
      </c>
      <c r="JQ3" s="223">
        <v>45924</v>
      </c>
      <c r="JR3" s="223">
        <v>45925</v>
      </c>
      <c r="JS3" s="223">
        <v>45926</v>
      </c>
      <c r="JT3" s="223">
        <v>45927</v>
      </c>
      <c r="JU3" s="132">
        <v>45928</v>
      </c>
      <c r="JV3" s="223">
        <v>45929</v>
      </c>
      <c r="JW3" s="223">
        <v>45930</v>
      </c>
      <c r="JX3" s="223">
        <v>45931</v>
      </c>
      <c r="JY3" s="223">
        <v>45932</v>
      </c>
      <c r="JZ3" s="223">
        <v>45933</v>
      </c>
      <c r="KA3" s="223">
        <v>45934</v>
      </c>
      <c r="KB3" s="132">
        <v>45935</v>
      </c>
      <c r="KC3" s="223">
        <v>45936</v>
      </c>
      <c r="KD3" s="223">
        <v>45937</v>
      </c>
      <c r="KE3" s="223">
        <v>45938</v>
      </c>
      <c r="KF3" s="223">
        <v>45939</v>
      </c>
      <c r="KG3" s="223">
        <v>45940</v>
      </c>
      <c r="KH3" s="223">
        <v>45941</v>
      </c>
      <c r="KI3" s="223">
        <v>45942</v>
      </c>
      <c r="KJ3" s="223">
        <v>45943</v>
      </c>
      <c r="KK3" s="223">
        <v>45944</v>
      </c>
      <c r="KL3" s="223">
        <v>45945</v>
      </c>
      <c r="KM3" s="223">
        <v>45946</v>
      </c>
      <c r="KN3" s="223">
        <v>45947</v>
      </c>
      <c r="KO3" s="223">
        <v>45948</v>
      </c>
      <c r="KP3" s="132">
        <v>45949</v>
      </c>
      <c r="KQ3" s="223">
        <v>45950</v>
      </c>
      <c r="KR3" s="223">
        <v>45951</v>
      </c>
      <c r="KS3" s="223">
        <v>45952</v>
      </c>
      <c r="KT3" s="223">
        <v>45953</v>
      </c>
      <c r="KU3" s="223">
        <v>45954</v>
      </c>
      <c r="KV3" s="223">
        <v>45955</v>
      </c>
      <c r="KW3" s="132">
        <v>45956</v>
      </c>
      <c r="KX3" s="223">
        <v>45957</v>
      </c>
      <c r="KY3" s="223">
        <v>45958</v>
      </c>
      <c r="KZ3" s="223">
        <v>45959</v>
      </c>
      <c r="LA3" s="223">
        <v>45960</v>
      </c>
      <c r="LB3" s="223">
        <v>45961</v>
      </c>
      <c r="LC3" s="223">
        <v>45962</v>
      </c>
      <c r="LD3" s="132">
        <v>45963</v>
      </c>
      <c r="LE3" s="223">
        <v>45964</v>
      </c>
      <c r="LF3" s="223">
        <v>45965</v>
      </c>
      <c r="LG3" s="223">
        <v>45966</v>
      </c>
      <c r="LH3" s="223">
        <v>45967</v>
      </c>
      <c r="LI3" s="223">
        <v>45968</v>
      </c>
      <c r="LJ3" s="223">
        <v>45969</v>
      </c>
      <c r="LK3" s="132">
        <v>45970</v>
      </c>
      <c r="LL3" s="223">
        <v>45971</v>
      </c>
      <c r="LM3" s="223">
        <v>45972</v>
      </c>
      <c r="LN3" s="223">
        <v>45973</v>
      </c>
      <c r="LO3" s="223">
        <v>45974</v>
      </c>
      <c r="LP3" s="223">
        <v>45975</v>
      </c>
      <c r="LQ3" s="223">
        <v>45976</v>
      </c>
      <c r="LR3" s="132">
        <v>45977</v>
      </c>
      <c r="LS3" s="223">
        <v>45978</v>
      </c>
      <c r="LT3" s="223">
        <v>45979</v>
      </c>
      <c r="LU3" s="223">
        <v>45980</v>
      </c>
      <c r="LV3" s="223">
        <v>45981</v>
      </c>
      <c r="LW3" s="223">
        <v>45982</v>
      </c>
      <c r="LX3" s="223">
        <v>45983</v>
      </c>
      <c r="LY3" s="132">
        <v>45984</v>
      </c>
      <c r="LZ3" s="223">
        <v>45985</v>
      </c>
      <c r="MA3" s="223">
        <v>45986</v>
      </c>
      <c r="MB3" s="223">
        <v>45987</v>
      </c>
      <c r="MC3" s="223">
        <v>45988</v>
      </c>
      <c r="MD3" s="223">
        <v>45989</v>
      </c>
      <c r="ME3" s="223">
        <v>45990</v>
      </c>
      <c r="MF3" s="132">
        <v>45991</v>
      </c>
      <c r="MG3" s="223">
        <v>45992</v>
      </c>
      <c r="MH3" s="223">
        <v>45993</v>
      </c>
      <c r="MI3" s="223">
        <v>45994</v>
      </c>
      <c r="MJ3" s="223">
        <v>45995</v>
      </c>
      <c r="MK3" s="223">
        <v>45996</v>
      </c>
      <c r="ML3" s="223">
        <v>45997</v>
      </c>
      <c r="MM3" s="132">
        <v>45998</v>
      </c>
      <c r="MN3" s="223">
        <v>45999</v>
      </c>
      <c r="MO3" s="223">
        <v>46000</v>
      </c>
      <c r="MP3" s="223">
        <v>46001</v>
      </c>
      <c r="MQ3" s="223">
        <v>46002</v>
      </c>
      <c r="MR3" s="223">
        <v>46003</v>
      </c>
      <c r="MS3" s="223">
        <v>46004</v>
      </c>
      <c r="MT3" s="132">
        <v>46005</v>
      </c>
      <c r="MU3" s="223">
        <v>46006</v>
      </c>
      <c r="MV3" s="223">
        <v>46007</v>
      </c>
      <c r="MW3" s="223">
        <v>46008</v>
      </c>
      <c r="MX3" s="223">
        <v>46009</v>
      </c>
      <c r="MY3" s="223">
        <v>46010</v>
      </c>
      <c r="MZ3" s="223">
        <v>46011</v>
      </c>
      <c r="NA3" s="223">
        <v>46012</v>
      </c>
      <c r="NB3" s="223">
        <v>46013</v>
      </c>
      <c r="NC3" s="223">
        <v>46014</v>
      </c>
      <c r="ND3" s="223">
        <v>46015</v>
      </c>
      <c r="NE3" s="223">
        <v>46016</v>
      </c>
      <c r="NF3" s="223">
        <v>46017</v>
      </c>
      <c r="NG3" s="223">
        <v>46018</v>
      </c>
      <c r="NH3" s="132">
        <v>46019</v>
      </c>
      <c r="NI3" s="223">
        <v>46020</v>
      </c>
      <c r="NJ3" s="223">
        <v>46021</v>
      </c>
      <c r="NK3" s="223">
        <v>46022</v>
      </c>
      <c r="NL3" s="223">
        <v>46023</v>
      </c>
      <c r="NM3" s="223">
        <v>46024</v>
      </c>
      <c r="NN3" s="223">
        <v>46025</v>
      </c>
      <c r="NO3" s="132">
        <v>46026</v>
      </c>
      <c r="NP3" s="223">
        <v>46027</v>
      </c>
      <c r="NQ3" s="223">
        <v>46028</v>
      </c>
      <c r="NR3" s="223">
        <v>46029</v>
      </c>
      <c r="NS3" s="223">
        <v>46030</v>
      </c>
      <c r="NT3" s="223">
        <v>46031</v>
      </c>
      <c r="NU3" s="223">
        <v>46032</v>
      </c>
      <c r="NV3" s="132">
        <v>46033</v>
      </c>
      <c r="NW3" s="223">
        <v>46034</v>
      </c>
      <c r="NX3" s="223">
        <v>46035</v>
      </c>
      <c r="NY3" s="223">
        <v>46036</v>
      </c>
      <c r="NZ3" s="223">
        <v>46037</v>
      </c>
      <c r="OA3" s="223">
        <v>46038</v>
      </c>
      <c r="OB3" s="223"/>
    </row>
    <row r="4" spans="2:392" ht="15" thickBot="1" x14ac:dyDescent="0.35">
      <c r="B4" s="1"/>
      <c r="C4" s="2" t="s">
        <v>1</v>
      </c>
      <c r="D4" s="205" t="s">
        <v>2</v>
      </c>
      <c r="E4" s="141" t="s">
        <v>3</v>
      </c>
      <c r="F4" s="142" t="s">
        <v>4</v>
      </c>
      <c r="G4" s="143" t="s">
        <v>5</v>
      </c>
      <c r="H4" s="144" t="s">
        <v>6</v>
      </c>
      <c r="I4" s="237" t="s">
        <v>500</v>
      </c>
      <c r="J4" s="235" t="s">
        <v>501</v>
      </c>
      <c r="K4" s="235" t="s">
        <v>502</v>
      </c>
      <c r="L4" s="235" t="s">
        <v>503</v>
      </c>
      <c r="M4" s="235" t="s">
        <v>504</v>
      </c>
      <c r="N4" s="235" t="s">
        <v>505</v>
      </c>
      <c r="O4" s="236" t="s">
        <v>506</v>
      </c>
      <c r="P4" s="237" t="s">
        <v>507</v>
      </c>
      <c r="Q4" s="235" t="s">
        <v>508</v>
      </c>
      <c r="R4" s="235" t="s">
        <v>509</v>
      </c>
      <c r="S4" s="235" t="s">
        <v>510</v>
      </c>
      <c r="T4" s="235" t="s">
        <v>511</v>
      </c>
      <c r="U4" s="235" t="s">
        <v>512</v>
      </c>
      <c r="V4" s="236" t="s">
        <v>513</v>
      </c>
      <c r="W4" s="237" t="s">
        <v>514</v>
      </c>
      <c r="X4" s="235" t="s">
        <v>515</v>
      </c>
      <c r="Y4" s="235" t="s">
        <v>516</v>
      </c>
      <c r="Z4" s="235" t="s">
        <v>517</v>
      </c>
      <c r="AA4" s="235" t="s">
        <v>518</v>
      </c>
      <c r="AB4" s="235" t="s">
        <v>519</v>
      </c>
      <c r="AC4" s="236" t="s">
        <v>520</v>
      </c>
      <c r="AD4" s="237" t="s">
        <v>521</v>
      </c>
      <c r="AE4" s="235" t="s">
        <v>522</v>
      </c>
      <c r="AF4" s="235" t="s">
        <v>523</v>
      </c>
      <c r="AG4" s="235" t="s">
        <v>524</v>
      </c>
      <c r="AH4" s="235" t="s">
        <v>525</v>
      </c>
      <c r="AI4" s="235" t="s">
        <v>526</v>
      </c>
      <c r="AJ4" s="236" t="s">
        <v>527</v>
      </c>
      <c r="AK4" s="237" t="s">
        <v>528</v>
      </c>
      <c r="AL4" s="235" t="s">
        <v>529</v>
      </c>
      <c r="AM4" s="235" t="s">
        <v>530</v>
      </c>
      <c r="AN4" s="235" t="s">
        <v>531</v>
      </c>
      <c r="AO4" s="235" t="s">
        <v>532</v>
      </c>
      <c r="AP4" s="235" t="s">
        <v>533</v>
      </c>
      <c r="AQ4" s="236" t="s">
        <v>534</v>
      </c>
      <c r="AR4" s="237" t="s">
        <v>535</v>
      </c>
      <c r="AS4" s="235" t="s">
        <v>536</v>
      </c>
      <c r="AT4" s="235" t="s">
        <v>537</v>
      </c>
      <c r="AU4" s="235" t="s">
        <v>538</v>
      </c>
      <c r="AV4" s="235" t="s">
        <v>539</v>
      </c>
      <c r="AW4" s="235" t="s">
        <v>540</v>
      </c>
      <c r="AX4" s="236" t="s">
        <v>541</v>
      </c>
      <c r="AY4" s="237" t="s">
        <v>908</v>
      </c>
      <c r="AZ4" s="235" t="s">
        <v>543</v>
      </c>
      <c r="BA4" s="235" t="s">
        <v>544</v>
      </c>
      <c r="BB4" s="235" t="s">
        <v>545</v>
      </c>
      <c r="BC4" s="235" t="s">
        <v>546</v>
      </c>
      <c r="BD4" s="235" t="s">
        <v>547</v>
      </c>
      <c r="BE4" s="236" t="s">
        <v>548</v>
      </c>
      <c r="BF4" s="237" t="s">
        <v>549</v>
      </c>
      <c r="BG4" s="235" t="s">
        <v>550</v>
      </c>
      <c r="BH4" s="235" t="s">
        <v>551</v>
      </c>
      <c r="BI4" s="235" t="s">
        <v>552</v>
      </c>
      <c r="BJ4" s="235" t="s">
        <v>553</v>
      </c>
      <c r="BK4" s="235" t="s">
        <v>554</v>
      </c>
      <c r="BL4" s="236" t="s">
        <v>555</v>
      </c>
      <c r="BM4" s="237" t="s">
        <v>556</v>
      </c>
      <c r="BN4" s="235" t="s">
        <v>557</v>
      </c>
      <c r="BO4" s="235" t="s">
        <v>558</v>
      </c>
      <c r="BP4" s="235" t="s">
        <v>559</v>
      </c>
      <c r="BQ4" s="235" t="s">
        <v>560</v>
      </c>
      <c r="BR4" s="235" t="s">
        <v>561</v>
      </c>
      <c r="BS4" s="236" t="s">
        <v>562</v>
      </c>
      <c r="BT4" s="237" t="s">
        <v>563</v>
      </c>
      <c r="BU4" s="235" t="s">
        <v>564</v>
      </c>
      <c r="BV4" s="235" t="s">
        <v>565</v>
      </c>
      <c r="BW4" s="235" t="s">
        <v>566</v>
      </c>
      <c r="BX4" s="235" t="s">
        <v>567</v>
      </c>
      <c r="BY4" s="235" t="s">
        <v>568</v>
      </c>
      <c r="BZ4" s="236" t="s">
        <v>569</v>
      </c>
      <c r="CA4" s="237" t="s">
        <v>570</v>
      </c>
      <c r="CB4" s="235" t="s">
        <v>571</v>
      </c>
      <c r="CC4" s="235" t="s">
        <v>572</v>
      </c>
      <c r="CD4" s="235" t="s">
        <v>573</v>
      </c>
      <c r="CE4" s="235" t="s">
        <v>574</v>
      </c>
      <c r="CF4" s="235" t="s">
        <v>575</v>
      </c>
      <c r="CG4" s="236" t="s">
        <v>576</v>
      </c>
      <c r="CH4" s="237" t="s">
        <v>577</v>
      </c>
      <c r="CI4" s="235" t="s">
        <v>578</v>
      </c>
      <c r="CJ4" s="235" t="s">
        <v>579</v>
      </c>
      <c r="CK4" s="235" t="s">
        <v>580</v>
      </c>
      <c r="CL4" s="235" t="s">
        <v>581</v>
      </c>
      <c r="CM4" s="235" t="s">
        <v>582</v>
      </c>
      <c r="CN4" s="236" t="s">
        <v>583</v>
      </c>
      <c r="CO4" s="237" t="s">
        <v>584</v>
      </c>
      <c r="CP4" s="235" t="s">
        <v>585</v>
      </c>
      <c r="CQ4" s="235" t="s">
        <v>586</v>
      </c>
      <c r="CR4" s="235" t="s">
        <v>587</v>
      </c>
      <c r="CS4" s="235" t="s">
        <v>588</v>
      </c>
      <c r="CT4" s="235" t="s">
        <v>589</v>
      </c>
      <c r="CU4" s="236" t="s">
        <v>590</v>
      </c>
      <c r="CV4" s="237" t="s">
        <v>591</v>
      </c>
      <c r="CW4" s="235" t="s">
        <v>476</v>
      </c>
      <c r="CX4" s="235" t="s">
        <v>477</v>
      </c>
      <c r="CY4" s="235" t="s">
        <v>478</v>
      </c>
      <c r="CZ4" s="235" t="s">
        <v>479</v>
      </c>
      <c r="DA4" s="235" t="s">
        <v>480</v>
      </c>
      <c r="DB4" s="236" t="s">
        <v>481</v>
      </c>
      <c r="DC4" s="237" t="s">
        <v>482</v>
      </c>
      <c r="DD4" s="235" t="s">
        <v>483</v>
      </c>
      <c r="DE4" s="235" t="s">
        <v>484</v>
      </c>
      <c r="DF4" s="235" t="s">
        <v>485</v>
      </c>
      <c r="DG4" s="235" t="s">
        <v>486</v>
      </c>
      <c r="DH4" s="235" t="s">
        <v>487</v>
      </c>
      <c r="DI4" s="236" t="s">
        <v>488</v>
      </c>
      <c r="DJ4" s="237" t="s">
        <v>489</v>
      </c>
      <c r="DK4" s="235" t="s">
        <v>490</v>
      </c>
      <c r="DL4" s="235" t="s">
        <v>491</v>
      </c>
      <c r="DM4" s="235" t="s">
        <v>492</v>
      </c>
      <c r="DN4" s="235" t="s">
        <v>493</v>
      </c>
      <c r="DO4" s="235" t="s">
        <v>494</v>
      </c>
      <c r="DP4" s="236" t="s">
        <v>495</v>
      </c>
      <c r="DQ4" s="237" t="s">
        <v>496</v>
      </c>
      <c r="DR4" s="235" t="s">
        <v>592</v>
      </c>
      <c r="DS4" s="235" t="s">
        <v>593</v>
      </c>
      <c r="DT4" s="235" t="s">
        <v>594</v>
      </c>
      <c r="DU4" s="235" t="s">
        <v>595</v>
      </c>
      <c r="DV4" s="235" t="s">
        <v>596</v>
      </c>
      <c r="DW4" s="236" t="s">
        <v>597</v>
      </c>
      <c r="DX4" s="237" t="s">
        <v>598</v>
      </c>
      <c r="DY4" s="235" t="s">
        <v>599</v>
      </c>
      <c r="DZ4" s="235" t="s">
        <v>600</v>
      </c>
      <c r="EA4" s="235" t="s">
        <v>601</v>
      </c>
      <c r="EB4" s="235" t="s">
        <v>602</v>
      </c>
      <c r="EC4" s="235" t="s">
        <v>603</v>
      </c>
      <c r="ED4" s="236" t="s">
        <v>604</v>
      </c>
      <c r="EE4" s="237" t="s">
        <v>605</v>
      </c>
      <c r="EF4" s="235" t="s">
        <v>606</v>
      </c>
      <c r="EG4" s="235" t="s">
        <v>607</v>
      </c>
      <c r="EH4" s="235" t="s">
        <v>608</v>
      </c>
      <c r="EI4" s="235" t="s">
        <v>609</v>
      </c>
      <c r="EJ4" s="235" t="s">
        <v>610</v>
      </c>
      <c r="EK4" s="236" t="s">
        <v>611</v>
      </c>
      <c r="EL4" s="237" t="s">
        <v>612</v>
      </c>
      <c r="EM4" s="235" t="s">
        <v>613</v>
      </c>
      <c r="EN4" s="235" t="s">
        <v>614</v>
      </c>
      <c r="EO4" s="235" t="s">
        <v>615</v>
      </c>
      <c r="EP4" s="235" t="s">
        <v>616</v>
      </c>
      <c r="EQ4" s="235" t="s">
        <v>617</v>
      </c>
      <c r="ER4" s="236" t="s">
        <v>618</v>
      </c>
      <c r="ES4" s="237" t="s">
        <v>619</v>
      </c>
      <c r="ET4" s="235" t="s">
        <v>620</v>
      </c>
      <c r="EU4" s="235" t="s">
        <v>621</v>
      </c>
      <c r="EV4" s="235" t="s">
        <v>622</v>
      </c>
      <c r="EW4" s="235" t="s">
        <v>623</v>
      </c>
      <c r="EX4" s="235" t="s">
        <v>624</v>
      </c>
      <c r="EY4" s="236" t="s">
        <v>625</v>
      </c>
      <c r="EZ4" s="237" t="s">
        <v>626</v>
      </c>
      <c r="FA4" s="235" t="s">
        <v>627</v>
      </c>
      <c r="FB4" s="235" t="s">
        <v>628</v>
      </c>
      <c r="FC4" s="235" t="s">
        <v>629</v>
      </c>
      <c r="FD4" s="235" t="s">
        <v>630</v>
      </c>
      <c r="FE4" s="235" t="s">
        <v>631</v>
      </c>
      <c r="FF4" s="236" t="s">
        <v>632</v>
      </c>
      <c r="FG4" s="237" t="s">
        <v>633</v>
      </c>
      <c r="FH4" s="235" t="s">
        <v>634</v>
      </c>
      <c r="FI4" s="235" t="s">
        <v>635</v>
      </c>
      <c r="FJ4" s="235" t="s">
        <v>636</v>
      </c>
      <c r="FK4" s="235" t="s">
        <v>637</v>
      </c>
      <c r="FL4" s="235" t="s">
        <v>638</v>
      </c>
      <c r="FM4" s="236" t="s">
        <v>639</v>
      </c>
      <c r="FN4" s="237" t="s">
        <v>640</v>
      </c>
      <c r="FO4" s="235" t="s">
        <v>641</v>
      </c>
      <c r="FP4" s="235" t="s">
        <v>642</v>
      </c>
      <c r="FQ4" s="235" t="s">
        <v>643</v>
      </c>
      <c r="FR4" s="235" t="s">
        <v>644</v>
      </c>
      <c r="FS4" s="235" t="s">
        <v>645</v>
      </c>
      <c r="FT4" s="236" t="s">
        <v>646</v>
      </c>
      <c r="FU4" s="237" t="s">
        <v>647</v>
      </c>
      <c r="FV4" s="235" t="s">
        <v>648</v>
      </c>
      <c r="FW4" s="235" t="s">
        <v>649</v>
      </c>
      <c r="FX4" s="235" t="s">
        <v>650</v>
      </c>
      <c r="FY4" s="235" t="s">
        <v>651</v>
      </c>
      <c r="FZ4" s="235" t="s">
        <v>652</v>
      </c>
      <c r="GA4" s="236" t="s">
        <v>653</v>
      </c>
      <c r="GB4" s="237" t="s">
        <v>654</v>
      </c>
      <c r="GC4" s="235" t="s">
        <v>655</v>
      </c>
      <c r="GD4" s="235" t="s">
        <v>656</v>
      </c>
      <c r="GE4" s="235" t="s">
        <v>657</v>
      </c>
      <c r="GF4" s="235" t="s">
        <v>658</v>
      </c>
      <c r="GG4" s="235" t="s">
        <v>659</v>
      </c>
      <c r="GH4" s="236" t="s">
        <v>660</v>
      </c>
      <c r="GI4" s="237" t="s">
        <v>661</v>
      </c>
      <c r="GJ4" s="235" t="s">
        <v>662</v>
      </c>
      <c r="GK4" s="235" t="s">
        <v>663</v>
      </c>
      <c r="GL4" s="235" t="s">
        <v>664</v>
      </c>
      <c r="GM4" s="235" t="s">
        <v>665</v>
      </c>
      <c r="GN4" s="235" t="s">
        <v>666</v>
      </c>
      <c r="GO4" s="236" t="s">
        <v>667</v>
      </c>
      <c r="GP4" s="237" t="s">
        <v>668</v>
      </c>
      <c r="GQ4" s="235" t="s">
        <v>669</v>
      </c>
      <c r="GR4" s="235" t="s">
        <v>670</v>
      </c>
      <c r="GS4" s="235" t="s">
        <v>671</v>
      </c>
      <c r="GT4" s="235" t="s">
        <v>672</v>
      </c>
      <c r="GU4" s="235" t="s">
        <v>673</v>
      </c>
      <c r="GV4" s="236" t="s">
        <v>674</v>
      </c>
      <c r="GW4" s="237" t="s">
        <v>675</v>
      </c>
      <c r="GX4" s="235" t="s">
        <v>676</v>
      </c>
      <c r="GY4" s="235" t="s">
        <v>677</v>
      </c>
      <c r="GZ4" s="235" t="s">
        <v>678</v>
      </c>
      <c r="HA4" s="235" t="s">
        <v>679</v>
      </c>
      <c r="HB4" s="235" t="s">
        <v>680</v>
      </c>
      <c r="HC4" s="135" t="s">
        <v>681</v>
      </c>
      <c r="HD4" s="376" t="s">
        <v>927</v>
      </c>
      <c r="HE4" s="376" t="s">
        <v>928</v>
      </c>
      <c r="HF4" s="376" t="s">
        <v>929</v>
      </c>
      <c r="HG4" s="376" t="s">
        <v>930</v>
      </c>
      <c r="HH4" s="376" t="s">
        <v>931</v>
      </c>
      <c r="HI4" s="376" t="s">
        <v>932</v>
      </c>
      <c r="HJ4" s="376" t="s">
        <v>933</v>
      </c>
      <c r="HK4" s="376" t="s">
        <v>934</v>
      </c>
      <c r="HL4" s="376" t="s">
        <v>935</v>
      </c>
      <c r="HM4" s="376" t="s">
        <v>936</v>
      </c>
      <c r="HN4" s="376" t="s">
        <v>937</v>
      </c>
      <c r="HO4" s="376" t="s">
        <v>938</v>
      </c>
      <c r="HP4" s="376" t="s">
        <v>939</v>
      </c>
      <c r="HQ4" s="376" t="s">
        <v>940</v>
      </c>
      <c r="HR4" s="376" t="s">
        <v>941</v>
      </c>
      <c r="HS4" s="376" t="s">
        <v>942</v>
      </c>
      <c r="HT4" s="376" t="s">
        <v>943</v>
      </c>
      <c r="HU4" s="376" t="s">
        <v>944</v>
      </c>
      <c r="HV4" s="376" t="s">
        <v>945</v>
      </c>
      <c r="HW4" s="376" t="s">
        <v>946</v>
      </c>
      <c r="HX4" s="376" t="s">
        <v>947</v>
      </c>
      <c r="HY4" s="376" t="s">
        <v>948</v>
      </c>
      <c r="HZ4" s="376" t="s">
        <v>949</v>
      </c>
      <c r="IA4" s="376" t="s">
        <v>950</v>
      </c>
      <c r="IB4" s="376" t="s">
        <v>951</v>
      </c>
      <c r="IC4" s="376" t="s">
        <v>952</v>
      </c>
      <c r="ID4" s="376" t="s">
        <v>953</v>
      </c>
      <c r="IE4" s="376" t="s">
        <v>954</v>
      </c>
      <c r="IF4" s="376" t="s">
        <v>955</v>
      </c>
      <c r="IG4" s="376" t="s">
        <v>956</v>
      </c>
      <c r="IH4" s="376" t="s">
        <v>957</v>
      </c>
      <c r="II4" s="376" t="s">
        <v>958</v>
      </c>
      <c r="IJ4" s="376" t="s">
        <v>959</v>
      </c>
      <c r="IK4" s="376" t="s">
        <v>960</v>
      </c>
      <c r="IL4" s="376" t="s">
        <v>961</v>
      </c>
      <c r="IM4" s="376" t="s">
        <v>962</v>
      </c>
      <c r="IN4" s="376" t="s">
        <v>963</v>
      </c>
      <c r="IO4" s="376" t="s">
        <v>964</v>
      </c>
      <c r="IP4" s="376" t="s">
        <v>965</v>
      </c>
      <c r="IQ4" s="376" t="s">
        <v>966</v>
      </c>
      <c r="IR4" s="376" t="s">
        <v>967</v>
      </c>
      <c r="IS4" s="376" t="s">
        <v>968</v>
      </c>
      <c r="IT4" s="376" t="s">
        <v>969</v>
      </c>
      <c r="IU4" s="376" t="s">
        <v>970</v>
      </c>
      <c r="IV4" s="376" t="s">
        <v>971</v>
      </c>
      <c r="IW4" s="376" t="s">
        <v>972</v>
      </c>
      <c r="IX4" s="376" t="s">
        <v>973</v>
      </c>
      <c r="IY4" s="376" t="s">
        <v>974</v>
      </c>
      <c r="IZ4" s="376" t="s">
        <v>975</v>
      </c>
      <c r="JA4" s="376" t="s">
        <v>976</v>
      </c>
      <c r="JB4" s="376" t="s">
        <v>977</v>
      </c>
      <c r="JC4" s="376" t="s">
        <v>978</v>
      </c>
      <c r="JD4" s="376" t="s">
        <v>979</v>
      </c>
      <c r="JE4" s="376" t="s">
        <v>980</v>
      </c>
      <c r="JF4" s="376" t="s">
        <v>981</v>
      </c>
      <c r="JG4" s="376" t="s">
        <v>982</v>
      </c>
      <c r="JH4" s="376" t="s">
        <v>983</v>
      </c>
      <c r="JI4" s="376" t="s">
        <v>984</v>
      </c>
      <c r="JJ4" s="376" t="s">
        <v>985</v>
      </c>
      <c r="JK4" s="376" t="s">
        <v>986</v>
      </c>
      <c r="JL4" s="376" t="s">
        <v>987</v>
      </c>
      <c r="JM4" s="376" t="s">
        <v>988</v>
      </c>
      <c r="JN4" s="376" t="s">
        <v>989</v>
      </c>
      <c r="JO4" s="376" t="s">
        <v>990</v>
      </c>
      <c r="JP4" s="376" t="s">
        <v>991</v>
      </c>
      <c r="JQ4" s="376" t="s">
        <v>992</v>
      </c>
      <c r="JR4" s="376" t="s">
        <v>993</v>
      </c>
      <c r="JS4" s="376" t="s">
        <v>994</v>
      </c>
      <c r="JT4" s="376" t="s">
        <v>995</v>
      </c>
      <c r="JU4" s="376" t="s">
        <v>996</v>
      </c>
      <c r="JV4" s="376" t="s">
        <v>997</v>
      </c>
      <c r="JW4" s="376" t="s">
        <v>998</v>
      </c>
      <c r="JX4" s="376" t="s">
        <v>999</v>
      </c>
      <c r="JY4" s="376" t="s">
        <v>1000</v>
      </c>
      <c r="JZ4" s="376" t="s">
        <v>1001</v>
      </c>
      <c r="KA4" s="376" t="s">
        <v>1002</v>
      </c>
      <c r="KB4" s="376" t="s">
        <v>1003</v>
      </c>
      <c r="KC4" s="376" t="s">
        <v>1004</v>
      </c>
      <c r="KD4" s="376" t="s">
        <v>1005</v>
      </c>
      <c r="KE4" s="376" t="s">
        <v>1006</v>
      </c>
      <c r="KF4" s="376" t="s">
        <v>1007</v>
      </c>
      <c r="KG4" s="376" t="s">
        <v>1008</v>
      </c>
      <c r="KH4" s="376" t="s">
        <v>1009</v>
      </c>
      <c r="KI4" s="376" t="s">
        <v>1010</v>
      </c>
      <c r="KJ4" s="376" t="s">
        <v>1011</v>
      </c>
      <c r="KK4" s="376" t="s">
        <v>1012</v>
      </c>
      <c r="KL4" s="376" t="s">
        <v>1013</v>
      </c>
      <c r="KM4" s="376" t="s">
        <v>1014</v>
      </c>
      <c r="KN4" s="376" t="s">
        <v>1015</v>
      </c>
      <c r="KO4" s="376" t="s">
        <v>1016</v>
      </c>
      <c r="KP4" s="376" t="s">
        <v>1017</v>
      </c>
      <c r="KQ4" s="376" t="s">
        <v>1018</v>
      </c>
      <c r="KR4" s="376" t="s">
        <v>1019</v>
      </c>
      <c r="KS4" s="376" t="s">
        <v>1020</v>
      </c>
      <c r="KT4" s="376" t="s">
        <v>1021</v>
      </c>
      <c r="KU4" s="376" t="s">
        <v>1022</v>
      </c>
      <c r="KV4" s="376" t="s">
        <v>1023</v>
      </c>
      <c r="KW4" s="376" t="s">
        <v>1024</v>
      </c>
      <c r="KX4" s="376" t="s">
        <v>1025</v>
      </c>
      <c r="KY4" s="376" t="s">
        <v>1026</v>
      </c>
      <c r="KZ4" s="376" t="s">
        <v>1027</v>
      </c>
      <c r="LA4" s="376" t="s">
        <v>1028</v>
      </c>
      <c r="LB4" s="376" t="s">
        <v>1029</v>
      </c>
      <c r="LC4" s="376" t="s">
        <v>1030</v>
      </c>
      <c r="LD4" s="376" t="s">
        <v>1031</v>
      </c>
      <c r="LE4" s="376" t="s">
        <v>1032</v>
      </c>
      <c r="LF4" s="376" t="s">
        <v>1033</v>
      </c>
      <c r="LG4" s="376" t="s">
        <v>1034</v>
      </c>
      <c r="LH4" s="376" t="s">
        <v>1035</v>
      </c>
      <c r="LI4" s="376" t="s">
        <v>1036</v>
      </c>
      <c r="LJ4" s="376" t="s">
        <v>1037</v>
      </c>
      <c r="LK4" s="376" t="s">
        <v>1038</v>
      </c>
      <c r="LL4" s="376" t="s">
        <v>1039</v>
      </c>
      <c r="LM4" s="376" t="s">
        <v>1040</v>
      </c>
      <c r="LN4" s="376" t="s">
        <v>1041</v>
      </c>
      <c r="LO4" s="376" t="s">
        <v>1042</v>
      </c>
      <c r="LP4" s="376" t="s">
        <v>1043</v>
      </c>
      <c r="LQ4" s="376" t="s">
        <v>1044</v>
      </c>
      <c r="LR4" s="376" t="s">
        <v>1045</v>
      </c>
      <c r="LS4" s="376" t="s">
        <v>1046</v>
      </c>
      <c r="LT4" s="376" t="s">
        <v>1047</v>
      </c>
      <c r="LU4" s="376" t="s">
        <v>1048</v>
      </c>
      <c r="LV4" s="376" t="s">
        <v>1049</v>
      </c>
      <c r="LW4" s="376" t="s">
        <v>1050</v>
      </c>
      <c r="LX4" s="376" t="s">
        <v>1051</v>
      </c>
      <c r="LY4" s="376" t="s">
        <v>1052</v>
      </c>
      <c r="LZ4" s="376" t="s">
        <v>1053</v>
      </c>
      <c r="MA4" s="376" t="s">
        <v>1054</v>
      </c>
      <c r="MB4" s="376" t="s">
        <v>1055</v>
      </c>
      <c r="MC4" s="376" t="s">
        <v>1056</v>
      </c>
      <c r="MD4" s="376" t="s">
        <v>1057</v>
      </c>
      <c r="ME4" s="376" t="s">
        <v>1058</v>
      </c>
      <c r="MF4" s="376" t="s">
        <v>1059</v>
      </c>
      <c r="MG4" s="376" t="s">
        <v>1060</v>
      </c>
      <c r="MH4" s="376" t="s">
        <v>1061</v>
      </c>
      <c r="MI4" s="376" t="s">
        <v>1062</v>
      </c>
      <c r="MJ4" s="376" t="s">
        <v>1063</v>
      </c>
      <c r="MK4" s="376" t="s">
        <v>1064</v>
      </c>
      <c r="ML4" s="376" t="s">
        <v>1065</v>
      </c>
      <c r="MM4" s="376" t="s">
        <v>1066</v>
      </c>
      <c r="MN4" s="376" t="s">
        <v>1067</v>
      </c>
      <c r="MO4" s="376" t="s">
        <v>1068</v>
      </c>
      <c r="MP4" s="376" t="s">
        <v>1069</v>
      </c>
      <c r="MQ4" s="376" t="s">
        <v>1070</v>
      </c>
      <c r="MR4" s="376" t="s">
        <v>1071</v>
      </c>
      <c r="MS4" s="376" t="s">
        <v>1072</v>
      </c>
      <c r="MT4" s="376" t="s">
        <v>1073</v>
      </c>
      <c r="MU4" s="376" t="s">
        <v>1074</v>
      </c>
      <c r="MV4" s="376" t="s">
        <v>1075</v>
      </c>
      <c r="MW4" s="376" t="s">
        <v>1076</v>
      </c>
      <c r="MX4" s="376" t="s">
        <v>1077</v>
      </c>
      <c r="MY4" s="376" t="s">
        <v>1078</v>
      </c>
      <c r="MZ4" s="376" t="s">
        <v>1079</v>
      </c>
      <c r="NA4" s="376" t="s">
        <v>1080</v>
      </c>
      <c r="NB4" s="376" t="s">
        <v>1081</v>
      </c>
      <c r="NC4" s="376" t="s">
        <v>1082</v>
      </c>
      <c r="ND4" s="376" t="s">
        <v>1083</v>
      </c>
      <c r="NE4" s="376" t="s">
        <v>1084</v>
      </c>
      <c r="NF4" s="376" t="s">
        <v>1085</v>
      </c>
      <c r="NG4" s="376" t="s">
        <v>1086</v>
      </c>
      <c r="NH4" s="376" t="s">
        <v>1087</v>
      </c>
      <c r="NI4" s="376" t="s">
        <v>1088</v>
      </c>
      <c r="NJ4" s="376" t="s">
        <v>1089</v>
      </c>
      <c r="NK4" s="376" t="s">
        <v>1090</v>
      </c>
      <c r="NL4" s="376" t="s">
        <v>1091</v>
      </c>
      <c r="NM4" s="376" t="s">
        <v>1092</v>
      </c>
      <c r="NN4" s="376" t="s">
        <v>1093</v>
      </c>
      <c r="NO4" s="376" t="s">
        <v>1094</v>
      </c>
      <c r="NP4" s="376" t="s">
        <v>1095</v>
      </c>
      <c r="NQ4" s="376" t="s">
        <v>1096</v>
      </c>
      <c r="NR4" s="376" t="s">
        <v>1097</v>
      </c>
      <c r="NS4" s="376" t="s">
        <v>1098</v>
      </c>
      <c r="NT4" s="376" t="s">
        <v>1099</v>
      </c>
      <c r="NU4" s="376" t="s">
        <v>1100</v>
      </c>
      <c r="NV4" s="376" t="s">
        <v>1101</v>
      </c>
      <c r="NW4" s="376" t="s">
        <v>1102</v>
      </c>
      <c r="NX4" s="376" t="s">
        <v>1103</v>
      </c>
      <c r="NY4" s="376" t="s">
        <v>1104</v>
      </c>
      <c r="NZ4" s="376" t="s">
        <v>1105</v>
      </c>
      <c r="OA4" s="376" t="s">
        <v>1106</v>
      </c>
      <c r="OB4" s="376" t="s">
        <v>1107</v>
      </c>
    </row>
    <row r="5" spans="2:392" x14ac:dyDescent="0.3">
      <c r="B5" s="38">
        <v>55906</v>
      </c>
      <c r="C5" s="9">
        <v>35</v>
      </c>
      <c r="D5" s="206" t="s">
        <v>20</v>
      </c>
      <c r="E5" s="347" t="s">
        <v>26</v>
      </c>
      <c r="F5" s="357" t="s">
        <v>9</v>
      </c>
      <c r="G5" s="159" t="s">
        <v>107</v>
      </c>
      <c r="H5" s="160" t="s">
        <v>71</v>
      </c>
      <c r="I5" s="239"/>
      <c r="J5" s="41"/>
      <c r="K5" s="41"/>
      <c r="L5" s="41"/>
      <c r="M5" s="41"/>
      <c r="N5" s="230"/>
      <c r="O5" s="230"/>
      <c r="P5" s="41"/>
      <c r="Q5" s="41"/>
      <c r="R5" s="41"/>
      <c r="S5" s="41"/>
      <c r="T5" s="41"/>
      <c r="U5" s="230"/>
      <c r="V5" s="230"/>
      <c r="W5" s="41"/>
      <c r="X5" s="41"/>
      <c r="Y5" s="41"/>
      <c r="Z5" s="41"/>
      <c r="AA5" s="41"/>
      <c r="AB5" s="230"/>
      <c r="AC5" s="230"/>
      <c r="AD5" s="41"/>
      <c r="AE5" s="41"/>
      <c r="AF5" s="41"/>
      <c r="AG5" s="41"/>
      <c r="AH5" s="41"/>
      <c r="AI5" s="230"/>
      <c r="AJ5" s="230"/>
      <c r="AK5" s="41"/>
      <c r="AL5" s="41"/>
      <c r="AM5" s="41"/>
      <c r="AN5" s="41"/>
      <c r="AO5" s="41"/>
      <c r="AP5" s="230"/>
      <c r="AQ5" s="230"/>
      <c r="AR5" s="41"/>
      <c r="AS5" s="41"/>
      <c r="AT5" s="41"/>
      <c r="AU5" s="41"/>
      <c r="AV5" s="41"/>
      <c r="AW5" s="230"/>
      <c r="AX5" s="230"/>
      <c r="AY5" s="41"/>
      <c r="AZ5" s="41"/>
      <c r="BA5" s="41"/>
      <c r="BB5" s="41"/>
      <c r="BC5" s="41"/>
      <c r="BD5" s="230"/>
      <c r="BE5" s="230"/>
      <c r="BF5" s="41"/>
      <c r="BG5" s="41"/>
      <c r="BH5" s="41"/>
      <c r="BI5" s="41"/>
      <c r="BJ5" s="41"/>
      <c r="BK5" s="230"/>
      <c r="BL5" s="230"/>
      <c r="BM5" s="41"/>
      <c r="BN5" s="41"/>
      <c r="BO5" s="41"/>
      <c r="BP5" s="41"/>
      <c r="BQ5" s="41"/>
      <c r="BR5" s="230"/>
      <c r="BS5" s="230"/>
      <c r="BT5" s="41"/>
      <c r="BU5" s="41"/>
      <c r="BV5" s="41"/>
      <c r="BW5" s="41"/>
      <c r="BX5" s="41"/>
      <c r="BY5" s="230"/>
      <c r="BZ5" s="230"/>
      <c r="CA5" s="41"/>
      <c r="CB5" s="41"/>
      <c r="CC5" s="41"/>
      <c r="CD5" s="41"/>
      <c r="CE5" s="41"/>
      <c r="CF5" s="230"/>
      <c r="CG5" s="230"/>
      <c r="CH5" s="41"/>
      <c r="CI5" s="41"/>
      <c r="CJ5" s="41"/>
      <c r="CK5" s="41"/>
      <c r="CL5" s="41"/>
      <c r="CM5" s="230"/>
      <c r="CN5" s="230"/>
      <c r="CO5" s="41"/>
      <c r="CP5" s="41"/>
      <c r="CQ5" s="41"/>
      <c r="CR5" s="41"/>
      <c r="CS5" s="41"/>
      <c r="CT5" s="230"/>
      <c r="CU5" s="230"/>
      <c r="CV5" s="41"/>
      <c r="CW5" s="41"/>
      <c r="CX5" s="41"/>
      <c r="CY5" s="41"/>
      <c r="CZ5" s="41"/>
      <c r="DA5" s="230"/>
      <c r="DB5" s="230"/>
      <c r="DC5" s="41"/>
      <c r="DD5" s="41"/>
      <c r="DE5" s="41"/>
      <c r="DF5" s="41"/>
      <c r="DG5" s="41"/>
      <c r="DH5" s="230"/>
      <c r="DI5" s="230"/>
      <c r="DJ5" s="41"/>
      <c r="DK5" s="41"/>
      <c r="DL5" s="41"/>
      <c r="DM5" s="41"/>
      <c r="DN5" s="41"/>
      <c r="DO5" s="230"/>
      <c r="DP5" s="230"/>
      <c r="DQ5" s="41"/>
      <c r="DR5" s="41"/>
      <c r="DS5" s="41"/>
      <c r="DT5" s="41"/>
      <c r="DU5" s="41"/>
      <c r="DV5" s="230"/>
      <c r="DW5" s="234"/>
      <c r="DX5" s="41"/>
      <c r="DY5" s="41"/>
      <c r="DZ5" s="41"/>
      <c r="EA5" s="41"/>
      <c r="EB5" s="41"/>
      <c r="EC5" s="230"/>
      <c r="ED5" s="230"/>
      <c r="EE5" s="41"/>
      <c r="EF5" s="41"/>
      <c r="EG5" s="41"/>
      <c r="EH5" s="41"/>
      <c r="EI5" s="41"/>
      <c r="EJ5" s="230"/>
      <c r="EK5" s="230"/>
      <c r="EL5" s="41"/>
      <c r="EM5" s="41"/>
      <c r="EN5" s="41"/>
      <c r="EO5" s="41"/>
      <c r="EP5" s="41"/>
      <c r="EQ5" s="230"/>
      <c r="ER5" s="230"/>
      <c r="ES5" s="41"/>
      <c r="ET5" s="41"/>
      <c r="EU5" s="41"/>
      <c r="EV5" s="41"/>
      <c r="EW5" s="41"/>
      <c r="EX5" s="230"/>
      <c r="EY5" s="230"/>
      <c r="EZ5" s="41"/>
      <c r="FA5" s="41"/>
      <c r="FB5" s="41"/>
      <c r="FC5" s="41"/>
      <c r="FD5" s="41"/>
      <c r="FE5" s="230"/>
      <c r="FF5" s="230"/>
      <c r="FG5" s="41"/>
      <c r="FH5" s="41"/>
      <c r="FI5" s="41"/>
      <c r="FJ5" s="41"/>
      <c r="FK5" s="41"/>
      <c r="FL5" s="230"/>
      <c r="FM5" s="230"/>
      <c r="FN5" s="41" t="s">
        <v>460</v>
      </c>
      <c r="FO5" s="41"/>
      <c r="FP5" s="41"/>
      <c r="FQ5" s="41"/>
      <c r="FR5" s="41"/>
      <c r="FS5" s="230"/>
      <c r="FT5" s="230"/>
      <c r="FU5" s="41"/>
      <c r="FV5" s="41"/>
      <c r="FW5" s="41"/>
      <c r="FX5" s="41"/>
      <c r="FY5" s="41"/>
      <c r="FZ5" s="230"/>
      <c r="GA5" s="230"/>
      <c r="GB5" s="41"/>
      <c r="GC5" s="41"/>
      <c r="GD5" s="41"/>
      <c r="GE5" s="41"/>
      <c r="GF5" s="41"/>
      <c r="GG5" s="230"/>
      <c r="GH5" s="230"/>
      <c r="GI5" s="41"/>
      <c r="GJ5" s="41"/>
      <c r="GK5" s="41"/>
      <c r="GL5" s="41"/>
      <c r="GM5" s="41"/>
      <c r="GN5" s="230"/>
      <c r="GO5" s="230"/>
      <c r="GP5" s="41"/>
      <c r="GQ5" s="41"/>
      <c r="GR5" s="41"/>
      <c r="GS5" s="41"/>
      <c r="GT5" s="41"/>
      <c r="GU5" s="230"/>
      <c r="GV5" s="230"/>
      <c r="GW5" s="41" t="s">
        <v>460</v>
      </c>
      <c r="GX5" s="41"/>
      <c r="GY5" s="41"/>
      <c r="GZ5" s="41"/>
      <c r="HA5" s="41"/>
      <c r="HB5" s="230"/>
      <c r="HC5" s="230"/>
      <c r="HD5" s="41" t="s">
        <v>460</v>
      </c>
      <c r="HE5" s="41" t="s">
        <v>460</v>
      </c>
      <c r="HF5" s="41" t="s">
        <v>460</v>
      </c>
      <c r="HG5" s="41" t="s">
        <v>460</v>
      </c>
      <c r="HH5" s="41" t="s">
        <v>460</v>
      </c>
      <c r="HI5" s="234"/>
      <c r="HJ5" s="234"/>
      <c r="HK5" s="41" t="s">
        <v>460</v>
      </c>
      <c r="HL5" s="41" t="s">
        <v>460</v>
      </c>
      <c r="HM5" s="41" t="s">
        <v>460</v>
      </c>
      <c r="HN5" s="41" t="s">
        <v>460</v>
      </c>
      <c r="HO5" s="41" t="s">
        <v>460</v>
      </c>
      <c r="HP5" s="234"/>
      <c r="HQ5" s="234"/>
      <c r="HR5" s="41"/>
      <c r="HS5" s="41"/>
      <c r="HT5" s="41"/>
      <c r="HU5" s="41"/>
      <c r="HV5" s="41"/>
      <c r="HW5" s="234"/>
      <c r="HX5" s="234"/>
      <c r="HY5" s="41"/>
      <c r="HZ5" s="41"/>
      <c r="IA5" s="41"/>
      <c r="IB5" s="41"/>
      <c r="IC5" s="41"/>
      <c r="ID5" s="234"/>
      <c r="IE5" s="234"/>
      <c r="IF5" s="41"/>
      <c r="IG5" s="41"/>
      <c r="IH5" s="41"/>
      <c r="II5" s="41"/>
      <c r="IJ5" s="41"/>
      <c r="IK5" s="234"/>
      <c r="IL5" s="234"/>
      <c r="IM5" s="41"/>
      <c r="IN5" s="41"/>
      <c r="IO5" s="41"/>
      <c r="IP5" s="41"/>
      <c r="IQ5" s="41"/>
      <c r="IR5" s="234"/>
      <c r="IS5" s="234"/>
      <c r="IT5" s="41"/>
      <c r="IU5" s="41"/>
      <c r="IV5" s="41"/>
      <c r="IW5" s="41"/>
      <c r="IX5" s="41"/>
      <c r="IY5" s="234"/>
      <c r="IZ5" s="234"/>
      <c r="JA5" s="41"/>
      <c r="JB5" s="41"/>
      <c r="JC5" s="41"/>
      <c r="JD5" s="41"/>
      <c r="JE5" s="41"/>
      <c r="JF5" s="234"/>
      <c r="JG5" s="234"/>
      <c r="JH5" s="41"/>
      <c r="JI5" s="41"/>
      <c r="JJ5" s="41"/>
      <c r="JK5" s="41"/>
      <c r="JL5" s="41"/>
      <c r="JM5" s="234"/>
      <c r="JN5" s="234"/>
      <c r="JO5" s="41"/>
      <c r="JP5" s="41"/>
      <c r="JQ5" s="41"/>
      <c r="JR5" s="41"/>
      <c r="JS5" s="41"/>
      <c r="JT5" s="234"/>
      <c r="JU5" s="234"/>
      <c r="JV5" s="41"/>
      <c r="JW5" s="41"/>
      <c r="JX5" s="41"/>
      <c r="JY5" s="41"/>
      <c r="JZ5" s="41"/>
      <c r="KA5" s="234"/>
      <c r="KB5" s="234"/>
      <c r="KC5" s="41"/>
      <c r="KD5" s="41"/>
      <c r="KE5" s="41"/>
      <c r="KF5" s="41"/>
      <c r="KG5" s="41"/>
      <c r="KH5" s="234"/>
      <c r="KI5" s="234"/>
      <c r="KJ5" s="41"/>
      <c r="KK5" s="41"/>
      <c r="KL5" s="41"/>
      <c r="KM5" s="41"/>
      <c r="KN5" s="41"/>
      <c r="KO5" s="234"/>
      <c r="KP5" s="234"/>
      <c r="KQ5" s="41"/>
      <c r="KR5" s="41"/>
      <c r="KS5" s="41"/>
      <c r="KT5" s="41"/>
      <c r="KU5" s="41"/>
      <c r="KV5" s="234"/>
      <c r="KW5" s="234"/>
      <c r="KX5" s="41"/>
      <c r="KY5" s="41"/>
      <c r="KZ5" s="41"/>
      <c r="LA5" s="41"/>
      <c r="LB5" s="41"/>
      <c r="LC5" s="234"/>
      <c r="LD5" s="234"/>
      <c r="LE5" s="41"/>
      <c r="LF5" s="41"/>
      <c r="LG5" s="41"/>
      <c r="LH5" s="41"/>
      <c r="LI5" s="41"/>
      <c r="LJ5" s="234"/>
      <c r="LK5" s="234"/>
      <c r="LL5" s="41"/>
      <c r="LM5" s="41"/>
      <c r="LN5" s="41"/>
      <c r="LO5" s="41"/>
      <c r="LP5" s="41"/>
      <c r="LQ5" s="234"/>
      <c r="LR5" s="234"/>
      <c r="LS5" s="41"/>
      <c r="LT5" s="41"/>
      <c r="LU5" s="41"/>
      <c r="LV5" s="41"/>
      <c r="LW5" s="41"/>
      <c r="LX5" s="234"/>
      <c r="LY5" s="234"/>
      <c r="LZ5" s="41"/>
      <c r="MA5" s="41"/>
      <c r="MB5" s="41"/>
      <c r="MC5" s="41"/>
      <c r="MD5" s="41"/>
      <c r="ME5" s="234"/>
      <c r="MF5" s="234"/>
      <c r="MG5" s="41"/>
      <c r="MH5" s="41"/>
      <c r="MI5" s="41"/>
      <c r="MJ5" s="41"/>
      <c r="MK5" s="41"/>
      <c r="ML5" s="234"/>
      <c r="MM5" s="234"/>
      <c r="MN5" s="41"/>
      <c r="MO5" s="41"/>
      <c r="MP5" s="41"/>
      <c r="MQ5" s="41"/>
      <c r="MR5" s="41"/>
      <c r="MS5" s="234"/>
      <c r="MT5" s="234"/>
      <c r="MU5" s="41"/>
      <c r="MV5" s="41"/>
      <c r="MW5" s="41"/>
      <c r="MX5" s="41"/>
      <c r="MY5" s="41"/>
      <c r="MZ5" s="234"/>
      <c r="NA5" s="234"/>
      <c r="NB5" s="41"/>
      <c r="NC5" s="41"/>
      <c r="ND5" s="41"/>
      <c r="NE5" s="41"/>
      <c r="NF5" s="41"/>
      <c r="NG5" s="234"/>
      <c r="NH5" s="234"/>
      <c r="NI5" s="41"/>
      <c r="NJ5" s="41"/>
      <c r="NK5" s="41"/>
      <c r="NL5" s="41"/>
      <c r="NM5" s="41"/>
      <c r="NN5" s="234"/>
      <c r="NO5" s="234"/>
      <c r="NP5" s="41"/>
      <c r="NQ5" s="41"/>
      <c r="NR5" s="41"/>
      <c r="NS5" s="41"/>
      <c r="NT5" s="41"/>
      <c r="NU5" s="234"/>
      <c r="NV5" s="234"/>
      <c r="NW5" s="41"/>
      <c r="NX5" s="41"/>
      <c r="NY5" s="41"/>
      <c r="NZ5" s="41"/>
      <c r="OA5" s="41"/>
      <c r="OB5" s="234"/>
    </row>
    <row r="6" spans="2:392" x14ac:dyDescent="0.3">
      <c r="B6" s="38">
        <v>71616</v>
      </c>
      <c r="C6" s="9">
        <v>35</v>
      </c>
      <c r="D6" s="206" t="s">
        <v>20</v>
      </c>
      <c r="E6" s="183" t="s">
        <v>8</v>
      </c>
      <c r="F6" s="357" t="s">
        <v>9</v>
      </c>
      <c r="G6" s="155" t="s">
        <v>24</v>
      </c>
      <c r="H6" s="156" t="s">
        <v>25</v>
      </c>
      <c r="I6" s="239"/>
      <c r="J6" s="41"/>
      <c r="K6" s="41"/>
      <c r="L6" s="41"/>
      <c r="M6" s="41"/>
      <c r="N6" s="230"/>
      <c r="O6" s="230"/>
      <c r="P6" s="41"/>
      <c r="Q6" s="41"/>
      <c r="R6" s="41"/>
      <c r="S6" s="41"/>
      <c r="T6" s="41"/>
      <c r="U6" s="230"/>
      <c r="V6" s="230"/>
      <c r="W6" s="41"/>
      <c r="X6" s="41"/>
      <c r="Y6" s="41"/>
      <c r="Z6" s="41"/>
      <c r="AA6" s="41"/>
      <c r="AB6" s="230"/>
      <c r="AC6" s="230"/>
      <c r="AD6" s="41"/>
      <c r="AE6" s="41"/>
      <c r="AF6" s="41"/>
      <c r="AG6" s="41"/>
      <c r="AH6" s="41"/>
      <c r="AI6" s="230"/>
      <c r="AJ6" s="230"/>
      <c r="AK6" s="41"/>
      <c r="AL6" s="41"/>
      <c r="AM6" s="41"/>
      <c r="AN6" s="41"/>
      <c r="AO6" s="41"/>
      <c r="AP6" s="230"/>
      <c r="AQ6" s="230"/>
      <c r="AR6" s="41"/>
      <c r="AS6" s="41"/>
      <c r="AT6" s="41"/>
      <c r="AU6" s="41"/>
      <c r="AV6" s="41"/>
      <c r="AW6" s="230"/>
      <c r="AX6" s="230"/>
      <c r="AY6" s="41"/>
      <c r="AZ6" s="41"/>
      <c r="BA6" s="41"/>
      <c r="BB6" s="41"/>
      <c r="BC6" s="41"/>
      <c r="BD6" s="230"/>
      <c r="BE6" s="230"/>
      <c r="BF6" s="41"/>
      <c r="BG6" s="41"/>
      <c r="BH6" s="41"/>
      <c r="BI6" s="41"/>
      <c r="BJ6" s="41"/>
      <c r="BK6" s="230"/>
      <c r="BL6" s="230"/>
      <c r="BM6" s="41"/>
      <c r="BN6" s="41"/>
      <c r="BO6" s="41"/>
      <c r="BP6" s="41"/>
      <c r="BQ6" s="41"/>
      <c r="BR6" s="230"/>
      <c r="BS6" s="230"/>
      <c r="BT6" s="41"/>
      <c r="BU6" s="41"/>
      <c r="BV6" s="41"/>
      <c r="BW6" s="41"/>
      <c r="BX6" s="41"/>
      <c r="BY6" s="230"/>
      <c r="BZ6" s="230"/>
      <c r="CA6" s="41"/>
      <c r="CB6" s="41"/>
      <c r="CC6" s="41"/>
      <c r="CD6" s="41"/>
      <c r="CE6" s="41"/>
      <c r="CF6" s="230"/>
      <c r="CG6" s="230"/>
      <c r="CH6" s="41"/>
      <c r="CI6" s="41"/>
      <c r="CJ6" s="41"/>
      <c r="CK6" s="41"/>
      <c r="CL6" s="41"/>
      <c r="CM6" s="230"/>
      <c r="CN6" s="230"/>
      <c r="CO6" s="41"/>
      <c r="CP6" s="41"/>
      <c r="CQ6" s="41"/>
      <c r="CR6" s="41"/>
      <c r="CS6" s="41"/>
      <c r="CT6" s="230"/>
      <c r="CU6" s="230"/>
      <c r="CV6" s="41"/>
      <c r="CW6" s="41"/>
      <c r="CX6" s="41"/>
      <c r="CY6" s="41"/>
      <c r="CZ6" s="41"/>
      <c r="DA6" s="230"/>
      <c r="DB6" s="230"/>
      <c r="DC6" s="41"/>
      <c r="DD6" s="41"/>
      <c r="DE6" s="41"/>
      <c r="DF6" s="41"/>
      <c r="DG6" s="41"/>
      <c r="DH6" s="230"/>
      <c r="DI6" s="230"/>
      <c r="DJ6" s="41"/>
      <c r="DK6" s="41"/>
      <c r="DL6" s="41"/>
      <c r="DM6" s="41"/>
      <c r="DN6" s="41"/>
      <c r="DO6" s="230"/>
      <c r="DP6" s="230"/>
      <c r="DQ6" s="41"/>
      <c r="DR6" s="41"/>
      <c r="DS6" s="41"/>
      <c r="DT6" s="41"/>
      <c r="DU6" s="41"/>
      <c r="DV6" s="230"/>
      <c r="DW6" s="230"/>
      <c r="DX6" s="41" t="s">
        <v>460</v>
      </c>
      <c r="DY6" s="41"/>
      <c r="DZ6" s="41"/>
      <c r="EA6" s="41"/>
      <c r="EB6" s="41"/>
      <c r="EC6" s="230"/>
      <c r="ED6" s="230"/>
      <c r="EE6" s="41"/>
      <c r="EF6" s="41"/>
      <c r="EG6" s="41"/>
      <c r="EH6" s="41" t="s">
        <v>460</v>
      </c>
      <c r="EI6" s="41"/>
      <c r="EJ6" s="230"/>
      <c r="EK6" s="230"/>
      <c r="EL6" s="41"/>
      <c r="EM6" s="41"/>
      <c r="EN6" s="41"/>
      <c r="EO6" s="41"/>
      <c r="EP6" s="41"/>
      <c r="EQ6" s="230"/>
      <c r="ER6" s="230"/>
      <c r="ES6" s="41"/>
      <c r="ET6" s="41"/>
      <c r="EU6" s="41"/>
      <c r="EV6" s="41"/>
      <c r="EW6" s="41"/>
      <c r="EX6" s="230"/>
      <c r="EY6" s="230"/>
      <c r="EZ6" s="41" t="s">
        <v>460</v>
      </c>
      <c r="FA6" s="41" t="s">
        <v>460</v>
      </c>
      <c r="FB6" s="41" t="s">
        <v>460</v>
      </c>
      <c r="FC6" s="41" t="s">
        <v>460</v>
      </c>
      <c r="FD6" s="41" t="s">
        <v>460</v>
      </c>
      <c r="FE6" s="230"/>
      <c r="FF6" s="230"/>
      <c r="FG6" s="41"/>
      <c r="FH6" s="41"/>
      <c r="FI6" s="41"/>
      <c r="FJ6" s="41"/>
      <c r="FK6" s="41"/>
      <c r="FL6" s="230"/>
      <c r="FM6" s="230"/>
      <c r="FN6" s="41" t="s">
        <v>460</v>
      </c>
      <c r="FO6" s="41"/>
      <c r="FP6" s="41"/>
      <c r="FQ6" s="41"/>
      <c r="FR6" s="41"/>
      <c r="FS6" s="230"/>
      <c r="FT6" s="230"/>
      <c r="FU6" s="41"/>
      <c r="FV6" s="41"/>
      <c r="FW6" s="41"/>
      <c r="FX6" s="41"/>
      <c r="FY6" s="41"/>
      <c r="FZ6" s="230"/>
      <c r="GA6" s="230"/>
      <c r="GB6" s="41"/>
      <c r="GC6" s="41"/>
      <c r="GD6" s="41"/>
      <c r="GE6" s="41"/>
      <c r="GF6" s="41"/>
      <c r="GG6" s="230"/>
      <c r="GH6" s="230"/>
      <c r="GI6" s="41"/>
      <c r="GJ6" s="41"/>
      <c r="GK6" s="41"/>
      <c r="GL6" s="41"/>
      <c r="GM6" s="41"/>
      <c r="GN6" s="230"/>
      <c r="GO6" s="230"/>
      <c r="GP6" s="41"/>
      <c r="GQ6" s="41"/>
      <c r="GR6" s="41"/>
      <c r="GS6" s="41"/>
      <c r="GT6" s="41"/>
      <c r="GU6" s="230"/>
      <c r="GV6" s="230"/>
      <c r="GW6" s="41" t="s">
        <v>460</v>
      </c>
      <c r="GX6" s="41"/>
      <c r="GY6" s="41"/>
      <c r="GZ6" s="41"/>
      <c r="HA6" s="41"/>
      <c r="HB6" s="230"/>
      <c r="HC6" s="230"/>
      <c r="HD6" s="41" t="s">
        <v>460</v>
      </c>
      <c r="HE6" s="41" t="s">
        <v>460</v>
      </c>
      <c r="HF6" s="41" t="s">
        <v>460</v>
      </c>
      <c r="HG6" s="41" t="s">
        <v>460</v>
      </c>
      <c r="HH6" s="41" t="s">
        <v>460</v>
      </c>
      <c r="HI6" s="234"/>
      <c r="HJ6" s="234"/>
      <c r="HK6" s="41" t="s">
        <v>460</v>
      </c>
      <c r="HL6" s="41" t="s">
        <v>460</v>
      </c>
      <c r="HM6" s="41" t="s">
        <v>460</v>
      </c>
      <c r="HN6" s="41" t="s">
        <v>460</v>
      </c>
      <c r="HO6" s="41" t="s">
        <v>460</v>
      </c>
      <c r="HP6" s="234"/>
      <c r="HQ6" s="234"/>
      <c r="HR6" s="41"/>
      <c r="HS6" s="41"/>
      <c r="HT6" s="41"/>
      <c r="HU6" s="41"/>
      <c r="HV6" s="41"/>
      <c r="HW6" s="234"/>
      <c r="HX6" s="234"/>
      <c r="HY6" s="41"/>
      <c r="HZ6" s="41"/>
      <c r="IA6" s="41"/>
      <c r="IB6" s="41"/>
      <c r="IC6" s="41"/>
      <c r="ID6" s="234"/>
      <c r="IE6" s="234"/>
      <c r="IF6" s="41"/>
      <c r="IG6" s="41"/>
      <c r="IH6" s="41"/>
      <c r="II6" s="41"/>
      <c r="IJ6" s="41"/>
      <c r="IK6" s="234"/>
      <c r="IL6" s="234"/>
      <c r="IM6" s="41"/>
      <c r="IN6" s="41"/>
      <c r="IO6" s="41"/>
      <c r="IP6" s="41"/>
      <c r="IQ6" s="41"/>
      <c r="IR6" s="234"/>
      <c r="IS6" s="234"/>
      <c r="IT6" s="41"/>
      <c r="IU6" s="41"/>
      <c r="IV6" s="41"/>
      <c r="IW6" s="41"/>
      <c r="IX6" s="41"/>
      <c r="IY6" s="234"/>
      <c r="IZ6" s="234"/>
      <c r="JA6" s="41"/>
      <c r="JB6" s="41"/>
      <c r="JC6" s="41"/>
      <c r="JD6" s="41"/>
      <c r="JE6" s="41"/>
      <c r="JF6" s="234"/>
      <c r="JG6" s="234"/>
      <c r="JH6" s="41"/>
      <c r="JI6" s="41"/>
      <c r="JJ6" s="41"/>
      <c r="JK6" s="41"/>
      <c r="JL6" s="41"/>
      <c r="JM6" s="234"/>
      <c r="JN6" s="234"/>
      <c r="JO6" s="41"/>
      <c r="JP6" s="41"/>
      <c r="JQ6" s="41"/>
      <c r="JR6" s="41"/>
      <c r="JS6" s="41"/>
      <c r="JT6" s="234"/>
      <c r="JU6" s="234"/>
      <c r="JV6" s="41"/>
      <c r="JW6" s="41"/>
      <c r="JX6" s="41"/>
      <c r="JY6" s="41"/>
      <c r="JZ6" s="41"/>
      <c r="KA6" s="234"/>
      <c r="KB6" s="234"/>
      <c r="KC6" s="41"/>
      <c r="KD6" s="41"/>
      <c r="KE6" s="41"/>
      <c r="KF6" s="41"/>
      <c r="KG6" s="41"/>
      <c r="KH6" s="234"/>
      <c r="KI6" s="234"/>
      <c r="KJ6" s="41"/>
      <c r="KK6" s="41"/>
      <c r="KL6" s="41"/>
      <c r="KM6" s="41"/>
      <c r="KN6" s="41"/>
      <c r="KO6" s="234"/>
      <c r="KP6" s="234"/>
      <c r="KQ6" s="41"/>
      <c r="KR6" s="41"/>
      <c r="KS6" s="41"/>
      <c r="KT6" s="41"/>
      <c r="KU6" s="41"/>
      <c r="KV6" s="234"/>
      <c r="KW6" s="234"/>
      <c r="KX6" s="41"/>
      <c r="KY6" s="41"/>
      <c r="KZ6" s="41"/>
      <c r="LA6" s="41"/>
      <c r="LB6" s="41"/>
      <c r="LC6" s="234"/>
      <c r="LD6" s="234"/>
      <c r="LE6" s="41"/>
      <c r="LF6" s="41"/>
      <c r="LG6" s="41"/>
      <c r="LH6" s="41"/>
      <c r="LI6" s="41"/>
      <c r="LJ6" s="234"/>
      <c r="LK6" s="234"/>
      <c r="LL6" s="41"/>
      <c r="LM6" s="41"/>
      <c r="LN6" s="41"/>
      <c r="LO6" s="41"/>
      <c r="LP6" s="41"/>
      <c r="LQ6" s="234"/>
      <c r="LR6" s="234"/>
      <c r="LS6" s="41"/>
      <c r="LT6" s="41"/>
      <c r="LU6" s="41"/>
      <c r="LV6" s="41"/>
      <c r="LW6" s="41"/>
      <c r="LX6" s="234"/>
      <c r="LY6" s="234"/>
      <c r="LZ6" s="41"/>
      <c r="MA6" s="41"/>
      <c r="MB6" s="41"/>
      <c r="MC6" s="41"/>
      <c r="MD6" s="41"/>
      <c r="ME6" s="234"/>
      <c r="MF6" s="234"/>
      <c r="MG6" s="41"/>
      <c r="MH6" s="41"/>
      <c r="MI6" s="41"/>
      <c r="MJ6" s="41"/>
      <c r="MK6" s="41"/>
      <c r="ML6" s="234"/>
      <c r="MM6" s="234"/>
      <c r="MN6" s="41"/>
      <c r="MO6" s="41"/>
      <c r="MP6" s="41"/>
      <c r="MQ6" s="41"/>
      <c r="MR6" s="41"/>
      <c r="MS6" s="234"/>
      <c r="MT6" s="234"/>
      <c r="MU6" s="41"/>
      <c r="MV6" s="41"/>
      <c r="MW6" s="41"/>
      <c r="MX6" s="41"/>
      <c r="MY6" s="41"/>
      <c r="MZ6" s="234"/>
      <c r="NA6" s="234"/>
      <c r="NB6" s="41"/>
      <c r="NC6" s="41"/>
      <c r="ND6" s="41"/>
      <c r="NE6" s="41"/>
      <c r="NF6" s="41"/>
      <c r="NG6" s="234"/>
      <c r="NH6" s="234"/>
      <c r="NI6" s="41"/>
      <c r="NJ6" s="41"/>
      <c r="NK6" s="41"/>
      <c r="NL6" s="41"/>
      <c r="NM6" s="41"/>
      <c r="NN6" s="234"/>
      <c r="NO6" s="234"/>
      <c r="NP6" s="41"/>
      <c r="NQ6" s="41"/>
      <c r="NR6" s="41"/>
      <c r="NS6" s="41"/>
      <c r="NT6" s="41"/>
      <c r="NU6" s="234"/>
      <c r="NV6" s="234"/>
      <c r="NW6" s="41"/>
      <c r="NX6" s="41"/>
      <c r="NY6" s="41"/>
      <c r="NZ6" s="41"/>
      <c r="OA6" s="41"/>
      <c r="OB6" s="234"/>
    </row>
    <row r="7" spans="2:392" x14ac:dyDescent="0.3">
      <c r="B7" s="8">
        <v>43211</v>
      </c>
      <c r="C7" s="9">
        <v>35</v>
      </c>
      <c r="D7" s="206" t="s">
        <v>20</v>
      </c>
      <c r="E7" s="183" t="s">
        <v>8</v>
      </c>
      <c r="F7" s="357" t="s">
        <v>9</v>
      </c>
      <c r="G7" s="155" t="s">
        <v>56</v>
      </c>
      <c r="H7" s="156" t="s">
        <v>57</v>
      </c>
      <c r="I7" s="239"/>
      <c r="J7" s="41"/>
      <c r="K7" s="41"/>
      <c r="L7" s="41"/>
      <c r="M7" s="41"/>
      <c r="N7" s="230"/>
      <c r="O7" s="230"/>
      <c r="P7" s="41"/>
      <c r="Q7" s="41"/>
      <c r="R7" s="41"/>
      <c r="S7" s="41"/>
      <c r="T7" s="41"/>
      <c r="U7" s="230"/>
      <c r="V7" s="230"/>
      <c r="W7" s="41"/>
      <c r="X7" s="41"/>
      <c r="Y7" s="41"/>
      <c r="Z7" s="41"/>
      <c r="AA7" s="41"/>
      <c r="AB7" s="230"/>
      <c r="AC7" s="230"/>
      <c r="AD7" s="41"/>
      <c r="AE7" s="41"/>
      <c r="AF7" s="41"/>
      <c r="AG7" s="41"/>
      <c r="AH7" s="41"/>
      <c r="AI7" s="230"/>
      <c r="AJ7" s="230"/>
      <c r="AK7" s="41"/>
      <c r="AL7" s="41"/>
      <c r="AM7" s="41"/>
      <c r="AN7" s="41"/>
      <c r="AO7" s="41"/>
      <c r="AP7" s="230"/>
      <c r="AQ7" s="230"/>
      <c r="AR7" s="41"/>
      <c r="AS7" s="41"/>
      <c r="AT7" s="41"/>
      <c r="AU7" s="41"/>
      <c r="AV7" s="41"/>
      <c r="AW7" s="230"/>
      <c r="AX7" s="230"/>
      <c r="AY7" s="41"/>
      <c r="AZ7" s="41"/>
      <c r="BA7" s="41"/>
      <c r="BB7" s="41"/>
      <c r="BC7" s="41"/>
      <c r="BD7" s="230"/>
      <c r="BE7" s="230"/>
      <c r="BF7" s="41"/>
      <c r="BG7" s="41"/>
      <c r="BH7" s="41"/>
      <c r="BI7" s="41"/>
      <c r="BJ7" s="41"/>
      <c r="BK7" s="230"/>
      <c r="BL7" s="230"/>
      <c r="BM7" s="41"/>
      <c r="BN7" s="41"/>
      <c r="BO7" s="41"/>
      <c r="BP7" s="41"/>
      <c r="BQ7" s="41"/>
      <c r="BR7" s="230"/>
      <c r="BS7" s="230"/>
      <c r="BT7" s="41"/>
      <c r="BU7" s="41"/>
      <c r="BV7" s="41"/>
      <c r="BW7" s="41"/>
      <c r="BX7" s="41"/>
      <c r="BY7" s="230"/>
      <c r="BZ7" s="230"/>
      <c r="CA7" s="41"/>
      <c r="CB7" s="41"/>
      <c r="CC7" s="41"/>
      <c r="CD7" s="41"/>
      <c r="CE7" s="41"/>
      <c r="CF7" s="230"/>
      <c r="CG7" s="230"/>
      <c r="CH7" s="41"/>
      <c r="CI7" s="41"/>
      <c r="CJ7" s="41"/>
      <c r="CK7" s="41"/>
      <c r="CL7" s="41"/>
      <c r="CM7" s="41" t="s">
        <v>460</v>
      </c>
      <c r="CN7" s="41" t="s">
        <v>460</v>
      </c>
      <c r="CO7" s="41" t="s">
        <v>460</v>
      </c>
      <c r="CP7" s="41" t="s">
        <v>460</v>
      </c>
      <c r="CQ7" s="41" t="s">
        <v>460</v>
      </c>
      <c r="CR7" s="41" t="s">
        <v>460</v>
      </c>
      <c r="CS7" s="41" t="s">
        <v>460</v>
      </c>
      <c r="CT7" s="230"/>
      <c r="CU7" s="230"/>
      <c r="CV7" s="41"/>
      <c r="CW7" s="41"/>
      <c r="CX7" s="41"/>
      <c r="CY7" s="41"/>
      <c r="CZ7" s="41"/>
      <c r="DA7" s="230"/>
      <c r="DB7" s="230"/>
      <c r="DC7" s="41"/>
      <c r="DD7" s="41"/>
      <c r="DE7" s="41"/>
      <c r="DF7" s="41"/>
      <c r="DG7" s="41"/>
      <c r="DH7" s="230"/>
      <c r="DI7" s="230"/>
      <c r="DJ7" s="41"/>
      <c r="DK7" s="41"/>
      <c r="DL7" s="41"/>
      <c r="DM7" s="41"/>
      <c r="DN7" s="41"/>
      <c r="DO7" s="230"/>
      <c r="DP7" s="230"/>
      <c r="DQ7" s="41"/>
      <c r="DR7" s="41"/>
      <c r="DS7" s="41"/>
      <c r="DT7" s="41"/>
      <c r="DU7" s="41"/>
      <c r="DV7" s="230"/>
      <c r="DW7" s="230"/>
      <c r="DX7" s="41" t="s">
        <v>460</v>
      </c>
      <c r="DY7" s="41"/>
      <c r="DZ7" s="41"/>
      <c r="EA7" s="41"/>
      <c r="EB7" s="41"/>
      <c r="EC7" s="230"/>
      <c r="ED7" s="230"/>
      <c r="EE7" s="41"/>
      <c r="EF7" s="41"/>
      <c r="EG7" s="41"/>
      <c r="EH7" s="41" t="s">
        <v>460</v>
      </c>
      <c r="EI7" s="41"/>
      <c r="EJ7" s="230"/>
      <c r="EK7" s="230"/>
      <c r="EL7" s="41"/>
      <c r="EM7" s="41"/>
      <c r="EN7" s="41"/>
      <c r="EO7" s="41"/>
      <c r="EP7" s="41"/>
      <c r="EQ7" s="230"/>
      <c r="ER7" s="230"/>
      <c r="ES7" s="41"/>
      <c r="ET7" s="41"/>
      <c r="EU7" s="41"/>
      <c r="EV7" s="41"/>
      <c r="EW7" s="41"/>
      <c r="EX7" s="230"/>
      <c r="EY7" s="230"/>
      <c r="EZ7" s="41"/>
      <c r="FA7" s="41"/>
      <c r="FB7" s="41"/>
      <c r="FC7" s="41"/>
      <c r="FD7" s="41"/>
      <c r="FE7" s="230"/>
      <c r="FF7" s="230"/>
      <c r="FG7" s="41"/>
      <c r="FH7" s="41"/>
      <c r="FI7" s="41"/>
      <c r="FJ7" s="41"/>
      <c r="FK7" s="41"/>
      <c r="FL7" s="230"/>
      <c r="FM7" s="230"/>
      <c r="FN7" s="41" t="s">
        <v>460</v>
      </c>
      <c r="FO7" s="41"/>
      <c r="FP7" s="41"/>
      <c r="FQ7" s="41"/>
      <c r="FR7" s="41"/>
      <c r="FS7" s="230"/>
      <c r="FT7" s="230"/>
      <c r="FU7" s="41"/>
      <c r="FV7" s="41"/>
      <c r="FW7" s="41"/>
      <c r="FX7" s="41"/>
      <c r="FY7" s="41"/>
      <c r="FZ7" s="230"/>
      <c r="GA7" s="230"/>
      <c r="GB7" s="41"/>
      <c r="GC7" s="41"/>
      <c r="GD7" s="41"/>
      <c r="GE7" s="41"/>
      <c r="GF7" s="41"/>
      <c r="GG7" s="230"/>
      <c r="GH7" s="230"/>
      <c r="GI7" s="41"/>
      <c r="GJ7" s="41"/>
      <c r="GK7" s="41"/>
      <c r="GL7" s="41"/>
      <c r="GM7" s="41"/>
      <c r="GN7" s="230"/>
      <c r="GO7" s="230"/>
      <c r="GP7" s="41"/>
      <c r="GQ7" s="41"/>
      <c r="GR7" s="41"/>
      <c r="GS7" s="41"/>
      <c r="GT7" s="41"/>
      <c r="GU7" s="230"/>
      <c r="GV7" s="230"/>
      <c r="GW7" s="41" t="s">
        <v>460</v>
      </c>
      <c r="GX7" s="41"/>
      <c r="GY7" s="41"/>
      <c r="GZ7" s="41"/>
      <c r="HA7" s="41"/>
      <c r="HB7" s="230"/>
      <c r="HC7" s="230"/>
      <c r="HD7" s="41"/>
      <c r="HE7" s="41"/>
      <c r="HF7" s="41"/>
      <c r="HG7" s="41"/>
      <c r="HH7" s="41"/>
      <c r="HI7" s="234"/>
      <c r="HJ7" s="234"/>
      <c r="HK7" s="41"/>
      <c r="HL7" s="41"/>
      <c r="HM7" s="41"/>
      <c r="HN7" s="41"/>
      <c r="HO7" s="41"/>
      <c r="HP7" s="234"/>
      <c r="HQ7" s="234"/>
      <c r="HR7" s="41"/>
      <c r="HS7" s="41"/>
      <c r="HT7" s="41"/>
      <c r="HU7" s="41"/>
      <c r="HV7" s="41"/>
      <c r="HW7" s="234"/>
      <c r="HX7" s="234"/>
      <c r="HY7" s="41"/>
      <c r="HZ7" s="41"/>
      <c r="IA7" s="41"/>
      <c r="IB7" s="41"/>
      <c r="IC7" s="41"/>
      <c r="ID7" s="234"/>
      <c r="IE7" s="234"/>
      <c r="IF7" s="41"/>
      <c r="IG7" s="41"/>
      <c r="IH7" s="41"/>
      <c r="II7" s="41"/>
      <c r="IJ7" s="41"/>
      <c r="IK7" s="234"/>
      <c r="IL7" s="234"/>
      <c r="IM7" s="41" t="s">
        <v>460</v>
      </c>
      <c r="IN7" s="41" t="s">
        <v>460</v>
      </c>
      <c r="IO7" s="41" t="s">
        <v>460</v>
      </c>
      <c r="IP7" s="41" t="s">
        <v>460</v>
      </c>
      <c r="IQ7" s="41" t="s">
        <v>460</v>
      </c>
      <c r="IR7" s="234"/>
      <c r="IS7" s="234"/>
      <c r="IT7" s="41" t="s">
        <v>460</v>
      </c>
      <c r="IU7" s="41" t="s">
        <v>460</v>
      </c>
      <c r="IV7" s="41" t="s">
        <v>460</v>
      </c>
      <c r="IW7" s="41" t="s">
        <v>460</v>
      </c>
      <c r="IX7" s="41" t="s">
        <v>460</v>
      </c>
      <c r="IY7" s="41"/>
      <c r="IZ7" s="41"/>
      <c r="JA7" s="41"/>
      <c r="JB7" s="41"/>
      <c r="JC7" s="41"/>
      <c r="JD7" s="41"/>
      <c r="JE7" s="41"/>
      <c r="JF7" s="234"/>
      <c r="JG7" s="234"/>
      <c r="JH7" s="41"/>
      <c r="JI7" s="41"/>
      <c r="JJ7" s="41"/>
      <c r="JK7" s="41"/>
      <c r="JL7" s="41"/>
      <c r="JM7" s="234"/>
      <c r="JN7" s="234"/>
      <c r="JO7" s="41"/>
      <c r="JP7" s="41"/>
      <c r="JQ7" s="41"/>
      <c r="JR7" s="41"/>
      <c r="JS7" s="41"/>
      <c r="JT7" s="234"/>
      <c r="JU7" s="234"/>
      <c r="JV7" s="41"/>
      <c r="JW7" s="41"/>
      <c r="JX7" s="41"/>
      <c r="JY7" s="41"/>
      <c r="JZ7" s="41"/>
      <c r="KA7" s="234"/>
      <c r="KB7" s="234"/>
      <c r="KC7" s="41"/>
      <c r="KD7" s="41"/>
      <c r="KE7" s="41"/>
      <c r="KF7" s="41"/>
      <c r="KG7" s="41"/>
      <c r="KH7" s="234"/>
      <c r="KI7" s="234"/>
      <c r="KJ7" s="41"/>
      <c r="KK7" s="41"/>
      <c r="KL7" s="41"/>
      <c r="KM7" s="41"/>
      <c r="KN7" s="41"/>
      <c r="KO7" s="234"/>
      <c r="KP7" s="234"/>
      <c r="KQ7" s="41"/>
      <c r="KR7" s="41"/>
      <c r="KS7" s="41"/>
      <c r="KT7" s="41"/>
      <c r="KU7" s="41"/>
      <c r="KV7" s="234"/>
      <c r="KW7" s="234"/>
      <c r="KX7" s="41"/>
      <c r="KY7" s="41"/>
      <c r="KZ7" s="41"/>
      <c r="LA7" s="41"/>
      <c r="LB7" s="41"/>
      <c r="LC7" s="234"/>
      <c r="LD7" s="234"/>
      <c r="LE7" s="41"/>
      <c r="LF7" s="41"/>
      <c r="LG7" s="41"/>
      <c r="LH7" s="41"/>
      <c r="LI7" s="41"/>
      <c r="LJ7" s="234"/>
      <c r="LK7" s="234"/>
      <c r="LL7" s="41"/>
      <c r="LM7" s="41"/>
      <c r="LN7" s="41"/>
      <c r="LO7" s="41"/>
      <c r="LP7" s="41"/>
      <c r="LQ7" s="234"/>
      <c r="LR7" s="234"/>
      <c r="LS7" s="41"/>
      <c r="LT7" s="41"/>
      <c r="LU7" s="41"/>
      <c r="LV7" s="41"/>
      <c r="LW7" s="41"/>
      <c r="LX7" s="234"/>
      <c r="LY7" s="234"/>
      <c r="LZ7" s="41"/>
      <c r="MA7" s="41"/>
      <c r="MB7" s="41"/>
      <c r="MC7" s="41"/>
      <c r="MD7" s="41"/>
      <c r="ME7" s="234"/>
      <c r="MF7" s="234"/>
      <c r="MG7" s="41"/>
      <c r="MH7" s="41"/>
      <c r="MI7" s="41"/>
      <c r="MJ7" s="41"/>
      <c r="MK7" s="41"/>
      <c r="ML7" s="234"/>
      <c r="MM7" s="234"/>
      <c r="MN7" s="41"/>
      <c r="MO7" s="41"/>
      <c r="MP7" s="41"/>
      <c r="MQ7" s="41"/>
      <c r="MR7" s="41"/>
      <c r="MS7" s="234"/>
      <c r="MT7" s="234"/>
      <c r="MU7" s="41"/>
      <c r="MV7" s="41"/>
      <c r="MW7" s="41"/>
      <c r="MX7" s="41"/>
      <c r="MY7" s="41"/>
      <c r="MZ7" s="234"/>
      <c r="NA7" s="234"/>
      <c r="NB7" s="41"/>
      <c r="NC7" s="41"/>
      <c r="ND7" s="41"/>
      <c r="NE7" s="41"/>
      <c r="NF7" s="41"/>
      <c r="NG7" s="234"/>
      <c r="NH7" s="234"/>
      <c r="NI7" s="41"/>
      <c r="NJ7" s="41"/>
      <c r="NK7" s="41"/>
      <c r="NL7" s="41"/>
      <c r="NM7" s="41"/>
      <c r="NN7" s="234"/>
      <c r="NO7" s="234"/>
      <c r="NP7" s="41"/>
      <c r="NQ7" s="41"/>
      <c r="NR7" s="41"/>
      <c r="NS7" s="41"/>
      <c r="NT7" s="41"/>
      <c r="NU7" s="234"/>
      <c r="NV7" s="234"/>
      <c r="NW7" s="41"/>
      <c r="NX7" s="41"/>
      <c r="NY7" s="41"/>
      <c r="NZ7" s="41"/>
      <c r="OA7" s="41"/>
      <c r="OB7" s="234"/>
    </row>
    <row r="8" spans="2:392" x14ac:dyDescent="0.3">
      <c r="B8" s="38">
        <v>16882</v>
      </c>
      <c r="C8" s="9">
        <v>35</v>
      </c>
      <c r="D8" s="206" t="s">
        <v>20</v>
      </c>
      <c r="E8" s="183" t="s">
        <v>8</v>
      </c>
      <c r="F8" s="357" t="s">
        <v>9</v>
      </c>
      <c r="G8" s="159" t="s">
        <v>76</v>
      </c>
      <c r="H8" s="160" t="s">
        <v>78</v>
      </c>
      <c r="I8" s="239"/>
      <c r="J8" s="41"/>
      <c r="K8" s="41"/>
      <c r="L8" s="41"/>
      <c r="M8" s="41"/>
      <c r="N8" s="238"/>
      <c r="O8" s="230"/>
      <c r="P8" s="41"/>
      <c r="Q8" s="41"/>
      <c r="R8" s="41"/>
      <c r="S8" s="41"/>
      <c r="T8" s="41"/>
      <c r="U8" s="238"/>
      <c r="V8" s="230"/>
      <c r="W8" s="41"/>
      <c r="X8" s="41"/>
      <c r="Y8" s="41"/>
      <c r="Z8" s="41"/>
      <c r="AA8" s="41"/>
      <c r="AB8" s="238"/>
      <c r="AC8" s="230"/>
      <c r="AD8" s="41"/>
      <c r="AE8" s="41"/>
      <c r="AF8" s="41"/>
      <c r="AG8" s="41"/>
      <c r="AH8" s="41"/>
      <c r="AI8" s="238"/>
      <c r="AJ8" s="230"/>
      <c r="AK8" s="41"/>
      <c r="AL8" s="41"/>
      <c r="AM8" s="41"/>
      <c r="AN8" s="41"/>
      <c r="AO8" s="41"/>
      <c r="AP8" s="238"/>
      <c r="AQ8" s="230"/>
      <c r="AR8" s="41"/>
      <c r="AS8" s="41"/>
      <c r="AT8" s="41"/>
      <c r="AU8" s="41"/>
      <c r="AV8" s="41"/>
      <c r="AW8" s="238"/>
      <c r="AX8" s="230"/>
      <c r="AY8" s="41"/>
      <c r="AZ8" s="41"/>
      <c r="BA8" s="41"/>
      <c r="BB8" s="41"/>
      <c r="BC8" s="41"/>
      <c r="BD8" s="238"/>
      <c r="BE8" s="230"/>
      <c r="BF8" s="41"/>
      <c r="BG8" s="41"/>
      <c r="BH8" s="41"/>
      <c r="BI8" s="41"/>
      <c r="BJ8" s="41"/>
      <c r="BK8" s="238"/>
      <c r="BL8" s="230"/>
      <c r="BM8" s="41"/>
      <c r="BN8" s="41"/>
      <c r="BO8" s="41"/>
      <c r="BP8" s="41"/>
      <c r="BQ8" s="41"/>
      <c r="BR8" s="238"/>
      <c r="BS8" s="230"/>
      <c r="BT8" s="41"/>
      <c r="BU8" s="41"/>
      <c r="BV8" s="41"/>
      <c r="BW8" s="41"/>
      <c r="BX8" s="41"/>
      <c r="BY8" s="238"/>
      <c r="BZ8" s="230"/>
      <c r="CA8" s="41"/>
      <c r="CB8" s="41"/>
      <c r="CC8" s="41"/>
      <c r="CD8" s="41"/>
      <c r="CE8" s="41"/>
      <c r="CF8" s="238"/>
      <c r="CG8" s="230"/>
      <c r="CH8" s="41" t="s">
        <v>460</v>
      </c>
      <c r="CI8" s="41" t="s">
        <v>460</v>
      </c>
      <c r="CJ8" s="41" t="s">
        <v>460</v>
      </c>
      <c r="CK8" s="41" t="s">
        <v>460</v>
      </c>
      <c r="CL8" s="41" t="s">
        <v>460</v>
      </c>
      <c r="CM8" s="238"/>
      <c r="CN8" s="230"/>
      <c r="CO8" s="41" t="s">
        <v>460</v>
      </c>
      <c r="CP8" s="41" t="s">
        <v>460</v>
      </c>
      <c r="CQ8" s="41" t="s">
        <v>460</v>
      </c>
      <c r="CR8" s="41" t="s">
        <v>460</v>
      </c>
      <c r="CS8" s="41" t="s">
        <v>460</v>
      </c>
      <c r="CT8" s="238"/>
      <c r="CU8" s="230"/>
      <c r="CV8" s="41" t="s">
        <v>460</v>
      </c>
      <c r="CW8" s="41" t="s">
        <v>460</v>
      </c>
      <c r="CX8" s="41" t="s">
        <v>460</v>
      </c>
      <c r="CY8" s="41" t="s">
        <v>460</v>
      </c>
      <c r="CZ8" s="41" t="s">
        <v>460</v>
      </c>
      <c r="DA8" s="238"/>
      <c r="DB8" s="230"/>
      <c r="DC8" s="41" t="s">
        <v>460</v>
      </c>
      <c r="DD8" s="41" t="s">
        <v>460</v>
      </c>
      <c r="DE8" s="41" t="s">
        <v>460</v>
      </c>
      <c r="DF8" s="41" t="s">
        <v>460</v>
      </c>
      <c r="DG8" s="41" t="s">
        <v>460</v>
      </c>
      <c r="DH8" s="238"/>
      <c r="DI8" s="230"/>
      <c r="DJ8" s="41" t="s">
        <v>460</v>
      </c>
      <c r="DK8" s="41" t="s">
        <v>460</v>
      </c>
      <c r="DL8" s="41" t="s">
        <v>460</v>
      </c>
      <c r="DM8" s="41" t="s">
        <v>460</v>
      </c>
      <c r="DN8" s="41" t="s">
        <v>460</v>
      </c>
      <c r="DO8" s="238"/>
      <c r="DP8" s="230"/>
      <c r="DQ8" s="41" t="s">
        <v>460</v>
      </c>
      <c r="DR8" s="41" t="s">
        <v>460</v>
      </c>
      <c r="DS8" s="41" t="s">
        <v>460</v>
      </c>
      <c r="DT8" s="41" t="s">
        <v>460</v>
      </c>
      <c r="DU8" s="41" t="s">
        <v>460</v>
      </c>
      <c r="DV8" s="238"/>
      <c r="DW8" s="230"/>
      <c r="DX8" s="41" t="s">
        <v>460</v>
      </c>
      <c r="DY8" s="41" t="s">
        <v>460</v>
      </c>
      <c r="DZ8" s="41" t="s">
        <v>460</v>
      </c>
      <c r="EA8" s="41" t="s">
        <v>460</v>
      </c>
      <c r="EB8" s="41" t="s">
        <v>460</v>
      </c>
      <c r="EC8" s="238"/>
      <c r="ED8" s="230"/>
      <c r="EE8" s="41"/>
      <c r="EF8" s="41"/>
      <c r="EG8" s="41"/>
      <c r="EH8" s="41" t="s">
        <v>460</v>
      </c>
      <c r="EI8" s="41"/>
      <c r="EJ8" s="238"/>
      <c r="EK8" s="230"/>
      <c r="EL8" s="41"/>
      <c r="EM8" s="41"/>
      <c r="EN8" s="41"/>
      <c r="EO8" s="41"/>
      <c r="EP8" s="41"/>
      <c r="EQ8" s="238"/>
      <c r="ER8" s="230"/>
      <c r="ES8" s="41"/>
      <c r="ET8" s="41"/>
      <c r="EU8" s="41"/>
      <c r="EV8" s="41"/>
      <c r="EW8" s="41"/>
      <c r="EX8" s="238"/>
      <c r="EY8" s="230"/>
      <c r="EZ8" s="41"/>
      <c r="FA8" s="41"/>
      <c r="FB8" s="41"/>
      <c r="FC8" s="41"/>
      <c r="FD8" s="41"/>
      <c r="FE8" s="238"/>
      <c r="FF8" s="230"/>
      <c r="FG8" s="41"/>
      <c r="FH8" s="41"/>
      <c r="FI8" s="41"/>
      <c r="FJ8" s="41"/>
      <c r="FK8" s="41"/>
      <c r="FL8" s="238"/>
      <c r="FM8" s="230"/>
      <c r="FN8" s="41" t="s">
        <v>460</v>
      </c>
      <c r="FO8" s="41"/>
      <c r="FP8" s="41"/>
      <c r="FQ8" s="41"/>
      <c r="FR8" s="41"/>
      <c r="FS8" s="238"/>
      <c r="FT8" s="230"/>
      <c r="FU8" s="41"/>
      <c r="FV8" s="41"/>
      <c r="FW8" s="41"/>
      <c r="FX8" s="41"/>
      <c r="FY8" s="41"/>
      <c r="FZ8" s="238"/>
      <c r="GA8" s="230"/>
      <c r="GB8" s="41"/>
      <c r="GC8" s="41"/>
      <c r="GD8" s="41"/>
      <c r="GE8" s="41"/>
      <c r="GF8" s="41"/>
      <c r="GG8" s="238"/>
      <c r="GH8" s="230"/>
      <c r="GI8" s="41"/>
      <c r="GJ8" s="41"/>
      <c r="GK8" s="41"/>
      <c r="GL8" s="41"/>
      <c r="GM8" s="41"/>
      <c r="GN8" s="238"/>
      <c r="GO8" s="230"/>
      <c r="GP8" s="41"/>
      <c r="GQ8" s="41"/>
      <c r="GR8" s="41"/>
      <c r="GS8" s="41"/>
      <c r="GT8" s="41"/>
      <c r="GU8" s="238"/>
      <c r="GV8" s="230"/>
      <c r="GW8" s="41" t="s">
        <v>460</v>
      </c>
      <c r="GX8" s="41"/>
      <c r="GY8" s="41"/>
      <c r="GZ8" s="41"/>
      <c r="HA8" s="41"/>
      <c r="HB8" s="238"/>
      <c r="HC8" s="230"/>
      <c r="HD8" s="41"/>
      <c r="HE8" s="41"/>
      <c r="HF8" s="41"/>
      <c r="HG8" s="41"/>
      <c r="HH8" s="41"/>
      <c r="HI8" s="372"/>
      <c r="HJ8" s="234"/>
      <c r="HK8" s="41"/>
      <c r="HL8" s="41"/>
      <c r="HM8" s="41"/>
      <c r="HN8" s="41"/>
      <c r="HO8" s="41"/>
      <c r="HP8" s="372"/>
      <c r="HQ8" s="234"/>
      <c r="HR8" s="41"/>
      <c r="HS8" s="41"/>
      <c r="HT8" s="41"/>
      <c r="HU8" s="41"/>
      <c r="HV8" s="41"/>
      <c r="HW8" s="372"/>
      <c r="HX8" s="234"/>
      <c r="HY8" s="41"/>
      <c r="HZ8" s="41"/>
      <c r="IA8" s="41"/>
      <c r="IB8" s="41"/>
      <c r="IC8" s="41"/>
      <c r="ID8" s="372"/>
      <c r="IE8" s="234"/>
      <c r="IF8" s="41"/>
      <c r="IG8" s="41"/>
      <c r="IH8" s="41"/>
      <c r="II8" s="41"/>
      <c r="IJ8" s="41"/>
      <c r="IK8" s="372"/>
      <c r="IL8" s="234"/>
      <c r="IM8" s="41"/>
      <c r="IN8" s="41"/>
      <c r="IO8" s="41"/>
      <c r="IP8" s="41"/>
      <c r="IQ8" s="41"/>
      <c r="IR8" s="372"/>
      <c r="IS8" s="234"/>
      <c r="IT8" s="41"/>
      <c r="IU8" s="41"/>
      <c r="IV8" s="41"/>
      <c r="IW8" s="41"/>
      <c r="IX8" s="41"/>
      <c r="IY8" s="372"/>
      <c r="IZ8" s="234"/>
      <c r="JA8" s="41" t="s">
        <v>460</v>
      </c>
      <c r="JB8" s="41" t="s">
        <v>460</v>
      </c>
      <c r="JC8" s="41" t="s">
        <v>460</v>
      </c>
      <c r="JD8" s="41" t="s">
        <v>460</v>
      </c>
      <c r="JE8" s="41" t="s">
        <v>460</v>
      </c>
      <c r="JF8" s="372"/>
      <c r="JG8" s="234"/>
      <c r="JH8" s="41" t="s">
        <v>460</v>
      </c>
      <c r="JI8" s="41" t="s">
        <v>460</v>
      </c>
      <c r="JJ8" s="41" t="s">
        <v>460</v>
      </c>
      <c r="JK8" s="41" t="s">
        <v>460</v>
      </c>
      <c r="JL8" s="41" t="s">
        <v>460</v>
      </c>
      <c r="JM8" s="372"/>
      <c r="JN8" s="234"/>
      <c r="JO8" s="41" t="s">
        <v>460</v>
      </c>
      <c r="JP8" s="41" t="s">
        <v>460</v>
      </c>
      <c r="JQ8" s="41" t="s">
        <v>460</v>
      </c>
      <c r="JR8" s="41" t="s">
        <v>460</v>
      </c>
      <c r="JS8" s="41" t="s">
        <v>460</v>
      </c>
      <c r="JT8" s="372"/>
      <c r="JU8" s="234"/>
      <c r="JV8" s="41"/>
      <c r="JW8" s="41"/>
      <c r="JX8" s="41"/>
      <c r="JY8" s="41"/>
      <c r="JZ8" s="41"/>
      <c r="KA8" s="372"/>
      <c r="KB8" s="234"/>
      <c r="KC8" s="41"/>
      <c r="KD8" s="41"/>
      <c r="KE8" s="41"/>
      <c r="KF8" s="41"/>
      <c r="KG8" s="41"/>
      <c r="KH8" s="372"/>
      <c r="KI8" s="234"/>
      <c r="KJ8" s="41"/>
      <c r="KK8" s="41"/>
      <c r="KL8" s="41"/>
      <c r="KM8" s="41"/>
      <c r="KN8" s="41"/>
      <c r="KO8" s="372"/>
      <c r="KP8" s="234"/>
      <c r="KQ8" s="41"/>
      <c r="KR8" s="41"/>
      <c r="KS8" s="41"/>
      <c r="KT8" s="41"/>
      <c r="KU8" s="41"/>
      <c r="KV8" s="372"/>
      <c r="KW8" s="234"/>
      <c r="KX8" s="41"/>
      <c r="KY8" s="41"/>
      <c r="KZ8" s="41"/>
      <c r="LA8" s="41"/>
      <c r="LB8" s="41"/>
      <c r="LC8" s="372"/>
      <c r="LD8" s="234"/>
      <c r="LE8" s="41"/>
      <c r="LF8" s="41"/>
      <c r="LG8" s="41"/>
      <c r="LH8" s="41"/>
      <c r="LI8" s="41"/>
      <c r="LJ8" s="372"/>
      <c r="LK8" s="234"/>
      <c r="LL8" s="41"/>
      <c r="LM8" s="41"/>
      <c r="LN8" s="41"/>
      <c r="LO8" s="41"/>
      <c r="LP8" s="41"/>
      <c r="LQ8" s="372"/>
      <c r="LR8" s="234"/>
      <c r="LS8" s="41"/>
      <c r="LT8" s="41"/>
      <c r="LU8" s="41"/>
      <c r="LV8" s="41"/>
      <c r="LW8" s="41"/>
      <c r="LX8" s="372"/>
      <c r="LY8" s="234"/>
      <c r="LZ8" s="41"/>
      <c r="MA8" s="41"/>
      <c r="MB8" s="41"/>
      <c r="MC8" s="41"/>
      <c r="MD8" s="41"/>
      <c r="ME8" s="372"/>
      <c r="MF8" s="234"/>
      <c r="MG8" s="41"/>
      <c r="MH8" s="41"/>
      <c r="MI8" s="41"/>
      <c r="MJ8" s="41"/>
      <c r="MK8" s="41"/>
      <c r="ML8" s="372"/>
      <c r="MM8" s="234"/>
      <c r="MN8" s="41"/>
      <c r="MO8" s="41"/>
      <c r="MP8" s="41"/>
      <c r="MQ8" s="41"/>
      <c r="MR8" s="41"/>
      <c r="MS8" s="372"/>
      <c r="MT8" s="234"/>
      <c r="MU8" s="41"/>
      <c r="MV8" s="41"/>
      <c r="MW8" s="41"/>
      <c r="MX8" s="41"/>
      <c r="MY8" s="41"/>
      <c r="MZ8" s="372"/>
      <c r="NA8" s="234"/>
      <c r="NB8" s="41"/>
      <c r="NC8" s="41"/>
      <c r="ND8" s="41"/>
      <c r="NE8" s="41"/>
      <c r="NF8" s="41"/>
      <c r="NG8" s="372"/>
      <c r="NH8" s="234"/>
      <c r="NI8" s="41"/>
      <c r="NJ8" s="41"/>
      <c r="NK8" s="41"/>
      <c r="NL8" s="41"/>
      <c r="NM8" s="41"/>
      <c r="NN8" s="372"/>
      <c r="NO8" s="234"/>
      <c r="NP8" s="41"/>
      <c r="NQ8" s="41"/>
      <c r="NR8" s="41"/>
      <c r="NS8" s="41"/>
      <c r="NT8" s="41"/>
      <c r="NU8" s="372"/>
      <c r="NV8" s="234"/>
      <c r="NW8" s="41"/>
      <c r="NX8" s="41"/>
      <c r="NY8" s="41"/>
      <c r="NZ8" s="41"/>
      <c r="OA8" s="41"/>
      <c r="OB8" s="372"/>
    </row>
    <row r="9" spans="2:392" x14ac:dyDescent="0.3">
      <c r="B9" s="8">
        <v>48567</v>
      </c>
      <c r="C9" s="9">
        <v>35</v>
      </c>
      <c r="D9" s="206" t="s">
        <v>20</v>
      </c>
      <c r="E9" s="183" t="s">
        <v>8</v>
      </c>
      <c r="F9" s="364" t="s">
        <v>9</v>
      </c>
      <c r="G9" s="159" t="s">
        <v>96</v>
      </c>
      <c r="H9" s="160" t="s">
        <v>98</v>
      </c>
      <c r="I9" s="41"/>
      <c r="J9" s="41"/>
      <c r="K9" s="41"/>
      <c r="L9" s="41"/>
      <c r="M9" s="41"/>
      <c r="N9" s="230"/>
      <c r="O9" s="230"/>
      <c r="P9" s="41"/>
      <c r="Q9" s="41"/>
      <c r="R9" s="41"/>
      <c r="S9" s="41"/>
      <c r="T9" s="41"/>
      <c r="U9" s="230"/>
      <c r="V9" s="230"/>
      <c r="W9" s="41"/>
      <c r="X9" s="41"/>
      <c r="Y9" s="41"/>
      <c r="Z9" s="41"/>
      <c r="AA9" s="41"/>
      <c r="AB9" s="230"/>
      <c r="AC9" s="230"/>
      <c r="AD9" s="41"/>
      <c r="AE9" s="41"/>
      <c r="AF9" s="41"/>
      <c r="AG9" s="41"/>
      <c r="AH9" s="41"/>
      <c r="AI9" s="230"/>
      <c r="AJ9" s="230"/>
      <c r="AK9" s="41"/>
      <c r="AL9" s="41"/>
      <c r="AM9" s="41"/>
      <c r="AN9" s="41"/>
      <c r="AO9" s="41"/>
      <c r="AP9" s="230"/>
      <c r="AQ9" s="230"/>
      <c r="AR9" s="41"/>
      <c r="AS9" s="41"/>
      <c r="AT9" s="41"/>
      <c r="AU9" s="41"/>
      <c r="AV9" s="41"/>
      <c r="AW9" s="230"/>
      <c r="AX9" s="230"/>
      <c r="AY9" s="41"/>
      <c r="AZ9" s="41"/>
      <c r="BA9" s="41"/>
      <c r="BB9" s="41"/>
      <c r="BC9" s="41"/>
      <c r="BD9" s="230"/>
      <c r="BE9" s="230"/>
      <c r="BF9" s="41"/>
      <c r="BG9" s="41"/>
      <c r="BH9" s="41"/>
      <c r="BI9" s="41"/>
      <c r="BJ9" s="41"/>
      <c r="BK9" s="230"/>
      <c r="BL9" s="230"/>
      <c r="BM9" s="41"/>
      <c r="BN9" s="41"/>
      <c r="BO9" s="41"/>
      <c r="BP9" s="41"/>
      <c r="BQ9" s="41"/>
      <c r="BR9" s="230"/>
      <c r="BS9" s="230"/>
      <c r="BT9" s="41"/>
      <c r="BU9" s="41"/>
      <c r="BV9" s="41"/>
      <c r="BW9" s="41"/>
      <c r="BX9" s="41"/>
      <c r="BY9" s="230"/>
      <c r="BZ9" s="230"/>
      <c r="CA9" s="41"/>
      <c r="CB9" s="41"/>
      <c r="CC9" s="41"/>
      <c r="CD9" s="41"/>
      <c r="CE9" s="41"/>
      <c r="CF9" s="230"/>
      <c r="CG9" s="230"/>
      <c r="CH9" s="41"/>
      <c r="CI9" s="41"/>
      <c r="CJ9" s="41"/>
      <c r="CK9" s="41"/>
      <c r="CL9" s="41"/>
      <c r="CM9" s="230"/>
      <c r="CN9" s="230"/>
      <c r="CO9" s="41"/>
      <c r="CP9" s="41"/>
      <c r="CQ9" s="41"/>
      <c r="CR9" s="41"/>
      <c r="CS9" s="41"/>
      <c r="CT9" s="230"/>
      <c r="CU9" s="230"/>
      <c r="CV9" s="41"/>
      <c r="CW9" s="41"/>
      <c r="CX9" s="41"/>
      <c r="CY9" s="41"/>
      <c r="CZ9" s="41"/>
      <c r="DA9" s="230"/>
      <c r="DB9" s="230"/>
      <c r="DC9" s="41"/>
      <c r="DD9" s="41"/>
      <c r="DE9" s="41"/>
      <c r="DF9" s="41"/>
      <c r="DG9" s="41"/>
      <c r="DH9" s="230"/>
      <c r="DI9" s="230"/>
      <c r="DJ9" s="41"/>
      <c r="DK9" s="41"/>
      <c r="DL9" s="41"/>
      <c r="DM9" s="41"/>
      <c r="DN9" s="41"/>
      <c r="DO9" s="230"/>
      <c r="DP9" s="230"/>
      <c r="DQ9" s="41"/>
      <c r="DR9" s="41"/>
      <c r="DS9" s="41"/>
      <c r="DT9" s="41"/>
      <c r="DU9" s="41"/>
      <c r="DV9" s="230"/>
      <c r="DW9" s="230"/>
      <c r="DX9" s="41" t="s">
        <v>460</v>
      </c>
      <c r="DY9" s="41"/>
      <c r="DZ9" s="41"/>
      <c r="EA9" s="41"/>
      <c r="EB9" s="41"/>
      <c r="EC9" s="230"/>
      <c r="ED9" s="230"/>
      <c r="EE9" s="41"/>
      <c r="EF9" s="41"/>
      <c r="EG9" s="41"/>
      <c r="EH9" s="41" t="s">
        <v>460</v>
      </c>
      <c r="EI9" s="41"/>
      <c r="EJ9" s="230"/>
      <c r="EK9" s="230"/>
      <c r="EL9" s="41"/>
      <c r="EM9" s="41"/>
      <c r="EN9" s="41"/>
      <c r="EO9" s="41"/>
      <c r="EP9" s="41"/>
      <c r="EQ9" s="230"/>
      <c r="ER9" s="230"/>
      <c r="ES9" s="41"/>
      <c r="ET9" s="41"/>
      <c r="EU9" s="41"/>
      <c r="EV9" s="41"/>
      <c r="EW9" s="41"/>
      <c r="EX9" s="230"/>
      <c r="EY9" s="230"/>
      <c r="EZ9" s="41"/>
      <c r="FA9" s="41"/>
      <c r="FB9" s="41"/>
      <c r="FC9" s="41"/>
      <c r="FD9" s="41"/>
      <c r="FE9" s="230"/>
      <c r="FF9" s="230"/>
      <c r="FG9" s="41"/>
      <c r="FH9" s="41"/>
      <c r="FI9" s="41"/>
      <c r="FJ9" s="41"/>
      <c r="FK9" s="41"/>
      <c r="FL9" s="230"/>
      <c r="FM9" s="230"/>
      <c r="FN9" s="41" t="s">
        <v>460</v>
      </c>
      <c r="FO9" s="41"/>
      <c r="FP9" s="41"/>
      <c r="FQ9" s="41"/>
      <c r="FR9" s="41"/>
      <c r="FS9" s="230"/>
      <c r="FT9" s="230"/>
      <c r="FU9" s="41"/>
      <c r="FV9" s="41"/>
      <c r="FW9" s="41"/>
      <c r="FX9" s="41"/>
      <c r="FY9" s="41"/>
      <c r="FZ9" s="230"/>
      <c r="GA9" s="230"/>
      <c r="GB9" s="41"/>
      <c r="GC9" s="41"/>
      <c r="GD9" s="41"/>
      <c r="GE9" s="41"/>
      <c r="GF9" s="41"/>
      <c r="GG9" s="230"/>
      <c r="GH9" s="230"/>
      <c r="GI9" s="41"/>
      <c r="GJ9" s="41"/>
      <c r="GK9" s="41"/>
      <c r="GL9" s="41"/>
      <c r="GM9" s="41"/>
      <c r="GN9" s="230"/>
      <c r="GO9" s="230"/>
      <c r="GP9" s="41"/>
      <c r="GQ9" s="41"/>
      <c r="GR9" s="41"/>
      <c r="GS9" s="41"/>
      <c r="GT9" s="41"/>
      <c r="GU9" s="230"/>
      <c r="GV9" s="230"/>
      <c r="GW9" s="41" t="s">
        <v>460</v>
      </c>
      <c r="GX9" s="41"/>
      <c r="GY9" s="41"/>
      <c r="GZ9" s="41"/>
      <c r="HA9" s="41"/>
      <c r="HB9" s="230"/>
      <c r="HC9" s="230"/>
      <c r="HD9" s="41"/>
      <c r="HE9" s="41"/>
      <c r="HF9" s="41"/>
      <c r="HG9" s="41"/>
      <c r="HH9" s="41"/>
      <c r="HI9" s="234"/>
      <c r="HJ9" s="234"/>
      <c r="HK9" s="41"/>
      <c r="HL9" s="41"/>
      <c r="HM9" s="41"/>
      <c r="HN9" s="41"/>
      <c r="HO9" s="41"/>
      <c r="HP9" s="234"/>
      <c r="HQ9" s="234"/>
      <c r="HR9" s="41"/>
      <c r="HS9" s="41"/>
      <c r="HT9" s="41"/>
      <c r="HU9" s="41"/>
      <c r="HV9" s="41"/>
      <c r="HW9" s="234"/>
      <c r="HX9" s="234"/>
      <c r="HY9" s="41"/>
      <c r="HZ9" s="41"/>
      <c r="IA9" s="41"/>
      <c r="IB9" s="41"/>
      <c r="IC9" s="41"/>
      <c r="ID9" s="234"/>
      <c r="IE9" s="234"/>
      <c r="IF9" s="41" t="s">
        <v>460</v>
      </c>
      <c r="IG9" s="41" t="s">
        <v>460</v>
      </c>
      <c r="IH9" s="41" t="s">
        <v>460</v>
      </c>
      <c r="II9" s="41" t="s">
        <v>460</v>
      </c>
      <c r="IJ9" s="41" t="s">
        <v>460</v>
      </c>
      <c r="IK9" s="234"/>
      <c r="IL9" s="234"/>
      <c r="IM9" s="41"/>
      <c r="IN9" s="41"/>
      <c r="IO9" s="41"/>
      <c r="IP9" s="41"/>
      <c r="IQ9" s="41"/>
      <c r="IR9" s="234"/>
      <c r="IS9" s="234"/>
      <c r="IT9" s="41"/>
      <c r="IU9" s="41"/>
      <c r="IV9" s="41"/>
      <c r="IW9" s="41"/>
      <c r="IX9" s="41"/>
      <c r="IY9" s="234"/>
      <c r="IZ9" s="234"/>
      <c r="JA9" s="41"/>
      <c r="JB9" s="41"/>
      <c r="JC9" s="41"/>
      <c r="JD9" s="41"/>
      <c r="JE9" s="41"/>
      <c r="JF9" s="234"/>
      <c r="JG9" s="234"/>
      <c r="JH9" s="41"/>
      <c r="JI9" s="41"/>
      <c r="JJ9" s="41"/>
      <c r="JK9" s="41"/>
      <c r="JL9" s="41"/>
      <c r="JM9" s="234"/>
      <c r="JN9" s="234"/>
      <c r="JO9" s="41"/>
      <c r="JP9" s="41"/>
      <c r="JQ9" s="41"/>
      <c r="JR9" s="41"/>
      <c r="JS9" s="41"/>
      <c r="JT9" s="234"/>
      <c r="JU9" s="234"/>
      <c r="JV9" s="41"/>
      <c r="JW9" s="41"/>
      <c r="JX9" s="41"/>
      <c r="JY9" s="41"/>
      <c r="JZ9" s="41"/>
      <c r="KA9" s="234"/>
      <c r="KB9" s="234"/>
      <c r="KC9" s="41"/>
      <c r="KD9" s="41"/>
      <c r="KE9" s="41"/>
      <c r="KF9" s="41"/>
      <c r="KG9" s="41"/>
      <c r="KH9" s="234"/>
      <c r="KI9" s="234"/>
      <c r="KJ9" s="41"/>
      <c r="KK9" s="41"/>
      <c r="KL9" s="41"/>
      <c r="KM9" s="41"/>
      <c r="KN9" s="41"/>
      <c r="KO9" s="234"/>
      <c r="KP9" s="234"/>
      <c r="KQ9" s="41"/>
      <c r="KR9" s="41"/>
      <c r="KS9" s="41"/>
      <c r="KT9" s="41"/>
      <c r="KU9" s="41"/>
      <c r="KV9" s="234"/>
      <c r="KW9" s="234"/>
      <c r="KX9" s="41"/>
      <c r="KY9" s="41"/>
      <c r="KZ9" s="41"/>
      <c r="LA9" s="41"/>
      <c r="LB9" s="41"/>
      <c r="LC9" s="234"/>
      <c r="LD9" s="234"/>
      <c r="LE9" s="41"/>
      <c r="LF9" s="41"/>
      <c r="LG9" s="41"/>
      <c r="LH9" s="41"/>
      <c r="LI9" s="41"/>
      <c r="LJ9" s="234"/>
      <c r="LK9" s="234"/>
      <c r="LL9" s="41"/>
      <c r="LM9" s="41"/>
      <c r="LN9" s="41"/>
      <c r="LO9" s="41"/>
      <c r="LP9" s="41"/>
      <c r="LQ9" s="234"/>
      <c r="LR9" s="234"/>
      <c r="LS9" s="41"/>
      <c r="LT9" s="41"/>
      <c r="LU9" s="41"/>
      <c r="LV9" s="41"/>
      <c r="LW9" s="41"/>
      <c r="LX9" s="234"/>
      <c r="LY9" s="234"/>
      <c r="LZ9" s="41"/>
      <c r="MA9" s="41"/>
      <c r="MB9" s="41"/>
      <c r="MC9" s="41"/>
      <c r="MD9" s="41"/>
      <c r="ME9" s="234"/>
      <c r="MF9" s="234"/>
      <c r="MG9" s="41"/>
      <c r="MH9" s="41"/>
      <c r="MI9" s="41"/>
      <c r="MJ9" s="41"/>
      <c r="MK9" s="41"/>
      <c r="ML9" s="234"/>
      <c r="MM9" s="234"/>
      <c r="MN9" s="41"/>
      <c r="MO9" s="41"/>
      <c r="MP9" s="41"/>
      <c r="MQ9" s="41"/>
      <c r="MR9" s="41"/>
      <c r="MS9" s="234"/>
      <c r="MT9" s="234"/>
      <c r="MU9" s="41"/>
      <c r="MV9" s="41"/>
      <c r="MW9" s="41"/>
      <c r="MX9" s="41"/>
      <c r="MY9" s="41"/>
      <c r="MZ9" s="234"/>
      <c r="NA9" s="234"/>
      <c r="NB9" s="41"/>
      <c r="NC9" s="41"/>
      <c r="ND9" s="41"/>
      <c r="NE9" s="41"/>
      <c r="NF9" s="41"/>
      <c r="NG9" s="234"/>
      <c r="NH9" s="234"/>
      <c r="NI9" s="41"/>
      <c r="NJ9" s="41"/>
      <c r="NK9" s="41"/>
      <c r="NL9" s="41"/>
      <c r="NM9" s="41"/>
      <c r="NN9" s="234"/>
      <c r="NO9" s="234"/>
      <c r="NP9" s="41"/>
      <c r="NQ9" s="41"/>
      <c r="NR9" s="41"/>
      <c r="NS9" s="41"/>
      <c r="NT9" s="41"/>
      <c r="NU9" s="234"/>
      <c r="NV9" s="234"/>
      <c r="NW9" s="41"/>
      <c r="NX9" s="41"/>
      <c r="NY9" s="41"/>
      <c r="NZ9" s="41"/>
      <c r="OA9" s="41"/>
      <c r="OB9" s="234"/>
    </row>
    <row r="10" spans="2:392" x14ac:dyDescent="0.3">
      <c r="B10" s="8">
        <v>54903</v>
      </c>
      <c r="C10" s="9">
        <v>35</v>
      </c>
      <c r="D10" s="206" t="s">
        <v>20</v>
      </c>
      <c r="E10" s="183" t="s">
        <v>8</v>
      </c>
      <c r="F10" s="364" t="s">
        <v>9</v>
      </c>
      <c r="G10" s="159" t="s">
        <v>99</v>
      </c>
      <c r="H10" s="160" t="s">
        <v>100</v>
      </c>
      <c r="I10" s="41"/>
      <c r="J10" s="41"/>
      <c r="K10" s="41"/>
      <c r="L10" s="41"/>
      <c r="M10" s="41"/>
      <c r="N10" s="230"/>
      <c r="O10" s="230"/>
      <c r="P10" s="41"/>
      <c r="Q10" s="41"/>
      <c r="R10" s="41"/>
      <c r="S10" s="41"/>
      <c r="T10" s="41"/>
      <c r="U10" s="230"/>
      <c r="V10" s="230"/>
      <c r="W10" s="41" t="s">
        <v>460</v>
      </c>
      <c r="X10" s="41" t="s">
        <v>460</v>
      </c>
      <c r="Y10" s="41" t="s">
        <v>460</v>
      </c>
      <c r="Z10" s="41" t="s">
        <v>460</v>
      </c>
      <c r="AA10" s="41" t="s">
        <v>460</v>
      </c>
      <c r="AB10" s="230"/>
      <c r="AC10" s="230"/>
      <c r="AD10" s="41"/>
      <c r="AE10" s="41"/>
      <c r="AF10" s="41"/>
      <c r="AG10" s="41"/>
      <c r="AH10" s="41"/>
      <c r="AI10" s="230"/>
      <c r="AJ10" s="230"/>
      <c r="AK10" s="41" t="s">
        <v>460</v>
      </c>
      <c r="AL10" s="41" t="s">
        <v>460</v>
      </c>
      <c r="AM10" s="41" t="s">
        <v>460</v>
      </c>
      <c r="AN10" s="41" t="s">
        <v>460</v>
      </c>
      <c r="AO10" s="41" t="s">
        <v>460</v>
      </c>
      <c r="AP10" s="230"/>
      <c r="AQ10" s="230"/>
      <c r="AR10" s="41" t="s">
        <v>460</v>
      </c>
      <c r="AS10" s="41" t="s">
        <v>460</v>
      </c>
      <c r="AT10" s="41" t="s">
        <v>460</v>
      </c>
      <c r="AU10" s="41" t="s">
        <v>460</v>
      </c>
      <c r="AV10" s="41" t="s">
        <v>460</v>
      </c>
      <c r="AW10" s="230"/>
      <c r="AX10" s="230"/>
      <c r="AY10" s="41" t="s">
        <v>460</v>
      </c>
      <c r="AZ10" s="41" t="s">
        <v>460</v>
      </c>
      <c r="BA10" s="41" t="s">
        <v>460</v>
      </c>
      <c r="BB10" s="41" t="s">
        <v>460</v>
      </c>
      <c r="BC10" s="41" t="s">
        <v>460</v>
      </c>
      <c r="BD10" s="230"/>
      <c r="BE10" s="230"/>
      <c r="BF10" s="41"/>
      <c r="BG10" s="41"/>
      <c r="BH10" s="41"/>
      <c r="BI10" s="41"/>
      <c r="BJ10" s="41"/>
      <c r="BK10" s="230"/>
      <c r="BL10" s="230"/>
      <c r="BM10" s="41"/>
      <c r="BN10" s="41"/>
      <c r="BO10" s="41"/>
      <c r="BP10" s="41"/>
      <c r="BQ10" s="41"/>
      <c r="BR10" s="230"/>
      <c r="BS10" s="230"/>
      <c r="BT10" s="41"/>
      <c r="BU10" s="41"/>
      <c r="BV10" s="41"/>
      <c r="BW10" s="41"/>
      <c r="BX10" s="41"/>
      <c r="BY10" s="230"/>
      <c r="BZ10" s="230"/>
      <c r="CA10" s="41"/>
      <c r="CB10" s="41"/>
      <c r="CC10" s="41"/>
      <c r="CD10" s="41"/>
      <c r="CE10" s="41"/>
      <c r="CF10" s="230"/>
      <c r="CG10" s="230"/>
      <c r="CH10" s="41"/>
      <c r="CI10" s="41"/>
      <c r="CJ10" s="41"/>
      <c r="CK10" s="41"/>
      <c r="CL10" s="41"/>
      <c r="CM10" s="230"/>
      <c r="CN10" s="230"/>
      <c r="CO10" s="41"/>
      <c r="CP10" s="41"/>
      <c r="CQ10" s="41"/>
      <c r="CR10" s="41"/>
      <c r="CS10" s="41"/>
      <c r="CT10" s="230"/>
      <c r="CU10" s="230"/>
      <c r="CV10" s="41"/>
      <c r="CW10" s="41"/>
      <c r="CX10" s="41"/>
      <c r="CY10" s="41"/>
      <c r="CZ10" s="41"/>
      <c r="DA10" s="230"/>
      <c r="DB10" s="230"/>
      <c r="DC10" s="41"/>
      <c r="DD10" s="41"/>
      <c r="DE10" s="41"/>
      <c r="DF10" s="41"/>
      <c r="DG10" s="41"/>
      <c r="DH10" s="230"/>
      <c r="DI10" s="230"/>
      <c r="DJ10" s="41" t="s">
        <v>460</v>
      </c>
      <c r="DK10" s="41" t="s">
        <v>460</v>
      </c>
      <c r="DL10" s="41" t="s">
        <v>460</v>
      </c>
      <c r="DM10" s="41" t="s">
        <v>460</v>
      </c>
      <c r="DN10" s="41" t="s">
        <v>460</v>
      </c>
      <c r="DO10" s="230"/>
      <c r="DP10" s="230"/>
      <c r="DQ10" s="41"/>
      <c r="DR10" s="41"/>
      <c r="DS10" s="41"/>
      <c r="DT10" s="41"/>
      <c r="DU10" s="41"/>
      <c r="DV10" s="230"/>
      <c r="DW10" s="230"/>
      <c r="DX10" s="41" t="s">
        <v>460</v>
      </c>
      <c r="DY10" s="41"/>
      <c r="DZ10" s="41"/>
      <c r="EA10" s="41"/>
      <c r="EB10" s="41"/>
      <c r="EC10" s="230"/>
      <c r="ED10" s="230"/>
      <c r="EE10" s="41"/>
      <c r="EF10" s="41"/>
      <c r="EG10" s="41"/>
      <c r="EH10" s="41" t="s">
        <v>460</v>
      </c>
      <c r="EI10" s="41"/>
      <c r="EJ10" s="230"/>
      <c r="EK10" s="230"/>
      <c r="EL10" s="41"/>
      <c r="EM10" s="41"/>
      <c r="EN10" s="41"/>
      <c r="EO10" s="41"/>
      <c r="EP10" s="41"/>
      <c r="EQ10" s="230"/>
      <c r="ER10" s="230"/>
      <c r="ES10" s="41"/>
      <c r="ET10" s="41"/>
      <c r="EU10" s="41"/>
      <c r="EV10" s="41"/>
      <c r="EW10" s="41"/>
      <c r="EX10" s="230"/>
      <c r="EY10" s="230"/>
      <c r="EZ10" s="41"/>
      <c r="FA10" s="41"/>
      <c r="FB10" s="41"/>
      <c r="FC10" s="41"/>
      <c r="FD10" s="41"/>
      <c r="FE10" s="230"/>
      <c r="FF10" s="230"/>
      <c r="FG10" s="41"/>
      <c r="FH10" s="41"/>
      <c r="FI10" s="41"/>
      <c r="FJ10" s="41"/>
      <c r="FK10" s="41"/>
      <c r="FL10" s="230"/>
      <c r="FM10" s="230"/>
      <c r="FN10" s="41" t="s">
        <v>460</v>
      </c>
      <c r="FO10" s="41"/>
      <c r="FP10" s="41"/>
      <c r="FQ10" s="41"/>
      <c r="FR10" s="41"/>
      <c r="FS10" s="230"/>
      <c r="FT10" s="230"/>
      <c r="FU10" s="41"/>
      <c r="FV10" s="41"/>
      <c r="FW10" s="41"/>
      <c r="FX10" s="41"/>
      <c r="FY10" s="41"/>
      <c r="FZ10" s="230"/>
      <c r="GA10" s="230"/>
      <c r="GB10" s="41"/>
      <c r="GC10" s="41"/>
      <c r="GD10" s="41"/>
      <c r="GE10" s="41"/>
      <c r="GF10" s="41"/>
      <c r="GG10" s="230"/>
      <c r="GH10" s="230"/>
      <c r="GI10" s="41"/>
      <c r="GJ10" s="41"/>
      <c r="GK10" s="41"/>
      <c r="GL10" s="41"/>
      <c r="GM10" s="41"/>
      <c r="GN10" s="230"/>
      <c r="GO10" s="230"/>
      <c r="GP10" s="41"/>
      <c r="GQ10" s="41"/>
      <c r="GR10" s="41"/>
      <c r="GS10" s="41"/>
      <c r="GT10" s="41"/>
      <c r="GU10" s="230"/>
      <c r="GV10" s="230"/>
      <c r="GW10" s="41" t="s">
        <v>460</v>
      </c>
      <c r="GX10" s="41"/>
      <c r="GY10" s="41"/>
      <c r="GZ10" s="41"/>
      <c r="HA10" s="41"/>
      <c r="HB10" s="230"/>
      <c r="HC10" s="230"/>
      <c r="HD10" s="41" t="s">
        <v>460</v>
      </c>
      <c r="HE10" s="41" t="s">
        <v>460</v>
      </c>
      <c r="HF10" s="41" t="s">
        <v>460</v>
      </c>
      <c r="HG10" s="41" t="s">
        <v>460</v>
      </c>
      <c r="HH10" s="41" t="s">
        <v>460</v>
      </c>
      <c r="HI10" s="234"/>
      <c r="HJ10" s="234"/>
      <c r="HK10" s="41" t="s">
        <v>460</v>
      </c>
      <c r="HL10" s="41" t="s">
        <v>460</v>
      </c>
      <c r="HM10" s="41" t="s">
        <v>460</v>
      </c>
      <c r="HN10" s="41" t="s">
        <v>460</v>
      </c>
      <c r="HO10" s="41" t="s">
        <v>460</v>
      </c>
      <c r="HP10" s="234"/>
      <c r="HQ10" s="234"/>
      <c r="HR10" s="41" t="s">
        <v>460</v>
      </c>
      <c r="HS10" s="41" t="s">
        <v>460</v>
      </c>
      <c r="HT10" s="41" t="s">
        <v>460</v>
      </c>
      <c r="HU10" s="41" t="s">
        <v>460</v>
      </c>
      <c r="HV10" s="41" t="s">
        <v>460</v>
      </c>
      <c r="HW10" s="234"/>
      <c r="HX10" s="234"/>
      <c r="HY10" s="41" t="s">
        <v>460</v>
      </c>
      <c r="HZ10" s="41" t="s">
        <v>460</v>
      </c>
      <c r="IA10" s="41" t="s">
        <v>460</v>
      </c>
      <c r="IB10" s="41" t="s">
        <v>460</v>
      </c>
      <c r="IC10" s="41" t="s">
        <v>460</v>
      </c>
      <c r="ID10" s="234"/>
      <c r="IE10" s="234"/>
      <c r="IF10" s="41" t="s">
        <v>460</v>
      </c>
      <c r="IG10" s="41" t="s">
        <v>460</v>
      </c>
      <c r="IH10" s="41" t="s">
        <v>460</v>
      </c>
      <c r="II10" s="41" t="s">
        <v>460</v>
      </c>
      <c r="IJ10" s="41" t="s">
        <v>460</v>
      </c>
      <c r="IK10" s="234"/>
      <c r="IL10" s="234"/>
      <c r="IM10" s="41"/>
      <c r="IN10" s="41"/>
      <c r="IO10" s="41"/>
      <c r="IP10" s="41"/>
      <c r="IQ10" s="41"/>
      <c r="IR10" s="234"/>
      <c r="IS10" s="234"/>
      <c r="IT10" s="41"/>
      <c r="IU10" s="41"/>
      <c r="IV10" s="41"/>
      <c r="IW10" s="41"/>
      <c r="IX10" s="41"/>
      <c r="IY10" s="234"/>
      <c r="IZ10" s="234"/>
      <c r="JA10" s="41"/>
      <c r="JB10" s="41"/>
      <c r="JC10" s="41"/>
      <c r="JD10" s="41"/>
      <c r="JE10" s="41"/>
      <c r="JF10" s="234"/>
      <c r="JG10" s="234"/>
      <c r="JH10" s="41"/>
      <c r="JI10" s="41"/>
      <c r="JJ10" s="41"/>
      <c r="JK10" s="41"/>
      <c r="JL10" s="41"/>
      <c r="JM10" s="234"/>
      <c r="JN10" s="234"/>
      <c r="JO10" s="41"/>
      <c r="JP10" s="41"/>
      <c r="JQ10" s="41"/>
      <c r="JR10" s="41"/>
      <c r="JS10" s="41"/>
      <c r="JT10" s="234"/>
      <c r="JU10" s="234"/>
      <c r="JV10" s="41"/>
      <c r="JW10" s="41"/>
      <c r="JX10" s="41"/>
      <c r="JY10" s="41"/>
      <c r="JZ10" s="41"/>
      <c r="KA10" s="234"/>
      <c r="KB10" s="234"/>
      <c r="KC10" s="41"/>
      <c r="KD10" s="41"/>
      <c r="KE10" s="41"/>
      <c r="KF10" s="41"/>
      <c r="KG10" s="41"/>
      <c r="KH10" s="234"/>
      <c r="KI10" s="234"/>
      <c r="KJ10" s="41"/>
      <c r="KK10" s="41"/>
      <c r="KL10" s="41"/>
      <c r="KM10" s="41"/>
      <c r="KN10" s="41"/>
      <c r="KO10" s="234"/>
      <c r="KP10" s="234"/>
      <c r="KQ10" s="41"/>
      <c r="KR10" s="41"/>
      <c r="KS10" s="41"/>
      <c r="KT10" s="41"/>
      <c r="KU10" s="41"/>
      <c r="KV10" s="234"/>
      <c r="KW10" s="234"/>
      <c r="KX10" s="41"/>
      <c r="KY10" s="41"/>
      <c r="KZ10" s="41"/>
      <c r="LA10" s="41"/>
      <c r="LB10" s="41"/>
      <c r="LC10" s="234"/>
      <c r="LD10" s="234"/>
      <c r="LE10" s="41"/>
      <c r="LF10" s="41"/>
      <c r="LG10" s="41"/>
      <c r="LH10" s="41"/>
      <c r="LI10" s="41"/>
      <c r="LJ10" s="234"/>
      <c r="LK10" s="234"/>
      <c r="LL10" s="41"/>
      <c r="LM10" s="41"/>
      <c r="LN10" s="41"/>
      <c r="LO10" s="41"/>
      <c r="LP10" s="41"/>
      <c r="LQ10" s="234"/>
      <c r="LR10" s="234"/>
      <c r="LS10" s="41"/>
      <c r="LT10" s="41"/>
      <c r="LU10" s="41"/>
      <c r="LV10" s="41"/>
      <c r="LW10" s="41"/>
      <c r="LX10" s="234"/>
      <c r="LY10" s="234"/>
      <c r="LZ10" s="41"/>
      <c r="MA10" s="41"/>
      <c r="MB10" s="41"/>
      <c r="MC10" s="41"/>
      <c r="MD10" s="41"/>
      <c r="ME10" s="234"/>
      <c r="MF10" s="234"/>
      <c r="MG10" s="41"/>
      <c r="MH10" s="41"/>
      <c r="MI10" s="41"/>
      <c r="MJ10" s="41"/>
      <c r="MK10" s="41"/>
      <c r="ML10" s="234"/>
      <c r="MM10" s="234"/>
      <c r="MN10" s="41"/>
      <c r="MO10" s="41"/>
      <c r="MP10" s="41"/>
      <c r="MQ10" s="41"/>
      <c r="MR10" s="41"/>
      <c r="MS10" s="234"/>
      <c r="MT10" s="234"/>
      <c r="MU10" s="41"/>
      <c r="MV10" s="41"/>
      <c r="MW10" s="41"/>
      <c r="MX10" s="41"/>
      <c r="MY10" s="41"/>
      <c r="MZ10" s="234"/>
      <c r="NA10" s="234"/>
      <c r="NB10" s="41"/>
      <c r="NC10" s="41"/>
      <c r="ND10" s="41"/>
      <c r="NE10" s="41"/>
      <c r="NF10" s="41"/>
      <c r="NG10" s="234"/>
      <c r="NH10" s="234"/>
      <c r="NI10" s="41"/>
      <c r="NJ10" s="41"/>
      <c r="NK10" s="41"/>
      <c r="NL10" s="41"/>
      <c r="NM10" s="41"/>
      <c r="NN10" s="234"/>
      <c r="NO10" s="234"/>
      <c r="NP10" s="41"/>
      <c r="NQ10" s="41"/>
      <c r="NR10" s="41"/>
      <c r="NS10" s="41"/>
      <c r="NT10" s="41"/>
      <c r="NU10" s="234"/>
      <c r="NV10" s="234"/>
      <c r="NW10" s="41"/>
      <c r="NX10" s="41"/>
      <c r="NY10" s="41"/>
      <c r="NZ10" s="41"/>
      <c r="OA10" s="41"/>
      <c r="OB10" s="234"/>
    </row>
    <row r="11" spans="2:392" x14ac:dyDescent="0.3">
      <c r="B11" s="38">
        <v>48569</v>
      </c>
      <c r="C11" s="9">
        <v>35</v>
      </c>
      <c r="D11" s="206" t="s">
        <v>20</v>
      </c>
      <c r="E11" s="184" t="s">
        <v>8</v>
      </c>
      <c r="F11" s="364" t="s">
        <v>9</v>
      </c>
      <c r="G11" s="153" t="s">
        <v>107</v>
      </c>
      <c r="H11" s="154" t="s">
        <v>108</v>
      </c>
      <c r="I11" s="41"/>
      <c r="J11" s="41"/>
      <c r="K11" s="41"/>
      <c r="L11" s="41"/>
      <c r="M11" s="41"/>
      <c r="N11" s="230"/>
      <c r="O11" s="230"/>
      <c r="P11" s="41"/>
      <c r="Q11" s="41"/>
      <c r="R11" s="41"/>
      <c r="S11" s="41"/>
      <c r="T11" s="41"/>
      <c r="U11" s="230"/>
      <c r="V11" s="230"/>
      <c r="W11" s="41"/>
      <c r="X11" s="41"/>
      <c r="Y11" s="41"/>
      <c r="Z11" s="41"/>
      <c r="AA11" s="41"/>
      <c r="AB11" s="41" t="s">
        <v>460</v>
      </c>
      <c r="AC11" s="41" t="s">
        <v>460</v>
      </c>
      <c r="AD11" s="41"/>
      <c r="AE11" s="41"/>
      <c r="AF11" s="41"/>
      <c r="AG11" s="41"/>
      <c r="AH11" s="41"/>
      <c r="AI11" s="41" t="s">
        <v>460</v>
      </c>
      <c r="AJ11" s="41" t="s">
        <v>460</v>
      </c>
      <c r="AK11" s="41"/>
      <c r="AL11" s="41"/>
      <c r="AM11" s="41"/>
      <c r="AN11" s="41"/>
      <c r="AO11" s="41"/>
      <c r="AP11" s="230"/>
      <c r="AQ11" s="230"/>
      <c r="AR11" s="41"/>
      <c r="AS11" s="41"/>
      <c r="AT11" s="41"/>
      <c r="AU11" s="41"/>
      <c r="AV11" s="41"/>
      <c r="AW11" s="230"/>
      <c r="AX11" s="230"/>
      <c r="AY11" s="41"/>
      <c r="AZ11" s="41"/>
      <c r="BA11" s="41"/>
      <c r="BB11" s="41"/>
      <c r="BC11" s="41"/>
      <c r="BD11" s="230"/>
      <c r="BE11" s="230"/>
      <c r="BF11" s="41"/>
      <c r="BG11" s="41"/>
      <c r="BH11" s="41"/>
      <c r="BI11" s="41"/>
      <c r="BJ11" s="41"/>
      <c r="BK11" s="230"/>
      <c r="BL11" s="230"/>
      <c r="BM11" s="41"/>
      <c r="BN11" s="41"/>
      <c r="BO11" s="41"/>
      <c r="BP11" s="41"/>
      <c r="BQ11" s="41"/>
      <c r="BR11" s="230"/>
      <c r="BS11" s="230"/>
      <c r="BT11" s="41"/>
      <c r="BU11" s="41"/>
      <c r="BV11" s="41"/>
      <c r="BW11" s="41"/>
      <c r="BX11" s="41"/>
      <c r="BY11" s="230"/>
      <c r="BZ11" s="230"/>
      <c r="CA11" s="41"/>
      <c r="CB11" s="41"/>
      <c r="CC11" s="41"/>
      <c r="CD11" s="41"/>
      <c r="CE11" s="41"/>
      <c r="CF11" s="230"/>
      <c r="CG11" s="230"/>
      <c r="CH11" s="41"/>
      <c r="CI11" s="41"/>
      <c r="CJ11" s="41"/>
      <c r="CK11" s="41"/>
      <c r="CL11" s="41"/>
      <c r="CM11" s="230"/>
      <c r="CN11" s="230"/>
      <c r="CO11" s="41"/>
      <c r="CP11" s="41"/>
      <c r="CQ11" s="41"/>
      <c r="CR11" s="41"/>
      <c r="CS11" s="41"/>
      <c r="CT11" s="230"/>
      <c r="CU11" s="230"/>
      <c r="CV11" s="41" t="s">
        <v>460</v>
      </c>
      <c r="CW11" s="41" t="s">
        <v>460</v>
      </c>
      <c r="CX11" s="41" t="s">
        <v>460</v>
      </c>
      <c r="CY11" s="41" t="s">
        <v>460</v>
      </c>
      <c r="CZ11" s="41" t="s">
        <v>460</v>
      </c>
      <c r="DA11" s="230"/>
      <c r="DB11" s="230"/>
      <c r="DC11" s="41"/>
      <c r="DD11" s="41"/>
      <c r="DE11" s="41"/>
      <c r="DF11" s="41"/>
      <c r="DG11" s="41"/>
      <c r="DH11" s="230"/>
      <c r="DI11" s="230"/>
      <c r="DJ11" s="41"/>
      <c r="DK11" s="41"/>
      <c r="DL11" s="41"/>
      <c r="DM11" s="41"/>
      <c r="DN11" s="41"/>
      <c r="DO11" s="230"/>
      <c r="DP11" s="230"/>
      <c r="DQ11" s="41"/>
      <c r="DR11" s="41"/>
      <c r="DS11" s="41"/>
      <c r="DT11" s="41"/>
      <c r="DU11" s="41" t="s">
        <v>460</v>
      </c>
      <c r="DV11" s="230"/>
      <c r="DW11" s="230"/>
      <c r="DX11" s="41" t="s">
        <v>460</v>
      </c>
      <c r="DY11" s="41"/>
      <c r="DZ11" s="41"/>
      <c r="EA11" s="41"/>
      <c r="EB11" s="41"/>
      <c r="EC11" s="230"/>
      <c r="ED11" s="230"/>
      <c r="EE11" s="41"/>
      <c r="EF11" s="41"/>
      <c r="EG11" s="41"/>
      <c r="EH11" s="41" t="s">
        <v>460</v>
      </c>
      <c r="EI11" s="41"/>
      <c r="EJ11" s="230"/>
      <c r="EK11" s="230"/>
      <c r="EL11" s="41"/>
      <c r="EM11" s="41"/>
      <c r="EN11" s="41"/>
      <c r="EO11" s="41"/>
      <c r="EP11" s="41"/>
      <c r="EQ11" s="230"/>
      <c r="ER11" s="230"/>
      <c r="ES11" s="41"/>
      <c r="ET11" s="41"/>
      <c r="EU11" s="41"/>
      <c r="EV11" s="41"/>
      <c r="EW11" s="41"/>
      <c r="EX11" s="230"/>
      <c r="EY11" s="230"/>
      <c r="EZ11" s="41"/>
      <c r="FA11" s="41"/>
      <c r="FB11" s="41"/>
      <c r="FC11" s="41"/>
      <c r="FD11" s="41"/>
      <c r="FE11" s="230"/>
      <c r="FF11" s="230"/>
      <c r="FG11" s="41"/>
      <c r="FH11" s="41"/>
      <c r="FI11" s="41"/>
      <c r="FJ11" s="41"/>
      <c r="FK11" s="41"/>
      <c r="FL11" s="230"/>
      <c r="FM11" s="230"/>
      <c r="FN11" s="41" t="s">
        <v>460</v>
      </c>
      <c r="FO11" s="41" t="s">
        <v>460</v>
      </c>
      <c r="FP11" s="41" t="s">
        <v>460</v>
      </c>
      <c r="FQ11" s="41" t="s">
        <v>460</v>
      </c>
      <c r="FR11" s="41" t="s">
        <v>460</v>
      </c>
      <c r="FS11" s="230"/>
      <c r="FT11" s="230"/>
      <c r="FU11" s="41"/>
      <c r="FV11" s="41"/>
      <c r="FW11" s="41"/>
      <c r="FX11" s="41"/>
      <c r="FY11" s="41"/>
      <c r="FZ11" s="230"/>
      <c r="GA11" s="230"/>
      <c r="GB11" s="41"/>
      <c r="GC11" s="41"/>
      <c r="GD11" s="41"/>
      <c r="GE11" s="41"/>
      <c r="GF11" s="41"/>
      <c r="GG11" s="230"/>
      <c r="GH11" s="230"/>
      <c r="GI11" s="41" t="s">
        <v>460</v>
      </c>
      <c r="GJ11" s="41" t="s">
        <v>460</v>
      </c>
      <c r="GK11" s="41" t="s">
        <v>460</v>
      </c>
      <c r="GL11" s="41" t="s">
        <v>460</v>
      </c>
      <c r="GM11" s="41" t="s">
        <v>460</v>
      </c>
      <c r="GN11" s="230"/>
      <c r="GO11" s="230"/>
      <c r="GP11" s="41" t="s">
        <v>460</v>
      </c>
      <c r="GQ11" s="41" t="s">
        <v>460</v>
      </c>
      <c r="GR11" s="41" t="s">
        <v>460</v>
      </c>
      <c r="GS11" s="41" t="s">
        <v>460</v>
      </c>
      <c r="GT11" s="41" t="s">
        <v>460</v>
      </c>
      <c r="GU11" s="230"/>
      <c r="GV11" s="230"/>
      <c r="GW11" s="41" t="s">
        <v>460</v>
      </c>
      <c r="GX11" s="41" t="s">
        <v>460</v>
      </c>
      <c r="GY11" s="41" t="s">
        <v>460</v>
      </c>
      <c r="GZ11" s="41" t="s">
        <v>460</v>
      </c>
      <c r="HA11" s="41" t="s">
        <v>460</v>
      </c>
      <c r="HB11" s="230"/>
      <c r="HC11" s="230"/>
      <c r="HD11" s="41"/>
      <c r="HE11" s="41"/>
      <c r="HF11" s="41"/>
      <c r="HG11" s="41"/>
      <c r="HH11" s="41"/>
      <c r="HI11" s="234"/>
      <c r="HJ11" s="234"/>
      <c r="HK11" s="41"/>
      <c r="HL11" s="41"/>
      <c r="HM11" s="41"/>
      <c r="HN11" s="41"/>
      <c r="HO11" s="41"/>
      <c r="HP11" s="234"/>
      <c r="HQ11" s="234"/>
      <c r="HR11" s="41"/>
      <c r="HS11" s="41"/>
      <c r="HT11" s="41"/>
      <c r="HU11" s="41"/>
      <c r="HV11" s="41"/>
      <c r="HW11" s="234"/>
      <c r="HX11" s="234"/>
      <c r="HY11" s="41"/>
      <c r="HZ11" s="41"/>
      <c r="IA11" s="41"/>
      <c r="IB11" s="41"/>
      <c r="IC11" s="41"/>
      <c r="ID11" s="234"/>
      <c r="IE11" s="234"/>
      <c r="IF11" s="41"/>
      <c r="IG11" s="41"/>
      <c r="IH11" s="41"/>
      <c r="II11" s="41"/>
      <c r="IJ11" s="41"/>
      <c r="IK11" s="234"/>
      <c r="IL11" s="234"/>
      <c r="IM11" s="41"/>
      <c r="IN11" s="41"/>
      <c r="IO11" s="41"/>
      <c r="IP11" s="41"/>
      <c r="IQ11" s="41"/>
      <c r="IR11" s="234"/>
      <c r="IS11" s="234"/>
      <c r="IT11" s="41"/>
      <c r="IU11" s="41"/>
      <c r="IV11" s="41"/>
      <c r="IW11" s="41"/>
      <c r="IX11" s="41"/>
      <c r="IY11" s="234"/>
      <c r="IZ11" s="234"/>
      <c r="JA11" s="41"/>
      <c r="JB11" s="41"/>
      <c r="JC11" s="41"/>
      <c r="JD11" s="41"/>
      <c r="JE11" s="41"/>
      <c r="JF11" s="234"/>
      <c r="JG11" s="234"/>
      <c r="JH11" s="41"/>
      <c r="JI11" s="41"/>
      <c r="JJ11" s="41"/>
      <c r="JK11" s="41"/>
      <c r="JL11" s="41"/>
      <c r="JM11" s="234"/>
      <c r="JN11" s="234"/>
      <c r="JO11" s="41"/>
      <c r="JP11" s="41"/>
      <c r="JQ11" s="41"/>
      <c r="JR11" s="41"/>
      <c r="JS11" s="41"/>
      <c r="JT11" s="234"/>
      <c r="JU11" s="234"/>
      <c r="JV11" s="41"/>
      <c r="JW11" s="41"/>
      <c r="JX11" s="41"/>
      <c r="JY11" s="41"/>
      <c r="JZ11" s="41"/>
      <c r="KA11" s="234"/>
      <c r="KB11" s="234"/>
      <c r="KC11" s="41"/>
      <c r="KD11" s="41"/>
      <c r="KE11" s="41"/>
      <c r="KF11" s="41"/>
      <c r="KG11" s="41"/>
      <c r="KH11" s="234"/>
      <c r="KI11" s="234"/>
      <c r="KJ11" s="41"/>
      <c r="KK11" s="41"/>
      <c r="KL11" s="41"/>
      <c r="KM11" s="41"/>
      <c r="KN11" s="41"/>
      <c r="KO11" s="234"/>
      <c r="KP11" s="234"/>
      <c r="KQ11" s="41"/>
      <c r="KR11" s="41"/>
      <c r="KS11" s="41"/>
      <c r="KT11" s="41"/>
      <c r="KU11" s="41"/>
      <c r="KV11" s="234"/>
      <c r="KW11" s="234"/>
      <c r="KX11" s="41"/>
      <c r="KY11" s="41"/>
      <c r="KZ11" s="41"/>
      <c r="LA11" s="41"/>
      <c r="LB11" s="41"/>
      <c r="LC11" s="234"/>
      <c r="LD11" s="234"/>
      <c r="LE11" s="41"/>
      <c r="LF11" s="41"/>
      <c r="LG11" s="41"/>
      <c r="LH11" s="41"/>
      <c r="LI11" s="41"/>
      <c r="LJ11" s="234"/>
      <c r="LK11" s="234"/>
      <c r="LL11" s="41"/>
      <c r="LM11" s="41"/>
      <c r="LN11" s="41"/>
      <c r="LO11" s="41"/>
      <c r="LP11" s="41"/>
      <c r="LQ11" s="234"/>
      <c r="LR11" s="234"/>
      <c r="LS11" s="41"/>
      <c r="LT11" s="41"/>
      <c r="LU11" s="41"/>
      <c r="LV11" s="41"/>
      <c r="LW11" s="41"/>
      <c r="LX11" s="234"/>
      <c r="LY11" s="234"/>
      <c r="LZ11" s="41"/>
      <c r="MA11" s="41"/>
      <c r="MB11" s="41"/>
      <c r="MC11" s="41"/>
      <c r="MD11" s="41"/>
      <c r="ME11" s="234"/>
      <c r="MF11" s="234"/>
      <c r="MG11" s="41"/>
      <c r="MH11" s="41"/>
      <c r="MI11" s="41"/>
      <c r="MJ11" s="41"/>
      <c r="MK11" s="41"/>
      <c r="ML11" s="234"/>
      <c r="MM11" s="234"/>
      <c r="MN11" s="41"/>
      <c r="MO11" s="41"/>
      <c r="MP11" s="41"/>
      <c r="MQ11" s="41"/>
      <c r="MR11" s="41"/>
      <c r="MS11" s="234"/>
      <c r="MT11" s="234"/>
      <c r="MU11" s="41"/>
      <c r="MV11" s="41"/>
      <c r="MW11" s="41"/>
      <c r="MX11" s="41"/>
      <c r="MY11" s="41"/>
      <c r="MZ11" s="234"/>
      <c r="NA11" s="234"/>
      <c r="NB11" s="41"/>
      <c r="NC11" s="41"/>
      <c r="ND11" s="41"/>
      <c r="NE11" s="41"/>
      <c r="NF11" s="41"/>
      <c r="NG11" s="234"/>
      <c r="NH11" s="234"/>
      <c r="NI11" s="41"/>
      <c r="NJ11" s="41"/>
      <c r="NK11" s="41"/>
      <c r="NL11" s="41"/>
      <c r="NM11" s="41"/>
      <c r="NN11" s="234"/>
      <c r="NO11" s="234"/>
      <c r="NP11" s="41"/>
      <c r="NQ11" s="41"/>
      <c r="NR11" s="41"/>
      <c r="NS11" s="41"/>
      <c r="NT11" s="41"/>
      <c r="NU11" s="234"/>
      <c r="NV11" s="234"/>
      <c r="NW11" s="41"/>
      <c r="NX11" s="41"/>
      <c r="NY11" s="41"/>
      <c r="NZ11" s="41"/>
      <c r="OA11" s="41"/>
      <c r="OB11" s="234"/>
    </row>
    <row r="12" spans="2:392" x14ac:dyDescent="0.3">
      <c r="B12" s="8">
        <v>101354</v>
      </c>
      <c r="C12" s="9">
        <v>35</v>
      </c>
      <c r="D12" s="206" t="s">
        <v>20</v>
      </c>
      <c r="E12" s="187" t="s">
        <v>8</v>
      </c>
      <c r="F12" s="357" t="s">
        <v>9</v>
      </c>
      <c r="G12" s="159" t="s">
        <v>898</v>
      </c>
      <c r="H12" s="160" t="s">
        <v>901</v>
      </c>
      <c r="I12" s="239"/>
      <c r="J12" s="41"/>
      <c r="K12" s="41"/>
      <c r="L12" s="41"/>
      <c r="M12" s="41"/>
      <c r="N12" s="230"/>
      <c r="O12" s="230"/>
      <c r="P12" s="41"/>
      <c r="Q12" s="41"/>
      <c r="R12" s="41"/>
      <c r="S12" s="41"/>
      <c r="T12" s="41"/>
      <c r="U12" s="230"/>
      <c r="V12" s="230"/>
      <c r="W12" s="41"/>
      <c r="X12" s="41"/>
      <c r="Y12" s="41"/>
      <c r="Z12" s="41"/>
      <c r="AA12" s="41"/>
      <c r="AB12" s="230"/>
      <c r="AC12" s="230"/>
      <c r="AD12" s="41"/>
      <c r="AE12" s="41"/>
      <c r="AF12" s="41"/>
      <c r="AG12" s="41"/>
      <c r="AH12" s="41"/>
      <c r="AI12" s="230"/>
      <c r="AJ12" s="230"/>
      <c r="AK12" s="41"/>
      <c r="AL12" s="41"/>
      <c r="AM12" s="41"/>
      <c r="AN12" s="41"/>
      <c r="AO12" s="41"/>
      <c r="AP12" s="230"/>
      <c r="AQ12" s="230"/>
      <c r="AR12" s="41"/>
      <c r="AS12" s="41"/>
      <c r="AT12" s="41"/>
      <c r="AU12" s="41"/>
      <c r="AV12" s="41"/>
      <c r="AW12" s="230"/>
      <c r="AX12" s="230"/>
      <c r="AY12" s="41"/>
      <c r="AZ12" s="41"/>
      <c r="BA12" s="41"/>
      <c r="BB12" s="41"/>
      <c r="BC12" s="41"/>
      <c r="BD12" s="230"/>
      <c r="BE12" s="230"/>
      <c r="BF12" s="41"/>
      <c r="BG12" s="41"/>
      <c r="BH12" s="41"/>
      <c r="BI12" s="41"/>
      <c r="BJ12" s="41"/>
      <c r="BK12" s="230"/>
      <c r="BL12" s="230"/>
      <c r="BM12" s="41"/>
      <c r="BN12" s="41"/>
      <c r="BO12" s="41"/>
      <c r="BP12" s="41"/>
      <c r="BQ12" s="41"/>
      <c r="BR12" s="230"/>
      <c r="BS12" s="230"/>
      <c r="BT12" s="41"/>
      <c r="BU12" s="41"/>
      <c r="BV12" s="41"/>
      <c r="BW12" s="41"/>
      <c r="BX12" s="41"/>
      <c r="BY12" s="230"/>
      <c r="BZ12" s="230"/>
      <c r="CA12" s="41"/>
      <c r="CB12" s="41"/>
      <c r="CC12" s="41"/>
      <c r="CD12" s="41"/>
      <c r="CE12" s="41"/>
      <c r="CF12" s="230"/>
      <c r="CG12" s="230"/>
      <c r="CH12" s="41"/>
      <c r="CI12" s="41"/>
      <c r="CJ12" s="41"/>
      <c r="CK12" s="41"/>
      <c r="CL12" s="41"/>
      <c r="CM12" s="230"/>
      <c r="CN12" s="230"/>
      <c r="CO12" s="41"/>
      <c r="CP12" s="41"/>
      <c r="CQ12" s="41"/>
      <c r="CR12" s="41"/>
      <c r="CS12" s="41"/>
      <c r="CT12" s="230"/>
      <c r="CU12" s="230"/>
      <c r="CV12" s="41"/>
      <c r="CW12" s="41"/>
      <c r="CX12" s="41"/>
      <c r="CY12" s="41"/>
      <c r="CZ12" s="41"/>
      <c r="DA12" s="230"/>
      <c r="DB12" s="230"/>
      <c r="DC12" s="41"/>
      <c r="DD12" s="41"/>
      <c r="DE12" s="41"/>
      <c r="DF12" s="41"/>
      <c r="DG12" s="41"/>
      <c r="DH12" s="230"/>
      <c r="DI12" s="230"/>
      <c r="DJ12" s="41"/>
      <c r="DK12" s="41"/>
      <c r="DL12" s="41"/>
      <c r="DM12" s="41"/>
      <c r="DN12" s="41"/>
      <c r="DO12" s="230"/>
      <c r="DP12" s="230"/>
      <c r="DQ12" s="41"/>
      <c r="DR12" s="41"/>
      <c r="DS12" s="41"/>
      <c r="DT12" s="41"/>
      <c r="DU12" s="41"/>
      <c r="DV12" s="230"/>
      <c r="DW12" s="234"/>
      <c r="DX12" s="41" t="s">
        <v>460</v>
      </c>
      <c r="DY12" s="41"/>
      <c r="DZ12" s="41"/>
      <c r="EA12" s="41"/>
      <c r="EB12" s="41"/>
      <c r="EC12" s="230"/>
      <c r="ED12" s="230"/>
      <c r="EE12" s="41"/>
      <c r="EF12" s="41"/>
      <c r="EG12" s="41"/>
      <c r="EH12" s="41" t="s">
        <v>460</v>
      </c>
      <c r="EI12" s="41"/>
      <c r="EJ12" s="230"/>
      <c r="EK12" s="230"/>
      <c r="EL12" s="41"/>
      <c r="EM12" s="41"/>
      <c r="EN12" s="41"/>
      <c r="EO12" s="41"/>
      <c r="EP12" s="41"/>
      <c r="EQ12" s="230"/>
      <c r="ER12" s="230"/>
      <c r="ES12" s="41"/>
      <c r="ET12" s="41"/>
      <c r="EU12" s="41"/>
      <c r="EV12" s="41"/>
      <c r="EW12" s="41"/>
      <c r="EX12" s="230"/>
      <c r="EY12" s="230"/>
      <c r="EZ12" s="41"/>
      <c r="FA12" s="41"/>
      <c r="FB12" s="41"/>
      <c r="FC12" s="41"/>
      <c r="FD12" s="41"/>
      <c r="FE12" s="230"/>
      <c r="FF12" s="230"/>
      <c r="FG12" s="41"/>
      <c r="FH12" s="41"/>
      <c r="FI12" s="41"/>
      <c r="FJ12" s="41"/>
      <c r="FK12" s="41"/>
      <c r="FL12" s="230"/>
      <c r="FM12" s="230"/>
      <c r="FN12" s="41" t="s">
        <v>460</v>
      </c>
      <c r="FO12" s="41"/>
      <c r="FP12" s="41"/>
      <c r="FQ12" s="41"/>
      <c r="FR12" s="41"/>
      <c r="FS12" s="230"/>
      <c r="FT12" s="230"/>
      <c r="FU12" s="41"/>
      <c r="FV12" s="41"/>
      <c r="FW12" s="41"/>
      <c r="FX12" s="41"/>
      <c r="FY12" s="41"/>
      <c r="FZ12" s="230"/>
      <c r="GA12" s="230"/>
      <c r="GB12" s="41"/>
      <c r="GC12" s="41"/>
      <c r="GD12" s="41"/>
      <c r="GE12" s="41"/>
      <c r="GF12" s="41"/>
      <c r="GG12" s="230"/>
      <c r="GH12" s="230"/>
      <c r="GI12" s="41"/>
      <c r="GJ12" s="41"/>
      <c r="GK12" s="41"/>
      <c r="GL12" s="41"/>
      <c r="GM12" s="41"/>
      <c r="GN12" s="230"/>
      <c r="GO12" s="230"/>
      <c r="GP12" s="41"/>
      <c r="GQ12" s="41"/>
      <c r="GR12" s="41"/>
      <c r="GS12" s="41"/>
      <c r="GT12" s="41"/>
      <c r="GU12" s="230"/>
      <c r="GV12" s="230"/>
      <c r="GW12" s="41" t="s">
        <v>460</v>
      </c>
      <c r="GX12" s="41"/>
      <c r="GY12" s="41"/>
      <c r="GZ12" s="41"/>
      <c r="HA12" s="41"/>
      <c r="HB12" s="230"/>
      <c r="HC12" s="230"/>
      <c r="HD12" s="41" t="s">
        <v>460</v>
      </c>
      <c r="HE12" s="41" t="s">
        <v>460</v>
      </c>
      <c r="HF12" s="41" t="s">
        <v>460</v>
      </c>
      <c r="HG12" s="41" t="s">
        <v>460</v>
      </c>
      <c r="HH12" s="41" t="s">
        <v>460</v>
      </c>
      <c r="HI12" s="234"/>
      <c r="HJ12" s="234"/>
      <c r="HK12" s="41" t="s">
        <v>460</v>
      </c>
      <c r="HL12" s="41" t="s">
        <v>460</v>
      </c>
      <c r="HM12" s="41" t="s">
        <v>460</v>
      </c>
      <c r="HN12" s="41" t="s">
        <v>460</v>
      </c>
      <c r="HO12" s="41" t="s">
        <v>460</v>
      </c>
      <c r="HP12" s="234"/>
      <c r="HQ12" s="234"/>
      <c r="HR12" s="41"/>
      <c r="HS12" s="41"/>
      <c r="HT12" s="41"/>
      <c r="HU12" s="41"/>
      <c r="HV12" s="41"/>
      <c r="HW12" s="234"/>
      <c r="HX12" s="234"/>
      <c r="HY12" s="41"/>
      <c r="HZ12" s="41"/>
      <c r="IA12" s="41"/>
      <c r="IB12" s="41"/>
      <c r="IC12" s="41"/>
      <c r="ID12" s="234"/>
      <c r="IE12" s="234"/>
      <c r="IF12" s="41"/>
      <c r="IG12" s="41"/>
      <c r="IH12" s="41"/>
      <c r="II12" s="41"/>
      <c r="IJ12" s="41"/>
      <c r="IK12" s="234"/>
      <c r="IL12" s="234"/>
      <c r="IM12" s="41"/>
      <c r="IN12" s="41"/>
      <c r="IO12" s="41"/>
      <c r="IP12" s="41"/>
      <c r="IQ12" s="41"/>
      <c r="IR12" s="234"/>
      <c r="IS12" s="234"/>
      <c r="IT12" s="41"/>
      <c r="IU12" s="41"/>
      <c r="IV12" s="41"/>
      <c r="IW12" s="41"/>
      <c r="IX12" s="41"/>
      <c r="IY12" s="234"/>
      <c r="IZ12" s="234"/>
      <c r="JA12" s="41"/>
      <c r="JB12" s="41"/>
      <c r="JC12" s="41"/>
      <c r="JD12" s="41"/>
      <c r="JE12" s="41"/>
      <c r="JF12" s="234"/>
      <c r="JG12" s="234"/>
      <c r="JH12" s="41"/>
      <c r="JI12" s="41"/>
      <c r="JJ12" s="41"/>
      <c r="JK12" s="41"/>
      <c r="JL12" s="41"/>
      <c r="JM12" s="234"/>
      <c r="JN12" s="234"/>
      <c r="JO12" s="41"/>
      <c r="JP12" s="41"/>
      <c r="JQ12" s="41"/>
      <c r="JR12" s="41"/>
      <c r="JS12" s="41"/>
      <c r="JT12" s="234"/>
      <c r="JU12" s="234"/>
      <c r="JV12" s="41"/>
      <c r="JW12" s="41"/>
      <c r="JX12" s="41"/>
      <c r="JY12" s="41"/>
      <c r="JZ12" s="41"/>
      <c r="KA12" s="234"/>
      <c r="KB12" s="234"/>
      <c r="KC12" s="41"/>
      <c r="KD12" s="41"/>
      <c r="KE12" s="41"/>
      <c r="KF12" s="41"/>
      <c r="KG12" s="41"/>
      <c r="KH12" s="234"/>
      <c r="KI12" s="234"/>
      <c r="KJ12" s="41"/>
      <c r="KK12" s="41"/>
      <c r="KL12" s="41"/>
      <c r="KM12" s="41"/>
      <c r="KN12" s="41"/>
      <c r="KO12" s="234"/>
      <c r="KP12" s="234"/>
      <c r="KQ12" s="41"/>
      <c r="KR12" s="41"/>
      <c r="KS12" s="41"/>
      <c r="KT12" s="41"/>
      <c r="KU12" s="41"/>
      <c r="KV12" s="234"/>
      <c r="KW12" s="234"/>
      <c r="KX12" s="41"/>
      <c r="KY12" s="41"/>
      <c r="KZ12" s="41"/>
      <c r="LA12" s="41"/>
      <c r="LB12" s="41"/>
      <c r="LC12" s="234"/>
      <c r="LD12" s="234"/>
      <c r="LE12" s="41"/>
      <c r="LF12" s="41"/>
      <c r="LG12" s="41"/>
      <c r="LH12" s="41"/>
      <c r="LI12" s="41"/>
      <c r="LJ12" s="234"/>
      <c r="LK12" s="234"/>
      <c r="LL12" s="41"/>
      <c r="LM12" s="41"/>
      <c r="LN12" s="41"/>
      <c r="LO12" s="41"/>
      <c r="LP12" s="41"/>
      <c r="LQ12" s="234"/>
      <c r="LR12" s="234"/>
      <c r="LS12" s="41"/>
      <c r="LT12" s="41"/>
      <c r="LU12" s="41"/>
      <c r="LV12" s="41"/>
      <c r="LW12" s="41"/>
      <c r="LX12" s="234"/>
      <c r="LY12" s="234"/>
      <c r="LZ12" s="41"/>
      <c r="MA12" s="41"/>
      <c r="MB12" s="41"/>
      <c r="MC12" s="41"/>
      <c r="MD12" s="41"/>
      <c r="ME12" s="234"/>
      <c r="MF12" s="234"/>
      <c r="MG12" s="41"/>
      <c r="MH12" s="41"/>
      <c r="MI12" s="41"/>
      <c r="MJ12" s="41"/>
      <c r="MK12" s="41"/>
      <c r="ML12" s="234"/>
      <c r="MM12" s="234"/>
      <c r="MN12" s="41"/>
      <c r="MO12" s="41"/>
      <c r="MP12" s="41"/>
      <c r="MQ12" s="41"/>
      <c r="MR12" s="41"/>
      <c r="MS12" s="234"/>
      <c r="MT12" s="234"/>
      <c r="MU12" s="41"/>
      <c r="MV12" s="41"/>
      <c r="MW12" s="41"/>
      <c r="MX12" s="41"/>
      <c r="MY12" s="41"/>
      <c r="MZ12" s="234"/>
      <c r="NA12" s="234"/>
      <c r="NB12" s="41"/>
      <c r="NC12" s="41"/>
      <c r="ND12" s="41"/>
      <c r="NE12" s="41"/>
      <c r="NF12" s="41"/>
      <c r="NG12" s="234"/>
      <c r="NH12" s="234"/>
      <c r="NI12" s="41"/>
      <c r="NJ12" s="41"/>
      <c r="NK12" s="41"/>
      <c r="NL12" s="41"/>
      <c r="NM12" s="41"/>
      <c r="NN12" s="234"/>
      <c r="NO12" s="234"/>
      <c r="NP12" s="41"/>
      <c r="NQ12" s="41"/>
      <c r="NR12" s="41"/>
      <c r="NS12" s="41"/>
      <c r="NT12" s="41"/>
      <c r="NU12" s="234"/>
      <c r="NV12" s="234"/>
      <c r="NW12" s="41"/>
      <c r="NX12" s="41"/>
      <c r="NY12" s="41"/>
      <c r="NZ12" s="41"/>
      <c r="OA12" s="41"/>
      <c r="OB12" s="234"/>
    </row>
    <row r="13" spans="2:392" x14ac:dyDescent="0.3">
      <c r="B13" s="71">
        <v>107007</v>
      </c>
      <c r="C13" s="9">
        <v>35</v>
      </c>
      <c r="D13" s="206" t="s">
        <v>20</v>
      </c>
      <c r="E13" s="382" t="s">
        <v>8</v>
      </c>
      <c r="F13" s="357" t="s">
        <v>9</v>
      </c>
      <c r="G13" s="153" t="s">
        <v>128</v>
      </c>
      <c r="H13" s="154" t="s">
        <v>129</v>
      </c>
      <c r="I13" s="239"/>
      <c r="J13" s="41"/>
      <c r="K13" s="41"/>
      <c r="L13" s="41"/>
      <c r="M13" s="41"/>
      <c r="N13" s="230"/>
      <c r="O13" s="230"/>
      <c r="P13" s="41"/>
      <c r="Q13" s="41"/>
      <c r="R13" s="41"/>
      <c r="S13" s="41"/>
      <c r="T13" s="41"/>
      <c r="U13" s="230"/>
      <c r="V13" s="230"/>
      <c r="W13" s="41"/>
      <c r="X13" s="41"/>
      <c r="Y13" s="41"/>
      <c r="Z13" s="41"/>
      <c r="AA13" s="41"/>
      <c r="AB13" s="230"/>
      <c r="AC13" s="230"/>
      <c r="AD13" s="41"/>
      <c r="AE13" s="41"/>
      <c r="AF13" s="41"/>
      <c r="AG13" s="41"/>
      <c r="AH13" s="41"/>
      <c r="AI13" s="230"/>
      <c r="AJ13" s="230"/>
      <c r="AK13" s="41"/>
      <c r="AL13" s="41"/>
      <c r="AM13" s="41"/>
      <c r="AN13" s="41"/>
      <c r="AO13" s="41"/>
      <c r="AP13" s="230"/>
      <c r="AQ13" s="230"/>
      <c r="AR13" s="41"/>
      <c r="AS13" s="41"/>
      <c r="AT13" s="41"/>
      <c r="AU13" s="41"/>
      <c r="AV13" s="41"/>
      <c r="AW13" s="230"/>
      <c r="AX13" s="230"/>
      <c r="AY13" s="41"/>
      <c r="AZ13" s="41"/>
      <c r="BA13" s="41"/>
      <c r="BB13" s="41"/>
      <c r="BC13" s="41"/>
      <c r="BD13" s="230"/>
      <c r="BE13" s="230"/>
      <c r="BF13" s="41"/>
      <c r="BG13" s="41"/>
      <c r="BH13" s="41"/>
      <c r="BI13" s="41"/>
      <c r="BJ13" s="41"/>
      <c r="BK13" s="230"/>
      <c r="BL13" s="230"/>
      <c r="BM13" s="41"/>
      <c r="BN13" s="41"/>
      <c r="BO13" s="41"/>
      <c r="BP13" s="41"/>
      <c r="BQ13" s="41"/>
      <c r="BR13" s="41" t="s">
        <v>460</v>
      </c>
      <c r="BS13" s="41" t="s">
        <v>460</v>
      </c>
      <c r="BT13" s="41"/>
      <c r="BU13" s="41"/>
      <c r="BV13" s="41"/>
      <c r="BW13" s="41"/>
      <c r="BX13" s="41"/>
      <c r="BY13" s="41" t="s">
        <v>460</v>
      </c>
      <c r="BZ13" s="41" t="s">
        <v>460</v>
      </c>
      <c r="CA13" s="41"/>
      <c r="CB13" s="41"/>
      <c r="CC13" s="41"/>
      <c r="CD13" s="41"/>
      <c r="CE13" s="41"/>
      <c r="CF13" s="230"/>
      <c r="CG13" s="230"/>
      <c r="CH13" s="41"/>
      <c r="CI13" s="41"/>
      <c r="CJ13" s="41"/>
      <c r="CK13" s="41"/>
      <c r="CL13" s="41"/>
      <c r="CM13" s="230"/>
      <c r="CN13" s="230"/>
      <c r="CO13" s="41"/>
      <c r="CP13" s="41"/>
      <c r="CQ13" s="41"/>
      <c r="CR13" s="41"/>
      <c r="CS13" s="41"/>
      <c r="CT13" s="230"/>
      <c r="CU13" s="230"/>
      <c r="CV13" s="41"/>
      <c r="CW13" s="41"/>
      <c r="CX13" s="41"/>
      <c r="CY13" s="41"/>
      <c r="CZ13" s="41"/>
      <c r="DA13" s="230"/>
      <c r="DB13" s="230"/>
      <c r="DC13" s="41"/>
      <c r="DD13" s="41"/>
      <c r="DE13" s="41"/>
      <c r="DF13" s="41"/>
      <c r="DG13" s="41"/>
      <c r="DH13" s="230"/>
      <c r="DI13" s="230"/>
      <c r="DJ13" s="41"/>
      <c r="DK13" s="41"/>
      <c r="DL13" s="41"/>
      <c r="DM13" s="41"/>
      <c r="DN13" s="41"/>
      <c r="DO13" s="230"/>
      <c r="DP13" s="230"/>
      <c r="DQ13" s="41"/>
      <c r="DR13" s="41"/>
      <c r="DS13" s="41"/>
      <c r="DT13" s="41"/>
      <c r="DU13" s="41"/>
      <c r="DV13" s="230"/>
      <c r="DW13" s="230"/>
      <c r="DX13" s="41" t="s">
        <v>460</v>
      </c>
      <c r="DY13" s="41"/>
      <c r="DZ13" s="41"/>
      <c r="EA13" s="41"/>
      <c r="EB13" s="41"/>
      <c r="EC13" s="230"/>
      <c r="ED13" s="230"/>
      <c r="EE13" s="41"/>
      <c r="EF13" s="41"/>
      <c r="EG13" s="41"/>
      <c r="EH13" s="41" t="s">
        <v>460</v>
      </c>
      <c r="EI13" s="41"/>
      <c r="EJ13" s="230"/>
      <c r="EK13" s="230"/>
      <c r="EL13" s="41" t="s">
        <v>460</v>
      </c>
      <c r="EM13" s="41" t="s">
        <v>460</v>
      </c>
      <c r="EN13" s="41" t="s">
        <v>460</v>
      </c>
      <c r="EO13" s="41" t="s">
        <v>460</v>
      </c>
      <c r="EP13" s="41" t="s">
        <v>460</v>
      </c>
      <c r="EQ13" s="230"/>
      <c r="ER13" s="230"/>
      <c r="ES13" s="41"/>
      <c r="ET13" s="41"/>
      <c r="EU13" s="41"/>
      <c r="EV13" s="41"/>
      <c r="EW13" s="41"/>
      <c r="EX13" s="230"/>
      <c r="EY13" s="230"/>
      <c r="EZ13" s="41"/>
      <c r="FA13" s="41"/>
      <c r="FB13" s="41"/>
      <c r="FC13" s="41"/>
      <c r="FD13" s="41"/>
      <c r="FE13" s="230"/>
      <c r="FF13" s="230"/>
      <c r="FG13" s="41"/>
      <c r="FH13" s="41"/>
      <c r="FI13" s="41"/>
      <c r="FJ13" s="41"/>
      <c r="FK13" s="41"/>
      <c r="FL13" s="230"/>
      <c r="FM13" s="230"/>
      <c r="FN13" s="41" t="s">
        <v>460</v>
      </c>
      <c r="FO13" s="41"/>
      <c r="FP13" s="41"/>
      <c r="FQ13" s="41"/>
      <c r="FR13" s="41"/>
      <c r="FS13" s="230"/>
      <c r="FT13" s="230"/>
      <c r="FU13" s="41"/>
      <c r="FV13" s="41"/>
      <c r="FW13" s="41"/>
      <c r="FX13" s="41"/>
      <c r="FY13" s="41"/>
      <c r="FZ13" s="230"/>
      <c r="GA13" s="230"/>
      <c r="GB13" s="41"/>
      <c r="GC13" s="41"/>
      <c r="GD13" s="41"/>
      <c r="GE13" s="41"/>
      <c r="GF13" s="41"/>
      <c r="GG13" s="230"/>
      <c r="GH13" s="230"/>
      <c r="GI13" s="41"/>
      <c r="GJ13" s="41"/>
      <c r="GK13" s="41"/>
      <c r="GL13" s="41"/>
      <c r="GM13" s="41"/>
      <c r="GN13" s="230"/>
      <c r="GO13" s="230"/>
      <c r="GP13" s="41"/>
      <c r="GQ13" s="41"/>
      <c r="GR13" s="41"/>
      <c r="GS13" s="41"/>
      <c r="GT13" s="41"/>
      <c r="GU13" s="230"/>
      <c r="GV13" s="230"/>
      <c r="GW13" s="41" t="s">
        <v>460</v>
      </c>
      <c r="GX13" s="41"/>
      <c r="GY13" s="41"/>
      <c r="GZ13" s="41"/>
      <c r="HA13" s="41"/>
      <c r="HB13" s="230"/>
      <c r="HC13" s="230"/>
      <c r="HD13" s="41"/>
      <c r="HE13" s="41"/>
      <c r="HF13" s="41"/>
      <c r="HG13" s="41"/>
      <c r="HH13" s="41"/>
      <c r="HI13" s="234"/>
      <c r="HJ13" s="234"/>
      <c r="HK13" s="41"/>
      <c r="HL13" s="41"/>
      <c r="HM13" s="41"/>
      <c r="HN13" s="41"/>
      <c r="HO13" s="41"/>
      <c r="HP13" s="234"/>
      <c r="HQ13" s="234"/>
      <c r="HR13" s="41" t="s">
        <v>460</v>
      </c>
      <c r="HS13" s="41" t="s">
        <v>460</v>
      </c>
      <c r="HT13" s="41" t="s">
        <v>460</v>
      </c>
      <c r="HU13" s="41" t="s">
        <v>460</v>
      </c>
      <c r="HV13" s="41" t="s">
        <v>460</v>
      </c>
      <c r="HW13" s="234"/>
      <c r="HX13" s="234"/>
      <c r="HY13" s="41" t="s">
        <v>460</v>
      </c>
      <c r="HZ13" s="41" t="s">
        <v>460</v>
      </c>
      <c r="IA13" s="41" t="s">
        <v>460</v>
      </c>
      <c r="IB13" s="41" t="s">
        <v>460</v>
      </c>
      <c r="IC13" s="41" t="s">
        <v>460</v>
      </c>
      <c r="ID13" s="41"/>
      <c r="IE13" s="41"/>
      <c r="IF13" s="41" t="s">
        <v>460</v>
      </c>
      <c r="IG13" s="41" t="s">
        <v>460</v>
      </c>
      <c r="IH13" s="41" t="s">
        <v>460</v>
      </c>
      <c r="II13" s="41" t="s">
        <v>460</v>
      </c>
      <c r="IJ13" s="41" t="s">
        <v>460</v>
      </c>
      <c r="IK13" s="41"/>
      <c r="IL13" s="41"/>
      <c r="IM13" s="41"/>
      <c r="IN13" s="41"/>
      <c r="IO13" s="41"/>
      <c r="IP13" s="41"/>
      <c r="IQ13" s="41"/>
      <c r="IR13" s="234"/>
      <c r="IS13" s="234"/>
      <c r="IT13" s="41"/>
      <c r="IU13" s="41"/>
      <c r="IV13" s="41"/>
      <c r="IW13" s="41"/>
      <c r="IX13" s="41"/>
      <c r="IY13" s="234"/>
      <c r="IZ13" s="234"/>
      <c r="JA13" s="41"/>
      <c r="JB13" s="41"/>
      <c r="JC13" s="41"/>
      <c r="JD13" s="41"/>
      <c r="JE13" s="41"/>
      <c r="JF13" s="234"/>
      <c r="JG13" s="234"/>
      <c r="JH13" s="41"/>
      <c r="JI13" s="41"/>
      <c r="JJ13" s="41"/>
      <c r="JK13" s="41"/>
      <c r="JL13" s="41"/>
      <c r="JM13" s="234"/>
      <c r="JN13" s="234"/>
      <c r="JO13" s="41"/>
      <c r="JP13" s="41"/>
      <c r="JQ13" s="41"/>
      <c r="JR13" s="41"/>
      <c r="JS13" s="41"/>
      <c r="JT13" s="234"/>
      <c r="JU13" s="234"/>
      <c r="JV13" s="41"/>
      <c r="JW13" s="41"/>
      <c r="JX13" s="41"/>
      <c r="JY13" s="41"/>
      <c r="JZ13" s="41"/>
      <c r="KA13" s="234"/>
      <c r="KB13" s="234"/>
      <c r="KC13" s="41"/>
      <c r="KD13" s="41"/>
      <c r="KE13" s="41"/>
      <c r="KF13" s="41"/>
      <c r="KG13" s="41"/>
      <c r="KH13" s="234"/>
      <c r="KI13" s="234"/>
      <c r="KJ13" s="41"/>
      <c r="KK13" s="41"/>
      <c r="KL13" s="41"/>
      <c r="KM13" s="41"/>
      <c r="KN13" s="41"/>
      <c r="KO13" s="234"/>
      <c r="KP13" s="234"/>
      <c r="KQ13" s="41"/>
      <c r="KR13" s="41"/>
      <c r="KS13" s="41"/>
      <c r="KT13" s="41"/>
      <c r="KU13" s="41"/>
      <c r="KV13" s="234"/>
      <c r="KW13" s="234"/>
      <c r="KX13" s="41"/>
      <c r="KY13" s="41"/>
      <c r="KZ13" s="41"/>
      <c r="LA13" s="41"/>
      <c r="LB13" s="41"/>
      <c r="LC13" s="234"/>
      <c r="LD13" s="234"/>
      <c r="LE13" s="41"/>
      <c r="LF13" s="41"/>
      <c r="LG13" s="41"/>
      <c r="LH13" s="41"/>
      <c r="LI13" s="41"/>
      <c r="LJ13" s="234"/>
      <c r="LK13" s="234"/>
      <c r="LL13" s="41"/>
      <c r="LM13" s="41"/>
      <c r="LN13" s="41"/>
      <c r="LO13" s="41"/>
      <c r="LP13" s="41"/>
      <c r="LQ13" s="234"/>
      <c r="LR13" s="234"/>
      <c r="LS13" s="41"/>
      <c r="LT13" s="41"/>
      <c r="LU13" s="41"/>
      <c r="LV13" s="41"/>
      <c r="LW13" s="41"/>
      <c r="LX13" s="234"/>
      <c r="LY13" s="234"/>
      <c r="LZ13" s="41"/>
      <c r="MA13" s="41"/>
      <c r="MB13" s="41"/>
      <c r="MC13" s="41"/>
      <c r="MD13" s="41"/>
      <c r="ME13" s="234"/>
      <c r="MF13" s="234"/>
      <c r="MG13" s="41"/>
      <c r="MH13" s="41"/>
      <c r="MI13" s="41"/>
      <c r="MJ13" s="41"/>
      <c r="MK13" s="41"/>
      <c r="ML13" s="234"/>
      <c r="MM13" s="234"/>
      <c r="MN13" s="41"/>
      <c r="MO13" s="41"/>
      <c r="MP13" s="41"/>
      <c r="MQ13" s="41"/>
      <c r="MR13" s="41"/>
      <c r="MS13" s="234"/>
      <c r="MT13" s="234"/>
      <c r="MU13" s="41"/>
      <c r="MV13" s="41"/>
      <c r="MW13" s="41"/>
      <c r="MX13" s="41"/>
      <c r="MY13" s="41"/>
      <c r="MZ13" s="234"/>
      <c r="NA13" s="234"/>
      <c r="NB13" s="41"/>
      <c r="NC13" s="41"/>
      <c r="ND13" s="41"/>
      <c r="NE13" s="41"/>
      <c r="NF13" s="41"/>
      <c r="NG13" s="234"/>
      <c r="NH13" s="234"/>
      <c r="NI13" s="41"/>
      <c r="NJ13" s="41"/>
      <c r="NK13" s="41"/>
      <c r="NL13" s="41"/>
      <c r="NM13" s="41"/>
      <c r="NN13" s="234"/>
      <c r="NO13" s="234"/>
      <c r="NP13" s="41"/>
      <c r="NQ13" s="41"/>
      <c r="NR13" s="41"/>
      <c r="NS13" s="41"/>
      <c r="NT13" s="41"/>
      <c r="NU13" s="234"/>
      <c r="NV13" s="234"/>
      <c r="NW13" s="41"/>
      <c r="NX13" s="41"/>
      <c r="NY13" s="41"/>
      <c r="NZ13" s="41"/>
      <c r="OA13" s="41"/>
      <c r="OB13" s="234"/>
    </row>
    <row r="14" spans="2:392" x14ac:dyDescent="0.3">
      <c r="B14" s="38">
        <v>44176</v>
      </c>
      <c r="C14" s="9">
        <v>35</v>
      </c>
      <c r="D14" s="207" t="s">
        <v>20</v>
      </c>
      <c r="E14" s="381" t="s">
        <v>8</v>
      </c>
      <c r="F14" s="358" t="s">
        <v>9</v>
      </c>
      <c r="G14" s="155" t="s">
        <v>132</v>
      </c>
      <c r="H14" s="156" t="s">
        <v>133</v>
      </c>
      <c r="I14" s="239"/>
      <c r="J14" s="41"/>
      <c r="K14" s="41"/>
      <c r="L14" s="41"/>
      <c r="M14" s="41"/>
      <c r="N14" s="230"/>
      <c r="O14" s="230"/>
      <c r="P14" s="41"/>
      <c r="Q14" s="41"/>
      <c r="R14" s="41"/>
      <c r="S14" s="41"/>
      <c r="T14" s="41"/>
      <c r="U14" s="230"/>
      <c r="V14" s="230"/>
      <c r="W14" s="41"/>
      <c r="X14" s="41"/>
      <c r="Y14" s="41"/>
      <c r="Z14" s="41"/>
      <c r="AA14" s="41"/>
      <c r="AB14" s="230"/>
      <c r="AC14" s="230"/>
      <c r="AD14" s="41"/>
      <c r="AE14" s="41"/>
      <c r="AF14" s="41"/>
      <c r="AG14" s="41"/>
      <c r="AH14" s="41"/>
      <c r="AI14" s="230"/>
      <c r="AJ14" s="230"/>
      <c r="AK14" s="41"/>
      <c r="AL14" s="41"/>
      <c r="AM14" s="41"/>
      <c r="AN14" s="41"/>
      <c r="AO14" s="41"/>
      <c r="AP14" s="230"/>
      <c r="AQ14" s="230"/>
      <c r="AR14" s="41"/>
      <c r="AS14" s="41"/>
      <c r="AT14" s="41"/>
      <c r="AU14" s="41"/>
      <c r="AV14" s="41"/>
      <c r="AW14" s="230"/>
      <c r="AX14" s="230"/>
      <c r="AY14" s="41"/>
      <c r="AZ14" s="41"/>
      <c r="BA14" s="41"/>
      <c r="BB14" s="41"/>
      <c r="BC14" s="41"/>
      <c r="BD14" s="230"/>
      <c r="BE14" s="230"/>
      <c r="BF14" s="41" t="s">
        <v>460</v>
      </c>
      <c r="BG14" s="41" t="s">
        <v>460</v>
      </c>
      <c r="BH14" s="41" t="s">
        <v>460</v>
      </c>
      <c r="BI14" s="41" t="s">
        <v>460</v>
      </c>
      <c r="BJ14" s="41" t="s">
        <v>460</v>
      </c>
      <c r="BK14" s="230"/>
      <c r="BL14" s="230"/>
      <c r="BM14" s="41"/>
      <c r="BN14" s="41"/>
      <c r="BO14" s="41"/>
      <c r="BP14" s="41"/>
      <c r="BQ14" s="41"/>
      <c r="BR14" s="230"/>
      <c r="BS14" s="230"/>
      <c r="BT14" s="41"/>
      <c r="BU14" s="41"/>
      <c r="BV14" s="41"/>
      <c r="BW14" s="41"/>
      <c r="BX14" s="41"/>
      <c r="BY14" s="230"/>
      <c r="BZ14" s="230"/>
      <c r="CA14" s="41"/>
      <c r="CB14" s="41"/>
      <c r="CC14" s="41"/>
      <c r="CD14" s="41"/>
      <c r="CE14" s="41"/>
      <c r="CF14" s="230"/>
      <c r="CG14" s="230"/>
      <c r="CH14" s="41"/>
      <c r="CI14" s="41"/>
      <c r="CJ14" s="41"/>
      <c r="CK14" s="41"/>
      <c r="CL14" s="41"/>
      <c r="CM14" s="230"/>
      <c r="CN14" s="230"/>
      <c r="CO14" s="41"/>
      <c r="CP14" s="41"/>
      <c r="CQ14" s="41"/>
      <c r="CR14" s="41"/>
      <c r="CS14" s="41"/>
      <c r="CT14" s="230"/>
      <c r="CU14" s="230"/>
      <c r="CV14" s="41"/>
      <c r="CW14" s="41"/>
      <c r="CX14" s="41"/>
      <c r="CY14" s="41"/>
      <c r="CZ14" s="41"/>
      <c r="DA14" s="230"/>
      <c r="DB14" s="230"/>
      <c r="DC14" s="41"/>
      <c r="DD14" s="41"/>
      <c r="DE14" s="41"/>
      <c r="DF14" s="41"/>
      <c r="DG14" s="41"/>
      <c r="DH14" s="230"/>
      <c r="DI14" s="230"/>
      <c r="DJ14" s="41" t="s">
        <v>460</v>
      </c>
      <c r="DK14" s="41" t="s">
        <v>460</v>
      </c>
      <c r="DL14" s="41" t="s">
        <v>460</v>
      </c>
      <c r="DM14" s="41" t="s">
        <v>460</v>
      </c>
      <c r="DN14" s="41" t="s">
        <v>460</v>
      </c>
      <c r="DO14" s="230"/>
      <c r="DP14" s="230"/>
      <c r="DQ14" s="41" t="s">
        <v>460</v>
      </c>
      <c r="DR14" s="41" t="s">
        <v>460</v>
      </c>
      <c r="DS14" s="41" t="s">
        <v>460</v>
      </c>
      <c r="DT14" s="41" t="s">
        <v>460</v>
      </c>
      <c r="DU14" s="41" t="s">
        <v>460</v>
      </c>
      <c r="DV14" s="230"/>
      <c r="DW14" s="230"/>
      <c r="DX14" s="41" t="s">
        <v>460</v>
      </c>
      <c r="DY14" s="41" t="s">
        <v>460</v>
      </c>
      <c r="DZ14" s="41" t="s">
        <v>460</v>
      </c>
      <c r="EA14" s="41" t="s">
        <v>460</v>
      </c>
      <c r="EB14" s="41" t="s">
        <v>460</v>
      </c>
      <c r="EC14" s="230"/>
      <c r="ED14" s="230"/>
      <c r="EE14" s="41"/>
      <c r="EF14" s="41"/>
      <c r="EG14" s="41"/>
      <c r="EH14" s="41" t="s">
        <v>460</v>
      </c>
      <c r="EI14" s="41"/>
      <c r="EJ14" s="230"/>
      <c r="EK14" s="230"/>
      <c r="EL14" s="41"/>
      <c r="EM14" s="41"/>
      <c r="EN14" s="41"/>
      <c r="EO14" s="41"/>
      <c r="EP14" s="41"/>
      <c r="EQ14" s="230"/>
      <c r="ER14" s="230"/>
      <c r="ES14" s="41"/>
      <c r="ET14" s="41"/>
      <c r="EU14" s="41"/>
      <c r="EV14" s="41"/>
      <c r="EW14" s="41"/>
      <c r="EX14" s="230"/>
      <c r="EY14" s="230"/>
      <c r="EZ14" s="41"/>
      <c r="FA14" s="41"/>
      <c r="FB14" s="41"/>
      <c r="FC14" s="41"/>
      <c r="FD14" s="41"/>
      <c r="FE14" s="230"/>
      <c r="FF14" s="230"/>
      <c r="FG14" s="41"/>
      <c r="FH14" s="41"/>
      <c r="FI14" s="41"/>
      <c r="FJ14" s="41"/>
      <c r="FK14" s="41"/>
      <c r="FL14" s="230"/>
      <c r="FM14" s="230"/>
      <c r="FN14" s="41" t="s">
        <v>460</v>
      </c>
      <c r="FO14" s="41"/>
      <c r="FP14" s="41"/>
      <c r="FQ14" s="41"/>
      <c r="FR14" s="41"/>
      <c r="FS14" s="230"/>
      <c r="FT14" s="230"/>
      <c r="FU14" s="41"/>
      <c r="FV14" s="41"/>
      <c r="FW14" s="41"/>
      <c r="FX14" s="41"/>
      <c r="FY14" s="41"/>
      <c r="FZ14" s="230"/>
      <c r="GA14" s="230"/>
      <c r="GB14" s="41"/>
      <c r="GC14" s="41"/>
      <c r="GD14" s="41"/>
      <c r="GE14" s="41"/>
      <c r="GF14" s="41"/>
      <c r="GG14" s="230"/>
      <c r="GH14" s="230"/>
      <c r="GI14" s="41"/>
      <c r="GJ14" s="41"/>
      <c r="GK14" s="41"/>
      <c r="GL14" s="41"/>
      <c r="GM14" s="41"/>
      <c r="GN14" s="230"/>
      <c r="GO14" s="230"/>
      <c r="GP14" s="41"/>
      <c r="GQ14" s="41"/>
      <c r="GR14" s="41"/>
      <c r="GS14" s="41"/>
      <c r="GT14" s="41"/>
      <c r="GU14" s="230"/>
      <c r="GV14" s="230"/>
      <c r="GW14" s="41" t="s">
        <v>460</v>
      </c>
      <c r="GX14" s="41"/>
      <c r="GY14" s="41"/>
      <c r="GZ14" s="41"/>
      <c r="HA14" s="41"/>
      <c r="HB14" s="230"/>
      <c r="HC14" s="230"/>
      <c r="HD14" s="41" t="s">
        <v>460</v>
      </c>
      <c r="HE14" s="41" t="s">
        <v>460</v>
      </c>
      <c r="HF14" s="41" t="s">
        <v>460</v>
      </c>
      <c r="HG14" s="41" t="s">
        <v>460</v>
      </c>
      <c r="HH14" s="41" t="s">
        <v>460</v>
      </c>
      <c r="HI14" s="234"/>
      <c r="HJ14" s="234"/>
      <c r="HK14" s="41"/>
      <c r="HL14" s="41"/>
      <c r="HM14" s="41"/>
      <c r="HN14" s="41"/>
      <c r="HO14" s="41"/>
      <c r="HP14" s="234"/>
      <c r="HQ14" s="234"/>
      <c r="HR14" s="41"/>
      <c r="HS14" s="41"/>
      <c r="HT14" s="41"/>
      <c r="HU14" s="41"/>
      <c r="HV14" s="41"/>
      <c r="HW14" s="234"/>
      <c r="HX14" s="234"/>
      <c r="HY14" s="41"/>
      <c r="HZ14" s="41"/>
      <c r="IA14" s="41"/>
      <c r="IB14" s="41"/>
      <c r="IC14" s="41"/>
      <c r="ID14" s="234"/>
      <c r="IE14" s="234"/>
      <c r="IF14" s="41"/>
      <c r="IG14" s="41"/>
      <c r="IH14" s="41"/>
      <c r="II14" s="41"/>
      <c r="IJ14" s="41"/>
      <c r="IK14" s="234"/>
      <c r="IL14" s="234"/>
      <c r="IM14" s="41"/>
      <c r="IN14" s="41"/>
      <c r="IO14" s="41"/>
      <c r="IP14" s="41"/>
      <c r="IQ14" s="41"/>
      <c r="IR14" s="234"/>
      <c r="IS14" s="234"/>
      <c r="IT14" s="41" t="s">
        <v>460</v>
      </c>
      <c r="IU14" s="41" t="s">
        <v>460</v>
      </c>
      <c r="IV14" s="41" t="s">
        <v>460</v>
      </c>
      <c r="IW14" s="41" t="s">
        <v>460</v>
      </c>
      <c r="IX14" s="41" t="s">
        <v>460</v>
      </c>
      <c r="IY14" s="234"/>
      <c r="IZ14" s="234"/>
      <c r="JA14" s="41"/>
      <c r="JB14" s="41"/>
      <c r="JC14" s="41"/>
      <c r="JD14" s="41"/>
      <c r="JE14" s="41"/>
      <c r="JF14" s="234"/>
      <c r="JG14" s="234"/>
      <c r="JH14" s="41"/>
      <c r="JI14" s="41"/>
      <c r="JJ14" s="41"/>
      <c r="JK14" s="41"/>
      <c r="JL14" s="41"/>
      <c r="JM14" s="234"/>
      <c r="JN14" s="234"/>
      <c r="JO14" s="41"/>
      <c r="JP14" s="41"/>
      <c r="JQ14" s="41"/>
      <c r="JR14" s="41"/>
      <c r="JS14" s="41"/>
      <c r="JT14" s="234"/>
      <c r="JU14" s="234"/>
      <c r="JV14" s="41"/>
      <c r="JW14" s="41"/>
      <c r="JX14" s="41"/>
      <c r="JY14" s="41"/>
      <c r="JZ14" s="41"/>
      <c r="KA14" s="234"/>
      <c r="KB14" s="234"/>
      <c r="KC14" s="41"/>
      <c r="KD14" s="41"/>
      <c r="KE14" s="41"/>
      <c r="KF14" s="41"/>
      <c r="KG14" s="41"/>
      <c r="KH14" s="234"/>
      <c r="KI14" s="234"/>
      <c r="KJ14" s="41"/>
      <c r="KK14" s="41"/>
      <c r="KL14" s="41"/>
      <c r="KM14" s="41"/>
      <c r="KN14" s="41"/>
      <c r="KO14" s="234"/>
      <c r="KP14" s="234"/>
      <c r="KQ14" s="41"/>
      <c r="KR14" s="41"/>
      <c r="KS14" s="41"/>
      <c r="KT14" s="41"/>
      <c r="KU14" s="41"/>
      <c r="KV14" s="234"/>
      <c r="KW14" s="234"/>
      <c r="KX14" s="41"/>
      <c r="KY14" s="41"/>
      <c r="KZ14" s="41"/>
      <c r="LA14" s="41"/>
      <c r="LB14" s="41"/>
      <c r="LC14" s="234"/>
      <c r="LD14" s="234"/>
      <c r="LE14" s="41"/>
      <c r="LF14" s="41"/>
      <c r="LG14" s="41"/>
      <c r="LH14" s="41"/>
      <c r="LI14" s="41"/>
      <c r="LJ14" s="234"/>
      <c r="LK14" s="234"/>
      <c r="LL14" s="41"/>
      <c r="LM14" s="41"/>
      <c r="LN14" s="41"/>
      <c r="LO14" s="41"/>
      <c r="LP14" s="41"/>
      <c r="LQ14" s="234"/>
      <c r="LR14" s="234"/>
      <c r="LS14" s="41"/>
      <c r="LT14" s="41"/>
      <c r="LU14" s="41"/>
      <c r="LV14" s="41"/>
      <c r="LW14" s="41"/>
      <c r="LX14" s="234"/>
      <c r="LY14" s="234"/>
      <c r="LZ14" s="41"/>
      <c r="MA14" s="41"/>
      <c r="MB14" s="41"/>
      <c r="MC14" s="41"/>
      <c r="MD14" s="41"/>
      <c r="ME14" s="234"/>
      <c r="MF14" s="234"/>
      <c r="MG14" s="41"/>
      <c r="MH14" s="41"/>
      <c r="MI14" s="41"/>
      <c r="MJ14" s="41"/>
      <c r="MK14" s="41"/>
      <c r="ML14" s="234"/>
      <c r="MM14" s="234"/>
      <c r="MN14" s="41"/>
      <c r="MO14" s="41"/>
      <c r="MP14" s="41"/>
      <c r="MQ14" s="41"/>
      <c r="MR14" s="41"/>
      <c r="MS14" s="234"/>
      <c r="MT14" s="234"/>
      <c r="MU14" s="41"/>
      <c r="MV14" s="41"/>
      <c r="MW14" s="41"/>
      <c r="MX14" s="41"/>
      <c r="MY14" s="41"/>
      <c r="MZ14" s="234"/>
      <c r="NA14" s="234"/>
      <c r="NB14" s="41"/>
      <c r="NC14" s="41"/>
      <c r="ND14" s="41"/>
      <c r="NE14" s="41"/>
      <c r="NF14" s="41"/>
      <c r="NG14" s="234"/>
      <c r="NH14" s="234"/>
      <c r="NI14" s="41"/>
      <c r="NJ14" s="41"/>
      <c r="NK14" s="41"/>
      <c r="NL14" s="41"/>
      <c r="NM14" s="41"/>
      <c r="NN14" s="234"/>
      <c r="NO14" s="234"/>
      <c r="NP14" s="41"/>
      <c r="NQ14" s="41"/>
      <c r="NR14" s="41"/>
      <c r="NS14" s="41"/>
      <c r="NT14" s="41"/>
      <c r="NU14" s="234"/>
      <c r="NV14" s="234"/>
      <c r="NW14" s="41"/>
      <c r="NX14" s="41"/>
      <c r="NY14" s="41"/>
      <c r="NZ14" s="41"/>
      <c r="OA14" s="41"/>
      <c r="OB14" s="234"/>
    </row>
    <row r="15" spans="2:392" x14ac:dyDescent="0.3">
      <c r="B15" s="49">
        <v>17098</v>
      </c>
      <c r="C15" s="50">
        <v>35</v>
      </c>
      <c r="D15" s="206" t="s">
        <v>20</v>
      </c>
      <c r="E15" s="347" t="s">
        <v>8</v>
      </c>
      <c r="F15" s="357" t="s">
        <v>9</v>
      </c>
      <c r="G15" s="155" t="s">
        <v>157</v>
      </c>
      <c r="H15" s="156" t="s">
        <v>158</v>
      </c>
      <c r="I15" s="239"/>
      <c r="J15" s="41"/>
      <c r="K15" s="41"/>
      <c r="L15" s="41"/>
      <c r="M15" s="41"/>
      <c r="N15" s="230"/>
      <c r="O15" s="230"/>
      <c r="P15" s="41"/>
      <c r="Q15" s="41"/>
      <c r="R15" s="41"/>
      <c r="S15" s="41"/>
      <c r="T15" s="41"/>
      <c r="U15" s="230"/>
      <c r="V15" s="230"/>
      <c r="W15" s="41"/>
      <c r="X15" s="41"/>
      <c r="Y15" s="41"/>
      <c r="Z15" s="41"/>
      <c r="AA15" s="41"/>
      <c r="AB15" s="230"/>
      <c r="AC15" s="230"/>
      <c r="AD15" s="41"/>
      <c r="AE15" s="41"/>
      <c r="AF15" s="41"/>
      <c r="AG15" s="41"/>
      <c r="AH15" s="41"/>
      <c r="AI15" s="230"/>
      <c r="AJ15" s="230"/>
      <c r="AK15" s="41"/>
      <c r="AL15" s="41"/>
      <c r="AM15" s="41"/>
      <c r="AN15" s="41"/>
      <c r="AO15" s="41"/>
      <c r="AP15" s="230"/>
      <c r="AQ15" s="230"/>
      <c r="AR15" s="41"/>
      <c r="AS15" s="41"/>
      <c r="AT15" s="41"/>
      <c r="AU15" s="41"/>
      <c r="AV15" s="41"/>
      <c r="AW15" s="230"/>
      <c r="AX15" s="230"/>
      <c r="AY15" s="41"/>
      <c r="AZ15" s="41"/>
      <c r="BA15" s="41"/>
      <c r="BB15" s="41"/>
      <c r="BC15" s="41"/>
      <c r="BD15" s="230"/>
      <c r="BE15" s="230"/>
      <c r="BF15" s="41"/>
      <c r="BG15" s="41"/>
      <c r="BH15" s="41"/>
      <c r="BI15" s="41"/>
      <c r="BJ15" s="41"/>
      <c r="BK15" s="230"/>
      <c r="BL15" s="230"/>
      <c r="BM15" s="41"/>
      <c r="BN15" s="41"/>
      <c r="BO15" s="41"/>
      <c r="BP15" s="41"/>
      <c r="BQ15" s="41"/>
      <c r="BR15" s="230"/>
      <c r="BS15" s="230"/>
      <c r="BT15" s="41"/>
      <c r="BU15" s="41"/>
      <c r="BV15" s="41"/>
      <c r="BW15" s="41"/>
      <c r="BX15" s="41"/>
      <c r="BY15" s="230"/>
      <c r="BZ15" s="230"/>
      <c r="CA15" s="41"/>
      <c r="CB15" s="41"/>
      <c r="CC15" s="41"/>
      <c r="CD15" s="41"/>
      <c r="CE15" s="41"/>
      <c r="CF15" s="230"/>
      <c r="CG15" s="230"/>
      <c r="CH15" s="41" t="s">
        <v>460</v>
      </c>
      <c r="CI15" s="41" t="s">
        <v>460</v>
      </c>
      <c r="CJ15" s="41" t="s">
        <v>460</v>
      </c>
      <c r="CK15" s="41" t="s">
        <v>460</v>
      </c>
      <c r="CL15" s="41" t="s">
        <v>460</v>
      </c>
      <c r="CM15" s="230"/>
      <c r="CN15" s="230"/>
      <c r="CO15" s="41" t="s">
        <v>460</v>
      </c>
      <c r="CP15" s="41" t="s">
        <v>460</v>
      </c>
      <c r="CQ15" s="41" t="s">
        <v>460</v>
      </c>
      <c r="CR15" s="41" t="s">
        <v>460</v>
      </c>
      <c r="CS15" s="41" t="s">
        <v>460</v>
      </c>
      <c r="CT15" s="230"/>
      <c r="CU15" s="230"/>
      <c r="CV15" s="41" t="s">
        <v>460</v>
      </c>
      <c r="CW15" s="41" t="s">
        <v>460</v>
      </c>
      <c r="CX15" s="41" t="s">
        <v>460</v>
      </c>
      <c r="CY15" s="41" t="s">
        <v>460</v>
      </c>
      <c r="CZ15" s="41" t="s">
        <v>460</v>
      </c>
      <c r="DA15" s="230"/>
      <c r="DB15" s="230"/>
      <c r="DC15" s="41"/>
      <c r="DD15" s="41"/>
      <c r="DE15" s="41"/>
      <c r="DF15" s="41"/>
      <c r="DG15" s="41"/>
      <c r="DH15" s="230"/>
      <c r="DI15" s="230"/>
      <c r="DJ15" s="41"/>
      <c r="DK15" s="41"/>
      <c r="DL15" s="41"/>
      <c r="DM15" s="41"/>
      <c r="DN15" s="41"/>
      <c r="DO15" s="230"/>
      <c r="DP15" s="230"/>
      <c r="DQ15" s="41" t="s">
        <v>460</v>
      </c>
      <c r="DR15" s="41" t="s">
        <v>460</v>
      </c>
      <c r="DS15" s="41"/>
      <c r="DT15" s="41"/>
      <c r="DU15" s="41"/>
      <c r="DV15" s="230"/>
      <c r="DW15" s="234"/>
      <c r="DX15" s="41" t="s">
        <v>460</v>
      </c>
      <c r="DY15" s="41"/>
      <c r="DZ15" s="41"/>
      <c r="EA15" s="41"/>
      <c r="EB15" s="41"/>
      <c r="EC15" s="230"/>
      <c r="ED15" s="230"/>
      <c r="EE15" s="41"/>
      <c r="EF15" s="41"/>
      <c r="EG15" s="41"/>
      <c r="EH15" s="41" t="s">
        <v>460</v>
      </c>
      <c r="EI15" s="41"/>
      <c r="EJ15" s="230"/>
      <c r="EK15" s="230"/>
      <c r="EL15" s="41" t="s">
        <v>460</v>
      </c>
      <c r="EM15" s="41" t="s">
        <v>460</v>
      </c>
      <c r="EN15" s="41" t="s">
        <v>460</v>
      </c>
      <c r="EO15" s="41" t="s">
        <v>460</v>
      </c>
      <c r="EP15" s="41" t="s">
        <v>460</v>
      </c>
      <c r="EQ15" s="230"/>
      <c r="ER15" s="230"/>
      <c r="ES15" s="41" t="s">
        <v>460</v>
      </c>
      <c r="ET15" s="41" t="s">
        <v>460</v>
      </c>
      <c r="EU15" s="41" t="s">
        <v>460</v>
      </c>
      <c r="EV15" s="41" t="s">
        <v>460</v>
      </c>
      <c r="EW15" s="41" t="s">
        <v>460</v>
      </c>
      <c r="EX15" s="230"/>
      <c r="EY15" s="230"/>
      <c r="EZ15" s="41" t="s">
        <v>460</v>
      </c>
      <c r="FA15" s="41" t="s">
        <v>460</v>
      </c>
      <c r="FB15" s="41" t="s">
        <v>460</v>
      </c>
      <c r="FC15" s="41" t="s">
        <v>460</v>
      </c>
      <c r="FD15" s="41" t="s">
        <v>460</v>
      </c>
      <c r="FE15" s="230"/>
      <c r="FF15" s="230"/>
      <c r="FG15" s="41" t="s">
        <v>460</v>
      </c>
      <c r="FH15" s="41" t="s">
        <v>460</v>
      </c>
      <c r="FI15" s="41" t="s">
        <v>460</v>
      </c>
      <c r="FJ15" s="41" t="s">
        <v>460</v>
      </c>
      <c r="FK15" s="41" t="s">
        <v>460</v>
      </c>
      <c r="FL15" s="230"/>
      <c r="FM15" s="230"/>
      <c r="FN15" s="41" t="s">
        <v>460</v>
      </c>
      <c r="FO15" s="41" t="s">
        <v>460</v>
      </c>
      <c r="FP15" s="41" t="s">
        <v>460</v>
      </c>
      <c r="FQ15" s="41" t="s">
        <v>460</v>
      </c>
      <c r="FR15" s="41" t="s">
        <v>460</v>
      </c>
      <c r="FS15" s="230"/>
      <c r="FT15" s="230"/>
      <c r="FU15" s="41" t="s">
        <v>460</v>
      </c>
      <c r="FV15" s="41" t="s">
        <v>460</v>
      </c>
      <c r="FW15" s="41" t="s">
        <v>460</v>
      </c>
      <c r="FX15" s="41" t="s">
        <v>460</v>
      </c>
      <c r="FY15" s="41" t="s">
        <v>460</v>
      </c>
      <c r="FZ15" s="230"/>
      <c r="GA15" s="230"/>
      <c r="GB15" s="41" t="s">
        <v>460</v>
      </c>
      <c r="GC15" s="41" t="s">
        <v>460</v>
      </c>
      <c r="GD15" s="41" t="s">
        <v>460</v>
      </c>
      <c r="GE15" s="41" t="s">
        <v>460</v>
      </c>
      <c r="GF15" s="41" t="s">
        <v>460</v>
      </c>
      <c r="GG15" s="230"/>
      <c r="GH15" s="230"/>
      <c r="GI15" s="41" t="s">
        <v>460</v>
      </c>
      <c r="GJ15" s="41" t="s">
        <v>460</v>
      </c>
      <c r="GK15" s="41" t="s">
        <v>460</v>
      </c>
      <c r="GL15" s="41" t="s">
        <v>460</v>
      </c>
      <c r="GM15" s="41" t="s">
        <v>460</v>
      </c>
      <c r="GN15" s="230"/>
      <c r="GO15" s="230"/>
      <c r="GP15" s="41" t="s">
        <v>460</v>
      </c>
      <c r="GQ15" s="41" t="s">
        <v>460</v>
      </c>
      <c r="GR15" s="41" t="s">
        <v>460</v>
      </c>
      <c r="GS15" s="41" t="s">
        <v>460</v>
      </c>
      <c r="GT15" s="41" t="s">
        <v>460</v>
      </c>
      <c r="GU15" s="230"/>
      <c r="GV15" s="230"/>
      <c r="GW15" s="41" t="s">
        <v>460</v>
      </c>
      <c r="GX15" s="41" t="s">
        <v>460</v>
      </c>
      <c r="GY15" s="41" t="s">
        <v>460</v>
      </c>
      <c r="GZ15" s="41" t="s">
        <v>460</v>
      </c>
      <c r="HA15" s="41" t="s">
        <v>460</v>
      </c>
      <c r="HB15" s="230"/>
      <c r="HC15" s="230"/>
      <c r="HD15" s="41" t="s">
        <v>460</v>
      </c>
      <c r="HE15" s="41" t="s">
        <v>460</v>
      </c>
      <c r="HF15" s="41" t="s">
        <v>460</v>
      </c>
      <c r="HG15" s="41" t="s">
        <v>460</v>
      </c>
      <c r="HH15" s="41" t="s">
        <v>460</v>
      </c>
      <c r="HI15" s="234"/>
      <c r="HJ15" s="234"/>
      <c r="HK15" s="41" t="s">
        <v>460</v>
      </c>
      <c r="HL15" s="41" t="s">
        <v>460</v>
      </c>
      <c r="HM15" s="41" t="s">
        <v>460</v>
      </c>
      <c r="HN15" s="41" t="s">
        <v>460</v>
      </c>
      <c r="HO15" s="41" t="s">
        <v>460</v>
      </c>
      <c r="HP15" s="234"/>
      <c r="HQ15" s="234"/>
      <c r="HR15" s="41" t="s">
        <v>460</v>
      </c>
      <c r="HS15" s="41" t="s">
        <v>460</v>
      </c>
      <c r="HT15" s="41" t="s">
        <v>460</v>
      </c>
      <c r="HU15" s="41" t="s">
        <v>460</v>
      </c>
      <c r="HV15" s="41" t="s">
        <v>460</v>
      </c>
      <c r="HW15" s="234"/>
      <c r="HX15" s="234"/>
      <c r="HY15" s="41" t="s">
        <v>460</v>
      </c>
      <c r="HZ15" s="41" t="s">
        <v>460</v>
      </c>
      <c r="IA15" s="41" t="s">
        <v>460</v>
      </c>
      <c r="IB15" s="41" t="s">
        <v>460</v>
      </c>
      <c r="IC15" s="41" t="s">
        <v>460</v>
      </c>
      <c r="ID15" s="234"/>
      <c r="IE15" s="234"/>
      <c r="IF15" s="41" t="s">
        <v>460</v>
      </c>
      <c r="IG15" s="41" t="s">
        <v>460</v>
      </c>
      <c r="IH15" s="41" t="s">
        <v>460</v>
      </c>
      <c r="II15" s="41" t="s">
        <v>460</v>
      </c>
      <c r="IJ15" s="41" t="s">
        <v>460</v>
      </c>
      <c r="IK15" s="234"/>
      <c r="IL15" s="234"/>
      <c r="IM15" s="41" t="s">
        <v>460</v>
      </c>
      <c r="IN15" s="41" t="s">
        <v>460</v>
      </c>
      <c r="IO15" s="41" t="s">
        <v>460</v>
      </c>
      <c r="IP15" s="41" t="s">
        <v>460</v>
      </c>
      <c r="IQ15" s="41" t="s">
        <v>460</v>
      </c>
      <c r="IR15" s="234"/>
      <c r="IS15" s="234"/>
      <c r="IT15" s="41" t="s">
        <v>460</v>
      </c>
      <c r="IU15" s="41" t="s">
        <v>460</v>
      </c>
      <c r="IV15" s="41" t="s">
        <v>460</v>
      </c>
      <c r="IW15" s="41" t="s">
        <v>460</v>
      </c>
      <c r="IX15" s="41" t="s">
        <v>460</v>
      </c>
      <c r="IY15" s="234"/>
      <c r="IZ15" s="234"/>
      <c r="JA15" s="41" t="s">
        <v>460</v>
      </c>
      <c r="JB15" s="41" t="s">
        <v>460</v>
      </c>
      <c r="JC15" s="41" t="s">
        <v>460</v>
      </c>
      <c r="JD15" s="41" t="s">
        <v>460</v>
      </c>
      <c r="JE15" s="41" t="s">
        <v>460</v>
      </c>
      <c r="JF15" s="234"/>
      <c r="JG15" s="234"/>
      <c r="JH15" s="41"/>
      <c r="JI15" s="41"/>
      <c r="JJ15" s="41"/>
      <c r="JK15" s="41"/>
      <c r="JL15" s="41"/>
      <c r="JM15" s="234"/>
      <c r="JN15" s="234"/>
      <c r="JO15" s="41"/>
      <c r="JP15" s="41"/>
      <c r="JQ15" s="41"/>
      <c r="JR15" s="41"/>
      <c r="JS15" s="41"/>
      <c r="JT15" s="234"/>
      <c r="JU15" s="234"/>
      <c r="JV15" s="41"/>
      <c r="JW15" s="41"/>
      <c r="JX15" s="41"/>
      <c r="JY15" s="41"/>
      <c r="JZ15" s="41"/>
      <c r="KA15" s="234"/>
      <c r="KB15" s="234"/>
      <c r="KC15" s="41"/>
      <c r="KD15" s="41"/>
      <c r="KE15" s="41"/>
      <c r="KF15" s="41"/>
      <c r="KG15" s="41"/>
      <c r="KH15" s="234"/>
      <c r="KI15" s="234"/>
      <c r="KJ15" s="41"/>
      <c r="KK15" s="41"/>
      <c r="KL15" s="41"/>
      <c r="KM15" s="41"/>
      <c r="KN15" s="41"/>
      <c r="KO15" s="234"/>
      <c r="KP15" s="234"/>
      <c r="KQ15" s="41"/>
      <c r="KR15" s="41"/>
      <c r="KS15" s="41"/>
      <c r="KT15" s="41"/>
      <c r="KU15" s="41"/>
      <c r="KV15" s="234"/>
      <c r="KW15" s="234"/>
      <c r="KX15" s="41"/>
      <c r="KY15" s="41"/>
      <c r="KZ15" s="41"/>
      <c r="LA15" s="41"/>
      <c r="LB15" s="41"/>
      <c r="LC15" s="234"/>
      <c r="LD15" s="234"/>
      <c r="LE15" s="41"/>
      <c r="LF15" s="41"/>
      <c r="LG15" s="41"/>
      <c r="LH15" s="41"/>
      <c r="LI15" s="41"/>
      <c r="LJ15" s="234"/>
      <c r="LK15" s="234"/>
      <c r="LL15" s="41"/>
      <c r="LM15" s="41"/>
      <c r="LN15" s="41"/>
      <c r="LO15" s="41"/>
      <c r="LP15" s="41"/>
      <c r="LQ15" s="234"/>
      <c r="LR15" s="234"/>
      <c r="LS15" s="41"/>
      <c r="LT15" s="41"/>
      <c r="LU15" s="41"/>
      <c r="LV15" s="41"/>
      <c r="LW15" s="41"/>
      <c r="LX15" s="234"/>
      <c r="LY15" s="234"/>
      <c r="LZ15" s="41"/>
      <c r="MA15" s="41"/>
      <c r="MB15" s="41"/>
      <c r="MC15" s="41"/>
      <c r="MD15" s="41"/>
      <c r="ME15" s="234"/>
      <c r="MF15" s="234"/>
      <c r="MG15" s="41"/>
      <c r="MH15" s="41"/>
      <c r="MI15" s="41"/>
      <c r="MJ15" s="41"/>
      <c r="MK15" s="41"/>
      <c r="ML15" s="234"/>
      <c r="MM15" s="234"/>
      <c r="MN15" s="41"/>
      <c r="MO15" s="41"/>
      <c r="MP15" s="41"/>
      <c r="MQ15" s="41"/>
      <c r="MR15" s="41"/>
      <c r="MS15" s="234"/>
      <c r="MT15" s="234"/>
      <c r="MU15" s="41"/>
      <c r="MV15" s="41"/>
      <c r="MW15" s="41"/>
      <c r="MX15" s="41"/>
      <c r="MY15" s="41"/>
      <c r="MZ15" s="234"/>
      <c r="NA15" s="234"/>
      <c r="NB15" s="41"/>
      <c r="NC15" s="41"/>
      <c r="ND15" s="41"/>
      <c r="NE15" s="41"/>
      <c r="NF15" s="41"/>
      <c r="NG15" s="234"/>
      <c r="NH15" s="234"/>
      <c r="NI15" s="41"/>
      <c r="NJ15" s="41"/>
      <c r="NK15" s="41"/>
      <c r="NL15" s="41"/>
      <c r="NM15" s="41"/>
      <c r="NN15" s="234"/>
      <c r="NO15" s="234"/>
      <c r="NP15" s="41"/>
      <c r="NQ15" s="41"/>
      <c r="NR15" s="41"/>
      <c r="NS15" s="41"/>
      <c r="NT15" s="41"/>
      <c r="NU15" s="234"/>
      <c r="NV15" s="234"/>
      <c r="NW15" s="41"/>
      <c r="NX15" s="41"/>
      <c r="NY15" s="41"/>
      <c r="NZ15" s="41"/>
      <c r="OA15" s="41"/>
      <c r="OB15" s="234"/>
    </row>
    <row r="16" spans="2:392" x14ac:dyDescent="0.3">
      <c r="B16" s="67">
        <v>105558</v>
      </c>
      <c r="C16" s="9">
        <v>35</v>
      </c>
      <c r="D16" s="206" t="s">
        <v>20</v>
      </c>
      <c r="E16" s="347" t="s">
        <v>8</v>
      </c>
      <c r="F16" s="357" t="s">
        <v>113</v>
      </c>
      <c r="G16" s="170" t="s">
        <v>164</v>
      </c>
      <c r="H16" s="173" t="s">
        <v>17</v>
      </c>
      <c r="I16" s="239"/>
      <c r="J16" s="41"/>
      <c r="K16" s="41"/>
      <c r="L16" s="41"/>
      <c r="M16" s="41"/>
      <c r="N16" s="230"/>
      <c r="O16" s="230"/>
      <c r="P16" s="41"/>
      <c r="Q16" s="41"/>
      <c r="R16" s="41"/>
      <c r="S16" s="41"/>
      <c r="T16" s="41"/>
      <c r="U16" s="230"/>
      <c r="V16" s="230"/>
      <c r="W16" s="41"/>
      <c r="X16" s="41"/>
      <c r="Y16" s="41"/>
      <c r="Z16" s="41"/>
      <c r="AA16" s="41"/>
      <c r="AB16" s="41" t="s">
        <v>460</v>
      </c>
      <c r="AC16" s="41" t="s">
        <v>460</v>
      </c>
      <c r="AD16" s="41" t="s">
        <v>460</v>
      </c>
      <c r="AE16" s="41" t="s">
        <v>460</v>
      </c>
      <c r="AF16" s="41" t="s">
        <v>460</v>
      </c>
      <c r="AG16" s="41" t="s">
        <v>460</v>
      </c>
      <c r="AH16" s="41" t="s">
        <v>460</v>
      </c>
      <c r="AI16" s="41" t="s">
        <v>460</v>
      </c>
      <c r="AJ16" s="41" t="s">
        <v>460</v>
      </c>
      <c r="AK16" s="41" t="s">
        <v>458</v>
      </c>
      <c r="AL16" s="41" t="s">
        <v>458</v>
      </c>
      <c r="AM16" s="41" t="s">
        <v>458</v>
      </c>
      <c r="AN16" s="41" t="s">
        <v>458</v>
      </c>
      <c r="AO16" s="41" t="s">
        <v>458</v>
      </c>
      <c r="AP16" s="230"/>
      <c r="AQ16" s="230"/>
      <c r="AR16" s="41" t="s">
        <v>458</v>
      </c>
      <c r="AS16" s="41" t="s">
        <v>458</v>
      </c>
      <c r="AT16" s="41" t="s">
        <v>458</v>
      </c>
      <c r="AU16" s="41" t="s">
        <v>458</v>
      </c>
      <c r="AV16" s="41" t="s">
        <v>458</v>
      </c>
      <c r="AW16" s="230"/>
      <c r="AX16" s="230"/>
      <c r="AY16" s="41" t="s">
        <v>458</v>
      </c>
      <c r="AZ16" s="41" t="s">
        <v>458</v>
      </c>
      <c r="BA16" s="41" t="s">
        <v>458</v>
      </c>
      <c r="BB16" s="41" t="s">
        <v>458</v>
      </c>
      <c r="BC16" s="41" t="s">
        <v>458</v>
      </c>
      <c r="BD16" s="230"/>
      <c r="BE16" s="230"/>
      <c r="BF16" s="41" t="s">
        <v>458</v>
      </c>
      <c r="BG16" s="41" t="s">
        <v>458</v>
      </c>
      <c r="BH16" s="41" t="s">
        <v>458</v>
      </c>
      <c r="BI16" s="41" t="s">
        <v>458</v>
      </c>
      <c r="BJ16" s="41" t="s">
        <v>458</v>
      </c>
      <c r="BK16" s="230"/>
      <c r="BL16" s="230"/>
      <c r="BM16" s="41" t="s">
        <v>458</v>
      </c>
      <c r="BN16" s="41" t="s">
        <v>458</v>
      </c>
      <c r="BO16" s="41" t="s">
        <v>458</v>
      </c>
      <c r="BP16" s="41" t="s">
        <v>458</v>
      </c>
      <c r="BQ16" s="41" t="s">
        <v>458</v>
      </c>
      <c r="BR16" s="230"/>
      <c r="BS16" s="230"/>
      <c r="BT16" s="41" t="s">
        <v>458</v>
      </c>
      <c r="BU16" s="41" t="s">
        <v>458</v>
      </c>
      <c r="BV16" s="41" t="s">
        <v>458</v>
      </c>
      <c r="BW16" s="41" t="s">
        <v>458</v>
      </c>
      <c r="BX16" s="41" t="s">
        <v>458</v>
      </c>
      <c r="BY16" s="230"/>
      <c r="BZ16" s="230"/>
      <c r="CA16" s="41"/>
      <c r="CB16" s="41"/>
      <c r="CC16" s="41"/>
      <c r="CD16" s="41"/>
      <c r="CE16" s="41"/>
      <c r="CF16" s="230"/>
      <c r="CG16" s="230"/>
      <c r="CH16" s="41" t="s">
        <v>458</v>
      </c>
      <c r="CI16" s="41" t="s">
        <v>458</v>
      </c>
      <c r="CJ16" s="41" t="s">
        <v>458</v>
      </c>
      <c r="CK16" s="41" t="s">
        <v>458</v>
      </c>
      <c r="CL16" s="41" t="s">
        <v>458</v>
      </c>
      <c r="CM16" s="230"/>
      <c r="CN16" s="230"/>
      <c r="CO16" s="41" t="s">
        <v>458</v>
      </c>
      <c r="CP16" s="41" t="s">
        <v>458</v>
      </c>
      <c r="CQ16" s="41" t="s">
        <v>458</v>
      </c>
      <c r="CR16" s="41" t="s">
        <v>458</v>
      </c>
      <c r="CS16" s="41" t="s">
        <v>458</v>
      </c>
      <c r="CT16" s="230"/>
      <c r="CU16" s="230"/>
      <c r="CV16" s="41" t="s">
        <v>458</v>
      </c>
      <c r="CW16" s="41" t="s">
        <v>458</v>
      </c>
      <c r="CX16" s="41" t="s">
        <v>458</v>
      </c>
      <c r="CY16" s="41" t="s">
        <v>458</v>
      </c>
      <c r="CZ16" s="41" t="s">
        <v>458</v>
      </c>
      <c r="DA16" s="230"/>
      <c r="DB16" s="230"/>
      <c r="DC16" s="41" t="s">
        <v>458</v>
      </c>
      <c r="DD16" s="41" t="s">
        <v>458</v>
      </c>
      <c r="DE16" s="41" t="s">
        <v>458</v>
      </c>
      <c r="DF16" s="41" t="s">
        <v>458</v>
      </c>
      <c r="DG16" s="41" t="s">
        <v>458</v>
      </c>
      <c r="DH16" s="230"/>
      <c r="DI16" s="230"/>
      <c r="DJ16" s="41" t="s">
        <v>458</v>
      </c>
      <c r="DK16" s="41" t="s">
        <v>458</v>
      </c>
      <c r="DL16" s="41" t="s">
        <v>458</v>
      </c>
      <c r="DM16" s="41" t="s">
        <v>458</v>
      </c>
      <c r="DN16" s="41" t="s">
        <v>458</v>
      </c>
      <c r="DO16" s="230"/>
      <c r="DP16" s="230"/>
      <c r="DQ16" s="41" t="s">
        <v>458</v>
      </c>
      <c r="DR16" s="41" t="s">
        <v>458</v>
      </c>
      <c r="DS16" s="41" t="s">
        <v>458</v>
      </c>
      <c r="DT16" s="41" t="s">
        <v>458</v>
      </c>
      <c r="DU16" s="41" t="s">
        <v>458</v>
      </c>
      <c r="DV16" s="230"/>
      <c r="DW16" s="234"/>
      <c r="DX16" s="41" t="s">
        <v>460</v>
      </c>
      <c r="DY16" s="41" t="s">
        <v>458</v>
      </c>
      <c r="DZ16" s="41" t="s">
        <v>458</v>
      </c>
      <c r="EA16" s="41" t="s">
        <v>458</v>
      </c>
      <c r="EB16" s="41" t="s">
        <v>458</v>
      </c>
      <c r="EC16" s="230"/>
      <c r="ED16" s="230"/>
      <c r="EE16" s="41" t="s">
        <v>458</v>
      </c>
      <c r="EF16" s="41" t="s">
        <v>458</v>
      </c>
      <c r="EG16" s="41" t="s">
        <v>458</v>
      </c>
      <c r="EH16" s="41" t="s">
        <v>460</v>
      </c>
      <c r="EI16" s="41" t="s">
        <v>458</v>
      </c>
      <c r="EJ16" s="230"/>
      <c r="EK16" s="230"/>
      <c r="EL16" s="41" t="s">
        <v>458</v>
      </c>
      <c r="EM16" s="41" t="s">
        <v>458</v>
      </c>
      <c r="EN16" s="41" t="s">
        <v>458</v>
      </c>
      <c r="EO16" s="41" t="s">
        <v>458</v>
      </c>
      <c r="EP16" s="41" t="s">
        <v>458</v>
      </c>
      <c r="EQ16" s="230"/>
      <c r="ER16" s="230"/>
      <c r="ES16" s="41" t="s">
        <v>458</v>
      </c>
      <c r="ET16" s="41" t="s">
        <v>458</v>
      </c>
      <c r="EU16" s="41" t="s">
        <v>458</v>
      </c>
      <c r="EV16" s="41" t="s">
        <v>458</v>
      </c>
      <c r="EW16" s="41" t="s">
        <v>458</v>
      </c>
      <c r="EX16" s="230"/>
      <c r="EY16" s="230"/>
      <c r="EZ16" s="41" t="s">
        <v>458</v>
      </c>
      <c r="FA16" s="41" t="s">
        <v>458</v>
      </c>
      <c r="FB16" s="41" t="s">
        <v>458</v>
      </c>
      <c r="FC16" s="41" t="s">
        <v>458</v>
      </c>
      <c r="FD16" s="41" t="s">
        <v>458</v>
      </c>
      <c r="FE16" s="230"/>
      <c r="FF16" s="230"/>
      <c r="FG16" s="41" t="s">
        <v>458</v>
      </c>
      <c r="FH16" s="41" t="s">
        <v>458</v>
      </c>
      <c r="FI16" s="41" t="s">
        <v>458</v>
      </c>
      <c r="FJ16" s="41" t="s">
        <v>458</v>
      </c>
      <c r="FK16" s="41" t="s">
        <v>458</v>
      </c>
      <c r="FL16" s="230"/>
      <c r="FM16" s="230"/>
      <c r="FN16" s="41" t="s">
        <v>460</v>
      </c>
      <c r="FO16" s="41" t="s">
        <v>458</v>
      </c>
      <c r="FP16" s="41" t="s">
        <v>458</v>
      </c>
      <c r="FQ16" s="41" t="s">
        <v>458</v>
      </c>
      <c r="FR16" s="41" t="s">
        <v>458</v>
      </c>
      <c r="FS16" s="230"/>
      <c r="FT16" s="230"/>
      <c r="FU16" s="41" t="s">
        <v>458</v>
      </c>
      <c r="FV16" s="41" t="s">
        <v>458</v>
      </c>
      <c r="FW16" s="41" t="s">
        <v>458</v>
      </c>
      <c r="FX16" s="41" t="s">
        <v>458</v>
      </c>
      <c r="FY16" s="41" t="s">
        <v>458</v>
      </c>
      <c r="FZ16" s="230"/>
      <c r="GA16" s="230"/>
      <c r="GB16" s="41" t="s">
        <v>458</v>
      </c>
      <c r="GC16" s="41" t="s">
        <v>458</v>
      </c>
      <c r="GD16" s="41" t="s">
        <v>458</v>
      </c>
      <c r="GE16" s="41" t="s">
        <v>458</v>
      </c>
      <c r="GF16" s="41" t="s">
        <v>458</v>
      </c>
      <c r="GG16" s="230"/>
      <c r="GH16" s="230"/>
      <c r="GI16" s="41" t="s">
        <v>460</v>
      </c>
      <c r="GJ16" s="41" t="s">
        <v>460</v>
      </c>
      <c r="GK16" s="41" t="s">
        <v>460</v>
      </c>
      <c r="GL16" s="41" t="s">
        <v>460</v>
      </c>
      <c r="GM16" s="41" t="s">
        <v>460</v>
      </c>
      <c r="GN16" s="230"/>
      <c r="GO16" s="230"/>
      <c r="GP16" s="41" t="s">
        <v>460</v>
      </c>
      <c r="GQ16" s="41" t="s">
        <v>460</v>
      </c>
      <c r="GR16" s="41" t="s">
        <v>460</v>
      </c>
      <c r="GS16" s="41" t="s">
        <v>460</v>
      </c>
      <c r="GT16" s="41" t="s">
        <v>460</v>
      </c>
      <c r="GU16" s="230"/>
      <c r="GV16" s="230"/>
      <c r="GW16" s="41" t="s">
        <v>460</v>
      </c>
      <c r="GX16" s="41" t="s">
        <v>460</v>
      </c>
      <c r="GY16" s="41" t="s">
        <v>460</v>
      </c>
      <c r="GZ16" s="41" t="s">
        <v>460</v>
      </c>
      <c r="HA16" s="41" t="s">
        <v>460</v>
      </c>
      <c r="HB16" s="230"/>
      <c r="HC16" s="230"/>
      <c r="HD16" s="41" t="s">
        <v>458</v>
      </c>
      <c r="HE16" s="41" t="s">
        <v>458</v>
      </c>
      <c r="HF16" s="41" t="s">
        <v>458</v>
      </c>
      <c r="HG16" s="41" t="s">
        <v>458</v>
      </c>
      <c r="HH16" s="41" t="s">
        <v>458</v>
      </c>
      <c r="HI16" s="234"/>
      <c r="HJ16" s="234"/>
      <c r="HK16" s="41" t="s">
        <v>458</v>
      </c>
      <c r="HL16" s="41" t="s">
        <v>458</v>
      </c>
      <c r="HM16" s="41" t="s">
        <v>458</v>
      </c>
      <c r="HN16" s="41" t="s">
        <v>458</v>
      </c>
      <c r="HO16" s="41" t="s">
        <v>458</v>
      </c>
      <c r="HP16" s="234"/>
      <c r="HQ16" s="234"/>
      <c r="HR16" s="41" t="s">
        <v>458</v>
      </c>
      <c r="HS16" s="41" t="s">
        <v>458</v>
      </c>
      <c r="HT16" s="41" t="s">
        <v>458</v>
      </c>
      <c r="HU16" s="41" t="s">
        <v>458</v>
      </c>
      <c r="HV16" s="41" t="s">
        <v>458</v>
      </c>
      <c r="HW16" s="234"/>
      <c r="HX16" s="234"/>
      <c r="HY16" s="41" t="s">
        <v>458</v>
      </c>
      <c r="HZ16" s="41" t="s">
        <v>458</v>
      </c>
      <c r="IA16" s="41" t="s">
        <v>458</v>
      </c>
      <c r="IB16" s="41" t="s">
        <v>458</v>
      </c>
      <c r="IC16" s="41" t="s">
        <v>458</v>
      </c>
      <c r="ID16" s="234"/>
      <c r="IE16" s="234"/>
      <c r="IF16" s="41" t="s">
        <v>458</v>
      </c>
      <c r="IG16" s="41" t="s">
        <v>458</v>
      </c>
      <c r="IH16" s="41" t="s">
        <v>458</v>
      </c>
      <c r="II16" s="41" t="s">
        <v>458</v>
      </c>
      <c r="IJ16" s="41" t="s">
        <v>458</v>
      </c>
      <c r="IK16" s="234"/>
      <c r="IL16" s="234"/>
      <c r="IM16" s="41" t="s">
        <v>458</v>
      </c>
      <c r="IN16" s="41" t="s">
        <v>458</v>
      </c>
      <c r="IO16" s="41" t="s">
        <v>458</v>
      </c>
      <c r="IP16" s="41" t="s">
        <v>458</v>
      </c>
      <c r="IQ16" s="41" t="s">
        <v>458</v>
      </c>
      <c r="IR16" s="234"/>
      <c r="IS16" s="234"/>
      <c r="IT16" s="41" t="s">
        <v>458</v>
      </c>
      <c r="IU16" s="41" t="s">
        <v>458</v>
      </c>
      <c r="IV16" s="41" t="s">
        <v>458</v>
      </c>
      <c r="IW16" s="41" t="s">
        <v>458</v>
      </c>
      <c r="IX16" s="41" t="s">
        <v>458</v>
      </c>
      <c r="IY16" s="234"/>
      <c r="IZ16" s="234"/>
      <c r="JA16" s="41" t="s">
        <v>458</v>
      </c>
      <c r="JB16" s="41" t="s">
        <v>458</v>
      </c>
      <c r="JC16" s="41" t="s">
        <v>458</v>
      </c>
      <c r="JD16" s="41" t="s">
        <v>458</v>
      </c>
      <c r="JE16" s="41" t="s">
        <v>458</v>
      </c>
      <c r="JF16" s="234"/>
      <c r="JG16" s="234"/>
      <c r="JH16" s="41" t="s">
        <v>458</v>
      </c>
      <c r="JI16" s="41" t="s">
        <v>458</v>
      </c>
      <c r="JJ16" s="41" t="s">
        <v>458</v>
      </c>
      <c r="JK16" s="41" t="s">
        <v>458</v>
      </c>
      <c r="JL16" s="41" t="s">
        <v>458</v>
      </c>
      <c r="JM16" s="234"/>
      <c r="JN16" s="234"/>
      <c r="JO16" s="41"/>
      <c r="JP16" s="41"/>
      <c r="JQ16" s="41"/>
      <c r="JR16" s="41"/>
      <c r="JS16" s="41"/>
      <c r="JT16" s="234"/>
      <c r="JU16" s="234"/>
      <c r="JV16" s="41"/>
      <c r="JW16" s="41"/>
      <c r="JX16" s="41"/>
      <c r="JY16" s="41"/>
      <c r="JZ16" s="41"/>
      <c r="KA16" s="234"/>
      <c r="KB16" s="234"/>
      <c r="KC16" s="41"/>
      <c r="KD16" s="41"/>
      <c r="KE16" s="41"/>
      <c r="KF16" s="41"/>
      <c r="KG16" s="41"/>
      <c r="KH16" s="234"/>
      <c r="KI16" s="234"/>
      <c r="KJ16" s="41"/>
      <c r="KK16" s="41"/>
      <c r="KL16" s="41"/>
      <c r="KM16" s="41"/>
      <c r="KN16" s="41"/>
      <c r="KO16" s="234"/>
      <c r="KP16" s="234"/>
      <c r="KQ16" s="41"/>
      <c r="KR16" s="41"/>
      <c r="KS16" s="41"/>
      <c r="KT16" s="41"/>
      <c r="KU16" s="41"/>
      <c r="KV16" s="234"/>
      <c r="KW16" s="234"/>
      <c r="KX16" s="41"/>
      <c r="KY16" s="41"/>
      <c r="KZ16" s="41"/>
      <c r="LA16" s="41"/>
      <c r="LB16" s="41"/>
      <c r="LC16" s="234"/>
      <c r="LD16" s="234"/>
      <c r="LE16" s="41"/>
      <c r="LF16" s="41"/>
      <c r="LG16" s="41"/>
      <c r="LH16" s="41"/>
      <c r="LI16" s="41"/>
      <c r="LJ16" s="234"/>
      <c r="LK16" s="234"/>
      <c r="LL16" s="41"/>
      <c r="LM16" s="41"/>
      <c r="LN16" s="41"/>
      <c r="LO16" s="41"/>
      <c r="LP16" s="41"/>
      <c r="LQ16" s="234"/>
      <c r="LR16" s="234"/>
      <c r="LS16" s="41"/>
      <c r="LT16" s="41"/>
      <c r="LU16" s="41"/>
      <c r="LV16" s="41"/>
      <c r="LW16" s="41"/>
      <c r="LX16" s="234"/>
      <c r="LY16" s="234"/>
      <c r="LZ16" s="41"/>
      <c r="MA16" s="41"/>
      <c r="MB16" s="41"/>
      <c r="MC16" s="41"/>
      <c r="MD16" s="41"/>
      <c r="ME16" s="234"/>
      <c r="MF16" s="234"/>
      <c r="MG16" s="41"/>
      <c r="MH16" s="41"/>
      <c r="MI16" s="41"/>
      <c r="MJ16" s="41"/>
      <c r="MK16" s="41"/>
      <c r="ML16" s="234"/>
      <c r="MM16" s="234"/>
      <c r="MN16" s="41"/>
      <c r="MO16" s="41"/>
      <c r="MP16" s="41"/>
      <c r="MQ16" s="41"/>
      <c r="MR16" s="41"/>
      <c r="MS16" s="234"/>
      <c r="MT16" s="234"/>
      <c r="MU16" s="41"/>
      <c r="MV16" s="41"/>
      <c r="MW16" s="41"/>
      <c r="MX16" s="41"/>
      <c r="MY16" s="41"/>
      <c r="MZ16" s="234"/>
      <c r="NA16" s="234"/>
      <c r="NB16" s="41"/>
      <c r="NC16" s="41"/>
      <c r="ND16" s="41"/>
      <c r="NE16" s="41"/>
      <c r="NF16" s="41"/>
      <c r="NG16" s="234"/>
      <c r="NH16" s="234"/>
      <c r="NI16" s="41"/>
      <c r="NJ16" s="41"/>
      <c r="NK16" s="41"/>
      <c r="NL16" s="41"/>
      <c r="NM16" s="41"/>
      <c r="NN16" s="234"/>
      <c r="NO16" s="234"/>
      <c r="NP16" s="41"/>
      <c r="NQ16" s="41"/>
      <c r="NR16" s="41"/>
      <c r="NS16" s="41"/>
      <c r="NT16" s="41"/>
      <c r="NU16" s="234"/>
      <c r="NV16" s="234"/>
      <c r="NW16" s="41"/>
      <c r="NX16" s="41"/>
      <c r="NY16" s="41"/>
      <c r="NZ16" s="41"/>
      <c r="OA16" s="41"/>
      <c r="OB16" s="234"/>
    </row>
    <row r="17" spans="2:392" x14ac:dyDescent="0.3">
      <c r="B17" s="38">
        <v>53018</v>
      </c>
      <c r="C17" s="9">
        <v>35</v>
      </c>
      <c r="D17" s="206" t="s">
        <v>20</v>
      </c>
      <c r="E17" s="187" t="s">
        <v>8</v>
      </c>
      <c r="F17" s="364" t="s">
        <v>113</v>
      </c>
      <c r="G17" s="170" t="s">
        <v>185</v>
      </c>
      <c r="H17" s="173" t="s">
        <v>57</v>
      </c>
      <c r="I17" s="41"/>
      <c r="J17" s="41"/>
      <c r="K17" s="41"/>
      <c r="L17" s="41"/>
      <c r="M17" s="41"/>
      <c r="N17" s="230"/>
      <c r="O17" s="230"/>
      <c r="P17" s="41"/>
      <c r="Q17" s="41"/>
      <c r="R17" s="41"/>
      <c r="S17" s="41"/>
      <c r="T17" s="41"/>
      <c r="U17" s="230"/>
      <c r="V17" s="230"/>
      <c r="W17" s="41" t="s">
        <v>458</v>
      </c>
      <c r="X17" s="41" t="s">
        <v>458</v>
      </c>
      <c r="Y17" s="41" t="s">
        <v>458</v>
      </c>
      <c r="Z17" s="41" t="s">
        <v>458</v>
      </c>
      <c r="AA17" s="41" t="s">
        <v>458</v>
      </c>
      <c r="AB17" s="230"/>
      <c r="AC17" s="230"/>
      <c r="AD17" s="41" t="s">
        <v>458</v>
      </c>
      <c r="AE17" s="41" t="s">
        <v>458</v>
      </c>
      <c r="AF17" s="41" t="s">
        <v>458</v>
      </c>
      <c r="AG17" s="41" t="s">
        <v>458</v>
      </c>
      <c r="AH17" s="41" t="s">
        <v>458</v>
      </c>
      <c r="AI17" s="230"/>
      <c r="AJ17" s="230"/>
      <c r="AK17" s="41" t="s">
        <v>458</v>
      </c>
      <c r="AL17" s="41" t="s">
        <v>458</v>
      </c>
      <c r="AM17" s="41" t="s">
        <v>458</v>
      </c>
      <c r="AN17" s="41" t="s">
        <v>458</v>
      </c>
      <c r="AO17" s="41" t="s">
        <v>458</v>
      </c>
      <c r="AP17" s="230"/>
      <c r="AQ17" s="230"/>
      <c r="AR17" s="41" t="s">
        <v>458</v>
      </c>
      <c r="AS17" s="41" t="s">
        <v>458</v>
      </c>
      <c r="AT17" s="41" t="s">
        <v>458</v>
      </c>
      <c r="AU17" s="41" t="s">
        <v>458</v>
      </c>
      <c r="AV17" s="41" t="s">
        <v>458</v>
      </c>
      <c r="AW17" s="230"/>
      <c r="AX17" s="230"/>
      <c r="AY17" s="41" t="s">
        <v>458</v>
      </c>
      <c r="AZ17" s="41" t="s">
        <v>458</v>
      </c>
      <c r="BA17" s="41" t="s">
        <v>458</v>
      </c>
      <c r="BB17" s="41" t="s">
        <v>458</v>
      </c>
      <c r="BC17" s="41" t="s">
        <v>458</v>
      </c>
      <c r="BD17" s="230"/>
      <c r="BE17" s="230"/>
      <c r="BF17" s="41"/>
      <c r="BG17" s="41"/>
      <c r="BH17" s="41"/>
      <c r="BI17" s="41"/>
      <c r="BJ17" s="41"/>
      <c r="BK17" s="41" t="s">
        <v>460</v>
      </c>
      <c r="BL17" s="41" t="s">
        <v>460</v>
      </c>
      <c r="BM17" s="41" t="s">
        <v>460</v>
      </c>
      <c r="BN17" s="41" t="s">
        <v>460</v>
      </c>
      <c r="BO17" s="41" t="s">
        <v>460</v>
      </c>
      <c r="BP17" s="41" t="s">
        <v>460</v>
      </c>
      <c r="BQ17" s="41" t="s">
        <v>460</v>
      </c>
      <c r="BR17" s="230"/>
      <c r="BS17" s="230"/>
      <c r="BT17" s="41" t="s">
        <v>458</v>
      </c>
      <c r="BU17" s="41" t="s">
        <v>458</v>
      </c>
      <c r="BV17" s="41" t="s">
        <v>458</v>
      </c>
      <c r="BW17" s="41" t="s">
        <v>458</v>
      </c>
      <c r="BX17" s="41" t="s">
        <v>458</v>
      </c>
      <c r="BY17" s="230"/>
      <c r="BZ17" s="230"/>
      <c r="CA17" s="41" t="s">
        <v>458</v>
      </c>
      <c r="CB17" s="41" t="s">
        <v>458</v>
      </c>
      <c r="CC17" s="41" t="s">
        <v>458</v>
      </c>
      <c r="CD17" s="41" t="s">
        <v>458</v>
      </c>
      <c r="CE17" s="41" t="s">
        <v>458</v>
      </c>
      <c r="CF17" s="230"/>
      <c r="CG17" s="230"/>
      <c r="CH17" s="41" t="s">
        <v>458</v>
      </c>
      <c r="CI17" s="41" t="s">
        <v>458</v>
      </c>
      <c r="CJ17" s="41" t="s">
        <v>458</v>
      </c>
      <c r="CK17" s="41" t="s">
        <v>458</v>
      </c>
      <c r="CL17" s="41" t="s">
        <v>458</v>
      </c>
      <c r="CM17" s="230"/>
      <c r="CN17" s="230"/>
      <c r="CO17" s="41" t="s">
        <v>458</v>
      </c>
      <c r="CP17" s="41" t="s">
        <v>458</v>
      </c>
      <c r="CQ17" s="41" t="s">
        <v>458</v>
      </c>
      <c r="CR17" s="41" t="s">
        <v>458</v>
      </c>
      <c r="CS17" s="41" t="s">
        <v>458</v>
      </c>
      <c r="CT17" s="230"/>
      <c r="CU17" s="230"/>
      <c r="CV17" s="41" t="s">
        <v>458</v>
      </c>
      <c r="CW17" s="41" t="s">
        <v>458</v>
      </c>
      <c r="CX17" s="41" t="s">
        <v>458</v>
      </c>
      <c r="CY17" s="41" t="s">
        <v>458</v>
      </c>
      <c r="CZ17" s="41" t="s">
        <v>458</v>
      </c>
      <c r="DA17" s="230"/>
      <c r="DB17" s="230"/>
      <c r="DC17" s="41" t="s">
        <v>458</v>
      </c>
      <c r="DD17" s="41" t="s">
        <v>458</v>
      </c>
      <c r="DE17" s="41" t="s">
        <v>458</v>
      </c>
      <c r="DF17" s="41" t="s">
        <v>458</v>
      </c>
      <c r="DG17" s="41" t="s">
        <v>458</v>
      </c>
      <c r="DH17" s="230"/>
      <c r="DI17" s="230"/>
      <c r="DJ17" s="41" t="s">
        <v>458</v>
      </c>
      <c r="DK17" s="41" t="s">
        <v>458</v>
      </c>
      <c r="DL17" s="41" t="s">
        <v>458</v>
      </c>
      <c r="DM17" s="41" t="s">
        <v>458</v>
      </c>
      <c r="DN17" s="41" t="s">
        <v>458</v>
      </c>
      <c r="DO17" s="230"/>
      <c r="DP17" s="230"/>
      <c r="DQ17" s="41" t="s">
        <v>458</v>
      </c>
      <c r="DR17" s="41" t="s">
        <v>458</v>
      </c>
      <c r="DS17" s="41" t="s">
        <v>458</v>
      </c>
      <c r="DT17" s="41" t="s">
        <v>458</v>
      </c>
      <c r="DU17" s="41" t="s">
        <v>458</v>
      </c>
      <c r="DV17" s="230"/>
      <c r="DW17" s="234"/>
      <c r="DX17" s="41" t="s">
        <v>460</v>
      </c>
      <c r="DY17" s="41" t="s">
        <v>458</v>
      </c>
      <c r="DZ17" s="41" t="s">
        <v>458</v>
      </c>
      <c r="EA17" s="41" t="s">
        <v>458</v>
      </c>
      <c r="EB17" s="41" t="s">
        <v>458</v>
      </c>
      <c r="EC17" s="230"/>
      <c r="ED17" s="230"/>
      <c r="EE17" s="41" t="s">
        <v>458</v>
      </c>
      <c r="EF17" s="41" t="s">
        <v>458</v>
      </c>
      <c r="EG17" s="41" t="s">
        <v>458</v>
      </c>
      <c r="EH17" s="41" t="s">
        <v>460</v>
      </c>
      <c r="EI17" s="41" t="s">
        <v>458</v>
      </c>
      <c r="EJ17" s="230"/>
      <c r="EK17" s="230"/>
      <c r="EL17" s="41" t="s">
        <v>458</v>
      </c>
      <c r="EM17" s="41" t="s">
        <v>458</v>
      </c>
      <c r="EN17" s="41" t="s">
        <v>458</v>
      </c>
      <c r="EO17" s="41" t="s">
        <v>458</v>
      </c>
      <c r="EP17" s="41" t="s">
        <v>458</v>
      </c>
      <c r="EQ17" s="230"/>
      <c r="ER17" s="230"/>
      <c r="ES17" s="41" t="s">
        <v>458</v>
      </c>
      <c r="ET17" s="41" t="s">
        <v>458</v>
      </c>
      <c r="EU17" s="41" t="s">
        <v>458</v>
      </c>
      <c r="EV17" s="41" t="s">
        <v>458</v>
      </c>
      <c r="EW17" s="41" t="s">
        <v>458</v>
      </c>
      <c r="EX17" s="230"/>
      <c r="EY17" s="230"/>
      <c r="EZ17" s="41" t="s">
        <v>458</v>
      </c>
      <c r="FA17" s="41" t="s">
        <v>458</v>
      </c>
      <c r="FB17" s="41" t="s">
        <v>458</v>
      </c>
      <c r="FC17" s="41" t="s">
        <v>458</v>
      </c>
      <c r="FD17" s="41" t="s">
        <v>458</v>
      </c>
      <c r="FE17" s="230"/>
      <c r="FF17" s="230"/>
      <c r="FG17" s="41" t="s">
        <v>458</v>
      </c>
      <c r="FH17" s="41" t="s">
        <v>458</v>
      </c>
      <c r="FI17" s="41" t="s">
        <v>458</v>
      </c>
      <c r="FJ17" s="41" t="s">
        <v>458</v>
      </c>
      <c r="FK17" s="41" t="s">
        <v>458</v>
      </c>
      <c r="FL17" s="230"/>
      <c r="FM17" s="230"/>
      <c r="FN17" s="41" t="s">
        <v>460</v>
      </c>
      <c r="FO17" s="41" t="s">
        <v>458</v>
      </c>
      <c r="FP17" s="41" t="s">
        <v>458</v>
      </c>
      <c r="FQ17" s="41" t="s">
        <v>458</v>
      </c>
      <c r="FR17" s="41" t="s">
        <v>458</v>
      </c>
      <c r="FS17" s="230"/>
      <c r="FT17" s="230"/>
      <c r="FU17" s="41" t="s">
        <v>458</v>
      </c>
      <c r="FV17" s="41" t="s">
        <v>458</v>
      </c>
      <c r="FW17" s="41" t="s">
        <v>458</v>
      </c>
      <c r="FX17" s="41" t="s">
        <v>458</v>
      </c>
      <c r="FY17" s="41" t="s">
        <v>458</v>
      </c>
      <c r="FZ17" s="230"/>
      <c r="GA17" s="230"/>
      <c r="GB17" s="41" t="s">
        <v>458</v>
      </c>
      <c r="GC17" s="41" t="s">
        <v>458</v>
      </c>
      <c r="GD17" s="41" t="s">
        <v>458</v>
      </c>
      <c r="GE17" s="41" t="s">
        <v>458</v>
      </c>
      <c r="GF17" s="41" t="s">
        <v>458</v>
      </c>
      <c r="GG17" s="230"/>
      <c r="GH17" s="230"/>
      <c r="GI17" s="41" t="s">
        <v>458</v>
      </c>
      <c r="GJ17" s="41" t="s">
        <v>458</v>
      </c>
      <c r="GK17" s="41" t="s">
        <v>458</v>
      </c>
      <c r="GL17" s="41" t="s">
        <v>458</v>
      </c>
      <c r="GM17" s="41" t="s">
        <v>458</v>
      </c>
      <c r="GN17" s="230"/>
      <c r="GO17" s="230"/>
      <c r="GP17" s="41" t="s">
        <v>458</v>
      </c>
      <c r="GQ17" s="41" t="s">
        <v>458</v>
      </c>
      <c r="GR17" s="41" t="s">
        <v>458</v>
      </c>
      <c r="GS17" s="41" t="s">
        <v>458</v>
      </c>
      <c r="GT17" s="41" t="s">
        <v>458</v>
      </c>
      <c r="GU17" s="230"/>
      <c r="GV17" s="230"/>
      <c r="GW17" s="41" t="s">
        <v>460</v>
      </c>
      <c r="GX17" s="41" t="s">
        <v>458</v>
      </c>
      <c r="GY17" s="41" t="s">
        <v>458</v>
      </c>
      <c r="GZ17" s="41" t="s">
        <v>458</v>
      </c>
      <c r="HA17" s="41" t="s">
        <v>458</v>
      </c>
      <c r="HB17" s="230"/>
      <c r="HC17" s="230"/>
      <c r="HD17" s="41" t="s">
        <v>458</v>
      </c>
      <c r="HE17" s="41" t="s">
        <v>458</v>
      </c>
      <c r="HF17" s="41" t="s">
        <v>458</v>
      </c>
      <c r="HG17" s="41" t="s">
        <v>458</v>
      </c>
      <c r="HH17" s="41" t="s">
        <v>458</v>
      </c>
      <c r="HI17" s="234"/>
      <c r="HJ17" s="234"/>
      <c r="HK17" s="41" t="s">
        <v>460</v>
      </c>
      <c r="HL17" s="41" t="s">
        <v>460</v>
      </c>
      <c r="HM17" s="41" t="s">
        <v>460</v>
      </c>
      <c r="HN17" s="41" t="s">
        <v>460</v>
      </c>
      <c r="HO17" s="41" t="s">
        <v>460</v>
      </c>
      <c r="HP17" s="234"/>
      <c r="HQ17" s="234"/>
      <c r="HR17" s="41" t="s">
        <v>460</v>
      </c>
      <c r="HS17" s="41" t="s">
        <v>460</v>
      </c>
      <c r="HT17" s="41" t="s">
        <v>460</v>
      </c>
      <c r="HU17" s="41" t="s">
        <v>460</v>
      </c>
      <c r="HV17" s="41" t="s">
        <v>460</v>
      </c>
      <c r="HW17" s="41"/>
      <c r="HX17" s="41"/>
      <c r="HY17" s="41" t="s">
        <v>458</v>
      </c>
      <c r="HZ17" s="41" t="s">
        <v>458</v>
      </c>
      <c r="IA17" s="41" t="s">
        <v>458</v>
      </c>
      <c r="IB17" s="41" t="s">
        <v>458</v>
      </c>
      <c r="IC17" s="41" t="s">
        <v>458</v>
      </c>
      <c r="ID17" s="234"/>
      <c r="IE17" s="234"/>
      <c r="IF17" s="41" t="s">
        <v>458</v>
      </c>
      <c r="IG17" s="41" t="s">
        <v>458</v>
      </c>
      <c r="IH17" s="41" t="s">
        <v>458</v>
      </c>
      <c r="II17" s="41" t="s">
        <v>458</v>
      </c>
      <c r="IJ17" s="41" t="s">
        <v>458</v>
      </c>
      <c r="IK17" s="234"/>
      <c r="IL17" s="234"/>
      <c r="IM17" s="41" t="s">
        <v>458</v>
      </c>
      <c r="IN17" s="41" t="s">
        <v>458</v>
      </c>
      <c r="IO17" s="41" t="s">
        <v>458</v>
      </c>
      <c r="IP17" s="41" t="s">
        <v>458</v>
      </c>
      <c r="IQ17" s="41" t="s">
        <v>458</v>
      </c>
      <c r="IR17" s="234"/>
      <c r="IS17" s="234"/>
      <c r="IT17" s="41" t="s">
        <v>458</v>
      </c>
      <c r="IU17" s="41" t="s">
        <v>458</v>
      </c>
      <c r="IV17" s="41" t="s">
        <v>458</v>
      </c>
      <c r="IW17" s="41" t="s">
        <v>458</v>
      </c>
      <c r="IX17" s="41" t="s">
        <v>458</v>
      </c>
      <c r="IY17" s="234"/>
      <c r="IZ17" s="234"/>
      <c r="JA17" s="41" t="s">
        <v>458</v>
      </c>
      <c r="JB17" s="41" t="s">
        <v>458</v>
      </c>
      <c r="JC17" s="41" t="s">
        <v>458</v>
      </c>
      <c r="JD17" s="41" t="s">
        <v>458</v>
      </c>
      <c r="JE17" s="41" t="s">
        <v>458</v>
      </c>
      <c r="JF17" s="234"/>
      <c r="JG17" s="234"/>
      <c r="JH17" s="41" t="s">
        <v>458</v>
      </c>
      <c r="JI17" s="41" t="s">
        <v>458</v>
      </c>
      <c r="JJ17" s="41" t="s">
        <v>458</v>
      </c>
      <c r="JK17" s="41" t="s">
        <v>458</v>
      </c>
      <c r="JL17" s="41" t="s">
        <v>458</v>
      </c>
      <c r="JM17" s="234"/>
      <c r="JN17" s="234"/>
      <c r="JO17" s="41"/>
      <c r="JP17" s="41"/>
      <c r="JQ17" s="41"/>
      <c r="JR17" s="41"/>
      <c r="JS17" s="41"/>
      <c r="JT17" s="234"/>
      <c r="JU17" s="234"/>
      <c r="JV17" s="41"/>
      <c r="JW17" s="41"/>
      <c r="JX17" s="41"/>
      <c r="JY17" s="41"/>
      <c r="JZ17" s="41"/>
      <c r="KA17" s="234"/>
      <c r="KB17" s="234"/>
      <c r="KC17" s="41"/>
      <c r="KD17" s="41"/>
      <c r="KE17" s="41"/>
      <c r="KF17" s="41"/>
      <c r="KG17" s="41"/>
      <c r="KH17" s="234"/>
      <c r="KI17" s="234"/>
      <c r="KJ17" s="41"/>
      <c r="KK17" s="41"/>
      <c r="KL17" s="41"/>
      <c r="KM17" s="41"/>
      <c r="KN17" s="41"/>
      <c r="KO17" s="234"/>
      <c r="KP17" s="234"/>
      <c r="KQ17" s="41"/>
      <c r="KR17" s="41"/>
      <c r="KS17" s="41"/>
      <c r="KT17" s="41"/>
      <c r="KU17" s="41"/>
      <c r="KV17" s="234"/>
      <c r="KW17" s="234"/>
      <c r="KX17" s="41"/>
      <c r="KY17" s="41"/>
      <c r="KZ17" s="41"/>
      <c r="LA17" s="41"/>
      <c r="LB17" s="41"/>
      <c r="LC17" s="234"/>
      <c r="LD17" s="234"/>
      <c r="LE17" s="41"/>
      <c r="LF17" s="41"/>
      <c r="LG17" s="41"/>
      <c r="LH17" s="41"/>
      <c r="LI17" s="41"/>
      <c r="LJ17" s="234"/>
      <c r="LK17" s="234"/>
      <c r="LL17" s="41"/>
      <c r="LM17" s="41"/>
      <c r="LN17" s="41"/>
      <c r="LO17" s="41"/>
      <c r="LP17" s="41"/>
      <c r="LQ17" s="234"/>
      <c r="LR17" s="234"/>
      <c r="LS17" s="41"/>
      <c r="LT17" s="41"/>
      <c r="LU17" s="41"/>
      <c r="LV17" s="41"/>
      <c r="LW17" s="41"/>
      <c r="LX17" s="234"/>
      <c r="LY17" s="234"/>
      <c r="LZ17" s="41"/>
      <c r="MA17" s="41"/>
      <c r="MB17" s="41"/>
      <c r="MC17" s="41"/>
      <c r="MD17" s="41"/>
      <c r="ME17" s="234"/>
      <c r="MF17" s="234"/>
      <c r="MG17" s="41"/>
      <c r="MH17" s="41"/>
      <c r="MI17" s="41"/>
      <c r="MJ17" s="41"/>
      <c r="MK17" s="41"/>
      <c r="ML17" s="234"/>
      <c r="MM17" s="234"/>
      <c r="MN17" s="41"/>
      <c r="MO17" s="41"/>
      <c r="MP17" s="41"/>
      <c r="MQ17" s="41"/>
      <c r="MR17" s="41"/>
      <c r="MS17" s="234"/>
      <c r="MT17" s="234"/>
      <c r="MU17" s="41"/>
      <c r="MV17" s="41"/>
      <c r="MW17" s="41"/>
      <c r="MX17" s="41"/>
      <c r="MY17" s="41"/>
      <c r="MZ17" s="234"/>
      <c r="NA17" s="234"/>
      <c r="NB17" s="41"/>
      <c r="NC17" s="41"/>
      <c r="ND17" s="41"/>
      <c r="NE17" s="41"/>
      <c r="NF17" s="41"/>
      <c r="NG17" s="234"/>
      <c r="NH17" s="234"/>
      <c r="NI17" s="41"/>
      <c r="NJ17" s="41"/>
      <c r="NK17" s="41"/>
      <c r="NL17" s="41"/>
      <c r="NM17" s="41"/>
      <c r="NN17" s="234"/>
      <c r="NO17" s="234"/>
      <c r="NP17" s="41"/>
      <c r="NQ17" s="41"/>
      <c r="NR17" s="41"/>
      <c r="NS17" s="41"/>
      <c r="NT17" s="41"/>
      <c r="NU17" s="234"/>
      <c r="NV17" s="234"/>
      <c r="NW17" s="41"/>
      <c r="NX17" s="41"/>
      <c r="NY17" s="41"/>
      <c r="NZ17" s="41"/>
      <c r="OA17" s="41"/>
      <c r="OB17" s="234"/>
    </row>
    <row r="18" spans="2:392" x14ac:dyDescent="0.3">
      <c r="B18" s="54">
        <v>105861</v>
      </c>
      <c r="C18" s="55">
        <v>35</v>
      </c>
      <c r="D18" s="206" t="s">
        <v>20</v>
      </c>
      <c r="E18" s="187" t="s">
        <v>8</v>
      </c>
      <c r="F18" s="357" t="s">
        <v>9</v>
      </c>
      <c r="G18" s="341" t="s">
        <v>910</v>
      </c>
      <c r="H18" s="380" t="s">
        <v>156</v>
      </c>
      <c r="I18" s="239"/>
      <c r="J18" s="41"/>
      <c r="K18" s="41"/>
      <c r="L18" s="41"/>
      <c r="M18" s="41"/>
      <c r="N18" s="230"/>
      <c r="O18" s="230"/>
      <c r="P18" s="41"/>
      <c r="Q18" s="41"/>
      <c r="R18" s="41"/>
      <c r="S18" s="41"/>
      <c r="T18" s="41"/>
      <c r="U18" s="230"/>
      <c r="V18" s="230"/>
      <c r="W18" s="41"/>
      <c r="X18" s="41"/>
      <c r="Y18" s="41"/>
      <c r="Z18" s="41"/>
      <c r="AA18" s="41"/>
      <c r="AB18" s="230"/>
      <c r="AC18" s="230"/>
      <c r="AD18" s="41"/>
      <c r="AE18" s="41"/>
      <c r="AF18" s="41"/>
      <c r="AG18" s="41"/>
      <c r="AH18" s="41"/>
      <c r="AI18" s="230"/>
      <c r="AJ18" s="230"/>
      <c r="AK18" s="41"/>
      <c r="AL18" s="41"/>
      <c r="AM18" s="41"/>
      <c r="AN18" s="41"/>
      <c r="AO18" s="41"/>
      <c r="AP18" s="230"/>
      <c r="AQ18" s="230"/>
      <c r="AR18" s="41"/>
      <c r="AS18" s="41"/>
      <c r="AT18" s="41"/>
      <c r="AU18" s="41"/>
      <c r="AV18" s="41"/>
      <c r="AW18" s="230"/>
      <c r="AX18" s="230"/>
      <c r="AY18" s="41"/>
      <c r="AZ18" s="41"/>
      <c r="BA18" s="41"/>
      <c r="BB18" s="41"/>
      <c r="BC18" s="41"/>
      <c r="BD18" s="230"/>
      <c r="BE18" s="230"/>
      <c r="BF18" s="41"/>
      <c r="BG18" s="41"/>
      <c r="BH18" s="41"/>
      <c r="BI18" s="41"/>
      <c r="BJ18" s="41"/>
      <c r="BK18" s="230"/>
      <c r="BL18" s="230"/>
      <c r="BM18" s="41"/>
      <c r="BN18" s="41"/>
      <c r="BO18" s="41"/>
      <c r="BP18" s="41"/>
      <c r="BQ18" s="41"/>
      <c r="BR18" s="230"/>
      <c r="BS18" s="230"/>
      <c r="BT18" s="41"/>
      <c r="BU18" s="41"/>
      <c r="BV18" s="41"/>
      <c r="BW18" s="41"/>
      <c r="BX18" s="41"/>
      <c r="BY18" s="230"/>
      <c r="BZ18" s="230"/>
      <c r="CA18" s="41"/>
      <c r="CB18" s="41"/>
      <c r="CC18" s="41"/>
      <c r="CD18" s="41"/>
      <c r="CE18" s="41"/>
      <c r="CF18" s="230"/>
      <c r="CG18" s="230"/>
      <c r="CH18" s="41"/>
      <c r="CI18" s="41"/>
      <c r="CJ18" s="41"/>
      <c r="CK18" s="41"/>
      <c r="CL18" s="41"/>
      <c r="CM18" s="230"/>
      <c r="CN18" s="230"/>
      <c r="CO18" s="41"/>
      <c r="CP18" s="41"/>
      <c r="CQ18" s="41"/>
      <c r="CR18" s="41"/>
      <c r="CS18" s="41"/>
      <c r="CT18" s="230"/>
      <c r="CU18" s="230"/>
      <c r="CV18" s="41"/>
      <c r="CW18" s="41"/>
      <c r="CX18" s="41"/>
      <c r="CY18" s="41"/>
      <c r="CZ18" s="41"/>
      <c r="DA18" s="230"/>
      <c r="DB18" s="230"/>
      <c r="DC18" s="41"/>
      <c r="DD18" s="41"/>
      <c r="DE18" s="41"/>
      <c r="DF18" s="41"/>
      <c r="DG18" s="41"/>
      <c r="DH18" s="230"/>
      <c r="DI18" s="230"/>
      <c r="DJ18" s="41"/>
      <c r="DK18" s="41"/>
      <c r="DL18" s="41"/>
      <c r="DM18" s="41"/>
      <c r="DN18" s="41"/>
      <c r="DO18" s="230"/>
      <c r="DP18" s="230"/>
      <c r="DQ18" s="41"/>
      <c r="DR18" s="41"/>
      <c r="DS18" s="41"/>
      <c r="DT18" s="41"/>
      <c r="DU18" s="41"/>
      <c r="DV18" s="230"/>
      <c r="DW18" s="230"/>
      <c r="DX18" s="41" t="s">
        <v>460</v>
      </c>
      <c r="DY18" s="41"/>
      <c r="DZ18" s="41"/>
      <c r="EA18" s="41"/>
      <c r="EB18" s="41"/>
      <c r="EC18" s="230"/>
      <c r="ED18" s="230"/>
      <c r="EE18" s="41"/>
      <c r="EF18" s="41"/>
      <c r="EG18" s="41"/>
      <c r="EH18" s="41" t="s">
        <v>460</v>
      </c>
      <c r="EI18" s="41"/>
      <c r="EJ18" s="230"/>
      <c r="EK18" s="230"/>
      <c r="EL18" s="41"/>
      <c r="EM18" s="41"/>
      <c r="EN18" s="41"/>
      <c r="EO18" s="41"/>
      <c r="EP18" s="41"/>
      <c r="EQ18" s="230"/>
      <c r="ER18" s="230"/>
      <c r="ES18" s="41"/>
      <c r="ET18" s="41"/>
      <c r="EU18" s="41"/>
      <c r="EV18" s="41"/>
      <c r="EW18" s="41"/>
      <c r="EX18" s="230"/>
      <c r="EY18" s="230"/>
      <c r="EZ18" s="41"/>
      <c r="FA18" s="41"/>
      <c r="FB18" s="41"/>
      <c r="FC18" s="41"/>
      <c r="FD18" s="41"/>
      <c r="FE18" s="230"/>
      <c r="FF18" s="230"/>
      <c r="FG18" s="41" t="s">
        <v>460</v>
      </c>
      <c r="FH18" s="41" t="s">
        <v>460</v>
      </c>
      <c r="FI18" s="41" t="s">
        <v>460</v>
      </c>
      <c r="FJ18" s="41" t="s">
        <v>460</v>
      </c>
      <c r="FK18" s="41" t="s">
        <v>460</v>
      </c>
      <c r="FL18" s="230"/>
      <c r="FM18" s="230"/>
      <c r="FN18" s="41" t="s">
        <v>460</v>
      </c>
      <c r="FO18" s="41"/>
      <c r="FP18" s="41"/>
      <c r="FQ18" s="41"/>
      <c r="FR18" s="41"/>
      <c r="FS18" s="230"/>
      <c r="FT18" s="230"/>
      <c r="FU18" s="41"/>
      <c r="FV18" s="41"/>
      <c r="FW18" s="41"/>
      <c r="FX18" s="41"/>
      <c r="FY18" s="41"/>
      <c r="FZ18" s="230"/>
      <c r="GA18" s="230"/>
      <c r="GB18" s="41"/>
      <c r="GC18" s="41"/>
      <c r="GD18" s="41"/>
      <c r="GE18" s="41"/>
      <c r="GF18" s="41"/>
      <c r="GG18" s="230"/>
      <c r="GH18" s="230"/>
      <c r="GI18" s="41"/>
      <c r="GJ18" s="41"/>
      <c r="GK18" s="41"/>
      <c r="GL18" s="41"/>
      <c r="GM18" s="41"/>
      <c r="GN18" s="230"/>
      <c r="GO18" s="230"/>
      <c r="GP18" s="41"/>
      <c r="GQ18" s="41"/>
      <c r="GR18" s="41"/>
      <c r="GS18" s="41"/>
      <c r="GT18" s="41"/>
      <c r="GU18" s="230"/>
      <c r="GV18" s="230"/>
      <c r="GW18" s="41" t="s">
        <v>460</v>
      </c>
      <c r="GX18" s="41"/>
      <c r="GY18" s="41"/>
      <c r="GZ18" s="41"/>
      <c r="HA18" s="41"/>
      <c r="HB18" s="230"/>
      <c r="HC18" s="230"/>
      <c r="HD18" s="41"/>
      <c r="HE18" s="41"/>
      <c r="HF18" s="41"/>
      <c r="HG18" s="41"/>
      <c r="HH18" s="41"/>
      <c r="HI18" s="234"/>
      <c r="HJ18" s="234"/>
      <c r="HK18" s="41"/>
      <c r="HL18" s="41"/>
      <c r="HM18" s="41"/>
      <c r="HN18" s="41"/>
      <c r="HO18" s="41"/>
      <c r="HP18" s="234"/>
      <c r="HQ18" s="234"/>
      <c r="HR18" s="41"/>
      <c r="HS18" s="41"/>
      <c r="HT18" s="41"/>
      <c r="HU18" s="41"/>
      <c r="HV18" s="41"/>
      <c r="HW18" s="234"/>
      <c r="HX18" s="234"/>
      <c r="HY18" s="41"/>
      <c r="HZ18" s="41"/>
      <c r="IA18" s="41"/>
      <c r="IB18" s="41"/>
      <c r="IC18" s="41"/>
      <c r="ID18" s="234"/>
      <c r="IE18" s="234"/>
      <c r="IF18" s="41"/>
      <c r="IG18" s="41"/>
      <c r="IH18" s="41"/>
      <c r="II18" s="41"/>
      <c r="IJ18" s="41"/>
      <c r="IK18" s="234"/>
      <c r="IL18" s="234"/>
      <c r="IM18" s="41"/>
      <c r="IN18" s="41"/>
      <c r="IO18" s="41"/>
      <c r="IP18" s="41"/>
      <c r="IQ18" s="41"/>
      <c r="IR18" s="234"/>
      <c r="IS18" s="234"/>
      <c r="IT18" s="41"/>
      <c r="IU18" s="41"/>
      <c r="IV18" s="41"/>
      <c r="IW18" s="41"/>
      <c r="IX18" s="41"/>
      <c r="IY18" s="234"/>
      <c r="IZ18" s="234"/>
      <c r="JA18" s="41"/>
      <c r="JB18" s="41"/>
      <c r="JC18" s="41"/>
      <c r="JD18" s="41"/>
      <c r="JE18" s="41"/>
      <c r="JF18" s="234"/>
      <c r="JG18" s="234"/>
      <c r="JH18" s="41"/>
      <c r="JI18" s="41"/>
      <c r="JJ18" s="41"/>
      <c r="JK18" s="41"/>
      <c r="JL18" s="41"/>
      <c r="JM18" s="234"/>
      <c r="JN18" s="234"/>
      <c r="JO18" s="41"/>
      <c r="JP18" s="41"/>
      <c r="JQ18" s="41"/>
      <c r="JR18" s="41"/>
      <c r="JS18" s="41"/>
      <c r="JT18" s="234"/>
      <c r="JU18" s="234"/>
      <c r="JV18" s="41"/>
      <c r="JW18" s="41"/>
      <c r="JX18" s="41"/>
      <c r="JY18" s="41"/>
      <c r="JZ18" s="41"/>
      <c r="KA18" s="234"/>
      <c r="KB18" s="234"/>
      <c r="KC18" s="41"/>
      <c r="KD18" s="41"/>
      <c r="KE18" s="41"/>
      <c r="KF18" s="41"/>
      <c r="KG18" s="41"/>
      <c r="KH18" s="234"/>
      <c r="KI18" s="234"/>
      <c r="KJ18" s="41"/>
      <c r="KK18" s="41"/>
      <c r="KL18" s="41"/>
      <c r="KM18" s="41"/>
      <c r="KN18" s="41"/>
      <c r="KO18" s="234"/>
      <c r="KP18" s="234"/>
      <c r="KQ18" s="41"/>
      <c r="KR18" s="41"/>
      <c r="KS18" s="41"/>
      <c r="KT18" s="41"/>
      <c r="KU18" s="41"/>
      <c r="KV18" s="234"/>
      <c r="KW18" s="234"/>
      <c r="KX18" s="41"/>
      <c r="KY18" s="41"/>
      <c r="KZ18" s="41"/>
      <c r="LA18" s="41"/>
      <c r="LB18" s="41"/>
      <c r="LC18" s="234"/>
      <c r="LD18" s="234"/>
      <c r="LE18" s="41"/>
      <c r="LF18" s="41"/>
      <c r="LG18" s="41"/>
      <c r="LH18" s="41"/>
      <c r="LI18" s="41"/>
      <c r="LJ18" s="234"/>
      <c r="LK18" s="234"/>
      <c r="LL18" s="41"/>
      <c r="LM18" s="41"/>
      <c r="LN18" s="41"/>
      <c r="LO18" s="41"/>
      <c r="LP18" s="41"/>
      <c r="LQ18" s="234"/>
      <c r="LR18" s="234"/>
      <c r="LS18" s="41"/>
      <c r="LT18" s="41"/>
      <c r="LU18" s="41"/>
      <c r="LV18" s="41"/>
      <c r="LW18" s="41"/>
      <c r="LX18" s="234"/>
      <c r="LY18" s="234"/>
      <c r="LZ18" s="41"/>
      <c r="MA18" s="41"/>
      <c r="MB18" s="41"/>
      <c r="MC18" s="41"/>
      <c r="MD18" s="41"/>
      <c r="ME18" s="234"/>
      <c r="MF18" s="234"/>
      <c r="MG18" s="41"/>
      <c r="MH18" s="41"/>
      <c r="MI18" s="41"/>
      <c r="MJ18" s="41"/>
      <c r="MK18" s="41"/>
      <c r="ML18" s="234"/>
      <c r="MM18" s="234"/>
      <c r="MN18" s="41"/>
      <c r="MO18" s="41"/>
      <c r="MP18" s="41"/>
      <c r="MQ18" s="41"/>
      <c r="MR18" s="41"/>
      <c r="MS18" s="234"/>
      <c r="MT18" s="234"/>
      <c r="MU18" s="41"/>
      <c r="MV18" s="41"/>
      <c r="MW18" s="41"/>
      <c r="MX18" s="41"/>
      <c r="MY18" s="41"/>
      <c r="MZ18" s="234"/>
      <c r="NA18" s="234"/>
      <c r="NB18" s="41"/>
      <c r="NC18" s="41"/>
      <c r="ND18" s="41"/>
      <c r="NE18" s="41"/>
      <c r="NF18" s="41"/>
      <c r="NG18" s="234"/>
      <c r="NH18" s="234"/>
      <c r="NI18" s="41"/>
      <c r="NJ18" s="41"/>
      <c r="NK18" s="41"/>
      <c r="NL18" s="41"/>
      <c r="NM18" s="41"/>
      <c r="NN18" s="234"/>
      <c r="NO18" s="234"/>
      <c r="NP18" s="41"/>
      <c r="NQ18" s="41"/>
      <c r="NR18" s="41"/>
      <c r="NS18" s="41"/>
      <c r="NT18" s="41"/>
      <c r="NU18" s="234"/>
      <c r="NV18" s="234"/>
      <c r="NW18" s="41"/>
      <c r="NX18" s="41"/>
      <c r="NY18" s="41"/>
      <c r="NZ18" s="41"/>
      <c r="OA18" s="41"/>
      <c r="OB18" s="234"/>
    </row>
    <row r="19" spans="2:392" x14ac:dyDescent="0.3">
      <c r="B19" s="8">
        <v>103711</v>
      </c>
      <c r="C19" s="9">
        <v>35</v>
      </c>
      <c r="D19" s="207" t="s">
        <v>20</v>
      </c>
      <c r="E19" s="347" t="s">
        <v>8</v>
      </c>
      <c r="F19" s="357" t="s">
        <v>9</v>
      </c>
      <c r="G19" s="170" t="s">
        <v>264</v>
      </c>
      <c r="H19" s="173" t="s">
        <v>265</v>
      </c>
      <c r="I19" s="239"/>
      <c r="J19" s="41"/>
      <c r="K19" s="41"/>
      <c r="L19" s="41"/>
      <c r="M19" s="41"/>
      <c r="N19" s="230"/>
      <c r="O19" s="230"/>
      <c r="P19" s="41"/>
      <c r="Q19" s="41"/>
      <c r="R19" s="41"/>
      <c r="S19" s="41"/>
      <c r="T19" s="41"/>
      <c r="U19" s="230"/>
      <c r="V19" s="230"/>
      <c r="W19" s="41"/>
      <c r="X19" s="41"/>
      <c r="Y19" s="41"/>
      <c r="Z19" s="41"/>
      <c r="AA19" s="41"/>
      <c r="AB19" s="230"/>
      <c r="AC19" s="230"/>
      <c r="AD19" s="41"/>
      <c r="AE19" s="41"/>
      <c r="AF19" s="41"/>
      <c r="AG19" s="41"/>
      <c r="AH19" s="41"/>
      <c r="AI19" s="230"/>
      <c r="AJ19" s="230"/>
      <c r="AK19" s="41"/>
      <c r="AL19" s="41"/>
      <c r="AM19" s="41"/>
      <c r="AN19" s="41"/>
      <c r="AO19" s="41"/>
      <c r="AP19" s="230"/>
      <c r="AQ19" s="230"/>
      <c r="AR19" s="41"/>
      <c r="AS19" s="41"/>
      <c r="AT19" s="41"/>
      <c r="AU19" s="41"/>
      <c r="AV19" s="41"/>
      <c r="AW19" s="230"/>
      <c r="AX19" s="230"/>
      <c r="AY19" s="41"/>
      <c r="AZ19" s="41"/>
      <c r="BA19" s="41"/>
      <c r="BB19" s="41"/>
      <c r="BC19" s="41"/>
      <c r="BD19" s="230"/>
      <c r="BE19" s="230"/>
      <c r="BF19" s="41" t="s">
        <v>460</v>
      </c>
      <c r="BG19" s="41" t="s">
        <v>460</v>
      </c>
      <c r="BH19" s="41" t="s">
        <v>460</v>
      </c>
      <c r="BI19" s="41" t="s">
        <v>460</v>
      </c>
      <c r="BJ19" s="41" t="s">
        <v>460</v>
      </c>
      <c r="BK19" s="230"/>
      <c r="BL19" s="230"/>
      <c r="BM19" s="41"/>
      <c r="BN19" s="41"/>
      <c r="BO19" s="41"/>
      <c r="BP19" s="41"/>
      <c r="BQ19" s="41"/>
      <c r="BR19" s="230"/>
      <c r="BS19" s="230"/>
      <c r="BT19" s="41"/>
      <c r="BU19" s="41"/>
      <c r="BV19" s="41"/>
      <c r="BW19" s="41"/>
      <c r="BX19" s="41"/>
      <c r="BY19" s="41" t="s">
        <v>460</v>
      </c>
      <c r="BZ19" s="41" t="s">
        <v>460</v>
      </c>
      <c r="CA19" s="41"/>
      <c r="CB19" s="41"/>
      <c r="CC19" s="41"/>
      <c r="CD19" s="41"/>
      <c r="CE19" s="41"/>
      <c r="CF19" s="41" t="s">
        <v>460</v>
      </c>
      <c r="CG19" s="41" t="s">
        <v>460</v>
      </c>
      <c r="CH19" s="41"/>
      <c r="CI19" s="41"/>
      <c r="CJ19" s="41"/>
      <c r="CK19" s="41"/>
      <c r="CL19" s="41"/>
      <c r="CM19" s="41" t="s">
        <v>460</v>
      </c>
      <c r="CN19" s="41" t="s">
        <v>460</v>
      </c>
      <c r="CO19" s="41"/>
      <c r="CP19" s="41"/>
      <c r="CQ19" s="41"/>
      <c r="CR19" s="41"/>
      <c r="CS19" s="41"/>
      <c r="CT19" s="230"/>
      <c r="CU19" s="230"/>
      <c r="CV19" s="41"/>
      <c r="CW19" s="41"/>
      <c r="CX19" s="41"/>
      <c r="CY19" s="41"/>
      <c r="CZ19" s="41"/>
      <c r="DA19" s="230"/>
      <c r="DB19" s="230"/>
      <c r="DC19" s="41"/>
      <c r="DD19" s="41"/>
      <c r="DE19" s="41"/>
      <c r="DF19" s="41"/>
      <c r="DG19" s="41"/>
      <c r="DH19" s="230"/>
      <c r="DI19" s="230"/>
      <c r="DJ19" s="41"/>
      <c r="DK19" s="41"/>
      <c r="DL19" s="41"/>
      <c r="DM19" s="41"/>
      <c r="DN19" s="41"/>
      <c r="DO19" s="230"/>
      <c r="DP19" s="230"/>
      <c r="DQ19" s="41"/>
      <c r="DR19" s="41"/>
      <c r="DS19" s="41"/>
      <c r="DT19" s="41"/>
      <c r="DU19" s="41"/>
      <c r="DV19" s="230"/>
      <c r="DW19" s="234"/>
      <c r="DX19" s="41" t="s">
        <v>460</v>
      </c>
      <c r="DY19" s="41"/>
      <c r="DZ19" s="41"/>
      <c r="EA19" s="41"/>
      <c r="EB19" s="41"/>
      <c r="EC19" s="230"/>
      <c r="ED19" s="230"/>
      <c r="EE19" s="41"/>
      <c r="EF19" s="41"/>
      <c r="EG19" s="41"/>
      <c r="EH19" s="41" t="s">
        <v>460</v>
      </c>
      <c r="EI19" s="41"/>
      <c r="EJ19" s="230"/>
      <c r="EK19" s="230"/>
      <c r="EL19" s="41"/>
      <c r="EM19" s="41"/>
      <c r="EN19" s="41"/>
      <c r="EO19" s="41"/>
      <c r="EP19" s="41"/>
      <c r="EQ19" s="230"/>
      <c r="ER19" s="230"/>
      <c r="ES19" s="41"/>
      <c r="ET19" s="41"/>
      <c r="EU19" s="41"/>
      <c r="EV19" s="41"/>
      <c r="EW19" s="41"/>
      <c r="EX19" s="230"/>
      <c r="EY19" s="230"/>
      <c r="EZ19" s="41"/>
      <c r="FA19" s="41"/>
      <c r="FB19" s="41"/>
      <c r="FC19" s="41"/>
      <c r="FD19" s="41"/>
      <c r="FE19" s="230"/>
      <c r="FF19" s="230"/>
      <c r="FG19" s="41"/>
      <c r="FH19" s="41"/>
      <c r="FI19" s="41"/>
      <c r="FJ19" s="41"/>
      <c r="FK19" s="41"/>
      <c r="FL19" s="230"/>
      <c r="FM19" s="230"/>
      <c r="FN19" s="41" t="s">
        <v>460</v>
      </c>
      <c r="FO19" s="41"/>
      <c r="FP19" s="41"/>
      <c r="FQ19" s="41"/>
      <c r="FR19" s="41"/>
      <c r="FS19" s="230"/>
      <c r="FT19" s="230"/>
      <c r="FU19" s="41"/>
      <c r="FV19" s="41"/>
      <c r="FW19" s="41"/>
      <c r="FX19" s="41"/>
      <c r="FY19" s="41"/>
      <c r="FZ19" s="230"/>
      <c r="GA19" s="230"/>
      <c r="GB19" s="41"/>
      <c r="GC19" s="41"/>
      <c r="GD19" s="41"/>
      <c r="GE19" s="41"/>
      <c r="GF19" s="41"/>
      <c r="GG19" s="230"/>
      <c r="GH19" s="230"/>
      <c r="GI19" s="41"/>
      <c r="GJ19" s="41"/>
      <c r="GK19" s="41"/>
      <c r="GL19" s="41"/>
      <c r="GM19" s="41"/>
      <c r="GN19" s="230"/>
      <c r="GO19" s="230"/>
      <c r="GP19" s="41"/>
      <c r="GQ19" s="41"/>
      <c r="GR19" s="41"/>
      <c r="GS19" s="41"/>
      <c r="GT19" s="41"/>
      <c r="GU19" s="230"/>
      <c r="GV19" s="230"/>
      <c r="GW19" s="41" t="s">
        <v>460</v>
      </c>
      <c r="GX19" s="41"/>
      <c r="GY19" s="41"/>
      <c r="GZ19" s="41"/>
      <c r="HA19" s="41"/>
      <c r="HB19" s="230"/>
      <c r="HC19" s="230"/>
      <c r="HD19" s="41"/>
      <c r="HE19" s="41"/>
      <c r="HF19" s="41"/>
      <c r="HG19" s="41"/>
      <c r="HH19" s="41"/>
      <c r="HI19" s="234"/>
      <c r="HJ19" s="234"/>
      <c r="HK19" s="41"/>
      <c r="HL19" s="41"/>
      <c r="HM19" s="41"/>
      <c r="HN19" s="41"/>
      <c r="HO19" s="41"/>
      <c r="HP19" s="234"/>
      <c r="HQ19" s="234"/>
      <c r="HR19" s="41"/>
      <c r="HS19" s="41"/>
      <c r="HT19" s="41"/>
      <c r="HU19" s="41"/>
      <c r="HV19" s="41"/>
      <c r="HW19" s="234"/>
      <c r="HX19" s="234"/>
      <c r="HY19" s="41" t="s">
        <v>460</v>
      </c>
      <c r="HZ19" s="41" t="s">
        <v>460</v>
      </c>
      <c r="IA19" s="41" t="s">
        <v>460</v>
      </c>
      <c r="IB19" s="41" t="s">
        <v>460</v>
      </c>
      <c r="IC19" s="41" t="s">
        <v>460</v>
      </c>
      <c r="ID19" s="234"/>
      <c r="IE19" s="234"/>
      <c r="IF19" s="41" t="s">
        <v>460</v>
      </c>
      <c r="IG19" s="41" t="s">
        <v>460</v>
      </c>
      <c r="IH19" s="41" t="s">
        <v>460</v>
      </c>
      <c r="II19" s="41" t="s">
        <v>460</v>
      </c>
      <c r="IJ19" s="41" t="s">
        <v>460</v>
      </c>
      <c r="IK19" s="41"/>
      <c r="IL19" s="41"/>
      <c r="IM19" s="41" t="s">
        <v>460</v>
      </c>
      <c r="IN19" s="41" t="s">
        <v>460</v>
      </c>
      <c r="IO19" s="41" t="s">
        <v>460</v>
      </c>
      <c r="IP19" s="41" t="s">
        <v>460</v>
      </c>
      <c r="IQ19" s="41" t="s">
        <v>460</v>
      </c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234"/>
      <c r="JG19" s="234"/>
      <c r="JH19" s="41"/>
      <c r="JI19" s="41"/>
      <c r="JJ19" s="41"/>
      <c r="JK19" s="41"/>
      <c r="JL19" s="41"/>
      <c r="JM19" s="234"/>
      <c r="JN19" s="234"/>
      <c r="JO19" s="41"/>
      <c r="JP19" s="41"/>
      <c r="JQ19" s="41"/>
      <c r="JR19" s="41"/>
      <c r="JS19" s="41"/>
      <c r="JT19" s="234"/>
      <c r="JU19" s="234"/>
      <c r="JV19" s="41"/>
      <c r="JW19" s="41"/>
      <c r="JX19" s="41"/>
      <c r="JY19" s="41"/>
      <c r="JZ19" s="41"/>
      <c r="KA19" s="234"/>
      <c r="KB19" s="234"/>
      <c r="KC19" s="41"/>
      <c r="KD19" s="41"/>
      <c r="KE19" s="41"/>
      <c r="KF19" s="41"/>
      <c r="KG19" s="41"/>
      <c r="KH19" s="234"/>
      <c r="KI19" s="234"/>
      <c r="KJ19" s="41"/>
      <c r="KK19" s="41"/>
      <c r="KL19" s="41"/>
      <c r="KM19" s="41"/>
      <c r="KN19" s="41"/>
      <c r="KO19" s="234"/>
      <c r="KP19" s="234"/>
      <c r="KQ19" s="41"/>
      <c r="KR19" s="41"/>
      <c r="KS19" s="41"/>
      <c r="KT19" s="41"/>
      <c r="KU19" s="41"/>
      <c r="KV19" s="234"/>
      <c r="KW19" s="234"/>
      <c r="KX19" s="41"/>
      <c r="KY19" s="41"/>
      <c r="KZ19" s="41"/>
      <c r="LA19" s="41"/>
      <c r="LB19" s="41"/>
      <c r="LC19" s="234"/>
      <c r="LD19" s="234"/>
      <c r="LE19" s="41"/>
      <c r="LF19" s="41"/>
      <c r="LG19" s="41"/>
      <c r="LH19" s="41"/>
      <c r="LI19" s="41"/>
      <c r="LJ19" s="234"/>
      <c r="LK19" s="234"/>
      <c r="LL19" s="41"/>
      <c r="LM19" s="41"/>
      <c r="LN19" s="41"/>
      <c r="LO19" s="41"/>
      <c r="LP19" s="41"/>
      <c r="LQ19" s="234"/>
      <c r="LR19" s="234"/>
      <c r="LS19" s="41"/>
      <c r="LT19" s="41"/>
      <c r="LU19" s="41"/>
      <c r="LV19" s="41"/>
      <c r="LW19" s="41"/>
      <c r="LX19" s="234"/>
      <c r="LY19" s="234"/>
      <c r="LZ19" s="41"/>
      <c r="MA19" s="41"/>
      <c r="MB19" s="41"/>
      <c r="MC19" s="41"/>
      <c r="MD19" s="41"/>
      <c r="ME19" s="234"/>
      <c r="MF19" s="234"/>
      <c r="MG19" s="41"/>
      <c r="MH19" s="41"/>
      <c r="MI19" s="41"/>
      <c r="MJ19" s="41"/>
      <c r="MK19" s="41"/>
      <c r="ML19" s="234"/>
      <c r="MM19" s="234"/>
      <c r="MN19" s="41"/>
      <c r="MO19" s="41"/>
      <c r="MP19" s="41"/>
      <c r="MQ19" s="41"/>
      <c r="MR19" s="41"/>
      <c r="MS19" s="234"/>
      <c r="MT19" s="234"/>
      <c r="MU19" s="41"/>
      <c r="MV19" s="41"/>
      <c r="MW19" s="41"/>
      <c r="MX19" s="41"/>
      <c r="MY19" s="41"/>
      <c r="MZ19" s="234"/>
      <c r="NA19" s="234"/>
      <c r="NB19" s="41"/>
      <c r="NC19" s="41"/>
      <c r="ND19" s="41"/>
      <c r="NE19" s="41"/>
      <c r="NF19" s="41"/>
      <c r="NG19" s="234"/>
      <c r="NH19" s="234"/>
      <c r="NI19" s="41"/>
      <c r="NJ19" s="41"/>
      <c r="NK19" s="41"/>
      <c r="NL19" s="41"/>
      <c r="NM19" s="41"/>
      <c r="NN19" s="234"/>
      <c r="NO19" s="234"/>
      <c r="NP19" s="41"/>
      <c r="NQ19" s="41"/>
      <c r="NR19" s="41"/>
      <c r="NS19" s="41"/>
      <c r="NT19" s="41"/>
      <c r="NU19" s="234"/>
      <c r="NV19" s="234"/>
      <c r="NW19" s="41"/>
      <c r="NX19" s="41"/>
      <c r="NY19" s="41"/>
      <c r="NZ19" s="41"/>
      <c r="OA19" s="41"/>
      <c r="OB19" s="234"/>
    </row>
    <row r="20" spans="2:392" x14ac:dyDescent="0.3">
      <c r="B20" s="65" t="s">
        <v>18</v>
      </c>
      <c r="C20" s="25">
        <v>35</v>
      </c>
      <c r="D20" s="206" t="s">
        <v>20</v>
      </c>
      <c r="E20" s="347" t="s">
        <v>8</v>
      </c>
      <c r="F20" s="357" t="s">
        <v>113</v>
      </c>
      <c r="G20" s="170" t="s">
        <v>286</v>
      </c>
      <c r="H20" s="173" t="s">
        <v>200</v>
      </c>
      <c r="I20" s="239"/>
      <c r="J20" s="41"/>
      <c r="K20" s="41"/>
      <c r="L20" s="41"/>
      <c r="M20" s="41"/>
      <c r="N20" s="230"/>
      <c r="O20" s="230"/>
      <c r="P20" s="41"/>
      <c r="Q20" s="41"/>
      <c r="R20" s="41"/>
      <c r="S20" s="41"/>
      <c r="T20" s="41"/>
      <c r="U20" s="230"/>
      <c r="V20" s="230"/>
      <c r="W20" s="41"/>
      <c r="X20" s="41"/>
      <c r="Y20" s="41"/>
      <c r="Z20" s="41"/>
      <c r="AA20" s="41"/>
      <c r="AB20" s="230"/>
      <c r="AC20" s="230"/>
      <c r="AD20" s="41"/>
      <c r="AE20" s="41"/>
      <c r="AF20" s="41"/>
      <c r="AG20" s="41"/>
      <c r="AH20" s="41"/>
      <c r="AI20" s="230"/>
      <c r="AJ20" s="230"/>
      <c r="AK20" s="41"/>
      <c r="AL20" s="41"/>
      <c r="AM20" s="41"/>
      <c r="AN20" s="41"/>
      <c r="AO20" s="41"/>
      <c r="AP20" s="230"/>
      <c r="AQ20" s="230"/>
      <c r="AR20" s="41"/>
      <c r="AS20" s="41"/>
      <c r="AT20" s="41"/>
      <c r="AU20" s="41"/>
      <c r="AV20" s="41"/>
      <c r="AW20" s="230"/>
      <c r="AX20" s="230"/>
      <c r="AY20" s="41"/>
      <c r="AZ20" s="41"/>
      <c r="BA20" s="41"/>
      <c r="BB20" s="41"/>
      <c r="BC20" s="41"/>
      <c r="BD20" s="230"/>
      <c r="BE20" s="230"/>
      <c r="BF20" s="41"/>
      <c r="BG20" s="41"/>
      <c r="BH20" s="41"/>
      <c r="BI20" s="41"/>
      <c r="BJ20" s="41"/>
      <c r="BK20" s="230"/>
      <c r="BL20" s="230"/>
      <c r="BM20" s="41" t="s">
        <v>458</v>
      </c>
      <c r="BN20" s="41" t="s">
        <v>458</v>
      </c>
      <c r="BO20" s="41" t="s">
        <v>458</v>
      </c>
      <c r="BP20" s="41" t="s">
        <v>458</v>
      </c>
      <c r="BQ20" s="41" t="s">
        <v>458</v>
      </c>
      <c r="BR20" s="230"/>
      <c r="BS20" s="230"/>
      <c r="BT20" s="41"/>
      <c r="BU20" s="41"/>
      <c r="BV20" s="41"/>
      <c r="BW20" s="41"/>
      <c r="BX20" s="41"/>
      <c r="BY20" s="230"/>
      <c r="BZ20" s="230"/>
      <c r="CA20" s="41"/>
      <c r="CB20" s="41"/>
      <c r="CC20" s="41"/>
      <c r="CD20" s="41"/>
      <c r="CE20" s="41"/>
      <c r="CF20" s="230"/>
      <c r="CG20" s="230"/>
      <c r="CH20" s="41"/>
      <c r="CI20" s="41"/>
      <c r="CJ20" s="41"/>
      <c r="CK20" s="41"/>
      <c r="CL20" s="41"/>
      <c r="CM20" s="41" t="s">
        <v>460</v>
      </c>
      <c r="CN20" s="41" t="s">
        <v>460</v>
      </c>
      <c r="CO20" s="41" t="s">
        <v>460</v>
      </c>
      <c r="CP20" s="41" t="s">
        <v>460</v>
      </c>
      <c r="CQ20" s="41" t="s">
        <v>460</v>
      </c>
      <c r="CR20" s="41" t="s">
        <v>460</v>
      </c>
      <c r="CS20" s="41" t="s">
        <v>460</v>
      </c>
      <c r="CT20" s="230"/>
      <c r="CU20" s="230"/>
      <c r="CV20" s="41" t="s">
        <v>460</v>
      </c>
      <c r="CW20" s="41" t="s">
        <v>460</v>
      </c>
      <c r="CX20" s="41" t="s">
        <v>460</v>
      </c>
      <c r="CY20" s="41" t="s">
        <v>460</v>
      </c>
      <c r="CZ20" s="41" t="s">
        <v>460</v>
      </c>
      <c r="DA20" s="230"/>
      <c r="DB20" s="230"/>
      <c r="DC20" s="41" t="s">
        <v>460</v>
      </c>
      <c r="DD20" s="41" t="s">
        <v>460</v>
      </c>
      <c r="DE20" s="41" t="s">
        <v>460</v>
      </c>
      <c r="DF20" s="41" t="s">
        <v>460</v>
      </c>
      <c r="DG20" s="41" t="s">
        <v>460</v>
      </c>
      <c r="DH20" s="230"/>
      <c r="DI20" s="230"/>
      <c r="DJ20" s="41"/>
      <c r="DK20" s="41"/>
      <c r="DL20" s="41"/>
      <c r="DM20" s="41"/>
      <c r="DN20" s="41"/>
      <c r="DO20" s="230"/>
      <c r="DP20" s="230"/>
      <c r="DQ20" s="41"/>
      <c r="DR20" s="41"/>
      <c r="DS20" s="41"/>
      <c r="DT20" s="41"/>
      <c r="DU20" s="41"/>
      <c r="DV20" s="230"/>
      <c r="DW20" s="234"/>
      <c r="DX20" s="41" t="s">
        <v>460</v>
      </c>
      <c r="DY20" s="41" t="s">
        <v>460</v>
      </c>
      <c r="DZ20" s="41" t="s">
        <v>460</v>
      </c>
      <c r="EA20" s="41" t="s">
        <v>460</v>
      </c>
      <c r="EB20" s="41" t="s">
        <v>460</v>
      </c>
      <c r="EC20" s="230"/>
      <c r="ED20" s="230"/>
      <c r="EE20" s="41"/>
      <c r="EF20" s="41"/>
      <c r="EG20" s="41"/>
      <c r="EH20" s="41" t="s">
        <v>460</v>
      </c>
      <c r="EI20" s="41"/>
      <c r="EJ20" s="230"/>
      <c r="EK20" s="230"/>
      <c r="EL20" s="41"/>
      <c r="EM20" s="41"/>
      <c r="EN20" s="41"/>
      <c r="EO20" s="41"/>
      <c r="EP20" s="41"/>
      <c r="EQ20" s="230"/>
      <c r="ER20" s="230"/>
      <c r="ES20" s="41"/>
      <c r="ET20" s="41"/>
      <c r="EU20" s="41"/>
      <c r="EV20" s="41"/>
      <c r="EW20" s="41"/>
      <c r="EX20" s="230"/>
      <c r="EY20" s="230"/>
      <c r="EZ20" s="41" t="s">
        <v>460</v>
      </c>
      <c r="FA20" s="41" t="s">
        <v>460</v>
      </c>
      <c r="FB20" s="41" t="s">
        <v>460</v>
      </c>
      <c r="FC20" s="41" t="s">
        <v>460</v>
      </c>
      <c r="FD20" s="41" t="s">
        <v>460</v>
      </c>
      <c r="FE20" s="230"/>
      <c r="FF20" s="230"/>
      <c r="FG20" s="41"/>
      <c r="FH20" s="41"/>
      <c r="FI20" s="41"/>
      <c r="FJ20" s="41"/>
      <c r="FK20" s="41"/>
      <c r="FL20" s="230"/>
      <c r="FM20" s="230"/>
      <c r="FN20" s="41" t="s">
        <v>460</v>
      </c>
      <c r="FO20" s="41"/>
      <c r="FP20" s="41"/>
      <c r="FQ20" s="41"/>
      <c r="FR20" s="41"/>
      <c r="FS20" s="230"/>
      <c r="FT20" s="230"/>
      <c r="FU20" s="41"/>
      <c r="FV20" s="41"/>
      <c r="FW20" s="41"/>
      <c r="FX20" s="41"/>
      <c r="FY20" s="41"/>
      <c r="FZ20" s="230"/>
      <c r="GA20" s="230"/>
      <c r="GB20" s="41"/>
      <c r="GC20" s="41"/>
      <c r="GD20" s="41"/>
      <c r="GE20" s="41"/>
      <c r="GF20" s="41"/>
      <c r="GG20" s="230"/>
      <c r="GH20" s="230"/>
      <c r="GI20" s="41" t="s">
        <v>460</v>
      </c>
      <c r="GJ20" s="41" t="s">
        <v>460</v>
      </c>
      <c r="GK20" s="41" t="s">
        <v>460</v>
      </c>
      <c r="GL20" s="41" t="s">
        <v>460</v>
      </c>
      <c r="GM20" s="41" t="s">
        <v>460</v>
      </c>
      <c r="GN20" s="230"/>
      <c r="GO20" s="230"/>
      <c r="GP20" s="41" t="s">
        <v>460</v>
      </c>
      <c r="GQ20" s="41" t="s">
        <v>460</v>
      </c>
      <c r="GR20" s="41" t="s">
        <v>460</v>
      </c>
      <c r="GS20" s="41" t="s">
        <v>460</v>
      </c>
      <c r="GT20" s="41" t="s">
        <v>460</v>
      </c>
      <c r="GU20" s="230"/>
      <c r="GV20" s="230"/>
      <c r="GW20" s="41" t="s">
        <v>460</v>
      </c>
      <c r="GX20" s="41"/>
      <c r="GY20" s="41"/>
      <c r="GZ20" s="41"/>
      <c r="HA20" s="41"/>
      <c r="HB20" s="230"/>
      <c r="HC20" s="230"/>
      <c r="HD20" s="41"/>
      <c r="HE20" s="41"/>
      <c r="HF20" s="41"/>
      <c r="HG20" s="41"/>
      <c r="HH20" s="41"/>
      <c r="HI20" s="234"/>
      <c r="HJ20" s="234"/>
      <c r="HK20" s="41"/>
      <c r="HL20" s="41"/>
      <c r="HM20" s="41"/>
      <c r="HN20" s="41"/>
      <c r="HO20" s="41"/>
      <c r="HP20" s="234"/>
      <c r="HQ20" s="234"/>
      <c r="HR20" s="41"/>
      <c r="HS20" s="41"/>
      <c r="HT20" s="41"/>
      <c r="HU20" s="41"/>
      <c r="HV20" s="41"/>
      <c r="HW20" s="234"/>
      <c r="HX20" s="234"/>
      <c r="HY20" s="41"/>
      <c r="HZ20" s="41"/>
      <c r="IA20" s="41"/>
      <c r="IB20" s="41"/>
      <c r="IC20" s="41"/>
      <c r="ID20" s="234"/>
      <c r="IE20" s="234"/>
      <c r="IF20" s="41"/>
      <c r="IG20" s="41"/>
      <c r="IH20" s="41"/>
      <c r="II20" s="41"/>
      <c r="IJ20" s="41"/>
      <c r="IK20" s="234"/>
      <c r="IL20" s="234"/>
      <c r="IM20" s="41"/>
      <c r="IN20" s="41"/>
      <c r="IO20" s="41"/>
      <c r="IP20" s="41"/>
      <c r="IQ20" s="41"/>
      <c r="IR20" s="234"/>
      <c r="IS20" s="234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234"/>
      <c r="JG20" s="234"/>
      <c r="JH20" s="41"/>
      <c r="JI20" s="41"/>
      <c r="JJ20" s="41"/>
      <c r="JK20" s="41"/>
      <c r="JL20" s="41"/>
      <c r="JM20" s="234"/>
      <c r="JN20" s="234"/>
      <c r="JO20" s="41"/>
      <c r="JP20" s="41"/>
      <c r="JQ20" s="41"/>
      <c r="JR20" s="41"/>
      <c r="JS20" s="41"/>
      <c r="JT20" s="234"/>
      <c r="JU20" s="234"/>
      <c r="JV20" s="41"/>
      <c r="JW20" s="41"/>
      <c r="JX20" s="41"/>
      <c r="JY20" s="41"/>
      <c r="JZ20" s="41"/>
      <c r="KA20" s="234"/>
      <c r="KB20" s="234"/>
      <c r="KC20" s="41"/>
      <c r="KD20" s="41"/>
      <c r="KE20" s="41"/>
      <c r="KF20" s="41"/>
      <c r="KG20" s="41"/>
      <c r="KH20" s="234"/>
      <c r="KI20" s="234"/>
      <c r="KJ20" s="41"/>
      <c r="KK20" s="41"/>
      <c r="KL20" s="41"/>
      <c r="KM20" s="41"/>
      <c r="KN20" s="41"/>
      <c r="KO20" s="234"/>
      <c r="KP20" s="234"/>
      <c r="KQ20" s="41"/>
      <c r="KR20" s="41"/>
      <c r="KS20" s="41"/>
      <c r="KT20" s="41"/>
      <c r="KU20" s="41"/>
      <c r="KV20" s="234"/>
      <c r="KW20" s="234"/>
      <c r="KX20" s="41"/>
      <c r="KY20" s="41"/>
      <c r="KZ20" s="41"/>
      <c r="LA20" s="41"/>
      <c r="LB20" s="41"/>
      <c r="LC20" s="234"/>
      <c r="LD20" s="234"/>
      <c r="LE20" s="41"/>
      <c r="LF20" s="41"/>
      <c r="LG20" s="41"/>
      <c r="LH20" s="41"/>
      <c r="LI20" s="41"/>
      <c r="LJ20" s="234"/>
      <c r="LK20" s="234"/>
      <c r="LL20" s="41"/>
      <c r="LM20" s="41"/>
      <c r="LN20" s="41"/>
      <c r="LO20" s="41"/>
      <c r="LP20" s="41"/>
      <c r="LQ20" s="234"/>
      <c r="LR20" s="234"/>
      <c r="LS20" s="41"/>
      <c r="LT20" s="41"/>
      <c r="LU20" s="41"/>
      <c r="LV20" s="41"/>
      <c r="LW20" s="41"/>
      <c r="LX20" s="234"/>
      <c r="LY20" s="234"/>
      <c r="LZ20" s="41"/>
      <c r="MA20" s="41"/>
      <c r="MB20" s="41"/>
      <c r="MC20" s="41"/>
      <c r="MD20" s="41"/>
      <c r="ME20" s="234"/>
      <c r="MF20" s="234"/>
      <c r="MG20" s="41"/>
      <c r="MH20" s="41"/>
      <c r="MI20" s="41"/>
      <c r="MJ20" s="41"/>
      <c r="MK20" s="41"/>
      <c r="ML20" s="234"/>
      <c r="MM20" s="234"/>
      <c r="MN20" s="41"/>
      <c r="MO20" s="41"/>
      <c r="MP20" s="41"/>
      <c r="MQ20" s="41"/>
      <c r="MR20" s="41"/>
      <c r="MS20" s="234"/>
      <c r="MT20" s="234"/>
      <c r="MU20" s="41"/>
      <c r="MV20" s="41"/>
      <c r="MW20" s="41"/>
      <c r="MX20" s="41"/>
      <c r="MY20" s="41"/>
      <c r="MZ20" s="234"/>
      <c r="NA20" s="234"/>
      <c r="NB20" s="41"/>
      <c r="NC20" s="41"/>
      <c r="ND20" s="41"/>
      <c r="NE20" s="41"/>
      <c r="NF20" s="41"/>
      <c r="NG20" s="234"/>
      <c r="NH20" s="234"/>
      <c r="NI20" s="41"/>
      <c r="NJ20" s="41"/>
      <c r="NK20" s="41"/>
      <c r="NL20" s="41"/>
      <c r="NM20" s="41"/>
      <c r="NN20" s="234"/>
      <c r="NO20" s="234"/>
      <c r="NP20" s="41"/>
      <c r="NQ20" s="41"/>
      <c r="NR20" s="41"/>
      <c r="NS20" s="41"/>
      <c r="NT20" s="41"/>
      <c r="NU20" s="234"/>
      <c r="NV20" s="234"/>
      <c r="NW20" s="41"/>
      <c r="NX20" s="41"/>
      <c r="NY20" s="41"/>
      <c r="NZ20" s="41"/>
      <c r="OA20" s="41"/>
      <c r="OB20" s="234"/>
    </row>
    <row r="21" spans="2:392" x14ac:dyDescent="0.3">
      <c r="B21" s="24" t="s">
        <v>18</v>
      </c>
      <c r="C21" s="25">
        <v>35</v>
      </c>
      <c r="D21" s="206" t="s">
        <v>20</v>
      </c>
      <c r="E21" s="187" t="s">
        <v>8</v>
      </c>
      <c r="F21" s="364" t="s">
        <v>9</v>
      </c>
      <c r="G21" s="170" t="s">
        <v>287</v>
      </c>
      <c r="H21" s="173" t="s">
        <v>288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230"/>
      <c r="AC21" s="230"/>
      <c r="AD21" s="41"/>
      <c r="AE21" s="41"/>
      <c r="AF21" s="41"/>
      <c r="AG21" s="41"/>
      <c r="AH21" s="41"/>
      <c r="AI21" s="230"/>
      <c r="AJ21" s="230"/>
      <c r="AK21" s="41"/>
      <c r="AL21" s="41"/>
      <c r="AM21" s="41"/>
      <c r="AN21" s="41"/>
      <c r="AO21" s="41"/>
      <c r="AP21" s="230"/>
      <c r="AQ21" s="230"/>
      <c r="AR21" s="41"/>
      <c r="AS21" s="41"/>
      <c r="AT21" s="41"/>
      <c r="AU21" s="41"/>
      <c r="AV21" s="41"/>
      <c r="AW21" s="230"/>
      <c r="AX21" s="230"/>
      <c r="AY21" s="41"/>
      <c r="AZ21" s="41"/>
      <c r="BA21" s="41"/>
      <c r="BB21" s="41"/>
      <c r="BC21" s="41"/>
      <c r="BD21" s="230"/>
      <c r="BE21" s="230"/>
      <c r="BF21" s="41"/>
      <c r="BG21" s="41"/>
      <c r="BH21" s="41"/>
      <c r="BI21" s="41"/>
      <c r="BJ21" s="41"/>
      <c r="BK21" s="230"/>
      <c r="BL21" s="230"/>
      <c r="BM21" s="41"/>
      <c r="BN21" s="41"/>
      <c r="BO21" s="41"/>
      <c r="BP21" s="41"/>
      <c r="BQ21" s="41"/>
      <c r="BR21" s="41" t="s">
        <v>460</v>
      </c>
      <c r="BS21" s="41" t="s">
        <v>460</v>
      </c>
      <c r="BT21" s="41"/>
      <c r="BU21" s="41"/>
      <c r="BV21" s="41"/>
      <c r="BW21" s="41"/>
      <c r="BX21" s="41"/>
      <c r="BY21" s="41" t="s">
        <v>460</v>
      </c>
      <c r="BZ21" s="41" t="s">
        <v>460</v>
      </c>
      <c r="CA21" s="41"/>
      <c r="CB21" s="41"/>
      <c r="CC21" s="41"/>
      <c r="CD21" s="41"/>
      <c r="CE21" s="41"/>
      <c r="CF21" s="230"/>
      <c r="CG21" s="230"/>
      <c r="CH21" s="41"/>
      <c r="CI21" s="41"/>
      <c r="CJ21" s="41"/>
      <c r="CK21" s="41"/>
      <c r="CL21" s="41"/>
      <c r="CM21" s="230"/>
      <c r="CN21" s="230"/>
      <c r="CO21" s="41"/>
      <c r="CP21" s="41"/>
      <c r="CQ21" s="41"/>
      <c r="CR21" s="41"/>
      <c r="CS21" s="41"/>
      <c r="CT21" s="230"/>
      <c r="CU21" s="230"/>
      <c r="CV21" s="41"/>
      <c r="CW21" s="41"/>
      <c r="CX21" s="41"/>
      <c r="CY21" s="41"/>
      <c r="CZ21" s="41"/>
      <c r="DA21" s="230"/>
      <c r="DB21" s="230"/>
      <c r="DC21" s="41"/>
      <c r="DD21" s="41"/>
      <c r="DE21" s="41"/>
      <c r="DF21" s="41"/>
      <c r="DG21" s="41"/>
      <c r="DH21" s="230"/>
      <c r="DI21" s="230"/>
      <c r="DJ21" s="41" t="s">
        <v>460</v>
      </c>
      <c r="DK21" s="41" t="s">
        <v>460</v>
      </c>
      <c r="DL21" s="41" t="s">
        <v>460</v>
      </c>
      <c r="DM21" s="41" t="s">
        <v>460</v>
      </c>
      <c r="DN21" s="41" t="s">
        <v>460</v>
      </c>
      <c r="DO21" s="230"/>
      <c r="DP21" s="230"/>
      <c r="DQ21" s="41" t="s">
        <v>460</v>
      </c>
      <c r="DR21" s="41" t="s">
        <v>460</v>
      </c>
      <c r="DS21" s="41" t="s">
        <v>460</v>
      </c>
      <c r="DT21" s="41" t="s">
        <v>460</v>
      </c>
      <c r="DU21" s="41" t="s">
        <v>460</v>
      </c>
      <c r="DV21" s="230"/>
      <c r="DW21" s="234"/>
      <c r="DX21" s="41" t="s">
        <v>460</v>
      </c>
      <c r="DY21" s="41" t="s">
        <v>460</v>
      </c>
      <c r="DZ21" s="41" t="s">
        <v>460</v>
      </c>
      <c r="EA21" s="41" t="s">
        <v>460</v>
      </c>
      <c r="EB21" s="41" t="s">
        <v>460</v>
      </c>
      <c r="EC21" s="230"/>
      <c r="ED21" s="230"/>
      <c r="EE21" s="41" t="s">
        <v>460</v>
      </c>
      <c r="EF21" s="41" t="s">
        <v>460</v>
      </c>
      <c r="EG21" s="41" t="s">
        <v>460</v>
      </c>
      <c r="EH21" s="41" t="s">
        <v>460</v>
      </c>
      <c r="EI21" s="41" t="s">
        <v>460</v>
      </c>
      <c r="EJ21" s="230"/>
      <c r="EK21" s="230"/>
      <c r="EL21" s="41" t="s">
        <v>460</v>
      </c>
      <c r="EM21" s="41" t="s">
        <v>460</v>
      </c>
      <c r="EN21" s="41" t="s">
        <v>460</v>
      </c>
      <c r="EO21" s="41" t="s">
        <v>460</v>
      </c>
      <c r="EP21" s="41" t="s">
        <v>460</v>
      </c>
      <c r="EQ21" s="230"/>
      <c r="ER21" s="230"/>
      <c r="ES21" s="41" t="s">
        <v>460</v>
      </c>
      <c r="ET21" s="41" t="s">
        <v>460</v>
      </c>
      <c r="EU21" s="41" t="s">
        <v>460</v>
      </c>
      <c r="EV21" s="41" t="s">
        <v>460</v>
      </c>
      <c r="EW21" s="41" t="s">
        <v>460</v>
      </c>
      <c r="EX21" s="230"/>
      <c r="EY21" s="230"/>
      <c r="EZ21" s="41" t="s">
        <v>460</v>
      </c>
      <c r="FA21" s="41" t="s">
        <v>460</v>
      </c>
      <c r="FB21" s="41" t="s">
        <v>460</v>
      </c>
      <c r="FC21" s="41" t="s">
        <v>460</v>
      </c>
      <c r="FD21" s="41" t="s">
        <v>460</v>
      </c>
      <c r="FE21" s="230"/>
      <c r="FF21" s="230"/>
      <c r="FG21" s="41" t="s">
        <v>460</v>
      </c>
      <c r="FH21" s="41" t="s">
        <v>460</v>
      </c>
      <c r="FI21" s="41" t="s">
        <v>460</v>
      </c>
      <c r="FJ21" s="41" t="s">
        <v>460</v>
      </c>
      <c r="FK21" s="41" t="s">
        <v>460</v>
      </c>
      <c r="FL21" s="230"/>
      <c r="FM21" s="230"/>
      <c r="FN21" s="41" t="s">
        <v>460</v>
      </c>
      <c r="FO21" s="41" t="s">
        <v>460</v>
      </c>
      <c r="FP21" s="41" t="s">
        <v>460</v>
      </c>
      <c r="FQ21" s="41" t="s">
        <v>460</v>
      </c>
      <c r="FR21" s="41" t="s">
        <v>460</v>
      </c>
      <c r="FS21" s="230"/>
      <c r="FT21" s="230"/>
      <c r="FU21" s="41" t="s">
        <v>460</v>
      </c>
      <c r="FV21" s="41" t="s">
        <v>460</v>
      </c>
      <c r="FW21" s="41" t="s">
        <v>460</v>
      </c>
      <c r="FX21" s="41" t="s">
        <v>460</v>
      </c>
      <c r="FY21" s="41" t="s">
        <v>460</v>
      </c>
      <c r="FZ21" s="230"/>
      <c r="GA21" s="230"/>
      <c r="GB21" s="41" t="s">
        <v>460</v>
      </c>
      <c r="GC21" s="41" t="s">
        <v>460</v>
      </c>
      <c r="GD21" s="41" t="s">
        <v>460</v>
      </c>
      <c r="GE21" s="41" t="s">
        <v>460</v>
      </c>
      <c r="GF21" s="41" t="s">
        <v>460</v>
      </c>
      <c r="GG21" s="230"/>
      <c r="GH21" s="230"/>
      <c r="GI21" s="41" t="s">
        <v>460</v>
      </c>
      <c r="GJ21" s="41" t="s">
        <v>460</v>
      </c>
      <c r="GK21" s="41" t="s">
        <v>460</v>
      </c>
      <c r="GL21" s="41" t="s">
        <v>460</v>
      </c>
      <c r="GM21" s="41" t="s">
        <v>460</v>
      </c>
      <c r="GN21" s="230"/>
      <c r="GO21" s="230"/>
      <c r="GP21" s="41" t="s">
        <v>460</v>
      </c>
      <c r="GQ21" s="41" t="s">
        <v>460</v>
      </c>
      <c r="GR21" s="41" t="s">
        <v>460</v>
      </c>
      <c r="GS21" s="41" t="s">
        <v>460</v>
      </c>
      <c r="GT21" s="41" t="s">
        <v>460</v>
      </c>
      <c r="GU21" s="230"/>
      <c r="GV21" s="230"/>
      <c r="GW21" s="41" t="s">
        <v>460</v>
      </c>
      <c r="GX21" s="41" t="s">
        <v>460</v>
      </c>
      <c r="GY21" s="41" t="s">
        <v>460</v>
      </c>
      <c r="GZ21" s="41" t="s">
        <v>460</v>
      </c>
      <c r="HA21" s="41" t="s">
        <v>460</v>
      </c>
      <c r="HB21" s="230"/>
      <c r="HC21" s="230"/>
      <c r="HD21" s="41" t="s">
        <v>460</v>
      </c>
      <c r="HE21" s="41" t="s">
        <v>460</v>
      </c>
      <c r="HF21" s="41" t="s">
        <v>460</v>
      </c>
      <c r="HG21" s="41" t="s">
        <v>460</v>
      </c>
      <c r="HH21" s="41" t="s">
        <v>460</v>
      </c>
      <c r="HI21" s="234"/>
      <c r="HJ21" s="234"/>
      <c r="HK21" s="41" t="s">
        <v>460</v>
      </c>
      <c r="HL21" s="41" t="s">
        <v>460</v>
      </c>
      <c r="HM21" s="41" t="s">
        <v>460</v>
      </c>
      <c r="HN21" s="41" t="s">
        <v>460</v>
      </c>
      <c r="HO21" s="41" t="s">
        <v>460</v>
      </c>
      <c r="HP21" s="234"/>
      <c r="HQ21" s="234"/>
      <c r="HR21" s="41" t="s">
        <v>460</v>
      </c>
      <c r="HS21" s="41" t="s">
        <v>460</v>
      </c>
      <c r="HT21" s="41" t="s">
        <v>460</v>
      </c>
      <c r="HU21" s="41" t="s">
        <v>460</v>
      </c>
      <c r="HV21" s="41" t="s">
        <v>460</v>
      </c>
      <c r="HW21" s="234"/>
      <c r="HX21" s="234"/>
      <c r="HY21" s="41" t="s">
        <v>460</v>
      </c>
      <c r="HZ21" s="41" t="s">
        <v>460</v>
      </c>
      <c r="IA21" s="41" t="s">
        <v>460</v>
      </c>
      <c r="IB21" s="41" t="s">
        <v>460</v>
      </c>
      <c r="IC21" s="41" t="s">
        <v>460</v>
      </c>
      <c r="ID21" s="41"/>
      <c r="IE21" s="41"/>
      <c r="IF21" s="41" t="s">
        <v>460</v>
      </c>
      <c r="IG21" s="41" t="s">
        <v>460</v>
      </c>
      <c r="IH21" s="41" t="s">
        <v>460</v>
      </c>
      <c r="II21" s="41" t="s">
        <v>460</v>
      </c>
      <c r="IJ21" s="41" t="s">
        <v>460</v>
      </c>
      <c r="IK21" s="41"/>
      <c r="IL21" s="41"/>
      <c r="IM21" s="41" t="s">
        <v>460</v>
      </c>
      <c r="IN21" s="41" t="s">
        <v>460</v>
      </c>
      <c r="IO21" s="41" t="s">
        <v>460</v>
      </c>
      <c r="IP21" s="41" t="s">
        <v>460</v>
      </c>
      <c r="IQ21" s="41" t="s">
        <v>460</v>
      </c>
      <c r="IR21" s="234"/>
      <c r="IS21" s="234"/>
      <c r="IT21" s="41" t="s">
        <v>460</v>
      </c>
      <c r="IU21" s="41" t="s">
        <v>460</v>
      </c>
      <c r="IV21" s="41" t="s">
        <v>460</v>
      </c>
      <c r="IW21" s="41" t="s">
        <v>460</v>
      </c>
      <c r="IX21" s="41" t="s">
        <v>460</v>
      </c>
      <c r="IY21" s="234"/>
      <c r="IZ21" s="234"/>
      <c r="JA21" s="41"/>
      <c r="JB21" s="41"/>
      <c r="JC21" s="41"/>
      <c r="JD21" s="41"/>
      <c r="JE21" s="41"/>
      <c r="JF21" s="234"/>
      <c r="JG21" s="234"/>
      <c r="JH21" s="41"/>
      <c r="JI21" s="41"/>
      <c r="JJ21" s="41"/>
      <c r="JK21" s="41"/>
      <c r="JL21" s="41"/>
      <c r="JM21" s="234"/>
      <c r="JN21" s="234"/>
      <c r="JO21" s="41"/>
      <c r="JP21" s="41"/>
      <c r="JQ21" s="41"/>
      <c r="JR21" s="41"/>
      <c r="JS21" s="41"/>
      <c r="JT21" s="234"/>
      <c r="JU21" s="234"/>
      <c r="JV21" s="41"/>
      <c r="JW21" s="41"/>
      <c r="JX21" s="41"/>
      <c r="JY21" s="41"/>
      <c r="JZ21" s="41"/>
      <c r="KA21" s="234"/>
      <c r="KB21" s="234"/>
      <c r="KC21" s="41"/>
      <c r="KD21" s="41"/>
      <c r="KE21" s="41"/>
      <c r="KF21" s="41"/>
      <c r="KG21" s="41"/>
      <c r="KH21" s="234"/>
      <c r="KI21" s="234"/>
      <c r="KJ21" s="41"/>
      <c r="KK21" s="41"/>
      <c r="KL21" s="41"/>
      <c r="KM21" s="41"/>
      <c r="KN21" s="41"/>
      <c r="KO21" s="234"/>
      <c r="KP21" s="234"/>
      <c r="KQ21" s="41"/>
      <c r="KR21" s="41"/>
      <c r="KS21" s="41"/>
      <c r="KT21" s="41"/>
      <c r="KU21" s="41"/>
      <c r="KV21" s="234"/>
      <c r="KW21" s="234"/>
      <c r="KX21" s="41"/>
      <c r="KY21" s="41"/>
      <c r="KZ21" s="41"/>
      <c r="LA21" s="41"/>
      <c r="LB21" s="41"/>
      <c r="LC21" s="234"/>
      <c r="LD21" s="234"/>
      <c r="LE21" s="41"/>
      <c r="LF21" s="41"/>
      <c r="LG21" s="41"/>
      <c r="LH21" s="41"/>
      <c r="LI21" s="41"/>
      <c r="LJ21" s="234"/>
      <c r="LK21" s="234"/>
      <c r="LL21" s="41"/>
      <c r="LM21" s="41"/>
      <c r="LN21" s="41"/>
      <c r="LO21" s="41"/>
      <c r="LP21" s="41"/>
      <c r="LQ21" s="234"/>
      <c r="LR21" s="234"/>
      <c r="LS21" s="41"/>
      <c r="LT21" s="41"/>
      <c r="LU21" s="41"/>
      <c r="LV21" s="41"/>
      <c r="LW21" s="41"/>
      <c r="LX21" s="234"/>
      <c r="LY21" s="234"/>
      <c r="LZ21" s="41"/>
      <c r="MA21" s="41"/>
      <c r="MB21" s="41"/>
      <c r="MC21" s="41"/>
      <c r="MD21" s="41"/>
      <c r="ME21" s="234"/>
      <c r="MF21" s="234"/>
      <c r="MG21" s="41"/>
      <c r="MH21" s="41"/>
      <c r="MI21" s="41"/>
      <c r="MJ21" s="41"/>
      <c r="MK21" s="41"/>
      <c r="ML21" s="234"/>
      <c r="MM21" s="234"/>
      <c r="MN21" s="41"/>
      <c r="MO21" s="41"/>
      <c r="MP21" s="41"/>
      <c r="MQ21" s="41"/>
      <c r="MR21" s="41"/>
      <c r="MS21" s="234"/>
      <c r="MT21" s="234"/>
      <c r="MU21" s="41"/>
      <c r="MV21" s="41"/>
      <c r="MW21" s="41"/>
      <c r="MX21" s="41"/>
      <c r="MY21" s="41"/>
      <c r="MZ21" s="234"/>
      <c r="NA21" s="234"/>
      <c r="NB21" s="41"/>
      <c r="NC21" s="41"/>
      <c r="ND21" s="41"/>
      <c r="NE21" s="41"/>
      <c r="NF21" s="41"/>
      <c r="NG21" s="234"/>
      <c r="NH21" s="234"/>
      <c r="NI21" s="41"/>
      <c r="NJ21" s="41"/>
      <c r="NK21" s="41"/>
      <c r="NL21" s="41"/>
      <c r="NM21" s="41"/>
      <c r="NN21" s="234"/>
      <c r="NO21" s="234"/>
      <c r="NP21" s="41"/>
      <c r="NQ21" s="41"/>
      <c r="NR21" s="41"/>
      <c r="NS21" s="41"/>
      <c r="NT21" s="41"/>
      <c r="NU21" s="234"/>
      <c r="NV21" s="234"/>
      <c r="NW21" s="41"/>
      <c r="NX21" s="41"/>
      <c r="NY21" s="41"/>
      <c r="NZ21" s="41"/>
      <c r="OA21" s="41"/>
      <c r="OB21" s="234"/>
    </row>
    <row r="22" spans="2:392" x14ac:dyDescent="0.3">
      <c r="B22" s="66" t="s">
        <v>18</v>
      </c>
      <c r="C22" s="25">
        <v>35</v>
      </c>
      <c r="D22" s="206" t="s">
        <v>20</v>
      </c>
      <c r="E22" s="347" t="s">
        <v>8</v>
      </c>
      <c r="F22" s="357" t="s">
        <v>9</v>
      </c>
      <c r="G22" s="170" t="s">
        <v>290</v>
      </c>
      <c r="H22" s="156" t="s">
        <v>291</v>
      </c>
      <c r="I22" s="239"/>
      <c r="J22" s="41"/>
      <c r="K22" s="41"/>
      <c r="L22" s="41"/>
      <c r="M22" s="41"/>
      <c r="N22" s="230"/>
      <c r="O22" s="230"/>
      <c r="P22" s="41"/>
      <c r="Q22" s="41"/>
      <c r="R22" s="41"/>
      <c r="S22" s="41"/>
      <c r="T22" s="41"/>
      <c r="U22" s="230"/>
      <c r="V22" s="230"/>
      <c r="W22" s="41"/>
      <c r="X22" s="41"/>
      <c r="Y22" s="41"/>
      <c r="Z22" s="41"/>
      <c r="AA22" s="41"/>
      <c r="AB22" s="230"/>
      <c r="AC22" s="230"/>
      <c r="AD22" s="41"/>
      <c r="AE22" s="41"/>
      <c r="AF22" s="41"/>
      <c r="AG22" s="41"/>
      <c r="AH22" s="41"/>
      <c r="AI22" s="230"/>
      <c r="AJ22" s="230"/>
      <c r="AK22" s="41"/>
      <c r="AL22" s="41"/>
      <c r="AM22" s="41"/>
      <c r="AN22" s="41"/>
      <c r="AO22" s="41"/>
      <c r="AP22" s="230"/>
      <c r="AQ22" s="230"/>
      <c r="AR22" s="41"/>
      <c r="AS22" s="41"/>
      <c r="AT22" s="41"/>
      <c r="AU22" s="41"/>
      <c r="AV22" s="41"/>
      <c r="AW22" s="230"/>
      <c r="AX22" s="230"/>
      <c r="AY22" s="41"/>
      <c r="AZ22" s="41"/>
      <c r="BA22" s="41"/>
      <c r="BB22" s="41"/>
      <c r="BC22" s="41"/>
      <c r="BD22" s="230"/>
      <c r="BE22" s="230"/>
      <c r="BF22" s="41"/>
      <c r="BG22" s="41"/>
      <c r="BH22" s="41"/>
      <c r="BI22" s="41"/>
      <c r="BJ22" s="41"/>
      <c r="BK22" s="41" t="s">
        <v>460</v>
      </c>
      <c r="BL22" s="41" t="s">
        <v>460</v>
      </c>
      <c r="BM22" s="41"/>
      <c r="BN22" s="41"/>
      <c r="BO22" s="41"/>
      <c r="BP22" s="41"/>
      <c r="BQ22" s="41"/>
      <c r="BR22" s="230"/>
      <c r="BS22" s="230"/>
      <c r="BT22" s="41"/>
      <c r="BU22" s="41"/>
      <c r="BV22" s="41"/>
      <c r="BW22" s="41"/>
      <c r="BX22" s="41"/>
      <c r="BY22" s="230"/>
      <c r="BZ22" s="230"/>
      <c r="CA22" s="41"/>
      <c r="CB22" s="41"/>
      <c r="CC22" s="41"/>
      <c r="CD22" s="41"/>
      <c r="CE22" s="41"/>
      <c r="CF22" s="230"/>
      <c r="CG22" s="230"/>
      <c r="CH22" s="41"/>
      <c r="CI22" s="41"/>
      <c r="CJ22" s="41"/>
      <c r="CK22" s="41"/>
      <c r="CL22" s="41"/>
      <c r="CM22" s="230"/>
      <c r="CN22" s="230"/>
      <c r="CO22" s="41"/>
      <c r="CP22" s="41"/>
      <c r="CQ22" s="41"/>
      <c r="CR22" s="41"/>
      <c r="CS22" s="41"/>
      <c r="CT22" s="230"/>
      <c r="CU22" s="230"/>
      <c r="CV22" s="41"/>
      <c r="CW22" s="41"/>
      <c r="CX22" s="41"/>
      <c r="CY22" s="41"/>
      <c r="CZ22" s="41"/>
      <c r="DA22" s="230"/>
      <c r="DB22" s="230"/>
      <c r="DC22" s="41"/>
      <c r="DD22" s="41"/>
      <c r="DE22" s="41"/>
      <c r="DF22" s="41"/>
      <c r="DG22" s="41"/>
      <c r="DH22" s="230"/>
      <c r="DI22" s="230"/>
      <c r="DJ22" s="41"/>
      <c r="DK22" s="41"/>
      <c r="DL22" s="41"/>
      <c r="DM22" s="41"/>
      <c r="DN22" s="41"/>
      <c r="DO22" s="230"/>
      <c r="DP22" s="230"/>
      <c r="DQ22" s="41"/>
      <c r="DR22" s="41"/>
      <c r="DS22" s="41"/>
      <c r="DT22" s="41"/>
      <c r="DU22" s="41"/>
      <c r="DV22" s="230"/>
      <c r="DW22" s="234"/>
      <c r="DX22" s="41" t="s">
        <v>460</v>
      </c>
      <c r="DY22" s="41" t="s">
        <v>460</v>
      </c>
      <c r="DZ22" s="41" t="s">
        <v>460</v>
      </c>
      <c r="EA22" s="41" t="s">
        <v>460</v>
      </c>
      <c r="EB22" s="41" t="s">
        <v>460</v>
      </c>
      <c r="EC22" s="230"/>
      <c r="ED22" s="230"/>
      <c r="EE22" s="41" t="s">
        <v>460</v>
      </c>
      <c r="EF22" s="41" t="s">
        <v>460</v>
      </c>
      <c r="EG22" s="41" t="s">
        <v>460</v>
      </c>
      <c r="EH22" s="41" t="s">
        <v>460</v>
      </c>
      <c r="EI22" s="41" t="s">
        <v>460</v>
      </c>
      <c r="EJ22" s="230"/>
      <c r="EK22" s="230"/>
      <c r="EL22" s="41"/>
      <c r="EM22" s="41"/>
      <c r="EN22" s="41"/>
      <c r="EO22" s="41"/>
      <c r="EP22" s="41"/>
      <c r="EQ22" s="230"/>
      <c r="ER22" s="230"/>
      <c r="ES22" s="41"/>
      <c r="ET22" s="41"/>
      <c r="EU22" s="41"/>
      <c r="EV22" s="41"/>
      <c r="EW22" s="41"/>
      <c r="EX22" s="230"/>
      <c r="EY22" s="230"/>
      <c r="EZ22" s="41"/>
      <c r="FA22" s="41"/>
      <c r="FB22" s="41"/>
      <c r="FC22" s="41"/>
      <c r="FD22" s="41"/>
      <c r="FE22" s="230"/>
      <c r="FF22" s="230"/>
      <c r="FG22" s="41"/>
      <c r="FH22" s="41"/>
      <c r="FI22" s="41"/>
      <c r="FJ22" s="41"/>
      <c r="FK22" s="41"/>
      <c r="FL22" s="230"/>
      <c r="FM22" s="230"/>
      <c r="FN22" s="41" t="s">
        <v>460</v>
      </c>
      <c r="FO22" s="41"/>
      <c r="FP22" s="41"/>
      <c r="FQ22" s="41"/>
      <c r="FR22" s="41"/>
      <c r="FS22" s="230"/>
      <c r="FT22" s="230"/>
      <c r="FU22" s="41"/>
      <c r="FV22" s="41"/>
      <c r="FW22" s="41"/>
      <c r="FX22" s="41"/>
      <c r="FY22" s="41"/>
      <c r="FZ22" s="230"/>
      <c r="GA22" s="230"/>
      <c r="GB22" s="41"/>
      <c r="GC22" s="41"/>
      <c r="GD22" s="41"/>
      <c r="GE22" s="41"/>
      <c r="GF22" s="41"/>
      <c r="GG22" s="230"/>
      <c r="GH22" s="230"/>
      <c r="GI22" s="41"/>
      <c r="GJ22" s="41"/>
      <c r="GK22" s="41"/>
      <c r="GL22" s="41"/>
      <c r="GM22" s="41"/>
      <c r="GN22" s="230"/>
      <c r="GO22" s="230"/>
      <c r="GP22" s="41"/>
      <c r="GQ22" s="41"/>
      <c r="GR22" s="41"/>
      <c r="GS22" s="41"/>
      <c r="GT22" s="41"/>
      <c r="GU22" s="230"/>
      <c r="GV22" s="230"/>
      <c r="GW22" s="41" t="s">
        <v>460</v>
      </c>
      <c r="GX22" s="41"/>
      <c r="GY22" s="41"/>
      <c r="GZ22" s="41"/>
      <c r="HA22" s="41"/>
      <c r="HB22" s="230"/>
      <c r="HC22" s="230"/>
      <c r="HD22" s="41"/>
      <c r="HE22" s="41"/>
      <c r="HF22" s="41"/>
      <c r="HG22" s="41"/>
      <c r="HH22" s="41"/>
      <c r="HI22" s="234"/>
      <c r="HJ22" s="234"/>
      <c r="HK22" s="41"/>
      <c r="HL22" s="41"/>
      <c r="HM22" s="41"/>
      <c r="HN22" s="41"/>
      <c r="HO22" s="41"/>
      <c r="HP22" s="234"/>
      <c r="HQ22" s="234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234"/>
      <c r="IE22" s="234"/>
      <c r="IF22" s="41" t="s">
        <v>460</v>
      </c>
      <c r="IG22" s="41" t="s">
        <v>460</v>
      </c>
      <c r="IH22" s="41" t="s">
        <v>460</v>
      </c>
      <c r="II22" s="41" t="s">
        <v>460</v>
      </c>
      <c r="IJ22" s="41" t="s">
        <v>460</v>
      </c>
      <c r="IK22" s="234"/>
      <c r="IL22" s="234"/>
      <c r="IM22" s="41"/>
      <c r="IN22" s="41"/>
      <c r="IO22" s="41"/>
      <c r="IP22" s="41"/>
      <c r="IQ22" s="41"/>
      <c r="IR22" s="234"/>
      <c r="IS22" s="234"/>
      <c r="IT22" s="41"/>
      <c r="IU22" s="41"/>
      <c r="IV22" s="41"/>
      <c r="IW22" s="41"/>
      <c r="IX22" s="41"/>
      <c r="IY22" s="234"/>
      <c r="IZ22" s="234"/>
      <c r="JA22" s="41"/>
      <c r="JB22" s="41"/>
      <c r="JC22" s="41"/>
      <c r="JD22" s="41"/>
      <c r="JE22" s="41"/>
      <c r="JF22" s="234"/>
      <c r="JG22" s="234"/>
      <c r="JH22" s="41"/>
      <c r="JI22" s="41"/>
      <c r="JJ22" s="41"/>
      <c r="JK22" s="41"/>
      <c r="JL22" s="41"/>
      <c r="JM22" s="234"/>
      <c r="JN22" s="234"/>
      <c r="JO22" s="41"/>
      <c r="JP22" s="41"/>
      <c r="JQ22" s="41"/>
      <c r="JR22" s="41"/>
      <c r="JS22" s="41"/>
      <c r="JT22" s="234"/>
      <c r="JU22" s="234"/>
      <c r="JV22" s="41"/>
      <c r="JW22" s="41"/>
      <c r="JX22" s="41"/>
      <c r="JY22" s="41"/>
      <c r="JZ22" s="41"/>
      <c r="KA22" s="234"/>
      <c r="KB22" s="234"/>
      <c r="KC22" s="41"/>
      <c r="KD22" s="41"/>
      <c r="KE22" s="41"/>
      <c r="KF22" s="41"/>
      <c r="KG22" s="41"/>
      <c r="KH22" s="234"/>
      <c r="KI22" s="234"/>
      <c r="KJ22" s="41"/>
      <c r="KK22" s="41"/>
      <c r="KL22" s="41"/>
      <c r="KM22" s="41"/>
      <c r="KN22" s="41"/>
      <c r="KO22" s="234"/>
      <c r="KP22" s="234"/>
      <c r="KQ22" s="41"/>
      <c r="KR22" s="41"/>
      <c r="KS22" s="41"/>
      <c r="KT22" s="41"/>
      <c r="KU22" s="41"/>
      <c r="KV22" s="234"/>
      <c r="KW22" s="234"/>
      <c r="KX22" s="41"/>
      <c r="KY22" s="41"/>
      <c r="KZ22" s="41"/>
      <c r="LA22" s="41"/>
      <c r="LB22" s="41"/>
      <c r="LC22" s="234"/>
      <c r="LD22" s="234"/>
      <c r="LE22" s="41"/>
      <c r="LF22" s="41"/>
      <c r="LG22" s="41"/>
      <c r="LH22" s="41"/>
      <c r="LI22" s="41"/>
      <c r="LJ22" s="234"/>
      <c r="LK22" s="234"/>
      <c r="LL22" s="41"/>
      <c r="LM22" s="41"/>
      <c r="LN22" s="41"/>
      <c r="LO22" s="41"/>
      <c r="LP22" s="41"/>
      <c r="LQ22" s="234"/>
      <c r="LR22" s="234"/>
      <c r="LS22" s="41"/>
      <c r="LT22" s="41"/>
      <c r="LU22" s="41"/>
      <c r="LV22" s="41"/>
      <c r="LW22" s="41"/>
      <c r="LX22" s="234"/>
      <c r="LY22" s="234"/>
      <c r="LZ22" s="41"/>
      <c r="MA22" s="41"/>
      <c r="MB22" s="41"/>
      <c r="MC22" s="41"/>
      <c r="MD22" s="41"/>
      <c r="ME22" s="234"/>
      <c r="MF22" s="234"/>
      <c r="MG22" s="41"/>
      <c r="MH22" s="41"/>
      <c r="MI22" s="41"/>
      <c r="MJ22" s="41"/>
      <c r="MK22" s="41"/>
      <c r="ML22" s="234"/>
      <c r="MM22" s="234"/>
      <c r="MN22" s="41"/>
      <c r="MO22" s="41"/>
      <c r="MP22" s="41"/>
      <c r="MQ22" s="41"/>
      <c r="MR22" s="41"/>
      <c r="MS22" s="234"/>
      <c r="MT22" s="234"/>
      <c r="MU22" s="41"/>
      <c r="MV22" s="41"/>
      <c r="MW22" s="41"/>
      <c r="MX22" s="41"/>
      <c r="MY22" s="41"/>
      <c r="MZ22" s="234"/>
      <c r="NA22" s="234"/>
      <c r="NB22" s="41"/>
      <c r="NC22" s="41"/>
      <c r="ND22" s="41"/>
      <c r="NE22" s="41"/>
      <c r="NF22" s="41"/>
      <c r="NG22" s="234"/>
      <c r="NH22" s="234"/>
      <c r="NI22" s="41"/>
      <c r="NJ22" s="41"/>
      <c r="NK22" s="41"/>
      <c r="NL22" s="41"/>
      <c r="NM22" s="41"/>
      <c r="NN22" s="234"/>
      <c r="NO22" s="234"/>
      <c r="NP22" s="41"/>
      <c r="NQ22" s="41"/>
      <c r="NR22" s="41"/>
      <c r="NS22" s="41"/>
      <c r="NT22" s="41"/>
      <c r="NU22" s="234"/>
      <c r="NV22" s="234"/>
      <c r="NW22" s="41"/>
      <c r="NX22" s="41"/>
      <c r="NY22" s="41"/>
      <c r="NZ22" s="41"/>
      <c r="OA22" s="41"/>
      <c r="OB22" s="234"/>
    </row>
    <row r="23" spans="2:392" x14ac:dyDescent="0.3">
      <c r="B23" s="24" t="s">
        <v>18</v>
      </c>
      <c r="C23" s="25">
        <v>35</v>
      </c>
      <c r="D23" s="207" t="s">
        <v>20</v>
      </c>
      <c r="E23" s="347" t="s">
        <v>8</v>
      </c>
      <c r="F23" s="357" t="s">
        <v>9</v>
      </c>
      <c r="G23" s="341" t="s">
        <v>298</v>
      </c>
      <c r="H23" s="160" t="s">
        <v>55</v>
      </c>
      <c r="I23" s="239"/>
      <c r="J23" s="41"/>
      <c r="K23" s="41"/>
      <c r="L23" s="41"/>
      <c r="M23" s="41"/>
      <c r="N23" s="230"/>
      <c r="O23" s="230"/>
      <c r="P23" s="41"/>
      <c r="Q23" s="41"/>
      <c r="R23" s="41"/>
      <c r="S23" s="41"/>
      <c r="T23" s="41"/>
      <c r="U23" s="230"/>
      <c r="V23" s="230"/>
      <c r="W23" s="41"/>
      <c r="X23" s="41"/>
      <c r="Y23" s="41"/>
      <c r="Z23" s="41"/>
      <c r="AA23" s="41"/>
      <c r="AB23" s="230"/>
      <c r="AC23" s="230"/>
      <c r="AD23" s="41"/>
      <c r="AE23" s="41"/>
      <c r="AF23" s="41"/>
      <c r="AG23" s="41"/>
      <c r="AH23" s="41"/>
      <c r="AI23" s="230"/>
      <c r="AJ23" s="230"/>
      <c r="AK23" s="41"/>
      <c r="AL23" s="41"/>
      <c r="AM23" s="41"/>
      <c r="AN23" s="41"/>
      <c r="AO23" s="41"/>
      <c r="AP23" s="230"/>
      <c r="AQ23" s="230"/>
      <c r="AR23" s="41"/>
      <c r="AS23" s="41"/>
      <c r="AT23" s="41"/>
      <c r="AU23" s="41"/>
      <c r="AV23" s="41"/>
      <c r="AW23" s="230"/>
      <c r="AX23" s="230"/>
      <c r="AY23" s="41"/>
      <c r="AZ23" s="41"/>
      <c r="BA23" s="41"/>
      <c r="BB23" s="41"/>
      <c r="BC23" s="41"/>
      <c r="BD23" s="230"/>
      <c r="BE23" s="230"/>
      <c r="BF23" s="41"/>
      <c r="BG23" s="41"/>
      <c r="BH23" s="41"/>
      <c r="BI23" s="41"/>
      <c r="BJ23" s="41"/>
      <c r="BK23" s="230"/>
      <c r="BL23" s="230"/>
      <c r="BM23" s="41"/>
      <c r="BN23" s="41"/>
      <c r="BO23" s="41"/>
      <c r="BP23" s="41"/>
      <c r="BQ23" s="41"/>
      <c r="BR23" s="230"/>
      <c r="BS23" s="230"/>
      <c r="BT23" s="41"/>
      <c r="BU23" s="41"/>
      <c r="BV23" s="41"/>
      <c r="BW23" s="41"/>
      <c r="BX23" s="41"/>
      <c r="BY23" s="230"/>
      <c r="BZ23" s="230"/>
      <c r="CA23" s="41"/>
      <c r="CB23" s="41"/>
      <c r="CC23" s="41"/>
      <c r="CD23" s="41"/>
      <c r="CE23" s="41"/>
      <c r="CF23" s="230"/>
      <c r="CG23" s="230"/>
      <c r="CH23" s="41"/>
      <c r="CI23" s="41"/>
      <c r="CJ23" s="41"/>
      <c r="CK23" s="41"/>
      <c r="CL23" s="41"/>
      <c r="CM23" s="230"/>
      <c r="CN23" s="230"/>
      <c r="CO23" s="41"/>
      <c r="CP23" s="41"/>
      <c r="CQ23" s="41"/>
      <c r="CR23" s="41"/>
      <c r="CS23" s="41"/>
      <c r="CT23" s="230"/>
      <c r="CU23" s="230"/>
      <c r="CV23" s="41"/>
      <c r="CW23" s="41"/>
      <c r="CX23" s="41"/>
      <c r="CY23" s="41"/>
      <c r="CZ23" s="41"/>
      <c r="DA23" s="230"/>
      <c r="DB23" s="230"/>
      <c r="DC23" s="41"/>
      <c r="DD23" s="41"/>
      <c r="DE23" s="41"/>
      <c r="DF23" s="41"/>
      <c r="DG23" s="41"/>
      <c r="DH23" s="230"/>
      <c r="DI23" s="230"/>
      <c r="DJ23" s="41"/>
      <c r="DK23" s="41"/>
      <c r="DL23" s="41"/>
      <c r="DM23" s="41"/>
      <c r="DN23" s="41"/>
      <c r="DO23" s="230"/>
      <c r="DP23" s="230"/>
      <c r="DQ23" s="41"/>
      <c r="DR23" s="41"/>
      <c r="DS23" s="41"/>
      <c r="DT23" s="41"/>
      <c r="DU23" s="41"/>
      <c r="DV23" s="230"/>
      <c r="DW23" s="234"/>
      <c r="DX23" s="41" t="s">
        <v>460</v>
      </c>
      <c r="DY23" s="41"/>
      <c r="DZ23" s="41"/>
      <c r="EA23" s="41"/>
      <c r="EB23" s="41"/>
      <c r="EC23" s="230"/>
      <c r="ED23" s="230"/>
      <c r="EE23" s="41"/>
      <c r="EF23" s="41"/>
      <c r="EG23" s="41"/>
      <c r="EH23" s="41" t="s">
        <v>460</v>
      </c>
      <c r="EI23" s="41"/>
      <c r="EJ23" s="230"/>
      <c r="EK23" s="230"/>
      <c r="EL23" s="41"/>
      <c r="EM23" s="41"/>
      <c r="EN23" s="41"/>
      <c r="EO23" s="41"/>
      <c r="EP23" s="41"/>
      <c r="EQ23" s="230"/>
      <c r="ER23" s="230"/>
      <c r="ES23" s="41"/>
      <c r="ET23" s="41"/>
      <c r="EU23" s="41"/>
      <c r="EV23" s="41"/>
      <c r="EW23" s="41"/>
      <c r="EX23" s="230"/>
      <c r="EY23" s="230"/>
      <c r="EZ23" s="41"/>
      <c r="FA23" s="41"/>
      <c r="FB23" s="41"/>
      <c r="FC23" s="41"/>
      <c r="FD23" s="41"/>
      <c r="FE23" s="230"/>
      <c r="FF23" s="230"/>
      <c r="FG23" s="41"/>
      <c r="FH23" s="41"/>
      <c r="FI23" s="41"/>
      <c r="FJ23" s="41"/>
      <c r="FK23" s="41"/>
      <c r="FL23" s="230"/>
      <c r="FM23" s="230"/>
      <c r="FN23" s="41" t="s">
        <v>460</v>
      </c>
      <c r="FO23" s="41"/>
      <c r="FP23" s="41"/>
      <c r="FQ23" s="41"/>
      <c r="FR23" s="41"/>
      <c r="FS23" s="230"/>
      <c r="FT23" s="230"/>
      <c r="FU23" s="41"/>
      <c r="FV23" s="41"/>
      <c r="FW23" s="41"/>
      <c r="FX23" s="41"/>
      <c r="FY23" s="41"/>
      <c r="FZ23" s="230"/>
      <c r="GA23" s="230"/>
      <c r="GB23" s="41"/>
      <c r="GC23" s="41"/>
      <c r="GD23" s="41"/>
      <c r="GE23" s="41"/>
      <c r="GF23" s="41"/>
      <c r="GG23" s="230"/>
      <c r="GH23" s="230"/>
      <c r="GI23" s="41"/>
      <c r="GJ23" s="41"/>
      <c r="GK23" s="41"/>
      <c r="GL23" s="41"/>
      <c r="GM23" s="41"/>
      <c r="GN23" s="230"/>
      <c r="GO23" s="230"/>
      <c r="GP23" s="41"/>
      <c r="GQ23" s="41"/>
      <c r="GR23" s="41"/>
      <c r="GS23" s="41"/>
      <c r="GT23" s="41"/>
      <c r="GU23" s="230"/>
      <c r="GV23" s="230"/>
      <c r="GW23" s="41" t="s">
        <v>460</v>
      </c>
      <c r="GX23" s="41"/>
      <c r="GY23" s="41"/>
      <c r="GZ23" s="41"/>
      <c r="HA23" s="41"/>
      <c r="HB23" s="230"/>
      <c r="HC23" s="230"/>
      <c r="HD23" s="41" t="s">
        <v>460</v>
      </c>
      <c r="HE23" s="41" t="s">
        <v>460</v>
      </c>
      <c r="HF23" s="41" t="s">
        <v>460</v>
      </c>
      <c r="HG23" s="41" t="s">
        <v>460</v>
      </c>
      <c r="HH23" s="41" t="s">
        <v>460</v>
      </c>
      <c r="HI23" s="234"/>
      <c r="HJ23" s="234"/>
      <c r="HK23" s="41"/>
      <c r="HL23" s="41"/>
      <c r="HM23" s="41"/>
      <c r="HN23" s="41"/>
      <c r="HO23" s="41"/>
      <c r="HP23" s="234"/>
      <c r="HQ23" s="234"/>
      <c r="HR23" s="41"/>
      <c r="HS23" s="41"/>
      <c r="HT23" s="41"/>
      <c r="HU23" s="41"/>
      <c r="HV23" s="41"/>
      <c r="HW23" s="234"/>
      <c r="HX23" s="234"/>
      <c r="HY23" s="41"/>
      <c r="HZ23" s="41"/>
      <c r="IA23" s="41"/>
      <c r="IB23" s="41"/>
      <c r="IC23" s="41"/>
      <c r="ID23" s="234"/>
      <c r="IE23" s="234"/>
      <c r="IF23" s="41"/>
      <c r="IG23" s="41"/>
      <c r="IH23" s="41"/>
      <c r="II23" s="41"/>
      <c r="IJ23" s="41"/>
      <c r="IK23" s="234"/>
      <c r="IL23" s="234"/>
      <c r="IM23" s="41"/>
      <c r="IN23" s="41"/>
      <c r="IO23" s="41"/>
      <c r="IP23" s="41"/>
      <c r="IQ23" s="41"/>
      <c r="IR23" s="234"/>
      <c r="IS23" s="234"/>
      <c r="IT23" s="41"/>
      <c r="IU23" s="41"/>
      <c r="IV23" s="41"/>
      <c r="IW23" s="41"/>
      <c r="IX23" s="41"/>
      <c r="IY23" s="234"/>
      <c r="IZ23" s="234"/>
      <c r="JA23" s="41"/>
      <c r="JB23" s="41"/>
      <c r="JC23" s="41"/>
      <c r="JD23" s="41"/>
      <c r="JE23" s="41"/>
      <c r="JF23" s="234"/>
      <c r="JG23" s="234"/>
      <c r="JH23" s="41"/>
      <c r="JI23" s="41"/>
      <c r="JJ23" s="41"/>
      <c r="JK23" s="41"/>
      <c r="JL23" s="41"/>
      <c r="JM23" s="234"/>
      <c r="JN23" s="234"/>
      <c r="JO23" s="41"/>
      <c r="JP23" s="41"/>
      <c r="JQ23" s="41"/>
      <c r="JR23" s="41"/>
      <c r="JS23" s="41"/>
      <c r="JT23" s="234"/>
      <c r="JU23" s="234"/>
      <c r="JV23" s="41"/>
      <c r="JW23" s="41"/>
      <c r="JX23" s="41"/>
      <c r="JY23" s="41"/>
      <c r="JZ23" s="41"/>
      <c r="KA23" s="234"/>
      <c r="KB23" s="234"/>
      <c r="KC23" s="41"/>
      <c r="KD23" s="41"/>
      <c r="KE23" s="41"/>
      <c r="KF23" s="41"/>
      <c r="KG23" s="41"/>
      <c r="KH23" s="234"/>
      <c r="KI23" s="234"/>
      <c r="KJ23" s="41"/>
      <c r="KK23" s="41"/>
      <c r="KL23" s="41"/>
      <c r="KM23" s="41"/>
      <c r="KN23" s="41"/>
      <c r="KO23" s="234"/>
      <c r="KP23" s="234"/>
      <c r="KQ23" s="41"/>
      <c r="KR23" s="41"/>
      <c r="KS23" s="41"/>
      <c r="KT23" s="41"/>
      <c r="KU23" s="41"/>
      <c r="KV23" s="234"/>
      <c r="KW23" s="234"/>
      <c r="KX23" s="41"/>
      <c r="KY23" s="41"/>
      <c r="KZ23" s="41"/>
      <c r="LA23" s="41"/>
      <c r="LB23" s="41"/>
      <c r="LC23" s="234"/>
      <c r="LD23" s="234"/>
      <c r="LE23" s="41"/>
      <c r="LF23" s="41"/>
      <c r="LG23" s="41"/>
      <c r="LH23" s="41"/>
      <c r="LI23" s="41"/>
      <c r="LJ23" s="234"/>
      <c r="LK23" s="234"/>
      <c r="LL23" s="41"/>
      <c r="LM23" s="41"/>
      <c r="LN23" s="41"/>
      <c r="LO23" s="41"/>
      <c r="LP23" s="41"/>
      <c r="LQ23" s="234"/>
      <c r="LR23" s="234"/>
      <c r="LS23" s="41"/>
      <c r="LT23" s="41"/>
      <c r="LU23" s="41"/>
      <c r="LV23" s="41"/>
      <c r="LW23" s="41"/>
      <c r="LX23" s="234"/>
      <c r="LY23" s="234"/>
      <c r="LZ23" s="41"/>
      <c r="MA23" s="41"/>
      <c r="MB23" s="41"/>
      <c r="MC23" s="41"/>
      <c r="MD23" s="41"/>
      <c r="ME23" s="234"/>
      <c r="MF23" s="234"/>
      <c r="MG23" s="41"/>
      <c r="MH23" s="41"/>
      <c r="MI23" s="41"/>
      <c r="MJ23" s="41"/>
      <c r="MK23" s="41"/>
      <c r="ML23" s="234"/>
      <c r="MM23" s="234"/>
      <c r="MN23" s="41"/>
      <c r="MO23" s="41"/>
      <c r="MP23" s="41"/>
      <c r="MQ23" s="41"/>
      <c r="MR23" s="41"/>
      <c r="MS23" s="234"/>
      <c r="MT23" s="234"/>
      <c r="MU23" s="41"/>
      <c r="MV23" s="41"/>
      <c r="MW23" s="41"/>
      <c r="MX23" s="41"/>
      <c r="MY23" s="41"/>
      <c r="MZ23" s="234"/>
      <c r="NA23" s="234"/>
      <c r="NB23" s="41"/>
      <c r="NC23" s="41"/>
      <c r="ND23" s="41"/>
      <c r="NE23" s="41"/>
      <c r="NF23" s="41"/>
      <c r="NG23" s="234"/>
      <c r="NH23" s="234"/>
      <c r="NI23" s="41"/>
      <c r="NJ23" s="41"/>
      <c r="NK23" s="41"/>
      <c r="NL23" s="41"/>
      <c r="NM23" s="41"/>
      <c r="NN23" s="234"/>
      <c r="NO23" s="234"/>
      <c r="NP23" s="41"/>
      <c r="NQ23" s="41"/>
      <c r="NR23" s="41"/>
      <c r="NS23" s="41"/>
      <c r="NT23" s="41"/>
      <c r="NU23" s="234"/>
      <c r="NV23" s="234"/>
      <c r="NW23" s="41"/>
      <c r="NX23" s="41"/>
      <c r="NY23" s="41"/>
      <c r="NZ23" s="41"/>
      <c r="OA23" s="41"/>
      <c r="OB23" s="234"/>
    </row>
    <row r="24" spans="2:392" x14ac:dyDescent="0.3">
      <c r="B24" s="24" t="s">
        <v>18</v>
      </c>
      <c r="C24" s="25">
        <v>35</v>
      </c>
      <c r="D24" s="207" t="s">
        <v>20</v>
      </c>
      <c r="E24" s="347" t="s">
        <v>8</v>
      </c>
      <c r="F24" s="357" t="s">
        <v>9</v>
      </c>
      <c r="G24" s="177" t="s">
        <v>306</v>
      </c>
      <c r="H24" s="154" t="s">
        <v>714</v>
      </c>
      <c r="I24" s="239"/>
      <c r="J24" s="41"/>
      <c r="K24" s="41"/>
      <c r="L24" s="41"/>
      <c r="M24" s="41"/>
      <c r="N24" s="230"/>
      <c r="O24" s="230"/>
      <c r="P24" s="41"/>
      <c r="Q24" s="41"/>
      <c r="R24" s="41"/>
      <c r="S24" s="41"/>
      <c r="T24" s="41"/>
      <c r="U24" s="230"/>
      <c r="V24" s="230"/>
      <c r="W24" s="41"/>
      <c r="X24" s="41"/>
      <c r="Y24" s="41"/>
      <c r="Z24" s="41"/>
      <c r="AA24" s="41"/>
      <c r="AB24" s="230"/>
      <c r="AC24" s="230"/>
      <c r="AD24" s="41"/>
      <c r="AE24" s="41"/>
      <c r="AF24" s="41"/>
      <c r="AG24" s="41"/>
      <c r="AH24" s="41"/>
      <c r="AI24" s="230"/>
      <c r="AJ24" s="230"/>
      <c r="AK24" s="41"/>
      <c r="AL24" s="41"/>
      <c r="AM24" s="41"/>
      <c r="AN24" s="41"/>
      <c r="AO24" s="41"/>
      <c r="AP24" s="230"/>
      <c r="AQ24" s="230"/>
      <c r="AR24" s="41"/>
      <c r="AS24" s="41"/>
      <c r="AT24" s="41"/>
      <c r="AU24" s="41"/>
      <c r="AV24" s="41"/>
      <c r="AW24" s="230"/>
      <c r="AX24" s="230"/>
      <c r="AY24" s="41"/>
      <c r="AZ24" s="41"/>
      <c r="BA24" s="41"/>
      <c r="BB24" s="41"/>
      <c r="BC24" s="41"/>
      <c r="BD24" s="230"/>
      <c r="BE24" s="230"/>
      <c r="BF24" s="41"/>
      <c r="BG24" s="41"/>
      <c r="BH24" s="41"/>
      <c r="BI24" s="41"/>
      <c r="BJ24" s="41"/>
      <c r="BK24" s="230"/>
      <c r="BL24" s="230"/>
      <c r="BM24" s="41"/>
      <c r="BN24" s="41"/>
      <c r="BO24" s="41"/>
      <c r="BP24" s="41"/>
      <c r="BQ24" s="41"/>
      <c r="BR24" s="230"/>
      <c r="BS24" s="230"/>
      <c r="BT24" s="41"/>
      <c r="BU24" s="41"/>
      <c r="BV24" s="41"/>
      <c r="BW24" s="41"/>
      <c r="BX24" s="41"/>
      <c r="BY24" s="230"/>
      <c r="BZ24" s="230"/>
      <c r="CA24" s="41"/>
      <c r="CB24" s="41"/>
      <c r="CC24" s="41"/>
      <c r="CD24" s="41"/>
      <c r="CE24" s="41"/>
      <c r="CF24" s="230"/>
      <c r="CG24" s="230"/>
      <c r="CH24" s="41"/>
      <c r="CI24" s="41"/>
      <c r="CJ24" s="41"/>
      <c r="CK24" s="41"/>
      <c r="CL24" s="41"/>
      <c r="CM24" s="230"/>
      <c r="CN24" s="230"/>
      <c r="CO24" s="41"/>
      <c r="CP24" s="41"/>
      <c r="CQ24" s="41"/>
      <c r="CR24" s="41"/>
      <c r="CS24" s="41"/>
      <c r="CT24" s="230"/>
      <c r="CU24" s="230"/>
      <c r="CV24" s="41"/>
      <c r="CW24" s="41"/>
      <c r="CX24" s="41"/>
      <c r="CY24" s="41"/>
      <c r="CZ24" s="41"/>
      <c r="DA24" s="230"/>
      <c r="DB24" s="230"/>
      <c r="DC24" s="41"/>
      <c r="DD24" s="41"/>
      <c r="DE24" s="41"/>
      <c r="DF24" s="41"/>
      <c r="DG24" s="41"/>
      <c r="DH24" s="230"/>
      <c r="DI24" s="230"/>
      <c r="DJ24" s="41"/>
      <c r="DK24" s="41"/>
      <c r="DL24" s="41"/>
      <c r="DM24" s="41"/>
      <c r="DN24" s="41"/>
      <c r="DO24" s="230"/>
      <c r="DP24" s="230"/>
      <c r="DQ24" s="41"/>
      <c r="DR24" s="41"/>
      <c r="DS24" s="41"/>
      <c r="DT24" s="41"/>
      <c r="DU24" s="41"/>
      <c r="DV24" s="230"/>
      <c r="DW24" s="234"/>
      <c r="DX24" s="41" t="s">
        <v>460</v>
      </c>
      <c r="DY24" s="41"/>
      <c r="DZ24" s="41"/>
      <c r="EA24" s="41"/>
      <c r="EB24" s="41"/>
      <c r="EC24" s="230"/>
      <c r="ED24" s="230"/>
      <c r="EE24" s="41"/>
      <c r="EF24" s="41"/>
      <c r="EG24" s="41"/>
      <c r="EH24" s="41" t="s">
        <v>460</v>
      </c>
      <c r="EI24" s="41"/>
      <c r="EJ24" s="230"/>
      <c r="EK24" s="230"/>
      <c r="EL24" s="41"/>
      <c r="EM24" s="41"/>
      <c r="EN24" s="41"/>
      <c r="EO24" s="41"/>
      <c r="EP24" s="41"/>
      <c r="EQ24" s="230"/>
      <c r="ER24" s="230"/>
      <c r="ES24" s="41"/>
      <c r="ET24" s="41"/>
      <c r="EU24" s="41"/>
      <c r="EV24" s="41"/>
      <c r="EW24" s="41"/>
      <c r="EX24" s="230"/>
      <c r="EY24" s="230"/>
      <c r="EZ24" s="41"/>
      <c r="FA24" s="41"/>
      <c r="FB24" s="41"/>
      <c r="FC24" s="41"/>
      <c r="FD24" s="41"/>
      <c r="FE24" s="230"/>
      <c r="FF24" s="230"/>
      <c r="FG24" s="41"/>
      <c r="FH24" s="41"/>
      <c r="FI24" s="41"/>
      <c r="FJ24" s="41"/>
      <c r="FK24" s="41"/>
      <c r="FL24" s="230"/>
      <c r="FM24" s="230"/>
      <c r="FN24" s="41" t="s">
        <v>460</v>
      </c>
      <c r="FO24" s="41"/>
      <c r="FP24" s="41"/>
      <c r="FQ24" s="41"/>
      <c r="FR24" s="41"/>
      <c r="FS24" s="230"/>
      <c r="FT24" s="230"/>
      <c r="FU24" s="41"/>
      <c r="FV24" s="41"/>
      <c r="FW24" s="41"/>
      <c r="FX24" s="41"/>
      <c r="FY24" s="41"/>
      <c r="FZ24" s="230"/>
      <c r="GA24" s="230"/>
      <c r="GB24" s="41"/>
      <c r="GC24" s="41"/>
      <c r="GD24" s="41"/>
      <c r="GE24" s="41"/>
      <c r="GF24" s="41"/>
      <c r="GG24" s="230"/>
      <c r="GH24" s="230"/>
      <c r="GI24" s="41"/>
      <c r="GJ24" s="41"/>
      <c r="GK24" s="41"/>
      <c r="GL24" s="41"/>
      <c r="GM24" s="41"/>
      <c r="GN24" s="230"/>
      <c r="GO24" s="230"/>
      <c r="GP24" s="41"/>
      <c r="GQ24" s="41"/>
      <c r="GR24" s="41"/>
      <c r="GS24" s="41"/>
      <c r="GT24" s="41"/>
      <c r="GU24" s="230"/>
      <c r="GV24" s="230"/>
      <c r="GW24" s="41" t="s">
        <v>460</v>
      </c>
      <c r="GX24" s="41"/>
      <c r="GY24" s="41"/>
      <c r="GZ24" s="41"/>
      <c r="HA24" s="41"/>
      <c r="HB24" s="230"/>
      <c r="HC24" s="230"/>
      <c r="HD24" s="41"/>
      <c r="HE24" s="41"/>
      <c r="HF24" s="41"/>
      <c r="HG24" s="41"/>
      <c r="HH24" s="41"/>
      <c r="HI24" s="234"/>
      <c r="HJ24" s="234"/>
      <c r="HK24" s="41"/>
      <c r="HL24" s="41"/>
      <c r="HM24" s="41"/>
      <c r="HN24" s="41"/>
      <c r="HO24" s="41"/>
      <c r="HP24" s="234"/>
      <c r="HQ24" s="234"/>
      <c r="HR24" s="41"/>
      <c r="HS24" s="41"/>
      <c r="HT24" s="41"/>
      <c r="HU24" s="41"/>
      <c r="HV24" s="41"/>
      <c r="HW24" s="234"/>
      <c r="HX24" s="234"/>
      <c r="HY24" s="41"/>
      <c r="HZ24" s="41"/>
      <c r="IA24" s="41"/>
      <c r="IB24" s="41"/>
      <c r="IC24" s="41"/>
      <c r="ID24" s="234"/>
      <c r="IE24" s="234"/>
      <c r="IF24" s="41"/>
      <c r="IG24" s="41"/>
      <c r="IH24" s="41"/>
      <c r="II24" s="41"/>
      <c r="IJ24" s="41"/>
      <c r="IK24" s="234"/>
      <c r="IL24" s="234"/>
      <c r="IM24" s="41"/>
      <c r="IN24" s="41"/>
      <c r="IO24" s="41"/>
      <c r="IP24" s="41"/>
      <c r="IQ24" s="41"/>
      <c r="IR24" s="234"/>
      <c r="IS24" s="234"/>
      <c r="IT24" s="41"/>
      <c r="IU24" s="41"/>
      <c r="IV24" s="41"/>
      <c r="IW24" s="41"/>
      <c r="IX24" s="41"/>
      <c r="IY24" s="234"/>
      <c r="IZ24" s="234"/>
      <c r="JA24" s="41"/>
      <c r="JB24" s="41"/>
      <c r="JC24" s="41"/>
      <c r="JD24" s="41"/>
      <c r="JE24" s="41"/>
      <c r="JF24" s="234"/>
      <c r="JG24" s="234"/>
      <c r="JH24" s="41"/>
      <c r="JI24" s="41"/>
      <c r="JJ24" s="41"/>
      <c r="JK24" s="41"/>
      <c r="JL24" s="41"/>
      <c r="JM24" s="234"/>
      <c r="JN24" s="234"/>
      <c r="JO24" s="41"/>
      <c r="JP24" s="41"/>
      <c r="JQ24" s="41"/>
      <c r="JR24" s="41"/>
      <c r="JS24" s="41"/>
      <c r="JT24" s="234"/>
      <c r="JU24" s="234"/>
      <c r="JV24" s="41"/>
      <c r="JW24" s="41"/>
      <c r="JX24" s="41"/>
      <c r="JY24" s="41"/>
      <c r="JZ24" s="41"/>
      <c r="KA24" s="234"/>
      <c r="KB24" s="234"/>
      <c r="KC24" s="41"/>
      <c r="KD24" s="41"/>
      <c r="KE24" s="41"/>
      <c r="KF24" s="41"/>
      <c r="KG24" s="41"/>
      <c r="KH24" s="234"/>
      <c r="KI24" s="234"/>
      <c r="KJ24" s="41"/>
      <c r="KK24" s="41"/>
      <c r="KL24" s="41"/>
      <c r="KM24" s="41"/>
      <c r="KN24" s="41"/>
      <c r="KO24" s="234"/>
      <c r="KP24" s="234"/>
      <c r="KQ24" s="41"/>
      <c r="KR24" s="41"/>
      <c r="KS24" s="41"/>
      <c r="KT24" s="41"/>
      <c r="KU24" s="41"/>
      <c r="KV24" s="234"/>
      <c r="KW24" s="234"/>
      <c r="KX24" s="41"/>
      <c r="KY24" s="41"/>
      <c r="KZ24" s="41"/>
      <c r="LA24" s="41"/>
      <c r="LB24" s="41"/>
      <c r="LC24" s="234"/>
      <c r="LD24" s="234"/>
      <c r="LE24" s="41"/>
      <c r="LF24" s="41"/>
      <c r="LG24" s="41"/>
      <c r="LH24" s="41"/>
      <c r="LI24" s="41"/>
      <c r="LJ24" s="234"/>
      <c r="LK24" s="234"/>
      <c r="LL24" s="41"/>
      <c r="LM24" s="41"/>
      <c r="LN24" s="41"/>
      <c r="LO24" s="41"/>
      <c r="LP24" s="41"/>
      <c r="LQ24" s="234"/>
      <c r="LR24" s="234"/>
      <c r="LS24" s="41"/>
      <c r="LT24" s="41"/>
      <c r="LU24" s="41"/>
      <c r="LV24" s="41"/>
      <c r="LW24" s="41"/>
      <c r="LX24" s="234"/>
      <c r="LY24" s="234"/>
      <c r="LZ24" s="41"/>
      <c r="MA24" s="41"/>
      <c r="MB24" s="41"/>
      <c r="MC24" s="41"/>
      <c r="MD24" s="41"/>
      <c r="ME24" s="234"/>
      <c r="MF24" s="234"/>
      <c r="MG24" s="41"/>
      <c r="MH24" s="41"/>
      <c r="MI24" s="41"/>
      <c r="MJ24" s="41"/>
      <c r="MK24" s="41"/>
      <c r="ML24" s="234"/>
      <c r="MM24" s="234"/>
      <c r="MN24" s="41"/>
      <c r="MO24" s="41"/>
      <c r="MP24" s="41"/>
      <c r="MQ24" s="41"/>
      <c r="MR24" s="41"/>
      <c r="MS24" s="234"/>
      <c r="MT24" s="234"/>
      <c r="MU24" s="41"/>
      <c r="MV24" s="41"/>
      <c r="MW24" s="41"/>
      <c r="MX24" s="41"/>
      <c r="MY24" s="41"/>
      <c r="MZ24" s="234"/>
      <c r="NA24" s="234"/>
      <c r="NB24" s="41"/>
      <c r="NC24" s="41"/>
      <c r="ND24" s="41"/>
      <c r="NE24" s="41"/>
      <c r="NF24" s="41"/>
      <c r="NG24" s="234"/>
      <c r="NH24" s="234"/>
      <c r="NI24" s="41"/>
      <c r="NJ24" s="41"/>
      <c r="NK24" s="41"/>
      <c r="NL24" s="41"/>
      <c r="NM24" s="41"/>
      <c r="NN24" s="234"/>
      <c r="NO24" s="234"/>
      <c r="NP24" s="41"/>
      <c r="NQ24" s="41"/>
      <c r="NR24" s="41"/>
      <c r="NS24" s="41"/>
      <c r="NT24" s="41"/>
      <c r="NU24" s="234"/>
      <c r="NV24" s="234"/>
      <c r="NW24" s="41"/>
      <c r="NX24" s="41"/>
      <c r="NY24" s="41"/>
      <c r="NZ24" s="41"/>
      <c r="OA24" s="41"/>
      <c r="OB24" s="234"/>
    </row>
    <row r="25" spans="2:392" x14ac:dyDescent="0.3">
      <c r="B25" s="24" t="s">
        <v>18</v>
      </c>
      <c r="C25" s="25">
        <v>35</v>
      </c>
      <c r="D25" s="207" t="s">
        <v>20</v>
      </c>
      <c r="E25" s="347" t="s">
        <v>8</v>
      </c>
      <c r="F25" s="357" t="s">
        <v>9</v>
      </c>
      <c r="G25" s="341" t="s">
        <v>711</v>
      </c>
      <c r="H25" s="160" t="s">
        <v>923</v>
      </c>
      <c r="I25" s="239"/>
      <c r="J25" s="41"/>
      <c r="K25" s="41"/>
      <c r="L25" s="41"/>
      <c r="M25" s="41"/>
      <c r="N25" s="230"/>
      <c r="O25" s="230"/>
      <c r="P25" s="41"/>
      <c r="Q25" s="41"/>
      <c r="R25" s="41"/>
      <c r="S25" s="41"/>
      <c r="T25" s="41"/>
      <c r="U25" s="230"/>
      <c r="V25" s="230"/>
      <c r="W25" s="41"/>
      <c r="X25" s="41"/>
      <c r="Y25" s="41"/>
      <c r="Z25" s="41"/>
      <c r="AA25" s="41"/>
      <c r="AB25" s="230"/>
      <c r="AC25" s="230"/>
      <c r="AD25" s="41"/>
      <c r="AE25" s="41"/>
      <c r="AF25" s="41"/>
      <c r="AG25" s="41"/>
      <c r="AH25" s="41"/>
      <c r="AI25" s="230"/>
      <c r="AJ25" s="230"/>
      <c r="AK25" s="41"/>
      <c r="AL25" s="41"/>
      <c r="AM25" s="41"/>
      <c r="AN25" s="41"/>
      <c r="AO25" s="41"/>
      <c r="AP25" s="230"/>
      <c r="AQ25" s="230"/>
      <c r="AR25" s="41"/>
      <c r="AS25" s="41"/>
      <c r="AT25" s="41"/>
      <c r="AU25" s="41"/>
      <c r="AV25" s="41"/>
      <c r="AW25" s="230"/>
      <c r="AX25" s="230"/>
      <c r="AY25" s="41"/>
      <c r="AZ25" s="41"/>
      <c r="BA25" s="41"/>
      <c r="BB25" s="41"/>
      <c r="BC25" s="41"/>
      <c r="BD25" s="230"/>
      <c r="BE25" s="230"/>
      <c r="BF25" s="41"/>
      <c r="BG25" s="41"/>
      <c r="BH25" s="41"/>
      <c r="BI25" s="41"/>
      <c r="BJ25" s="41"/>
      <c r="BK25" s="230"/>
      <c r="BL25" s="230"/>
      <c r="BM25" s="41"/>
      <c r="BN25" s="41"/>
      <c r="BO25" s="41"/>
      <c r="BP25" s="41"/>
      <c r="BQ25" s="41"/>
      <c r="BR25" s="230"/>
      <c r="BS25" s="230"/>
      <c r="BT25" s="41"/>
      <c r="BU25" s="41"/>
      <c r="BV25" s="41"/>
      <c r="BW25" s="41"/>
      <c r="BX25" s="41"/>
      <c r="BY25" s="230"/>
      <c r="BZ25" s="230"/>
      <c r="CA25" s="41"/>
      <c r="CB25" s="41"/>
      <c r="CC25" s="41"/>
      <c r="CD25" s="41"/>
      <c r="CE25" s="41"/>
      <c r="CF25" s="230"/>
      <c r="CG25" s="230"/>
      <c r="CH25" s="41"/>
      <c r="CI25" s="41"/>
      <c r="CJ25" s="41"/>
      <c r="CK25" s="41"/>
      <c r="CL25" s="41"/>
      <c r="CM25" s="230"/>
      <c r="CN25" s="230"/>
      <c r="CO25" s="41"/>
      <c r="CP25" s="41"/>
      <c r="CQ25" s="41"/>
      <c r="CR25" s="41"/>
      <c r="CS25" s="41"/>
      <c r="CT25" s="230"/>
      <c r="CU25" s="230"/>
      <c r="CV25" s="41"/>
      <c r="CW25" s="41"/>
      <c r="CX25" s="41"/>
      <c r="CY25" s="41"/>
      <c r="CZ25" s="41"/>
      <c r="DA25" s="230"/>
      <c r="DB25" s="230"/>
      <c r="DC25" s="41"/>
      <c r="DD25" s="41"/>
      <c r="DE25" s="41"/>
      <c r="DF25" s="41"/>
      <c r="DG25" s="41"/>
      <c r="DH25" s="230"/>
      <c r="DI25" s="230"/>
      <c r="DJ25" s="41"/>
      <c r="DK25" s="41"/>
      <c r="DL25" s="41"/>
      <c r="DM25" s="41"/>
      <c r="DN25" s="41"/>
      <c r="DO25" s="230"/>
      <c r="DP25" s="230"/>
      <c r="DQ25" s="41"/>
      <c r="DR25" s="41"/>
      <c r="DS25" s="41"/>
      <c r="DT25" s="41"/>
      <c r="DU25" s="41"/>
      <c r="DV25" s="230"/>
      <c r="DW25" s="234"/>
      <c r="DX25" s="41" t="s">
        <v>460</v>
      </c>
      <c r="DY25" s="41"/>
      <c r="DZ25" s="41"/>
      <c r="EA25" s="41"/>
      <c r="EB25" s="41"/>
      <c r="EC25" s="230"/>
      <c r="ED25" s="230"/>
      <c r="EE25" s="41"/>
      <c r="EF25" s="41"/>
      <c r="EG25" s="41"/>
      <c r="EH25" s="41" t="s">
        <v>460</v>
      </c>
      <c r="EI25" s="41"/>
      <c r="EJ25" s="230"/>
      <c r="EK25" s="230"/>
      <c r="EL25" s="41" t="s">
        <v>460</v>
      </c>
      <c r="EM25" s="41" t="s">
        <v>460</v>
      </c>
      <c r="EN25" s="41" t="s">
        <v>460</v>
      </c>
      <c r="EO25" s="41" t="s">
        <v>460</v>
      </c>
      <c r="EP25" s="41" t="s">
        <v>460</v>
      </c>
      <c r="EQ25" s="230"/>
      <c r="ER25" s="230"/>
      <c r="ES25" s="41"/>
      <c r="ET25" s="41"/>
      <c r="EU25" s="41"/>
      <c r="EV25" s="41"/>
      <c r="EW25" s="41"/>
      <c r="EX25" s="230"/>
      <c r="EY25" s="230"/>
      <c r="EZ25" s="41"/>
      <c r="FA25" s="41"/>
      <c r="FB25" s="41"/>
      <c r="FC25" s="41"/>
      <c r="FD25" s="41"/>
      <c r="FE25" s="230"/>
      <c r="FF25" s="230"/>
      <c r="FG25" s="41"/>
      <c r="FH25" s="41"/>
      <c r="FI25" s="41"/>
      <c r="FJ25" s="41"/>
      <c r="FK25" s="41"/>
      <c r="FL25" s="230"/>
      <c r="FM25" s="230"/>
      <c r="FN25" s="41" t="s">
        <v>460</v>
      </c>
      <c r="FO25" s="41"/>
      <c r="FP25" s="41"/>
      <c r="FQ25" s="41"/>
      <c r="FR25" s="41"/>
      <c r="FS25" s="230"/>
      <c r="FT25" s="230"/>
      <c r="FU25" s="41"/>
      <c r="FV25" s="41"/>
      <c r="FW25" s="41"/>
      <c r="FX25" s="41"/>
      <c r="FY25" s="41"/>
      <c r="FZ25" s="230"/>
      <c r="GA25" s="230"/>
      <c r="GB25" s="41"/>
      <c r="GC25" s="41"/>
      <c r="GD25" s="41"/>
      <c r="GE25" s="41"/>
      <c r="GF25" s="41"/>
      <c r="GG25" s="230"/>
      <c r="GH25" s="230"/>
      <c r="GI25" s="41"/>
      <c r="GJ25" s="41"/>
      <c r="GK25" s="41"/>
      <c r="GL25" s="41"/>
      <c r="GM25" s="41"/>
      <c r="GN25" s="230"/>
      <c r="GO25" s="230"/>
      <c r="GP25" s="41"/>
      <c r="GQ25" s="41"/>
      <c r="GR25" s="41"/>
      <c r="GS25" s="41"/>
      <c r="GT25" s="41"/>
      <c r="GU25" s="230"/>
      <c r="GV25" s="230"/>
      <c r="GW25" s="41" t="s">
        <v>460</v>
      </c>
      <c r="GX25" s="41"/>
      <c r="GY25" s="41"/>
      <c r="GZ25" s="41"/>
      <c r="HA25" s="41"/>
      <c r="HB25" s="230"/>
      <c r="HC25" s="230"/>
      <c r="HD25" s="41" t="s">
        <v>460</v>
      </c>
      <c r="HE25" s="41" t="s">
        <v>460</v>
      </c>
      <c r="HF25" s="41" t="s">
        <v>460</v>
      </c>
      <c r="HG25" s="41" t="s">
        <v>460</v>
      </c>
      <c r="HH25" s="41" t="s">
        <v>460</v>
      </c>
      <c r="HI25" s="234"/>
      <c r="HJ25" s="234"/>
      <c r="HK25" s="41" t="s">
        <v>460</v>
      </c>
      <c r="HL25" s="41" t="s">
        <v>460</v>
      </c>
      <c r="HM25" s="41" t="s">
        <v>460</v>
      </c>
      <c r="HN25" s="41" t="s">
        <v>460</v>
      </c>
      <c r="HO25" s="41" t="s">
        <v>460</v>
      </c>
      <c r="HP25" s="234"/>
      <c r="HQ25" s="234"/>
      <c r="HR25" s="41"/>
      <c r="HS25" s="41"/>
      <c r="HT25" s="41"/>
      <c r="HU25" s="41"/>
      <c r="HV25" s="41"/>
      <c r="HW25" s="234"/>
      <c r="HX25" s="234"/>
      <c r="HY25" s="41"/>
      <c r="HZ25" s="41"/>
      <c r="IA25" s="41"/>
      <c r="IB25" s="41"/>
      <c r="IC25" s="41"/>
      <c r="ID25" s="234"/>
      <c r="IE25" s="234"/>
      <c r="IF25" s="41"/>
      <c r="IG25" s="41"/>
      <c r="IH25" s="41"/>
      <c r="II25" s="41"/>
      <c r="IJ25" s="41"/>
      <c r="IK25" s="234"/>
      <c r="IL25" s="234"/>
      <c r="IM25" s="41" t="s">
        <v>460</v>
      </c>
      <c r="IN25" s="41" t="s">
        <v>460</v>
      </c>
      <c r="IO25" s="41" t="s">
        <v>460</v>
      </c>
      <c r="IP25" s="41" t="s">
        <v>460</v>
      </c>
      <c r="IQ25" s="41" t="s">
        <v>460</v>
      </c>
      <c r="IR25" s="234"/>
      <c r="IS25" s="234"/>
      <c r="IT25" s="41" t="s">
        <v>460</v>
      </c>
      <c r="IU25" s="41" t="s">
        <v>460</v>
      </c>
      <c r="IV25" s="41" t="s">
        <v>460</v>
      </c>
      <c r="IW25" s="41" t="s">
        <v>460</v>
      </c>
      <c r="IX25" s="41" t="s">
        <v>460</v>
      </c>
      <c r="IY25" s="234"/>
      <c r="IZ25" s="234"/>
      <c r="JA25" s="41"/>
      <c r="JB25" s="41"/>
      <c r="JC25" s="41"/>
      <c r="JD25" s="41"/>
      <c r="JE25" s="41"/>
      <c r="JF25" s="234"/>
      <c r="JG25" s="234"/>
      <c r="JH25" s="41"/>
      <c r="JI25" s="41"/>
      <c r="JJ25" s="41"/>
      <c r="JK25" s="41"/>
      <c r="JL25" s="41"/>
      <c r="JM25" s="234"/>
      <c r="JN25" s="234"/>
      <c r="JO25" s="41"/>
      <c r="JP25" s="41"/>
      <c r="JQ25" s="41"/>
      <c r="JR25" s="41"/>
      <c r="JS25" s="41"/>
      <c r="JT25" s="234"/>
      <c r="JU25" s="234"/>
      <c r="JV25" s="41"/>
      <c r="JW25" s="41"/>
      <c r="JX25" s="41"/>
      <c r="JY25" s="41"/>
      <c r="JZ25" s="41"/>
      <c r="KA25" s="234"/>
      <c r="KB25" s="234"/>
      <c r="KC25" s="41"/>
      <c r="KD25" s="41"/>
      <c r="KE25" s="41"/>
      <c r="KF25" s="41"/>
      <c r="KG25" s="41"/>
      <c r="KH25" s="234"/>
      <c r="KI25" s="234"/>
      <c r="KJ25" s="41"/>
      <c r="KK25" s="41"/>
      <c r="KL25" s="41"/>
      <c r="KM25" s="41"/>
      <c r="KN25" s="41"/>
      <c r="KO25" s="234"/>
      <c r="KP25" s="234"/>
      <c r="KQ25" s="41"/>
      <c r="KR25" s="41"/>
      <c r="KS25" s="41"/>
      <c r="KT25" s="41"/>
      <c r="KU25" s="41"/>
      <c r="KV25" s="234"/>
      <c r="KW25" s="234"/>
      <c r="KX25" s="41"/>
      <c r="KY25" s="41"/>
      <c r="KZ25" s="41"/>
      <c r="LA25" s="41"/>
      <c r="LB25" s="41"/>
      <c r="LC25" s="234"/>
      <c r="LD25" s="234"/>
      <c r="LE25" s="41"/>
      <c r="LF25" s="41"/>
      <c r="LG25" s="41"/>
      <c r="LH25" s="41"/>
      <c r="LI25" s="41"/>
      <c r="LJ25" s="234"/>
      <c r="LK25" s="234"/>
      <c r="LL25" s="41"/>
      <c r="LM25" s="41"/>
      <c r="LN25" s="41"/>
      <c r="LO25" s="41"/>
      <c r="LP25" s="41"/>
      <c r="LQ25" s="234"/>
      <c r="LR25" s="234"/>
      <c r="LS25" s="41"/>
      <c r="LT25" s="41"/>
      <c r="LU25" s="41"/>
      <c r="LV25" s="41"/>
      <c r="LW25" s="41"/>
      <c r="LX25" s="234"/>
      <c r="LY25" s="234"/>
      <c r="LZ25" s="41"/>
      <c r="MA25" s="41"/>
      <c r="MB25" s="41"/>
      <c r="MC25" s="41"/>
      <c r="MD25" s="41"/>
      <c r="ME25" s="234"/>
      <c r="MF25" s="234"/>
      <c r="MG25" s="41"/>
      <c r="MH25" s="41"/>
      <c r="MI25" s="41"/>
      <c r="MJ25" s="41"/>
      <c r="MK25" s="41"/>
      <c r="ML25" s="234"/>
      <c r="MM25" s="234"/>
      <c r="MN25" s="41"/>
      <c r="MO25" s="41"/>
      <c r="MP25" s="41"/>
      <c r="MQ25" s="41"/>
      <c r="MR25" s="41"/>
      <c r="MS25" s="234"/>
      <c r="MT25" s="234"/>
      <c r="MU25" s="41"/>
      <c r="MV25" s="41"/>
      <c r="MW25" s="41"/>
      <c r="MX25" s="41"/>
      <c r="MY25" s="41"/>
      <c r="MZ25" s="234"/>
      <c r="NA25" s="234"/>
      <c r="NB25" s="41"/>
      <c r="NC25" s="41"/>
      <c r="ND25" s="41"/>
      <c r="NE25" s="41"/>
      <c r="NF25" s="41"/>
      <c r="NG25" s="234"/>
      <c r="NH25" s="234"/>
      <c r="NI25" s="41"/>
      <c r="NJ25" s="41"/>
      <c r="NK25" s="41"/>
      <c r="NL25" s="41"/>
      <c r="NM25" s="41"/>
      <c r="NN25" s="234"/>
      <c r="NO25" s="234"/>
      <c r="NP25" s="41"/>
      <c r="NQ25" s="41"/>
      <c r="NR25" s="41"/>
      <c r="NS25" s="41"/>
      <c r="NT25" s="41"/>
      <c r="NU25" s="234"/>
      <c r="NV25" s="234"/>
      <c r="NW25" s="41"/>
      <c r="NX25" s="41"/>
      <c r="NY25" s="41"/>
      <c r="NZ25" s="41"/>
      <c r="OA25" s="41"/>
      <c r="OB25" s="234"/>
    </row>
    <row r="26" spans="2:392" x14ac:dyDescent="0.3">
      <c r="B26" s="65" t="s">
        <v>18</v>
      </c>
      <c r="C26" s="25">
        <v>35</v>
      </c>
      <c r="D26" s="207" t="s">
        <v>20</v>
      </c>
      <c r="E26" s="347" t="s">
        <v>8</v>
      </c>
      <c r="F26" s="357" t="s">
        <v>9</v>
      </c>
      <c r="G26" s="170" t="s">
        <v>915</v>
      </c>
      <c r="H26" s="156" t="s">
        <v>916</v>
      </c>
      <c r="I26" s="239"/>
      <c r="J26" s="41"/>
      <c r="K26" s="41"/>
      <c r="L26" s="41"/>
      <c r="M26" s="41"/>
      <c r="N26" s="230"/>
      <c r="O26" s="230"/>
      <c r="P26" s="41"/>
      <c r="Q26" s="41"/>
      <c r="R26" s="41"/>
      <c r="S26" s="41"/>
      <c r="T26" s="41"/>
      <c r="U26" s="230"/>
      <c r="V26" s="230"/>
      <c r="W26" s="41"/>
      <c r="X26" s="41"/>
      <c r="Y26" s="41"/>
      <c r="Z26" s="41"/>
      <c r="AA26" s="41"/>
      <c r="AB26" s="230"/>
      <c r="AC26" s="230"/>
      <c r="AD26" s="41"/>
      <c r="AE26" s="41"/>
      <c r="AF26" s="41"/>
      <c r="AG26" s="41"/>
      <c r="AH26" s="41"/>
      <c r="AI26" s="230"/>
      <c r="AJ26" s="230"/>
      <c r="AK26" s="41"/>
      <c r="AL26" s="41"/>
      <c r="AM26" s="41"/>
      <c r="AN26" s="41"/>
      <c r="AO26" s="41"/>
      <c r="AP26" s="230"/>
      <c r="AQ26" s="230"/>
      <c r="AR26" s="41"/>
      <c r="AS26" s="41"/>
      <c r="AT26" s="41"/>
      <c r="AU26" s="41"/>
      <c r="AV26" s="41"/>
      <c r="AW26" s="230"/>
      <c r="AX26" s="230"/>
      <c r="AY26" s="41"/>
      <c r="AZ26" s="41"/>
      <c r="BA26" s="41"/>
      <c r="BB26" s="41"/>
      <c r="BC26" s="41"/>
      <c r="BD26" s="230"/>
      <c r="BE26" s="230"/>
      <c r="BF26" s="41"/>
      <c r="BG26" s="41"/>
      <c r="BH26" s="41"/>
      <c r="BI26" s="41"/>
      <c r="BJ26" s="41"/>
      <c r="BK26" s="230"/>
      <c r="BL26" s="230"/>
      <c r="BM26" s="41"/>
      <c r="BN26" s="41"/>
      <c r="BO26" s="41"/>
      <c r="BP26" s="41"/>
      <c r="BQ26" s="41"/>
      <c r="BR26" s="230"/>
      <c r="BS26" s="230"/>
      <c r="BT26" s="41"/>
      <c r="BU26" s="41"/>
      <c r="BV26" s="41"/>
      <c r="BW26" s="41"/>
      <c r="BX26" s="41"/>
      <c r="BY26" s="230"/>
      <c r="BZ26" s="230"/>
      <c r="CA26" s="41"/>
      <c r="CB26" s="41"/>
      <c r="CC26" s="41"/>
      <c r="CD26" s="41"/>
      <c r="CE26" s="41"/>
      <c r="CF26" s="230"/>
      <c r="CG26" s="230"/>
      <c r="CH26" s="41"/>
      <c r="CI26" s="41"/>
      <c r="CJ26" s="41"/>
      <c r="CK26" s="41"/>
      <c r="CL26" s="41"/>
      <c r="CM26" s="230"/>
      <c r="CN26" s="230"/>
      <c r="CO26" s="41"/>
      <c r="CP26" s="41"/>
      <c r="CQ26" s="41"/>
      <c r="CR26" s="41"/>
      <c r="CS26" s="41"/>
      <c r="CT26" s="230"/>
      <c r="CU26" s="230"/>
      <c r="CV26" s="41"/>
      <c r="CW26" s="41"/>
      <c r="CX26" s="41"/>
      <c r="CY26" s="41"/>
      <c r="CZ26" s="41"/>
      <c r="DA26" s="230"/>
      <c r="DB26" s="230"/>
      <c r="DC26" s="41"/>
      <c r="DD26" s="41"/>
      <c r="DE26" s="41"/>
      <c r="DF26" s="41"/>
      <c r="DG26" s="41"/>
      <c r="DH26" s="230"/>
      <c r="DI26" s="230"/>
      <c r="DJ26" s="41"/>
      <c r="DK26" s="41"/>
      <c r="DL26" s="41"/>
      <c r="DM26" s="41"/>
      <c r="DN26" s="41"/>
      <c r="DO26" s="230"/>
      <c r="DP26" s="230"/>
      <c r="DQ26" s="41"/>
      <c r="DR26" s="41"/>
      <c r="DS26" s="41"/>
      <c r="DT26" s="41"/>
      <c r="DU26" s="41"/>
      <c r="DV26" s="230"/>
      <c r="DW26" s="234"/>
      <c r="DX26" s="41" t="s">
        <v>460</v>
      </c>
      <c r="DY26" s="41"/>
      <c r="DZ26" s="41"/>
      <c r="EA26" s="41"/>
      <c r="EB26" s="41"/>
      <c r="EC26" s="230"/>
      <c r="ED26" s="230"/>
      <c r="EE26" s="41"/>
      <c r="EF26" s="41"/>
      <c r="EG26" s="41"/>
      <c r="EH26" s="41" t="s">
        <v>460</v>
      </c>
      <c r="EI26" s="41"/>
      <c r="EJ26" s="230"/>
      <c r="EK26" s="230"/>
      <c r="EL26" s="41"/>
      <c r="EM26" s="41"/>
      <c r="EN26" s="41"/>
      <c r="EO26" s="41"/>
      <c r="EP26" s="41"/>
      <c r="EQ26" s="230"/>
      <c r="ER26" s="230"/>
      <c r="ES26" s="41"/>
      <c r="ET26" s="41"/>
      <c r="EU26" s="41"/>
      <c r="EV26" s="41"/>
      <c r="EW26" s="41"/>
      <c r="EX26" s="230"/>
      <c r="EY26" s="230"/>
      <c r="EZ26" s="41" t="s">
        <v>460</v>
      </c>
      <c r="FA26" s="41" t="s">
        <v>460</v>
      </c>
      <c r="FB26" s="41" t="s">
        <v>460</v>
      </c>
      <c r="FC26" s="41" t="s">
        <v>460</v>
      </c>
      <c r="FD26" s="41" t="s">
        <v>460</v>
      </c>
      <c r="FE26" s="230"/>
      <c r="FF26" s="230"/>
      <c r="FG26" s="41" t="s">
        <v>460</v>
      </c>
      <c r="FH26" s="41" t="s">
        <v>460</v>
      </c>
      <c r="FI26" s="41" t="s">
        <v>460</v>
      </c>
      <c r="FJ26" s="41" t="s">
        <v>460</v>
      </c>
      <c r="FK26" s="41" t="s">
        <v>460</v>
      </c>
      <c r="FL26" s="230"/>
      <c r="FM26" s="230"/>
      <c r="FN26" s="41" t="s">
        <v>460</v>
      </c>
      <c r="FO26" s="41"/>
      <c r="FP26" s="41"/>
      <c r="FQ26" s="41"/>
      <c r="FR26" s="41"/>
      <c r="FS26" s="230"/>
      <c r="FT26" s="230"/>
      <c r="FU26" s="41" t="s">
        <v>460</v>
      </c>
      <c r="FV26" s="41" t="s">
        <v>460</v>
      </c>
      <c r="FW26" s="41" t="s">
        <v>460</v>
      </c>
      <c r="FX26" s="41" t="s">
        <v>460</v>
      </c>
      <c r="FY26" s="41" t="s">
        <v>460</v>
      </c>
      <c r="FZ26" s="230"/>
      <c r="GA26" s="230"/>
      <c r="GB26" s="41" t="s">
        <v>460</v>
      </c>
      <c r="GC26" s="41" t="s">
        <v>460</v>
      </c>
      <c r="GD26" s="41" t="s">
        <v>460</v>
      </c>
      <c r="GE26" s="41"/>
      <c r="GF26" s="41"/>
      <c r="GG26" s="230"/>
      <c r="GH26" s="230"/>
      <c r="GI26" s="41" t="s">
        <v>460</v>
      </c>
      <c r="GJ26" s="41" t="s">
        <v>460</v>
      </c>
      <c r="GK26" s="41" t="s">
        <v>460</v>
      </c>
      <c r="GL26" s="41" t="s">
        <v>460</v>
      </c>
      <c r="GM26" s="41" t="s">
        <v>460</v>
      </c>
      <c r="GN26" s="230"/>
      <c r="GO26" s="230"/>
      <c r="GP26" s="41" t="s">
        <v>460</v>
      </c>
      <c r="GQ26" s="41" t="s">
        <v>460</v>
      </c>
      <c r="GR26" s="41" t="s">
        <v>460</v>
      </c>
      <c r="GS26" s="41" t="s">
        <v>460</v>
      </c>
      <c r="GT26" s="41" t="s">
        <v>460</v>
      </c>
      <c r="GU26" s="230"/>
      <c r="GV26" s="230"/>
      <c r="GW26" s="41" t="s">
        <v>460</v>
      </c>
      <c r="GX26" s="41" t="s">
        <v>460</v>
      </c>
      <c r="GY26" s="41" t="s">
        <v>460</v>
      </c>
      <c r="GZ26" s="41" t="s">
        <v>460</v>
      </c>
      <c r="HA26" s="41" t="s">
        <v>460</v>
      </c>
      <c r="HB26" s="230"/>
      <c r="HC26" s="230"/>
      <c r="HD26" s="41" t="s">
        <v>460</v>
      </c>
      <c r="HE26" s="41" t="s">
        <v>460</v>
      </c>
      <c r="HF26" s="41" t="s">
        <v>460</v>
      </c>
      <c r="HG26" s="41" t="s">
        <v>460</v>
      </c>
      <c r="HH26" s="41" t="s">
        <v>460</v>
      </c>
      <c r="HI26" s="234"/>
      <c r="HJ26" s="234"/>
      <c r="HK26" s="41" t="s">
        <v>460</v>
      </c>
      <c r="HL26" s="41" t="s">
        <v>460</v>
      </c>
      <c r="HM26" s="41" t="s">
        <v>460</v>
      </c>
      <c r="HN26" s="41" t="s">
        <v>460</v>
      </c>
      <c r="HO26" s="41" t="s">
        <v>460</v>
      </c>
      <c r="HP26" s="234"/>
      <c r="HQ26" s="234"/>
      <c r="HR26" s="41"/>
      <c r="HS26" s="41"/>
      <c r="HT26" s="41"/>
      <c r="HU26" s="41"/>
      <c r="HV26" s="41"/>
      <c r="HW26" s="234"/>
      <c r="HX26" s="234"/>
      <c r="HY26" s="41"/>
      <c r="HZ26" s="41"/>
      <c r="IA26" s="41"/>
      <c r="IB26" s="41"/>
      <c r="IC26" s="41"/>
      <c r="ID26" s="234"/>
      <c r="IE26" s="234"/>
      <c r="IF26" s="41"/>
      <c r="IG26" s="41"/>
      <c r="IH26" s="41"/>
      <c r="II26" s="41"/>
      <c r="IJ26" s="41"/>
      <c r="IK26" s="234"/>
      <c r="IL26" s="234"/>
      <c r="IM26" s="41"/>
      <c r="IN26" s="41"/>
      <c r="IO26" s="41"/>
      <c r="IP26" s="41"/>
      <c r="IQ26" s="41"/>
      <c r="IR26" s="234"/>
      <c r="IS26" s="234"/>
      <c r="IT26" s="41"/>
      <c r="IU26" s="41"/>
      <c r="IV26" s="41"/>
      <c r="IW26" s="41"/>
      <c r="IX26" s="41"/>
      <c r="IY26" s="234"/>
      <c r="IZ26" s="234"/>
      <c r="JA26" s="41"/>
      <c r="JB26" s="41"/>
      <c r="JC26" s="41"/>
      <c r="JD26" s="41"/>
      <c r="JE26" s="41"/>
      <c r="JF26" s="234"/>
      <c r="JG26" s="234"/>
      <c r="JH26" s="41"/>
      <c r="JI26" s="41"/>
      <c r="JJ26" s="41"/>
      <c r="JK26" s="41"/>
      <c r="JL26" s="41"/>
      <c r="JM26" s="234"/>
      <c r="JN26" s="234"/>
      <c r="JO26" s="41"/>
      <c r="JP26" s="41"/>
      <c r="JQ26" s="41"/>
      <c r="JR26" s="41"/>
      <c r="JS26" s="41"/>
      <c r="JT26" s="234"/>
      <c r="JU26" s="234"/>
      <c r="JV26" s="41"/>
      <c r="JW26" s="41"/>
      <c r="JX26" s="41"/>
      <c r="JY26" s="41"/>
      <c r="JZ26" s="41"/>
      <c r="KA26" s="234"/>
      <c r="KB26" s="234"/>
      <c r="KC26" s="41"/>
      <c r="KD26" s="41"/>
      <c r="KE26" s="41"/>
      <c r="KF26" s="41"/>
      <c r="KG26" s="41"/>
      <c r="KH26" s="234"/>
      <c r="KI26" s="234"/>
      <c r="KJ26" s="41"/>
      <c r="KK26" s="41"/>
      <c r="KL26" s="41"/>
      <c r="KM26" s="41"/>
      <c r="KN26" s="41"/>
      <c r="KO26" s="234"/>
      <c r="KP26" s="234"/>
      <c r="KQ26" s="41"/>
      <c r="KR26" s="41"/>
      <c r="KS26" s="41"/>
      <c r="KT26" s="41"/>
      <c r="KU26" s="41"/>
      <c r="KV26" s="234"/>
      <c r="KW26" s="234"/>
      <c r="KX26" s="41"/>
      <c r="KY26" s="41"/>
      <c r="KZ26" s="41"/>
      <c r="LA26" s="41"/>
      <c r="LB26" s="41"/>
      <c r="LC26" s="234"/>
      <c r="LD26" s="234"/>
      <c r="LE26" s="41"/>
      <c r="LF26" s="41"/>
      <c r="LG26" s="41"/>
      <c r="LH26" s="41"/>
      <c r="LI26" s="41"/>
      <c r="LJ26" s="234"/>
      <c r="LK26" s="234"/>
      <c r="LL26" s="41"/>
      <c r="LM26" s="41"/>
      <c r="LN26" s="41"/>
      <c r="LO26" s="41"/>
      <c r="LP26" s="41"/>
      <c r="LQ26" s="234"/>
      <c r="LR26" s="234"/>
      <c r="LS26" s="41"/>
      <c r="LT26" s="41"/>
      <c r="LU26" s="41"/>
      <c r="LV26" s="41"/>
      <c r="LW26" s="41"/>
      <c r="LX26" s="234"/>
      <c r="LY26" s="234"/>
      <c r="LZ26" s="41"/>
      <c r="MA26" s="41"/>
      <c r="MB26" s="41"/>
      <c r="MC26" s="41"/>
      <c r="MD26" s="41"/>
      <c r="ME26" s="234"/>
      <c r="MF26" s="234"/>
      <c r="MG26" s="41"/>
      <c r="MH26" s="41"/>
      <c r="MI26" s="41"/>
      <c r="MJ26" s="41"/>
      <c r="MK26" s="41"/>
      <c r="ML26" s="234"/>
      <c r="MM26" s="234"/>
      <c r="MN26" s="41"/>
      <c r="MO26" s="41"/>
      <c r="MP26" s="41"/>
      <c r="MQ26" s="41"/>
      <c r="MR26" s="41"/>
      <c r="MS26" s="234"/>
      <c r="MT26" s="234"/>
      <c r="MU26" s="41"/>
      <c r="MV26" s="41"/>
      <c r="MW26" s="41"/>
      <c r="MX26" s="41"/>
      <c r="MY26" s="41"/>
      <c r="MZ26" s="234"/>
      <c r="NA26" s="234"/>
      <c r="NB26" s="41"/>
      <c r="NC26" s="41"/>
      <c r="ND26" s="41"/>
      <c r="NE26" s="41"/>
      <c r="NF26" s="41"/>
      <c r="NG26" s="234"/>
      <c r="NH26" s="234"/>
      <c r="NI26" s="41"/>
      <c r="NJ26" s="41"/>
      <c r="NK26" s="41"/>
      <c r="NL26" s="41"/>
      <c r="NM26" s="41"/>
      <c r="NN26" s="234"/>
      <c r="NO26" s="234"/>
      <c r="NP26" s="41"/>
      <c r="NQ26" s="41"/>
      <c r="NR26" s="41"/>
      <c r="NS26" s="41"/>
      <c r="NT26" s="41"/>
      <c r="NU26" s="234"/>
      <c r="NV26" s="234"/>
      <c r="NW26" s="41"/>
      <c r="NX26" s="41"/>
      <c r="NY26" s="41"/>
      <c r="NZ26" s="41"/>
      <c r="OA26" s="41"/>
      <c r="OB26" s="234"/>
    </row>
    <row r="27" spans="2:392" x14ac:dyDescent="0.3">
      <c r="B27" s="24" t="s">
        <v>18</v>
      </c>
      <c r="C27" s="25">
        <v>35</v>
      </c>
      <c r="D27" s="206" t="s">
        <v>20</v>
      </c>
      <c r="E27" s="347" t="s">
        <v>8</v>
      </c>
      <c r="F27" s="357" t="s">
        <v>9</v>
      </c>
      <c r="G27" s="155" t="s">
        <v>717</v>
      </c>
      <c r="H27" s="156" t="s">
        <v>715</v>
      </c>
      <c r="I27" s="239"/>
      <c r="J27" s="41"/>
      <c r="K27" s="41"/>
      <c r="L27" s="41"/>
      <c r="M27" s="41"/>
      <c r="N27" s="230"/>
      <c r="O27" s="230"/>
      <c r="P27" s="41"/>
      <c r="Q27" s="41"/>
      <c r="R27" s="41"/>
      <c r="S27" s="41"/>
      <c r="T27" s="41"/>
      <c r="U27" s="230"/>
      <c r="V27" s="230"/>
      <c r="W27" s="41"/>
      <c r="X27" s="41"/>
      <c r="Y27" s="41"/>
      <c r="Z27" s="41"/>
      <c r="AA27" s="41"/>
      <c r="AB27" s="230"/>
      <c r="AC27" s="230"/>
      <c r="AD27" s="41"/>
      <c r="AE27" s="41"/>
      <c r="AF27" s="41"/>
      <c r="AG27" s="41"/>
      <c r="AH27" s="41"/>
      <c r="AI27" s="230"/>
      <c r="AJ27" s="230"/>
      <c r="AK27" s="41"/>
      <c r="AL27" s="41"/>
      <c r="AM27" s="41"/>
      <c r="AN27" s="41"/>
      <c r="AO27" s="41"/>
      <c r="AP27" s="230"/>
      <c r="AQ27" s="230"/>
      <c r="AR27" s="41"/>
      <c r="AS27" s="41"/>
      <c r="AT27" s="41"/>
      <c r="AU27" s="41"/>
      <c r="AV27" s="41"/>
      <c r="AW27" s="230"/>
      <c r="AX27" s="230"/>
      <c r="AY27" s="41"/>
      <c r="AZ27" s="41"/>
      <c r="BA27" s="41"/>
      <c r="BB27" s="41"/>
      <c r="BC27" s="41"/>
      <c r="BD27" s="230"/>
      <c r="BE27" s="230"/>
      <c r="BF27" s="41"/>
      <c r="BG27" s="41"/>
      <c r="BH27" s="41"/>
      <c r="BI27" s="41"/>
      <c r="BJ27" s="41"/>
      <c r="BK27" s="230"/>
      <c r="BL27" s="230"/>
      <c r="BM27" s="41"/>
      <c r="BN27" s="41"/>
      <c r="BO27" s="41"/>
      <c r="BP27" s="41"/>
      <c r="BQ27" s="41"/>
      <c r="BR27" s="230"/>
      <c r="BS27" s="230"/>
      <c r="BT27" s="41"/>
      <c r="BU27" s="41"/>
      <c r="BV27" s="41"/>
      <c r="BW27" s="41"/>
      <c r="BX27" s="41"/>
      <c r="BY27" s="230"/>
      <c r="BZ27" s="230"/>
      <c r="CA27" s="41"/>
      <c r="CB27" s="41"/>
      <c r="CC27" s="41"/>
      <c r="CD27" s="41"/>
      <c r="CE27" s="41"/>
      <c r="CF27" s="230"/>
      <c r="CG27" s="230"/>
      <c r="CH27" s="41"/>
      <c r="CI27" s="41"/>
      <c r="CJ27" s="41"/>
      <c r="CK27" s="41"/>
      <c r="CL27" s="41"/>
      <c r="CM27" s="230"/>
      <c r="CN27" s="230"/>
      <c r="CO27" s="41"/>
      <c r="CP27" s="41"/>
      <c r="CQ27" s="41"/>
      <c r="CR27" s="41"/>
      <c r="CS27" s="41"/>
      <c r="CT27" s="230"/>
      <c r="CU27" s="230"/>
      <c r="CV27" s="41"/>
      <c r="CW27" s="41"/>
      <c r="CX27" s="41"/>
      <c r="CY27" s="41"/>
      <c r="CZ27" s="41"/>
      <c r="DA27" s="230"/>
      <c r="DB27" s="230"/>
      <c r="DC27" s="41"/>
      <c r="DD27" s="41"/>
      <c r="DE27" s="41"/>
      <c r="DF27" s="41"/>
      <c r="DG27" s="41"/>
      <c r="DH27" s="230"/>
      <c r="DI27" s="230"/>
      <c r="DJ27" s="41"/>
      <c r="DK27" s="41"/>
      <c r="DL27" s="41"/>
      <c r="DM27" s="41"/>
      <c r="DN27" s="41"/>
      <c r="DO27" s="230"/>
      <c r="DP27" s="230"/>
      <c r="DQ27" s="41"/>
      <c r="DR27" s="41"/>
      <c r="DS27" s="41"/>
      <c r="DT27" s="41"/>
      <c r="DU27" s="41"/>
      <c r="DV27" s="230"/>
      <c r="DW27" s="234"/>
      <c r="DX27" s="41" t="s">
        <v>460</v>
      </c>
      <c r="DY27" s="41"/>
      <c r="DZ27" s="41"/>
      <c r="EA27" s="41"/>
      <c r="EB27" s="41"/>
      <c r="EC27" s="230"/>
      <c r="ED27" s="230"/>
      <c r="EE27" s="41"/>
      <c r="EF27" s="41"/>
      <c r="EG27" s="41"/>
      <c r="EH27" s="41" t="s">
        <v>460</v>
      </c>
      <c r="EI27" s="41"/>
      <c r="EJ27" s="230"/>
      <c r="EK27" s="230"/>
      <c r="EL27" s="41"/>
      <c r="EM27" s="41"/>
      <c r="EN27" s="41"/>
      <c r="EO27" s="41"/>
      <c r="EP27" s="41"/>
      <c r="EQ27" s="230"/>
      <c r="ER27" s="230"/>
      <c r="ES27" s="41"/>
      <c r="ET27" s="41"/>
      <c r="EU27" s="41"/>
      <c r="EV27" s="41"/>
      <c r="EW27" s="41"/>
      <c r="EX27" s="230"/>
      <c r="EY27" s="230"/>
      <c r="EZ27" s="41"/>
      <c r="FA27" s="41"/>
      <c r="FB27" s="41"/>
      <c r="FC27" s="41"/>
      <c r="FD27" s="41"/>
      <c r="FE27" s="230"/>
      <c r="FF27" s="230"/>
      <c r="FG27" s="41"/>
      <c r="FH27" s="41"/>
      <c r="FI27" s="41"/>
      <c r="FJ27" s="41"/>
      <c r="FK27" s="41"/>
      <c r="FL27" s="230"/>
      <c r="FM27" s="230"/>
      <c r="FN27" s="41" t="s">
        <v>460</v>
      </c>
      <c r="FO27" s="41"/>
      <c r="FP27" s="41"/>
      <c r="FQ27" s="41"/>
      <c r="FR27" s="41"/>
      <c r="FS27" s="230"/>
      <c r="FT27" s="230"/>
      <c r="FU27" s="41"/>
      <c r="FV27" s="41"/>
      <c r="FW27" s="41"/>
      <c r="FX27" s="41"/>
      <c r="FY27" s="41"/>
      <c r="FZ27" s="230"/>
      <c r="GA27" s="230"/>
      <c r="GB27" s="41"/>
      <c r="GC27" s="41"/>
      <c r="GD27" s="41"/>
      <c r="GE27" s="41"/>
      <c r="GF27" s="41"/>
      <c r="GG27" s="230"/>
      <c r="GH27" s="230"/>
      <c r="GI27" s="41"/>
      <c r="GJ27" s="41"/>
      <c r="GK27" s="41"/>
      <c r="GL27" s="41"/>
      <c r="GM27" s="41"/>
      <c r="GN27" s="230"/>
      <c r="GO27" s="230"/>
      <c r="GP27" s="41"/>
      <c r="GQ27" s="41"/>
      <c r="GR27" s="41"/>
      <c r="GS27" s="41"/>
      <c r="GT27" s="41"/>
      <c r="GU27" s="230"/>
      <c r="GV27" s="230"/>
      <c r="GW27" s="41" t="s">
        <v>460</v>
      </c>
      <c r="GX27" s="41"/>
      <c r="GY27" s="41"/>
      <c r="GZ27" s="41"/>
      <c r="HA27" s="41"/>
      <c r="HB27" s="230"/>
      <c r="HC27" s="230"/>
      <c r="HD27" s="41"/>
      <c r="HE27" s="41"/>
      <c r="HF27" s="41"/>
      <c r="HG27" s="41"/>
      <c r="HH27" s="41"/>
      <c r="HI27" s="234"/>
      <c r="HJ27" s="234"/>
      <c r="HK27" s="41"/>
      <c r="HL27" s="41"/>
      <c r="HM27" s="41"/>
      <c r="HN27" s="41"/>
      <c r="HO27" s="41"/>
      <c r="HP27" s="234"/>
      <c r="HQ27" s="234"/>
      <c r="HR27" s="41"/>
      <c r="HS27" s="41"/>
      <c r="HT27" s="41"/>
      <c r="HU27" s="41"/>
      <c r="HV27" s="41"/>
      <c r="HW27" s="234"/>
      <c r="HX27" s="234"/>
      <c r="HY27" s="41"/>
      <c r="HZ27" s="41"/>
      <c r="IA27" s="41"/>
      <c r="IB27" s="41"/>
      <c r="IC27" s="41"/>
      <c r="ID27" s="234"/>
      <c r="IE27" s="234"/>
      <c r="IF27" s="41"/>
      <c r="IG27" s="41"/>
      <c r="IH27" s="41"/>
      <c r="II27" s="41"/>
      <c r="IJ27" s="41"/>
      <c r="IK27" s="234"/>
      <c r="IL27" s="234"/>
      <c r="IM27" s="41"/>
      <c r="IN27" s="41"/>
      <c r="IO27" s="41"/>
      <c r="IP27" s="41"/>
      <c r="IQ27" s="41"/>
      <c r="IR27" s="234"/>
      <c r="IS27" s="234"/>
      <c r="IT27" s="41"/>
      <c r="IU27" s="41"/>
      <c r="IV27" s="41"/>
      <c r="IW27" s="41"/>
      <c r="IX27" s="41"/>
      <c r="IY27" s="234"/>
      <c r="IZ27" s="234"/>
      <c r="JA27" s="41"/>
      <c r="JB27" s="41"/>
      <c r="JC27" s="41"/>
      <c r="JD27" s="41"/>
      <c r="JE27" s="41"/>
      <c r="JF27" s="234"/>
      <c r="JG27" s="234"/>
      <c r="JH27" s="41"/>
      <c r="JI27" s="41"/>
      <c r="JJ27" s="41"/>
      <c r="JK27" s="41"/>
      <c r="JL27" s="41"/>
      <c r="JM27" s="234"/>
      <c r="JN27" s="234"/>
      <c r="JO27" s="41"/>
      <c r="JP27" s="41"/>
      <c r="JQ27" s="41"/>
      <c r="JR27" s="41"/>
      <c r="JS27" s="41"/>
      <c r="JT27" s="234"/>
      <c r="JU27" s="234"/>
      <c r="JV27" s="41"/>
      <c r="JW27" s="41"/>
      <c r="JX27" s="41"/>
      <c r="JY27" s="41"/>
      <c r="JZ27" s="41"/>
      <c r="KA27" s="234"/>
      <c r="KB27" s="234"/>
      <c r="KC27" s="41"/>
      <c r="KD27" s="41"/>
      <c r="KE27" s="41"/>
      <c r="KF27" s="41"/>
      <c r="KG27" s="41"/>
      <c r="KH27" s="234"/>
      <c r="KI27" s="234"/>
      <c r="KJ27" s="41"/>
      <c r="KK27" s="41"/>
      <c r="KL27" s="41"/>
      <c r="KM27" s="41"/>
      <c r="KN27" s="41"/>
      <c r="KO27" s="234"/>
      <c r="KP27" s="234"/>
      <c r="KQ27" s="41"/>
      <c r="KR27" s="41"/>
      <c r="KS27" s="41"/>
      <c r="KT27" s="41"/>
      <c r="KU27" s="41"/>
      <c r="KV27" s="234"/>
      <c r="KW27" s="234"/>
      <c r="KX27" s="41"/>
      <c r="KY27" s="41"/>
      <c r="KZ27" s="41"/>
      <c r="LA27" s="41"/>
      <c r="LB27" s="41"/>
      <c r="LC27" s="234"/>
      <c r="LD27" s="234"/>
      <c r="LE27" s="41"/>
      <c r="LF27" s="41"/>
      <c r="LG27" s="41"/>
      <c r="LH27" s="41"/>
      <c r="LI27" s="41"/>
      <c r="LJ27" s="234"/>
      <c r="LK27" s="234"/>
      <c r="LL27" s="41"/>
      <c r="LM27" s="41"/>
      <c r="LN27" s="41"/>
      <c r="LO27" s="41"/>
      <c r="LP27" s="41"/>
      <c r="LQ27" s="234"/>
      <c r="LR27" s="234"/>
      <c r="LS27" s="41"/>
      <c r="LT27" s="41"/>
      <c r="LU27" s="41"/>
      <c r="LV27" s="41"/>
      <c r="LW27" s="41"/>
      <c r="LX27" s="234"/>
      <c r="LY27" s="234"/>
      <c r="LZ27" s="41"/>
      <c r="MA27" s="41"/>
      <c r="MB27" s="41"/>
      <c r="MC27" s="41"/>
      <c r="MD27" s="41"/>
      <c r="ME27" s="234"/>
      <c r="MF27" s="234"/>
      <c r="MG27" s="41"/>
      <c r="MH27" s="41"/>
      <c r="MI27" s="41"/>
      <c r="MJ27" s="41"/>
      <c r="MK27" s="41"/>
      <c r="ML27" s="234"/>
      <c r="MM27" s="234"/>
      <c r="MN27" s="41"/>
      <c r="MO27" s="41"/>
      <c r="MP27" s="41"/>
      <c r="MQ27" s="41"/>
      <c r="MR27" s="41"/>
      <c r="MS27" s="234"/>
      <c r="MT27" s="234"/>
      <c r="MU27" s="41"/>
      <c r="MV27" s="41"/>
      <c r="MW27" s="41"/>
      <c r="MX27" s="41"/>
      <c r="MY27" s="41"/>
      <c r="MZ27" s="234"/>
      <c r="NA27" s="234"/>
      <c r="NB27" s="41"/>
      <c r="NC27" s="41"/>
      <c r="ND27" s="41"/>
      <c r="NE27" s="41"/>
      <c r="NF27" s="41"/>
      <c r="NG27" s="234"/>
      <c r="NH27" s="234"/>
      <c r="NI27" s="41"/>
      <c r="NJ27" s="41"/>
      <c r="NK27" s="41"/>
      <c r="NL27" s="41"/>
      <c r="NM27" s="41"/>
      <c r="NN27" s="234"/>
      <c r="NO27" s="234"/>
      <c r="NP27" s="41"/>
      <c r="NQ27" s="41"/>
      <c r="NR27" s="41"/>
      <c r="NS27" s="41"/>
      <c r="NT27" s="41"/>
      <c r="NU27" s="234"/>
      <c r="NV27" s="234"/>
      <c r="NW27" s="41"/>
      <c r="NX27" s="41"/>
      <c r="NY27" s="41"/>
      <c r="NZ27" s="41"/>
      <c r="OA27" s="41"/>
      <c r="OB27" s="234"/>
    </row>
    <row r="28" spans="2:392" x14ac:dyDescent="0.3">
      <c r="D28" s="206" t="s">
        <v>20</v>
      </c>
      <c r="E28" s="347" t="s">
        <v>8</v>
      </c>
      <c r="F28" s="357" t="s">
        <v>9</v>
      </c>
      <c r="G28" s="155" t="s">
        <v>897</v>
      </c>
      <c r="H28" s="156" t="s">
        <v>234</v>
      </c>
      <c r="I28" s="239"/>
      <c r="J28" s="41"/>
      <c r="K28" s="41"/>
      <c r="L28" s="41"/>
      <c r="M28" s="41"/>
      <c r="N28" s="230"/>
      <c r="O28" s="230"/>
      <c r="P28" s="41"/>
      <c r="Q28" s="41"/>
      <c r="R28" s="41"/>
      <c r="S28" s="41"/>
      <c r="T28" s="41"/>
      <c r="U28" s="230"/>
      <c r="V28" s="230"/>
      <c r="W28" s="41"/>
      <c r="X28" s="41"/>
      <c r="Y28" s="41"/>
      <c r="Z28" s="41"/>
      <c r="AA28" s="41"/>
      <c r="AB28" s="230"/>
      <c r="AC28" s="230"/>
      <c r="AD28" s="41"/>
      <c r="AE28" s="41"/>
      <c r="AF28" s="41"/>
      <c r="AG28" s="41"/>
      <c r="AH28" s="41"/>
      <c r="AI28" s="230"/>
      <c r="AJ28" s="230"/>
      <c r="AK28" s="41"/>
      <c r="AL28" s="41"/>
      <c r="AM28" s="41"/>
      <c r="AN28" s="41"/>
      <c r="AO28" s="41"/>
      <c r="AP28" s="230"/>
      <c r="AQ28" s="230"/>
      <c r="AR28" s="41"/>
      <c r="AS28" s="41"/>
      <c r="AT28" s="41"/>
      <c r="AU28" s="41"/>
      <c r="AV28" s="41"/>
      <c r="AW28" s="230"/>
      <c r="AX28" s="230"/>
      <c r="AY28" s="41"/>
      <c r="AZ28" s="41"/>
      <c r="BA28" s="41"/>
      <c r="BB28" s="41"/>
      <c r="BC28" s="41"/>
      <c r="BD28" s="230"/>
      <c r="BE28" s="230"/>
      <c r="BF28" s="41"/>
      <c r="BG28" s="41"/>
      <c r="BH28" s="41"/>
      <c r="BI28" s="41"/>
      <c r="BJ28" s="41"/>
      <c r="BK28" s="230"/>
      <c r="BL28" s="230"/>
      <c r="BM28" s="41"/>
      <c r="BN28" s="41"/>
      <c r="BO28" s="41"/>
      <c r="BP28" s="41"/>
      <c r="BQ28" s="41"/>
      <c r="BR28" s="230"/>
      <c r="BS28" s="230"/>
      <c r="BT28" s="41"/>
      <c r="BU28" s="41"/>
      <c r="BV28" s="41"/>
      <c r="BW28" s="41"/>
      <c r="BX28" s="41"/>
      <c r="BY28" s="230"/>
      <c r="BZ28" s="230"/>
      <c r="CA28" s="41"/>
      <c r="CB28" s="41"/>
      <c r="CC28" s="41"/>
      <c r="CD28" s="41"/>
      <c r="CE28" s="41"/>
      <c r="CF28" s="230"/>
      <c r="CG28" s="230"/>
      <c r="CH28" s="41" t="s">
        <v>460</v>
      </c>
      <c r="CI28" s="41" t="s">
        <v>460</v>
      </c>
      <c r="CJ28" s="41" t="s">
        <v>460</v>
      </c>
      <c r="CK28" s="41" t="s">
        <v>460</v>
      </c>
      <c r="CL28" s="41" t="s">
        <v>460</v>
      </c>
      <c r="CM28" s="230"/>
      <c r="CN28" s="230"/>
      <c r="CO28" s="41"/>
      <c r="CP28" s="41"/>
      <c r="CQ28" s="41"/>
      <c r="CR28" s="41"/>
      <c r="CS28" s="41"/>
      <c r="CT28" s="230"/>
      <c r="CU28" s="230"/>
      <c r="CV28" s="41"/>
      <c r="CW28" s="41"/>
      <c r="CX28" s="41"/>
      <c r="CY28" s="41"/>
      <c r="CZ28" s="41"/>
      <c r="DA28" s="230"/>
      <c r="DB28" s="230"/>
      <c r="DC28" s="41"/>
      <c r="DD28" s="41"/>
      <c r="DE28" s="41"/>
      <c r="DF28" s="41"/>
      <c r="DG28" s="41"/>
      <c r="DH28" s="230"/>
      <c r="DI28" s="230"/>
      <c r="DJ28" s="41"/>
      <c r="DK28" s="41"/>
      <c r="DL28" s="41"/>
      <c r="DM28" s="41"/>
      <c r="DN28" s="41"/>
      <c r="DO28" s="230"/>
      <c r="DP28" s="230"/>
      <c r="DQ28" s="41"/>
      <c r="DR28" s="41"/>
      <c r="DS28" s="41"/>
      <c r="DT28" s="41" t="s">
        <v>460</v>
      </c>
      <c r="DU28" s="41" t="s">
        <v>460</v>
      </c>
      <c r="DV28" s="230"/>
      <c r="DW28" s="234"/>
      <c r="DX28" s="41" t="s">
        <v>460</v>
      </c>
      <c r="DY28" s="41" t="s">
        <v>460</v>
      </c>
      <c r="DZ28" s="41" t="s">
        <v>460</v>
      </c>
      <c r="EA28" s="41" t="s">
        <v>460</v>
      </c>
      <c r="EB28" s="41" t="s">
        <v>460</v>
      </c>
      <c r="EC28" s="230"/>
      <c r="ED28" s="230"/>
      <c r="EE28" s="41"/>
      <c r="EF28" s="41"/>
      <c r="EG28" s="41"/>
      <c r="EH28" s="41" t="s">
        <v>460</v>
      </c>
      <c r="EI28" s="41"/>
      <c r="EJ28" s="230"/>
      <c r="EK28" s="230"/>
      <c r="EL28" s="41"/>
      <c r="EM28" s="41"/>
      <c r="EN28" s="41"/>
      <c r="EO28" s="41"/>
      <c r="EP28" s="41"/>
      <c r="EQ28" s="230"/>
      <c r="ER28" s="230"/>
      <c r="ES28" s="41"/>
      <c r="ET28" s="41"/>
      <c r="EU28" s="41"/>
      <c r="EV28" s="41"/>
      <c r="EW28" s="41"/>
      <c r="EX28" s="230"/>
      <c r="EY28" s="230"/>
      <c r="EZ28" s="41"/>
      <c r="FA28" s="41"/>
      <c r="FB28" s="41"/>
      <c r="FC28" s="41"/>
      <c r="FD28" s="41"/>
      <c r="FE28" s="230"/>
      <c r="FF28" s="230"/>
      <c r="FG28" s="41"/>
      <c r="FH28" s="41"/>
      <c r="FI28" s="41"/>
      <c r="FJ28" s="41"/>
      <c r="FK28" s="41"/>
      <c r="FL28" s="230"/>
      <c r="FM28" s="230"/>
      <c r="FN28" s="41" t="s">
        <v>460</v>
      </c>
      <c r="FO28" s="41"/>
      <c r="FP28" s="41"/>
      <c r="FQ28" s="41"/>
      <c r="FR28" s="41"/>
      <c r="FS28" s="230"/>
      <c r="FT28" s="230"/>
      <c r="FU28" s="41"/>
      <c r="FV28" s="41"/>
      <c r="FW28" s="41"/>
      <c r="FX28" s="41"/>
      <c r="FY28" s="41"/>
      <c r="FZ28" s="230"/>
      <c r="GA28" s="230"/>
      <c r="GB28" s="41"/>
      <c r="GC28" s="41"/>
      <c r="GD28" s="41"/>
      <c r="GE28" s="41"/>
      <c r="GF28" s="41"/>
      <c r="GG28" s="230"/>
      <c r="GH28" s="230"/>
      <c r="GI28" s="41"/>
      <c r="GJ28" s="41"/>
      <c r="GK28" s="41"/>
      <c r="GL28" s="41"/>
      <c r="GM28" s="41"/>
      <c r="GN28" s="230"/>
      <c r="GO28" s="230"/>
      <c r="GP28" s="41"/>
      <c r="GQ28" s="41"/>
      <c r="GR28" s="41"/>
      <c r="GS28" s="41"/>
      <c r="GT28" s="41"/>
      <c r="GU28" s="230"/>
      <c r="GV28" s="230"/>
      <c r="GW28" s="41" t="s">
        <v>460</v>
      </c>
      <c r="GX28" s="41"/>
      <c r="GY28" s="41"/>
      <c r="GZ28" s="41"/>
      <c r="HA28" s="41"/>
      <c r="HB28" s="230"/>
      <c r="HC28" s="230"/>
      <c r="HD28" s="41" t="s">
        <v>460</v>
      </c>
      <c r="HE28" s="41" t="s">
        <v>460</v>
      </c>
      <c r="HF28" s="41" t="s">
        <v>460</v>
      </c>
      <c r="HG28" s="41" t="s">
        <v>460</v>
      </c>
      <c r="HH28" s="41" t="s">
        <v>460</v>
      </c>
      <c r="HI28" s="234"/>
      <c r="HJ28" s="234"/>
      <c r="HK28" s="41"/>
      <c r="HL28" s="41"/>
      <c r="HM28" s="41"/>
      <c r="HN28" s="41"/>
      <c r="HO28" s="41"/>
      <c r="HP28" s="234"/>
      <c r="HQ28" s="234"/>
      <c r="HR28" s="41"/>
      <c r="HS28" s="41"/>
      <c r="HT28" s="41"/>
      <c r="HU28" s="41"/>
      <c r="HV28" s="41"/>
      <c r="HW28" s="234"/>
      <c r="HX28" s="234"/>
      <c r="HY28" s="41"/>
      <c r="HZ28" s="41"/>
      <c r="IA28" s="41"/>
      <c r="IB28" s="41"/>
      <c r="IC28" s="41"/>
      <c r="ID28" s="234"/>
      <c r="IE28" s="234"/>
      <c r="IF28" s="41"/>
      <c r="IG28" s="41"/>
      <c r="IH28" s="41"/>
      <c r="II28" s="41"/>
      <c r="IJ28" s="41"/>
      <c r="IK28" s="234"/>
      <c r="IL28" s="234"/>
      <c r="IM28" s="41"/>
      <c r="IN28" s="41"/>
      <c r="IO28" s="41"/>
      <c r="IP28" s="41"/>
      <c r="IQ28" s="41"/>
      <c r="IR28" s="234"/>
      <c r="IS28" s="234"/>
      <c r="IT28" s="41"/>
      <c r="IU28" s="41"/>
      <c r="IV28" s="41"/>
      <c r="IW28" s="41"/>
      <c r="IX28" s="41"/>
      <c r="IY28" s="234"/>
      <c r="IZ28" s="234"/>
      <c r="JA28" s="41"/>
      <c r="JB28" s="41"/>
      <c r="JC28" s="41"/>
      <c r="JD28" s="41"/>
      <c r="JE28" s="41"/>
      <c r="JF28" s="234"/>
      <c r="JG28" s="234"/>
      <c r="JH28" s="41"/>
      <c r="JI28" s="41"/>
      <c r="JJ28" s="41"/>
      <c r="JK28" s="41"/>
      <c r="JL28" s="41"/>
      <c r="JM28" s="234"/>
      <c r="JN28" s="234"/>
      <c r="JO28" s="41"/>
      <c r="JP28" s="41"/>
      <c r="JQ28" s="41"/>
      <c r="JR28" s="41"/>
      <c r="JS28" s="41"/>
      <c r="JT28" s="234"/>
      <c r="JU28" s="234"/>
      <c r="JV28" s="41"/>
      <c r="JW28" s="41"/>
      <c r="JX28" s="41"/>
      <c r="JY28" s="41"/>
      <c r="JZ28" s="41"/>
      <c r="KA28" s="234"/>
      <c r="KB28" s="234"/>
      <c r="KC28" s="41"/>
      <c r="KD28" s="41"/>
      <c r="KE28" s="41"/>
      <c r="KF28" s="41"/>
      <c r="KG28" s="41"/>
      <c r="KH28" s="234"/>
      <c r="KI28" s="234"/>
      <c r="KJ28" s="41"/>
      <c r="KK28" s="41"/>
      <c r="KL28" s="41"/>
      <c r="KM28" s="41"/>
      <c r="KN28" s="41"/>
      <c r="KO28" s="234"/>
      <c r="KP28" s="234"/>
      <c r="KQ28" s="41"/>
      <c r="KR28" s="41"/>
      <c r="KS28" s="41"/>
      <c r="KT28" s="41"/>
      <c r="KU28" s="41"/>
      <c r="KV28" s="234"/>
      <c r="KW28" s="234"/>
      <c r="KX28" s="41"/>
      <c r="KY28" s="41"/>
      <c r="KZ28" s="41"/>
      <c r="LA28" s="41"/>
      <c r="LB28" s="41"/>
      <c r="LC28" s="234"/>
      <c r="LD28" s="234"/>
      <c r="LE28" s="41"/>
      <c r="LF28" s="41"/>
      <c r="LG28" s="41"/>
      <c r="LH28" s="41"/>
      <c r="LI28" s="41"/>
      <c r="LJ28" s="234"/>
      <c r="LK28" s="234"/>
      <c r="LL28" s="41"/>
      <c r="LM28" s="41"/>
      <c r="LN28" s="41"/>
      <c r="LO28" s="41"/>
      <c r="LP28" s="41"/>
      <c r="LQ28" s="234"/>
      <c r="LR28" s="234"/>
      <c r="LS28" s="41"/>
      <c r="LT28" s="41"/>
      <c r="LU28" s="41"/>
      <c r="LV28" s="41"/>
      <c r="LW28" s="41"/>
      <c r="LX28" s="234"/>
      <c r="LY28" s="234"/>
      <c r="LZ28" s="41"/>
      <c r="MA28" s="41"/>
      <c r="MB28" s="41"/>
      <c r="MC28" s="41"/>
      <c r="MD28" s="41"/>
      <c r="ME28" s="234"/>
      <c r="MF28" s="234"/>
      <c r="MG28" s="41"/>
      <c r="MH28" s="41"/>
      <c r="MI28" s="41"/>
      <c r="MJ28" s="41"/>
      <c r="MK28" s="41"/>
      <c r="ML28" s="234"/>
      <c r="MM28" s="234"/>
      <c r="MN28" s="41"/>
      <c r="MO28" s="41"/>
      <c r="MP28" s="41"/>
      <c r="MQ28" s="41"/>
      <c r="MR28" s="41"/>
      <c r="MS28" s="234"/>
      <c r="MT28" s="234"/>
      <c r="MU28" s="41"/>
      <c r="MV28" s="41"/>
      <c r="MW28" s="41"/>
      <c r="MX28" s="41"/>
      <c r="MY28" s="41"/>
      <c r="MZ28" s="234"/>
      <c r="NA28" s="234"/>
      <c r="NB28" s="41"/>
      <c r="NC28" s="41"/>
      <c r="ND28" s="41"/>
      <c r="NE28" s="41"/>
      <c r="NF28" s="41"/>
      <c r="NG28" s="234"/>
      <c r="NH28" s="234"/>
      <c r="NI28" s="41"/>
      <c r="NJ28" s="41"/>
      <c r="NK28" s="41"/>
      <c r="NL28" s="41"/>
      <c r="NM28" s="41"/>
      <c r="NN28" s="234"/>
      <c r="NO28" s="234"/>
      <c r="NP28" s="41"/>
      <c r="NQ28" s="41"/>
      <c r="NR28" s="41"/>
      <c r="NS28" s="41"/>
      <c r="NT28" s="41"/>
      <c r="NU28" s="234"/>
      <c r="NV28" s="234"/>
      <c r="NW28" s="41"/>
      <c r="NX28" s="41"/>
      <c r="NY28" s="41"/>
      <c r="NZ28" s="41"/>
      <c r="OA28" s="41"/>
      <c r="OB28" s="234"/>
    </row>
    <row r="29" spans="2:392" x14ac:dyDescent="0.3">
      <c r="D29" s="206" t="s">
        <v>20</v>
      </c>
      <c r="E29" s="346" t="s">
        <v>8</v>
      </c>
      <c r="F29" s="357" t="s">
        <v>113</v>
      </c>
      <c r="G29" s="155" t="s">
        <v>367</v>
      </c>
      <c r="H29" s="156" t="s">
        <v>368</v>
      </c>
      <c r="I29" s="239"/>
      <c r="J29" s="41"/>
      <c r="K29" s="41"/>
      <c r="L29" s="41"/>
      <c r="M29" s="41"/>
      <c r="N29" s="230"/>
      <c r="O29" s="230"/>
      <c r="P29" s="41"/>
      <c r="Q29" s="41"/>
      <c r="R29" s="41"/>
      <c r="S29" s="41"/>
      <c r="T29" s="41"/>
      <c r="U29" s="230"/>
      <c r="V29" s="230"/>
      <c r="W29" s="41"/>
      <c r="X29" s="41"/>
      <c r="Y29" s="41"/>
      <c r="Z29" s="41"/>
      <c r="AA29" s="41"/>
      <c r="AB29" s="230"/>
      <c r="AC29" s="230"/>
      <c r="AD29" s="41"/>
      <c r="AE29" s="41"/>
      <c r="AF29" s="41"/>
      <c r="AG29" s="41"/>
      <c r="AH29" s="41"/>
      <c r="AI29" s="230"/>
      <c r="AJ29" s="230"/>
      <c r="AK29" s="41"/>
      <c r="AL29" s="41"/>
      <c r="AM29" s="41"/>
      <c r="AN29" s="41"/>
      <c r="AO29" s="41"/>
      <c r="AP29" s="230"/>
      <c r="AQ29" s="230"/>
      <c r="AR29" s="41"/>
      <c r="AS29" s="41"/>
      <c r="AT29" s="41"/>
      <c r="AU29" s="41"/>
      <c r="AV29" s="41"/>
      <c r="AW29" s="230"/>
      <c r="AX29" s="230"/>
      <c r="AY29" s="41"/>
      <c r="AZ29" s="41"/>
      <c r="BA29" s="41"/>
      <c r="BB29" s="41"/>
      <c r="BC29" s="41"/>
      <c r="BD29" s="230"/>
      <c r="BE29" s="230"/>
      <c r="BF29" s="41"/>
      <c r="BG29" s="41"/>
      <c r="BH29" s="41"/>
      <c r="BI29" s="41"/>
      <c r="BJ29" s="41"/>
      <c r="BK29" s="230"/>
      <c r="BL29" s="230"/>
      <c r="BM29" s="41"/>
      <c r="BN29" s="41"/>
      <c r="BO29" s="41"/>
      <c r="BP29" s="41"/>
      <c r="BQ29" s="41"/>
      <c r="BR29" s="230"/>
      <c r="BS29" s="230"/>
      <c r="BT29" s="41"/>
      <c r="BU29" s="41"/>
      <c r="BV29" s="41"/>
      <c r="BW29" s="41"/>
      <c r="BX29" s="41"/>
      <c r="BY29" s="230"/>
      <c r="BZ29" s="230"/>
      <c r="CA29" s="41"/>
      <c r="CB29" s="41"/>
      <c r="CC29" s="41"/>
      <c r="CD29" s="41"/>
      <c r="CE29" s="41"/>
      <c r="CF29" s="230"/>
      <c r="CG29" s="230"/>
      <c r="CH29" s="41" t="s">
        <v>460</v>
      </c>
      <c r="CI29" s="41" t="s">
        <v>460</v>
      </c>
      <c r="CJ29" s="41" t="s">
        <v>460</v>
      </c>
      <c r="CK29" s="41" t="s">
        <v>460</v>
      </c>
      <c r="CL29" s="41" t="s">
        <v>460</v>
      </c>
      <c r="CM29" s="230"/>
      <c r="CN29" s="230"/>
      <c r="CO29" s="41"/>
      <c r="CP29" s="41"/>
      <c r="CQ29" s="41"/>
      <c r="CR29" s="41"/>
      <c r="CS29" s="41"/>
      <c r="CT29" s="230"/>
      <c r="CU29" s="230"/>
      <c r="CV29" s="41"/>
      <c r="CW29" s="41"/>
      <c r="CX29" s="41"/>
      <c r="CY29" s="41"/>
      <c r="CZ29" s="41"/>
      <c r="DA29" s="230"/>
      <c r="DB29" s="230"/>
      <c r="DC29" s="41"/>
      <c r="DD29" s="41"/>
      <c r="DE29" s="41"/>
      <c r="DF29" s="41"/>
      <c r="DG29" s="41"/>
      <c r="DH29" s="230"/>
      <c r="DI29" s="230"/>
      <c r="DJ29" s="41" t="s">
        <v>460</v>
      </c>
      <c r="DK29" s="41" t="s">
        <v>460</v>
      </c>
      <c r="DL29" s="41" t="s">
        <v>460</v>
      </c>
      <c r="DM29" s="41" t="s">
        <v>460</v>
      </c>
      <c r="DN29" s="41" t="s">
        <v>460</v>
      </c>
      <c r="DO29" s="230"/>
      <c r="DP29" s="230"/>
      <c r="DQ29" s="41"/>
      <c r="DR29" s="41"/>
      <c r="DS29" s="41"/>
      <c r="DT29" s="41"/>
      <c r="DU29" s="41"/>
      <c r="DV29" s="230"/>
      <c r="DW29" s="230"/>
      <c r="DX29" s="41" t="s">
        <v>460</v>
      </c>
      <c r="DY29" s="41"/>
      <c r="DZ29" s="41"/>
      <c r="EA29" s="41"/>
      <c r="EB29" s="41"/>
      <c r="EC29" s="230"/>
      <c r="ED29" s="230"/>
      <c r="EE29" s="41"/>
      <c r="EF29" s="41"/>
      <c r="EG29" s="41"/>
      <c r="EH29" s="41" t="s">
        <v>460</v>
      </c>
      <c r="EI29" s="41"/>
      <c r="EJ29" s="230"/>
      <c r="EK29" s="230"/>
      <c r="EL29" s="41" t="s">
        <v>458</v>
      </c>
      <c r="EM29" s="41" t="s">
        <v>458</v>
      </c>
      <c r="EN29" s="41" t="s">
        <v>458</v>
      </c>
      <c r="EO29" s="41" t="s">
        <v>458</v>
      </c>
      <c r="EP29" s="41" t="s">
        <v>458</v>
      </c>
      <c r="EQ29" s="230"/>
      <c r="ER29" s="230"/>
      <c r="ES29" s="41"/>
      <c r="ET29" s="41"/>
      <c r="EU29" s="41"/>
      <c r="EV29" s="41"/>
      <c r="EW29" s="41"/>
      <c r="EX29" s="230"/>
      <c r="EY29" s="230"/>
      <c r="EZ29" s="41"/>
      <c r="FA29" s="41"/>
      <c r="FB29" s="41"/>
      <c r="FC29" s="41"/>
      <c r="FD29" s="41"/>
      <c r="FE29" s="230"/>
      <c r="FF29" s="230"/>
      <c r="FG29" s="41"/>
      <c r="FH29" s="41"/>
      <c r="FI29" s="41"/>
      <c r="FJ29" s="41"/>
      <c r="FK29" s="41"/>
      <c r="FL29" s="230"/>
      <c r="FM29" s="230"/>
      <c r="FN29" s="41" t="s">
        <v>460</v>
      </c>
      <c r="FO29" s="41"/>
      <c r="FP29" s="41"/>
      <c r="FQ29" s="41"/>
      <c r="FR29" s="41"/>
      <c r="FS29" s="230"/>
      <c r="FT29" s="230"/>
      <c r="FU29" s="41"/>
      <c r="FV29" s="41"/>
      <c r="FW29" s="41"/>
      <c r="FX29" s="41"/>
      <c r="FY29" s="41"/>
      <c r="FZ29" s="230"/>
      <c r="GA29" s="230"/>
      <c r="GB29" s="41"/>
      <c r="GC29" s="41"/>
      <c r="GD29" s="41"/>
      <c r="GE29" s="41"/>
      <c r="GF29" s="41"/>
      <c r="GG29" s="230"/>
      <c r="GH29" s="230"/>
      <c r="GI29" s="41" t="s">
        <v>460</v>
      </c>
      <c r="GJ29" s="41" t="s">
        <v>460</v>
      </c>
      <c r="GK29" s="41" t="s">
        <v>460</v>
      </c>
      <c r="GL29" s="41" t="s">
        <v>460</v>
      </c>
      <c r="GM29" s="41" t="s">
        <v>460</v>
      </c>
      <c r="GN29" s="230"/>
      <c r="GO29" s="230"/>
      <c r="GP29" s="41"/>
      <c r="GQ29" s="41"/>
      <c r="GR29" s="41"/>
      <c r="GS29" s="41"/>
      <c r="GT29" s="41"/>
      <c r="GU29" s="230"/>
      <c r="GV29" s="230"/>
      <c r="GW29" s="41" t="s">
        <v>460</v>
      </c>
      <c r="GX29" s="41" t="s">
        <v>458</v>
      </c>
      <c r="GY29" s="41" t="s">
        <v>458</v>
      </c>
      <c r="GZ29" s="41" t="s">
        <v>458</v>
      </c>
      <c r="HA29" s="41" t="s">
        <v>458</v>
      </c>
      <c r="HB29" s="230"/>
      <c r="HC29" s="230"/>
      <c r="HD29" s="41"/>
      <c r="HE29" s="41"/>
      <c r="HF29" s="41"/>
      <c r="HG29" s="41"/>
      <c r="HH29" s="41"/>
      <c r="HI29" s="234"/>
      <c r="HJ29" s="234"/>
      <c r="HK29" s="41" t="s">
        <v>458</v>
      </c>
      <c r="HL29" s="41" t="s">
        <v>458</v>
      </c>
      <c r="HM29" s="41" t="s">
        <v>458</v>
      </c>
      <c r="HN29" s="41" t="s">
        <v>458</v>
      </c>
      <c r="HO29" s="41" t="s">
        <v>458</v>
      </c>
      <c r="HP29" s="234"/>
      <c r="HQ29" s="234"/>
      <c r="HR29" s="41" t="s">
        <v>458</v>
      </c>
      <c r="HS29" s="41" t="s">
        <v>458</v>
      </c>
      <c r="HT29" s="41" t="s">
        <v>458</v>
      </c>
      <c r="HU29" s="41" t="s">
        <v>458</v>
      </c>
      <c r="HV29" s="41" t="s">
        <v>458</v>
      </c>
      <c r="HW29" s="234"/>
      <c r="HX29" s="234"/>
      <c r="HY29" s="41"/>
      <c r="HZ29" s="41"/>
      <c r="IA29" s="41"/>
      <c r="IB29" s="41"/>
      <c r="IC29" s="41"/>
      <c r="ID29" s="234"/>
      <c r="IE29" s="234"/>
      <c r="IF29" s="41" t="s">
        <v>460</v>
      </c>
      <c r="IG29" s="41" t="s">
        <v>460</v>
      </c>
      <c r="IH29" s="41" t="s">
        <v>460</v>
      </c>
      <c r="II29" s="41" t="s">
        <v>460</v>
      </c>
      <c r="IJ29" s="41" t="s">
        <v>460</v>
      </c>
      <c r="IK29" s="234"/>
      <c r="IL29" s="234"/>
      <c r="IM29" s="41" t="s">
        <v>460</v>
      </c>
      <c r="IN29" s="41" t="s">
        <v>460</v>
      </c>
      <c r="IO29" s="41" t="s">
        <v>460</v>
      </c>
      <c r="IP29" s="41" t="s">
        <v>460</v>
      </c>
      <c r="IQ29" s="41" t="s">
        <v>460</v>
      </c>
      <c r="IR29" s="234"/>
      <c r="IS29" s="234"/>
      <c r="IT29" s="41" t="s">
        <v>460</v>
      </c>
      <c r="IU29" s="41" t="s">
        <v>460</v>
      </c>
      <c r="IV29" s="41" t="s">
        <v>460</v>
      </c>
      <c r="IW29" s="41" t="s">
        <v>460</v>
      </c>
      <c r="IX29" s="41" t="s">
        <v>460</v>
      </c>
      <c r="IY29" s="234"/>
      <c r="IZ29" s="234"/>
      <c r="JA29" s="41"/>
      <c r="JB29" s="41"/>
      <c r="JC29" s="41"/>
      <c r="JD29" s="41"/>
      <c r="JE29" s="41"/>
      <c r="JF29" s="234"/>
      <c r="JG29" s="234"/>
      <c r="JH29" s="41"/>
      <c r="JI29" s="41"/>
      <c r="JJ29" s="41"/>
      <c r="JK29" s="41"/>
      <c r="JL29" s="41"/>
      <c r="JM29" s="234"/>
      <c r="JN29" s="234"/>
      <c r="JO29" s="41"/>
      <c r="JP29" s="41"/>
      <c r="JQ29" s="41"/>
      <c r="JR29" s="41"/>
      <c r="JS29" s="41"/>
      <c r="JT29" s="234"/>
      <c r="JU29" s="234"/>
      <c r="JV29" s="41"/>
      <c r="JW29" s="41"/>
      <c r="JX29" s="41"/>
      <c r="JY29" s="41"/>
      <c r="JZ29" s="41"/>
      <c r="KA29" s="234"/>
      <c r="KB29" s="234"/>
      <c r="KC29" s="41"/>
      <c r="KD29" s="41"/>
      <c r="KE29" s="41"/>
      <c r="KF29" s="41"/>
      <c r="KG29" s="41"/>
      <c r="KH29" s="234"/>
      <c r="KI29" s="234"/>
      <c r="KJ29" s="41"/>
      <c r="KK29" s="41"/>
      <c r="KL29" s="41"/>
      <c r="KM29" s="41"/>
      <c r="KN29" s="41"/>
      <c r="KO29" s="234"/>
      <c r="KP29" s="234"/>
      <c r="KQ29" s="41"/>
      <c r="KR29" s="41"/>
      <c r="KS29" s="41"/>
      <c r="KT29" s="41"/>
      <c r="KU29" s="41"/>
      <c r="KV29" s="234"/>
      <c r="KW29" s="234"/>
      <c r="KX29" s="41"/>
      <c r="KY29" s="41"/>
      <c r="KZ29" s="41"/>
      <c r="LA29" s="41"/>
      <c r="LB29" s="41"/>
      <c r="LC29" s="234"/>
      <c r="LD29" s="234"/>
      <c r="LE29" s="41"/>
      <c r="LF29" s="41"/>
      <c r="LG29" s="41"/>
      <c r="LH29" s="41"/>
      <c r="LI29" s="41"/>
      <c r="LJ29" s="234"/>
      <c r="LK29" s="234"/>
      <c r="LL29" s="41"/>
      <c r="LM29" s="41"/>
      <c r="LN29" s="41"/>
      <c r="LO29" s="41"/>
      <c r="LP29" s="41"/>
      <c r="LQ29" s="234"/>
      <c r="LR29" s="234"/>
      <c r="LS29" s="41"/>
      <c r="LT29" s="41"/>
      <c r="LU29" s="41"/>
      <c r="LV29" s="41"/>
      <c r="LW29" s="41"/>
      <c r="LX29" s="234"/>
      <c r="LY29" s="234"/>
      <c r="LZ29" s="41"/>
      <c r="MA29" s="41"/>
      <c r="MB29" s="41"/>
      <c r="MC29" s="41"/>
      <c r="MD29" s="41"/>
      <c r="ME29" s="234"/>
      <c r="MF29" s="234"/>
      <c r="MG29" s="41"/>
      <c r="MH29" s="41"/>
      <c r="MI29" s="41"/>
      <c r="MJ29" s="41"/>
      <c r="MK29" s="41"/>
      <c r="ML29" s="234"/>
      <c r="MM29" s="234"/>
      <c r="MN29" s="41"/>
      <c r="MO29" s="41"/>
      <c r="MP29" s="41"/>
      <c r="MQ29" s="41"/>
      <c r="MR29" s="41"/>
      <c r="MS29" s="234"/>
      <c r="MT29" s="234"/>
      <c r="MU29" s="41"/>
      <c r="MV29" s="41"/>
      <c r="MW29" s="41"/>
      <c r="MX29" s="41"/>
      <c r="MY29" s="41"/>
      <c r="MZ29" s="234"/>
      <c r="NA29" s="234"/>
      <c r="NB29" s="41"/>
      <c r="NC29" s="41"/>
      <c r="ND29" s="41"/>
      <c r="NE29" s="41"/>
      <c r="NF29" s="41"/>
      <c r="NG29" s="234"/>
      <c r="NH29" s="234"/>
      <c r="NI29" s="41"/>
      <c r="NJ29" s="41"/>
      <c r="NK29" s="41"/>
      <c r="NL29" s="41"/>
      <c r="NM29" s="41"/>
      <c r="NN29" s="234"/>
      <c r="NO29" s="234"/>
      <c r="NP29" s="41"/>
      <c r="NQ29" s="41"/>
      <c r="NR29" s="41"/>
      <c r="NS29" s="41"/>
      <c r="NT29" s="41"/>
      <c r="NU29" s="234"/>
      <c r="NV29" s="234"/>
      <c r="NW29" s="41"/>
      <c r="NX29" s="41"/>
      <c r="NY29" s="41"/>
      <c r="NZ29" s="41"/>
      <c r="OA29" s="41"/>
      <c r="OB29" s="234"/>
    </row>
    <row r="30" spans="2:392" x14ac:dyDescent="0.3">
      <c r="D30" s="206" t="s">
        <v>20</v>
      </c>
      <c r="E30" s="184" t="s">
        <v>8</v>
      </c>
      <c r="F30" s="357" t="s">
        <v>9</v>
      </c>
      <c r="G30" s="153" t="s">
        <v>369</v>
      </c>
      <c r="H30" s="154" t="s">
        <v>370</v>
      </c>
      <c r="I30" s="239"/>
      <c r="J30" s="41"/>
      <c r="K30" s="41"/>
      <c r="L30" s="41"/>
      <c r="M30" s="41"/>
      <c r="N30" s="230"/>
      <c r="O30" s="230"/>
      <c r="P30" s="41"/>
      <c r="Q30" s="41"/>
      <c r="R30" s="41"/>
      <c r="S30" s="41"/>
      <c r="T30" s="41"/>
      <c r="U30" s="230"/>
      <c r="V30" s="230"/>
      <c r="W30" s="41"/>
      <c r="X30" s="41"/>
      <c r="Y30" s="41"/>
      <c r="Z30" s="41"/>
      <c r="AA30" s="41"/>
      <c r="AB30" s="230"/>
      <c r="AC30" s="230"/>
      <c r="AD30" s="41"/>
      <c r="AE30" s="41"/>
      <c r="AF30" s="41"/>
      <c r="AG30" s="41"/>
      <c r="AH30" s="41"/>
      <c r="AI30" s="230"/>
      <c r="AJ30" s="230"/>
      <c r="AK30" s="41" t="s">
        <v>460</v>
      </c>
      <c r="AL30" s="41" t="s">
        <v>460</v>
      </c>
      <c r="AM30" s="41" t="s">
        <v>460</v>
      </c>
      <c r="AN30" s="41" t="s">
        <v>460</v>
      </c>
      <c r="AO30" s="41" t="s">
        <v>460</v>
      </c>
      <c r="AP30" s="230"/>
      <c r="AQ30" s="230"/>
      <c r="AR30" s="41" t="s">
        <v>460</v>
      </c>
      <c r="AS30" s="41" t="s">
        <v>460</v>
      </c>
      <c r="AT30" s="41" t="s">
        <v>460</v>
      </c>
      <c r="AU30" s="41" t="s">
        <v>460</v>
      </c>
      <c r="AV30" s="41" t="s">
        <v>460</v>
      </c>
      <c r="AW30" s="230"/>
      <c r="AX30" s="230"/>
      <c r="AY30" s="41"/>
      <c r="AZ30" s="41"/>
      <c r="BA30" s="41"/>
      <c r="BB30" s="41"/>
      <c r="BC30" s="41"/>
      <c r="BD30" s="230"/>
      <c r="BE30" s="230"/>
      <c r="BF30" s="41"/>
      <c r="BG30" s="41"/>
      <c r="BH30" s="41"/>
      <c r="BI30" s="41"/>
      <c r="BJ30" s="41"/>
      <c r="BK30" s="230"/>
      <c r="BL30" s="230"/>
      <c r="BM30" s="41"/>
      <c r="BN30" s="41"/>
      <c r="BO30" s="41"/>
      <c r="BP30" s="41"/>
      <c r="BQ30" s="41"/>
      <c r="BR30" s="230"/>
      <c r="BS30" s="230"/>
      <c r="BT30" s="41"/>
      <c r="BU30" s="41"/>
      <c r="BV30" s="41"/>
      <c r="BW30" s="41"/>
      <c r="BX30" s="41"/>
      <c r="BY30" s="230"/>
      <c r="BZ30" s="230"/>
      <c r="CA30" s="41"/>
      <c r="CB30" s="41"/>
      <c r="CC30" s="41"/>
      <c r="CD30" s="41"/>
      <c r="CE30" s="41"/>
      <c r="CF30" s="230"/>
      <c r="CG30" s="230"/>
      <c r="CH30" s="41"/>
      <c r="CI30" s="41"/>
      <c r="CJ30" s="41"/>
      <c r="CK30" s="41"/>
      <c r="CL30" s="41"/>
      <c r="CM30" s="230"/>
      <c r="CN30" s="230"/>
      <c r="CO30" s="41"/>
      <c r="CP30" s="41"/>
      <c r="CQ30" s="41"/>
      <c r="CR30" s="41"/>
      <c r="CS30" s="41"/>
      <c r="CT30" s="230"/>
      <c r="CU30" s="230"/>
      <c r="CV30" s="41"/>
      <c r="CW30" s="41"/>
      <c r="CX30" s="41"/>
      <c r="CY30" s="41"/>
      <c r="CZ30" s="41"/>
      <c r="DA30" s="230"/>
      <c r="DB30" s="230"/>
      <c r="DC30" s="41"/>
      <c r="DD30" s="41"/>
      <c r="DE30" s="41"/>
      <c r="DF30" s="41"/>
      <c r="DG30" s="41"/>
      <c r="DH30" s="230"/>
      <c r="DI30" s="230"/>
      <c r="DJ30" s="41"/>
      <c r="DK30" s="41"/>
      <c r="DL30" s="41"/>
      <c r="DM30" s="41"/>
      <c r="DN30" s="41"/>
      <c r="DO30" s="230"/>
      <c r="DP30" s="230"/>
      <c r="DQ30" s="41" t="s">
        <v>460</v>
      </c>
      <c r="DR30" s="41" t="s">
        <v>460</v>
      </c>
      <c r="DS30" s="41" t="s">
        <v>460</v>
      </c>
      <c r="DT30" s="41" t="s">
        <v>460</v>
      </c>
      <c r="DU30" s="41" t="s">
        <v>460</v>
      </c>
      <c r="DV30" s="230"/>
      <c r="DW30" s="230"/>
      <c r="DX30" s="41" t="s">
        <v>460</v>
      </c>
      <c r="DY30" s="41"/>
      <c r="DZ30" s="41"/>
      <c r="EA30" s="41"/>
      <c r="EB30" s="41"/>
      <c r="EC30" s="230"/>
      <c r="ED30" s="230"/>
      <c r="EE30" s="41"/>
      <c r="EF30" s="41"/>
      <c r="EG30" s="41"/>
      <c r="EH30" s="41" t="s">
        <v>460</v>
      </c>
      <c r="EI30" s="41"/>
      <c r="EJ30" s="230"/>
      <c r="EK30" s="230"/>
      <c r="EL30" s="41"/>
      <c r="EM30" s="41"/>
      <c r="EN30" s="41"/>
      <c r="EO30" s="41"/>
      <c r="EP30" s="41"/>
      <c r="EQ30" s="230"/>
      <c r="ER30" s="230"/>
      <c r="ES30" s="41"/>
      <c r="ET30" s="41"/>
      <c r="EU30" s="41"/>
      <c r="EV30" s="41"/>
      <c r="EW30" s="41"/>
      <c r="EX30" s="230"/>
      <c r="EY30" s="230"/>
      <c r="EZ30" s="41"/>
      <c r="FA30" s="41"/>
      <c r="FB30" s="41"/>
      <c r="FC30" s="41"/>
      <c r="FD30" s="41"/>
      <c r="FE30" s="230"/>
      <c r="FF30" s="230"/>
      <c r="FG30" s="41"/>
      <c r="FH30" s="41"/>
      <c r="FI30" s="41"/>
      <c r="FJ30" s="41"/>
      <c r="FK30" s="41"/>
      <c r="FL30" s="230"/>
      <c r="FM30" s="230"/>
      <c r="FN30" s="41" t="s">
        <v>460</v>
      </c>
      <c r="FO30" s="41"/>
      <c r="FP30" s="41"/>
      <c r="FQ30" s="41"/>
      <c r="FR30" s="41"/>
      <c r="FS30" s="230"/>
      <c r="FT30" s="230"/>
      <c r="FU30" s="41"/>
      <c r="FV30" s="41"/>
      <c r="FW30" s="41"/>
      <c r="FX30" s="41"/>
      <c r="FY30" s="41"/>
      <c r="FZ30" s="230"/>
      <c r="GA30" s="230"/>
      <c r="GB30" s="41"/>
      <c r="GC30" s="41"/>
      <c r="GD30" s="41"/>
      <c r="GE30" s="41"/>
      <c r="GF30" s="41"/>
      <c r="GG30" s="230"/>
      <c r="GH30" s="230"/>
      <c r="GI30" s="41"/>
      <c r="GJ30" s="41"/>
      <c r="GK30" s="41"/>
      <c r="GL30" s="41"/>
      <c r="GM30" s="41"/>
      <c r="GN30" s="230"/>
      <c r="GO30" s="230"/>
      <c r="GP30" s="41"/>
      <c r="GQ30" s="41"/>
      <c r="GR30" s="41"/>
      <c r="GS30" s="41"/>
      <c r="GT30" s="41"/>
      <c r="GU30" s="230"/>
      <c r="GV30" s="230"/>
      <c r="GW30" s="41" t="s">
        <v>460</v>
      </c>
      <c r="GX30" s="41"/>
      <c r="GY30" s="41"/>
      <c r="GZ30" s="41"/>
      <c r="HA30" s="41"/>
      <c r="HB30" s="230"/>
      <c r="HC30" s="230"/>
      <c r="HD30" s="41"/>
      <c r="HE30" s="41"/>
      <c r="HF30" s="41"/>
      <c r="HG30" s="41"/>
      <c r="HH30" s="41"/>
      <c r="HI30" s="234"/>
      <c r="HJ30" s="234"/>
      <c r="HK30" s="41"/>
      <c r="HL30" s="41"/>
      <c r="HM30" s="41"/>
      <c r="HN30" s="41"/>
      <c r="HO30" s="41"/>
      <c r="HP30" s="234"/>
      <c r="HQ30" s="234"/>
      <c r="HR30" s="41" t="s">
        <v>460</v>
      </c>
      <c r="HS30" s="41" t="s">
        <v>460</v>
      </c>
      <c r="HT30" s="41" t="s">
        <v>460</v>
      </c>
      <c r="HU30" s="41" t="s">
        <v>460</v>
      </c>
      <c r="HV30" s="41" t="s">
        <v>460</v>
      </c>
      <c r="HW30" s="234"/>
      <c r="HX30" s="234"/>
      <c r="HY30" s="41" t="s">
        <v>460</v>
      </c>
      <c r="HZ30" s="41" t="s">
        <v>460</v>
      </c>
      <c r="IA30" s="41" t="s">
        <v>460</v>
      </c>
      <c r="IB30" s="41" t="s">
        <v>460</v>
      </c>
      <c r="IC30" s="41" t="s">
        <v>460</v>
      </c>
      <c r="ID30" s="234"/>
      <c r="IE30" s="234"/>
      <c r="IF30" s="41"/>
      <c r="IG30" s="41"/>
      <c r="IH30" s="41"/>
      <c r="II30" s="41"/>
      <c r="IJ30" s="41"/>
      <c r="IK30" s="234"/>
      <c r="IL30" s="234"/>
      <c r="IM30" s="41"/>
      <c r="IN30" s="41"/>
      <c r="IO30" s="41"/>
      <c r="IP30" s="41"/>
      <c r="IQ30" s="41"/>
      <c r="IR30" s="234"/>
      <c r="IS30" s="234"/>
      <c r="IT30" s="41"/>
      <c r="IU30" s="41"/>
      <c r="IV30" s="41"/>
      <c r="IW30" s="41"/>
      <c r="IX30" s="41"/>
      <c r="IY30" s="234"/>
      <c r="IZ30" s="234"/>
      <c r="JA30" s="41"/>
      <c r="JB30" s="41"/>
      <c r="JC30" s="41"/>
      <c r="JD30" s="41"/>
      <c r="JE30" s="41"/>
      <c r="JF30" s="234"/>
      <c r="JG30" s="234"/>
      <c r="JH30" s="41"/>
      <c r="JI30" s="41"/>
      <c r="JJ30" s="41"/>
      <c r="JK30" s="41"/>
      <c r="JL30" s="41"/>
      <c r="JM30" s="234"/>
      <c r="JN30" s="234"/>
      <c r="JO30" s="41"/>
      <c r="JP30" s="41"/>
      <c r="JQ30" s="41"/>
      <c r="JR30" s="41"/>
      <c r="JS30" s="41"/>
      <c r="JT30" s="234"/>
      <c r="JU30" s="234"/>
      <c r="JV30" s="41"/>
      <c r="JW30" s="41"/>
      <c r="JX30" s="41"/>
      <c r="JY30" s="41"/>
      <c r="JZ30" s="41"/>
      <c r="KA30" s="234"/>
      <c r="KB30" s="234"/>
      <c r="KC30" s="41"/>
      <c r="KD30" s="41"/>
      <c r="KE30" s="41"/>
      <c r="KF30" s="41"/>
      <c r="KG30" s="41"/>
      <c r="KH30" s="234"/>
      <c r="KI30" s="234"/>
      <c r="KJ30" s="41"/>
      <c r="KK30" s="41"/>
      <c r="KL30" s="41"/>
      <c r="KM30" s="41"/>
      <c r="KN30" s="41"/>
      <c r="KO30" s="234"/>
      <c r="KP30" s="234"/>
      <c r="KQ30" s="41"/>
      <c r="KR30" s="41"/>
      <c r="KS30" s="41"/>
      <c r="KT30" s="41"/>
      <c r="KU30" s="41"/>
      <c r="KV30" s="234"/>
      <c r="KW30" s="234"/>
      <c r="KX30" s="41"/>
      <c r="KY30" s="41"/>
      <c r="KZ30" s="41"/>
      <c r="LA30" s="41"/>
      <c r="LB30" s="41"/>
      <c r="LC30" s="234"/>
      <c r="LD30" s="234"/>
      <c r="LE30" s="41"/>
      <c r="LF30" s="41"/>
      <c r="LG30" s="41"/>
      <c r="LH30" s="41"/>
      <c r="LI30" s="41"/>
      <c r="LJ30" s="234"/>
      <c r="LK30" s="234"/>
      <c r="LL30" s="41"/>
      <c r="LM30" s="41"/>
      <c r="LN30" s="41"/>
      <c r="LO30" s="41"/>
      <c r="LP30" s="41"/>
      <c r="LQ30" s="234"/>
      <c r="LR30" s="234"/>
      <c r="LS30" s="41"/>
      <c r="LT30" s="41"/>
      <c r="LU30" s="41"/>
      <c r="LV30" s="41"/>
      <c r="LW30" s="41"/>
      <c r="LX30" s="234"/>
      <c r="LY30" s="234"/>
      <c r="LZ30" s="41"/>
      <c r="MA30" s="41"/>
      <c r="MB30" s="41"/>
      <c r="MC30" s="41"/>
      <c r="MD30" s="41"/>
      <c r="ME30" s="234"/>
      <c r="MF30" s="234"/>
      <c r="MG30" s="41"/>
      <c r="MH30" s="41"/>
      <c r="MI30" s="41"/>
      <c r="MJ30" s="41"/>
      <c r="MK30" s="41"/>
      <c r="ML30" s="234"/>
      <c r="MM30" s="234"/>
      <c r="MN30" s="41"/>
      <c r="MO30" s="41"/>
      <c r="MP30" s="41"/>
      <c r="MQ30" s="41"/>
      <c r="MR30" s="41"/>
      <c r="MS30" s="234"/>
      <c r="MT30" s="234"/>
      <c r="MU30" s="41"/>
      <c r="MV30" s="41"/>
      <c r="MW30" s="41"/>
      <c r="MX30" s="41"/>
      <c r="MY30" s="41"/>
      <c r="MZ30" s="234"/>
      <c r="NA30" s="234"/>
      <c r="NB30" s="41"/>
      <c r="NC30" s="41"/>
      <c r="ND30" s="41"/>
      <c r="NE30" s="41"/>
      <c r="NF30" s="41"/>
      <c r="NG30" s="234"/>
      <c r="NH30" s="234"/>
      <c r="NI30" s="41"/>
      <c r="NJ30" s="41"/>
      <c r="NK30" s="41"/>
      <c r="NL30" s="41"/>
      <c r="NM30" s="41"/>
      <c r="NN30" s="234"/>
      <c r="NO30" s="234"/>
      <c r="NP30" s="41"/>
      <c r="NQ30" s="41"/>
      <c r="NR30" s="41"/>
      <c r="NS30" s="41"/>
      <c r="NT30" s="41"/>
      <c r="NU30" s="234"/>
      <c r="NV30" s="234"/>
      <c r="NW30" s="41"/>
      <c r="NX30" s="41"/>
      <c r="NY30" s="41"/>
      <c r="NZ30" s="41"/>
      <c r="OA30" s="41"/>
      <c r="OB30" s="234"/>
    </row>
    <row r="31" spans="2:392" x14ac:dyDescent="0.3">
      <c r="D31" s="206" t="s">
        <v>20</v>
      </c>
      <c r="E31" s="183" t="s">
        <v>8</v>
      </c>
      <c r="F31" s="364" t="s">
        <v>9</v>
      </c>
      <c r="G31" s="155" t="s">
        <v>377</v>
      </c>
      <c r="H31" s="156" t="s">
        <v>184</v>
      </c>
      <c r="I31" s="41"/>
      <c r="J31" s="41"/>
      <c r="K31" s="41"/>
      <c r="L31" s="41"/>
      <c r="M31" s="41"/>
      <c r="N31" s="230"/>
      <c r="O31" s="230"/>
      <c r="P31" s="41"/>
      <c r="Q31" s="41"/>
      <c r="R31" s="41"/>
      <c r="S31" s="41"/>
      <c r="T31" s="41"/>
      <c r="U31" s="230"/>
      <c r="V31" s="230"/>
      <c r="W31" s="41"/>
      <c r="X31" s="41"/>
      <c r="Y31" s="41"/>
      <c r="Z31" s="41"/>
      <c r="AA31" s="41"/>
      <c r="AB31" s="230"/>
      <c r="AC31" s="230"/>
      <c r="AD31" s="41"/>
      <c r="AE31" s="41"/>
      <c r="AF31" s="41"/>
      <c r="AG31" s="41"/>
      <c r="AH31" s="41"/>
      <c r="AI31" s="230"/>
      <c r="AJ31" s="230"/>
      <c r="AK31" s="41"/>
      <c r="AL31" s="41"/>
      <c r="AM31" s="41"/>
      <c r="AN31" s="41"/>
      <c r="AO31" s="41"/>
      <c r="AP31" s="230"/>
      <c r="AQ31" s="230"/>
      <c r="AR31" s="41"/>
      <c r="AS31" s="41"/>
      <c r="AT31" s="41"/>
      <c r="AU31" s="41"/>
      <c r="AV31" s="41"/>
      <c r="AW31" s="230"/>
      <c r="AX31" s="230"/>
      <c r="AY31" s="41"/>
      <c r="AZ31" s="41"/>
      <c r="BA31" s="41"/>
      <c r="BB31" s="41"/>
      <c r="BC31" s="41"/>
      <c r="BD31" s="230"/>
      <c r="BE31" s="230"/>
      <c r="BF31" s="41"/>
      <c r="BG31" s="41"/>
      <c r="BH31" s="41"/>
      <c r="BI31" s="41"/>
      <c r="BJ31" s="41"/>
      <c r="BK31" s="230"/>
      <c r="BL31" s="230"/>
      <c r="BM31" s="41"/>
      <c r="BN31" s="41"/>
      <c r="BO31" s="41"/>
      <c r="BP31" s="41"/>
      <c r="BQ31" s="41"/>
      <c r="BR31" s="230"/>
      <c r="BS31" s="230"/>
      <c r="BT31" s="41"/>
      <c r="BU31" s="41"/>
      <c r="BV31" s="41"/>
      <c r="BW31" s="41"/>
      <c r="BX31" s="41"/>
      <c r="BY31" s="230"/>
      <c r="BZ31" s="230"/>
      <c r="CA31" s="41"/>
      <c r="CB31" s="41"/>
      <c r="CC31" s="41"/>
      <c r="CD31" s="41"/>
      <c r="CE31" s="41"/>
      <c r="CF31" s="230"/>
      <c r="CG31" s="230"/>
      <c r="CH31" s="41"/>
      <c r="CI31" s="41"/>
      <c r="CJ31" s="41"/>
      <c r="CK31" s="41"/>
      <c r="CL31" s="41"/>
      <c r="CM31" s="230"/>
      <c r="CN31" s="230"/>
      <c r="CO31" s="41"/>
      <c r="CP31" s="41"/>
      <c r="CQ31" s="41"/>
      <c r="CR31" s="41"/>
      <c r="CS31" s="41"/>
      <c r="CT31" s="230"/>
      <c r="CU31" s="230"/>
      <c r="CV31" s="41"/>
      <c r="CW31" s="41"/>
      <c r="CX31" s="41"/>
      <c r="CY31" s="41"/>
      <c r="CZ31" s="41"/>
      <c r="DA31" s="230"/>
      <c r="DB31" s="230"/>
      <c r="DC31" s="41" t="s">
        <v>460</v>
      </c>
      <c r="DD31" s="41" t="s">
        <v>460</v>
      </c>
      <c r="DE31" s="41" t="s">
        <v>460</v>
      </c>
      <c r="DF31" s="41"/>
      <c r="DG31" s="41"/>
      <c r="DH31" s="230"/>
      <c r="DI31" s="230"/>
      <c r="DJ31" s="41"/>
      <c r="DK31" s="41"/>
      <c r="DL31" s="41"/>
      <c r="DM31" s="41"/>
      <c r="DN31" s="41"/>
      <c r="DO31" s="230"/>
      <c r="DP31" s="230"/>
      <c r="DQ31" s="41"/>
      <c r="DR31" s="41"/>
      <c r="DS31" s="41"/>
      <c r="DT31" s="41"/>
      <c r="DU31" s="41"/>
      <c r="DV31" s="230"/>
      <c r="DW31" s="230"/>
      <c r="DX31" s="41" t="s">
        <v>460</v>
      </c>
      <c r="DY31" s="41"/>
      <c r="DZ31" s="41"/>
      <c r="EA31" s="41"/>
      <c r="EB31" s="41"/>
      <c r="EC31" s="230"/>
      <c r="ED31" s="230"/>
      <c r="EE31" s="41"/>
      <c r="EF31" s="41"/>
      <c r="EG31" s="41"/>
      <c r="EH31" s="41" t="s">
        <v>460</v>
      </c>
      <c r="EI31" s="41"/>
      <c r="EJ31" s="230"/>
      <c r="EK31" s="230"/>
      <c r="EL31" s="41"/>
      <c r="EM31" s="41"/>
      <c r="EN31" s="41"/>
      <c r="EO31" s="41"/>
      <c r="EP31" s="41"/>
      <c r="EQ31" s="230"/>
      <c r="ER31" s="230"/>
      <c r="ES31" s="41"/>
      <c r="ET31" s="41"/>
      <c r="EU31" s="41"/>
      <c r="EV31" s="41"/>
      <c r="EW31" s="41"/>
      <c r="EX31" s="230"/>
      <c r="EY31" s="230"/>
      <c r="EZ31" s="41"/>
      <c r="FA31" s="41"/>
      <c r="FB31" s="41"/>
      <c r="FC31" s="41"/>
      <c r="FD31" s="41"/>
      <c r="FE31" s="230"/>
      <c r="FF31" s="230"/>
      <c r="FG31" s="41"/>
      <c r="FH31" s="41"/>
      <c r="FI31" s="41"/>
      <c r="FJ31" s="41"/>
      <c r="FK31" s="41"/>
      <c r="FL31" s="230"/>
      <c r="FM31" s="230"/>
      <c r="FN31" s="41" t="s">
        <v>460</v>
      </c>
      <c r="FO31" s="41"/>
      <c r="FP31" s="41"/>
      <c r="FQ31" s="41"/>
      <c r="FR31" s="41"/>
      <c r="FS31" s="230"/>
      <c r="FT31" s="230"/>
      <c r="FU31" s="41"/>
      <c r="FV31" s="41"/>
      <c r="FW31" s="41"/>
      <c r="FX31" s="41"/>
      <c r="FY31" s="41"/>
      <c r="FZ31" s="230"/>
      <c r="GA31" s="230"/>
      <c r="GB31" s="41"/>
      <c r="GC31" s="41"/>
      <c r="GD31" s="41"/>
      <c r="GE31" s="41"/>
      <c r="GF31" s="41"/>
      <c r="GG31" s="230"/>
      <c r="GH31" s="230"/>
      <c r="GI31" s="41"/>
      <c r="GJ31" s="41"/>
      <c r="GK31" s="41"/>
      <c r="GL31" s="41"/>
      <c r="GM31" s="41"/>
      <c r="GN31" s="230"/>
      <c r="GO31" s="230"/>
      <c r="GP31" s="41"/>
      <c r="GQ31" s="41"/>
      <c r="GR31" s="41"/>
      <c r="GS31" s="41"/>
      <c r="GT31" s="41"/>
      <c r="GU31" s="230"/>
      <c r="GV31" s="230"/>
      <c r="GW31" s="41" t="s">
        <v>460</v>
      </c>
      <c r="GX31" s="41"/>
      <c r="GY31" s="41"/>
      <c r="GZ31" s="41"/>
      <c r="HA31" s="41"/>
      <c r="HB31" s="230"/>
      <c r="HC31" s="230"/>
      <c r="HD31" s="41"/>
      <c r="HE31" s="41"/>
      <c r="HF31" s="41"/>
      <c r="HG31" s="41"/>
      <c r="HH31" s="41"/>
      <c r="HI31" s="234"/>
      <c r="HJ31" s="234"/>
      <c r="HK31" s="41" t="s">
        <v>460</v>
      </c>
      <c r="HL31" s="41" t="s">
        <v>460</v>
      </c>
      <c r="HM31" s="41" t="s">
        <v>460</v>
      </c>
      <c r="HN31" s="41" t="s">
        <v>460</v>
      </c>
      <c r="HO31" s="41" t="s">
        <v>460</v>
      </c>
      <c r="HP31" s="234"/>
      <c r="HQ31" s="234"/>
      <c r="HR31" s="41" t="s">
        <v>460</v>
      </c>
      <c r="HS31" s="41" t="s">
        <v>460</v>
      </c>
      <c r="HT31" s="41" t="s">
        <v>460</v>
      </c>
      <c r="HU31" s="41" t="s">
        <v>460</v>
      </c>
      <c r="HV31" s="41" t="s">
        <v>460</v>
      </c>
      <c r="HW31" s="234"/>
      <c r="HX31" s="234"/>
      <c r="HY31" s="41"/>
      <c r="HZ31" s="41"/>
      <c r="IA31" s="41"/>
      <c r="IB31" s="41"/>
      <c r="IC31" s="41"/>
      <c r="ID31" s="234"/>
      <c r="IE31" s="234"/>
      <c r="IF31" s="41"/>
      <c r="IG31" s="41"/>
      <c r="IH31" s="41"/>
      <c r="II31" s="41"/>
      <c r="IJ31" s="41"/>
      <c r="IK31" s="234"/>
      <c r="IL31" s="234"/>
      <c r="IM31" s="41"/>
      <c r="IN31" s="41"/>
      <c r="IO31" s="41"/>
      <c r="IP31" s="41"/>
      <c r="IQ31" s="41"/>
      <c r="IR31" s="234"/>
      <c r="IS31" s="234"/>
      <c r="IT31" s="41"/>
      <c r="IU31" s="41"/>
      <c r="IV31" s="41"/>
      <c r="IW31" s="41"/>
      <c r="IX31" s="41"/>
      <c r="IY31" s="234"/>
      <c r="IZ31" s="234"/>
      <c r="JA31" s="41"/>
      <c r="JB31" s="41"/>
      <c r="JC31" s="41"/>
      <c r="JD31" s="41"/>
      <c r="JE31" s="41"/>
      <c r="JF31" s="234"/>
      <c r="JG31" s="234"/>
      <c r="JH31" s="41"/>
      <c r="JI31" s="41"/>
      <c r="JJ31" s="41"/>
      <c r="JK31" s="41"/>
      <c r="JL31" s="41"/>
      <c r="JM31" s="234"/>
      <c r="JN31" s="234"/>
      <c r="JO31" s="41"/>
      <c r="JP31" s="41"/>
      <c r="JQ31" s="41"/>
      <c r="JR31" s="41"/>
      <c r="JS31" s="41"/>
      <c r="JT31" s="234"/>
      <c r="JU31" s="234"/>
      <c r="JV31" s="41"/>
      <c r="JW31" s="41"/>
      <c r="JX31" s="41"/>
      <c r="JY31" s="41"/>
      <c r="JZ31" s="41"/>
      <c r="KA31" s="234"/>
      <c r="KB31" s="234"/>
      <c r="KC31" s="41"/>
      <c r="KD31" s="41"/>
      <c r="KE31" s="41"/>
      <c r="KF31" s="41"/>
      <c r="KG31" s="41"/>
      <c r="KH31" s="234"/>
      <c r="KI31" s="234"/>
      <c r="KJ31" s="41"/>
      <c r="KK31" s="41"/>
      <c r="KL31" s="41"/>
      <c r="KM31" s="41"/>
      <c r="KN31" s="41"/>
      <c r="KO31" s="234"/>
      <c r="KP31" s="234"/>
      <c r="KQ31" s="41"/>
      <c r="KR31" s="41"/>
      <c r="KS31" s="41"/>
      <c r="KT31" s="41"/>
      <c r="KU31" s="41"/>
      <c r="KV31" s="234"/>
      <c r="KW31" s="234"/>
      <c r="KX31" s="41"/>
      <c r="KY31" s="41"/>
      <c r="KZ31" s="41"/>
      <c r="LA31" s="41"/>
      <c r="LB31" s="41"/>
      <c r="LC31" s="234"/>
      <c r="LD31" s="234"/>
      <c r="LE31" s="41"/>
      <c r="LF31" s="41"/>
      <c r="LG31" s="41"/>
      <c r="LH31" s="41"/>
      <c r="LI31" s="41"/>
      <c r="LJ31" s="234"/>
      <c r="LK31" s="234"/>
      <c r="LL31" s="41"/>
      <c r="LM31" s="41"/>
      <c r="LN31" s="41"/>
      <c r="LO31" s="41"/>
      <c r="LP31" s="41"/>
      <c r="LQ31" s="234"/>
      <c r="LR31" s="234"/>
      <c r="LS31" s="41"/>
      <c r="LT31" s="41"/>
      <c r="LU31" s="41"/>
      <c r="LV31" s="41"/>
      <c r="LW31" s="41"/>
      <c r="LX31" s="234"/>
      <c r="LY31" s="234"/>
      <c r="LZ31" s="41"/>
      <c r="MA31" s="41"/>
      <c r="MB31" s="41"/>
      <c r="MC31" s="41"/>
      <c r="MD31" s="41"/>
      <c r="ME31" s="234"/>
      <c r="MF31" s="234"/>
      <c r="MG31" s="41"/>
      <c r="MH31" s="41"/>
      <c r="MI31" s="41"/>
      <c r="MJ31" s="41"/>
      <c r="MK31" s="41"/>
      <c r="ML31" s="234"/>
      <c r="MM31" s="234"/>
      <c r="MN31" s="41"/>
      <c r="MO31" s="41"/>
      <c r="MP31" s="41"/>
      <c r="MQ31" s="41"/>
      <c r="MR31" s="41"/>
      <c r="MS31" s="234"/>
      <c r="MT31" s="234"/>
      <c r="MU31" s="41"/>
      <c r="MV31" s="41"/>
      <c r="MW31" s="41"/>
      <c r="MX31" s="41"/>
      <c r="MY31" s="41"/>
      <c r="MZ31" s="234"/>
      <c r="NA31" s="234"/>
      <c r="NB31" s="41"/>
      <c r="NC31" s="41"/>
      <c r="ND31" s="41"/>
      <c r="NE31" s="41"/>
      <c r="NF31" s="41"/>
      <c r="NG31" s="234"/>
      <c r="NH31" s="234"/>
      <c r="NI31" s="41"/>
      <c r="NJ31" s="41"/>
      <c r="NK31" s="41"/>
      <c r="NL31" s="41"/>
      <c r="NM31" s="41"/>
      <c r="NN31" s="234"/>
      <c r="NO31" s="234"/>
      <c r="NP31" s="41"/>
      <c r="NQ31" s="41"/>
      <c r="NR31" s="41"/>
      <c r="NS31" s="41"/>
      <c r="NT31" s="41"/>
      <c r="NU31" s="234"/>
      <c r="NV31" s="234"/>
      <c r="NW31" s="41"/>
      <c r="NX31" s="41"/>
      <c r="NY31" s="41"/>
      <c r="NZ31" s="41"/>
      <c r="OA31" s="41"/>
      <c r="OB31" s="234"/>
    </row>
    <row r="32" spans="2:392" x14ac:dyDescent="0.3">
      <c r="D32" s="206" t="s">
        <v>20</v>
      </c>
      <c r="E32" s="187" t="s">
        <v>79</v>
      </c>
      <c r="F32" s="364" t="s">
        <v>113</v>
      </c>
      <c r="G32" s="155" t="s">
        <v>299</v>
      </c>
      <c r="H32" s="156" t="s">
        <v>300</v>
      </c>
      <c r="I32" s="41"/>
      <c r="J32" s="41"/>
      <c r="K32" s="41"/>
      <c r="L32" s="41"/>
      <c r="M32" s="41"/>
      <c r="N32" s="230"/>
      <c r="O32" s="230"/>
      <c r="P32" s="41"/>
      <c r="Q32" s="41"/>
      <c r="R32" s="41"/>
      <c r="S32" s="41"/>
      <c r="T32" s="41"/>
      <c r="U32" s="230"/>
      <c r="V32" s="230"/>
      <c r="W32" s="41" t="s">
        <v>458</v>
      </c>
      <c r="X32" s="41" t="s">
        <v>458</v>
      </c>
      <c r="Y32" s="41" t="s">
        <v>458</v>
      </c>
      <c r="Z32" s="41" t="s">
        <v>458</v>
      </c>
      <c r="AA32" s="41" t="s">
        <v>458</v>
      </c>
      <c r="AB32" s="230"/>
      <c r="AC32" s="230"/>
      <c r="AD32" s="41" t="s">
        <v>458</v>
      </c>
      <c r="AE32" s="41" t="s">
        <v>458</v>
      </c>
      <c r="AF32" s="41" t="s">
        <v>458</v>
      </c>
      <c r="AG32" s="41" t="s">
        <v>458</v>
      </c>
      <c r="AH32" s="41" t="s">
        <v>458</v>
      </c>
      <c r="AI32" s="230"/>
      <c r="AJ32" s="230"/>
      <c r="AK32" s="41" t="s">
        <v>458</v>
      </c>
      <c r="AL32" s="41" t="s">
        <v>458</v>
      </c>
      <c r="AM32" s="41" t="s">
        <v>458</v>
      </c>
      <c r="AN32" s="41" t="s">
        <v>458</v>
      </c>
      <c r="AO32" s="41" t="s">
        <v>458</v>
      </c>
      <c r="AP32" s="230"/>
      <c r="AQ32" s="230"/>
      <c r="AR32" s="41" t="s">
        <v>458</v>
      </c>
      <c r="AS32" s="41" t="s">
        <v>458</v>
      </c>
      <c r="AT32" s="41" t="s">
        <v>458</v>
      </c>
      <c r="AU32" s="41" t="s">
        <v>458</v>
      </c>
      <c r="AV32" s="41" t="s">
        <v>458</v>
      </c>
      <c r="AW32" s="230"/>
      <c r="AX32" s="230"/>
      <c r="AY32" s="41" t="s">
        <v>458</v>
      </c>
      <c r="AZ32" s="41" t="s">
        <v>458</v>
      </c>
      <c r="BA32" s="41" t="s">
        <v>458</v>
      </c>
      <c r="BB32" s="41" t="s">
        <v>458</v>
      </c>
      <c r="BC32" s="41" t="s">
        <v>458</v>
      </c>
      <c r="BD32" s="230"/>
      <c r="BE32" s="230"/>
      <c r="BF32" s="41" t="s">
        <v>458</v>
      </c>
      <c r="BG32" s="41" t="s">
        <v>458</v>
      </c>
      <c r="BH32" s="41" t="s">
        <v>458</v>
      </c>
      <c r="BI32" s="41" t="s">
        <v>458</v>
      </c>
      <c r="BJ32" s="41" t="s">
        <v>458</v>
      </c>
      <c r="BK32" s="230"/>
      <c r="BL32" s="230"/>
      <c r="BM32" s="41" t="s">
        <v>458</v>
      </c>
      <c r="BN32" s="41" t="s">
        <v>458</v>
      </c>
      <c r="BO32" s="41" t="s">
        <v>458</v>
      </c>
      <c r="BP32" s="41" t="s">
        <v>458</v>
      </c>
      <c r="BQ32" s="41" t="s">
        <v>458</v>
      </c>
      <c r="BR32" s="230"/>
      <c r="BS32" s="230"/>
      <c r="BT32" s="41" t="s">
        <v>458</v>
      </c>
      <c r="BU32" s="41" t="s">
        <v>458</v>
      </c>
      <c r="BV32" s="41" t="s">
        <v>458</v>
      </c>
      <c r="BW32" s="41" t="s">
        <v>458</v>
      </c>
      <c r="BX32" s="41" t="s">
        <v>458</v>
      </c>
      <c r="BY32" s="230"/>
      <c r="BZ32" s="230"/>
      <c r="CA32" s="41" t="s">
        <v>458</v>
      </c>
      <c r="CB32" s="41" t="s">
        <v>458</v>
      </c>
      <c r="CC32" s="41" t="s">
        <v>458</v>
      </c>
      <c r="CD32" s="41" t="s">
        <v>458</v>
      </c>
      <c r="CE32" s="41" t="s">
        <v>458</v>
      </c>
      <c r="CF32" s="230"/>
      <c r="CG32" s="230"/>
      <c r="CH32" s="41" t="s">
        <v>458</v>
      </c>
      <c r="CI32" s="41" t="s">
        <v>458</v>
      </c>
      <c r="CJ32" s="41" t="s">
        <v>458</v>
      </c>
      <c r="CK32" s="41" t="s">
        <v>458</v>
      </c>
      <c r="CL32" s="41" t="s">
        <v>458</v>
      </c>
      <c r="CM32" s="230"/>
      <c r="CN32" s="230"/>
      <c r="CO32" s="41" t="s">
        <v>458</v>
      </c>
      <c r="CP32" s="41" t="s">
        <v>458</v>
      </c>
      <c r="CQ32" s="41" t="s">
        <v>458</v>
      </c>
      <c r="CR32" s="41" t="s">
        <v>458</v>
      </c>
      <c r="CS32" s="41" t="s">
        <v>458</v>
      </c>
      <c r="CT32" s="230"/>
      <c r="CU32" s="230"/>
      <c r="CV32" s="41" t="s">
        <v>458</v>
      </c>
      <c r="CW32" s="41" t="s">
        <v>458</v>
      </c>
      <c r="CX32" s="41" t="s">
        <v>458</v>
      </c>
      <c r="CY32" s="41" t="s">
        <v>458</v>
      </c>
      <c r="CZ32" s="41" t="s">
        <v>458</v>
      </c>
      <c r="DA32" s="230"/>
      <c r="DB32" s="230"/>
      <c r="DC32" s="41" t="s">
        <v>458</v>
      </c>
      <c r="DD32" s="41" t="s">
        <v>458</v>
      </c>
      <c r="DE32" s="41" t="s">
        <v>458</v>
      </c>
      <c r="DF32" s="41" t="s">
        <v>458</v>
      </c>
      <c r="DG32" s="41" t="s">
        <v>458</v>
      </c>
      <c r="DH32" s="230"/>
      <c r="DI32" s="230"/>
      <c r="DJ32" s="41" t="s">
        <v>458</v>
      </c>
      <c r="DK32" s="41" t="s">
        <v>458</v>
      </c>
      <c r="DL32" s="41" t="s">
        <v>458</v>
      </c>
      <c r="DM32" s="41" t="s">
        <v>458</v>
      </c>
      <c r="DN32" s="41" t="s">
        <v>458</v>
      </c>
      <c r="DO32" s="230"/>
      <c r="DP32" s="230"/>
      <c r="DQ32" s="41" t="s">
        <v>458</v>
      </c>
      <c r="DR32" s="41" t="s">
        <v>458</v>
      </c>
      <c r="DS32" s="41" t="s">
        <v>458</v>
      </c>
      <c r="DT32" s="41" t="s">
        <v>458</v>
      </c>
      <c r="DU32" s="41" t="s">
        <v>458</v>
      </c>
      <c r="DV32" s="230"/>
      <c r="DW32" s="234"/>
      <c r="DX32" s="41" t="s">
        <v>460</v>
      </c>
      <c r="DY32" s="41" t="s">
        <v>458</v>
      </c>
      <c r="DZ32" s="41" t="s">
        <v>458</v>
      </c>
      <c r="EA32" s="41" t="s">
        <v>458</v>
      </c>
      <c r="EB32" s="41" t="s">
        <v>458</v>
      </c>
      <c r="EC32" s="230"/>
      <c r="ED32" s="230"/>
      <c r="EE32" s="41" t="s">
        <v>458</v>
      </c>
      <c r="EF32" s="41" t="s">
        <v>458</v>
      </c>
      <c r="EG32" s="41" t="s">
        <v>458</v>
      </c>
      <c r="EH32" s="41" t="s">
        <v>460</v>
      </c>
      <c r="EI32" s="41" t="s">
        <v>458</v>
      </c>
      <c r="EJ32" s="230"/>
      <c r="EK32" s="230"/>
      <c r="EL32" s="41" t="s">
        <v>458</v>
      </c>
      <c r="EM32" s="41" t="s">
        <v>458</v>
      </c>
      <c r="EN32" s="41" t="s">
        <v>458</v>
      </c>
      <c r="EO32" s="41" t="s">
        <v>458</v>
      </c>
      <c r="EP32" s="41" t="s">
        <v>458</v>
      </c>
      <c r="EQ32" s="230"/>
      <c r="ER32" s="230"/>
      <c r="ES32" s="41" t="s">
        <v>458</v>
      </c>
      <c r="ET32" s="41" t="s">
        <v>458</v>
      </c>
      <c r="EU32" s="41" t="s">
        <v>458</v>
      </c>
      <c r="EV32" s="41" t="s">
        <v>458</v>
      </c>
      <c r="EW32" s="41" t="s">
        <v>458</v>
      </c>
      <c r="EX32" s="230"/>
      <c r="EY32" s="230"/>
      <c r="EZ32" s="41" t="s">
        <v>458</v>
      </c>
      <c r="FA32" s="41" t="s">
        <v>458</v>
      </c>
      <c r="FB32" s="41" t="s">
        <v>458</v>
      </c>
      <c r="FC32" s="41" t="s">
        <v>458</v>
      </c>
      <c r="FD32" s="41" t="s">
        <v>458</v>
      </c>
      <c r="FE32" s="230"/>
      <c r="FF32" s="230"/>
      <c r="FG32" s="41" t="s">
        <v>458</v>
      </c>
      <c r="FH32" s="41" t="s">
        <v>458</v>
      </c>
      <c r="FI32" s="41" t="s">
        <v>458</v>
      </c>
      <c r="FJ32" s="41" t="s">
        <v>458</v>
      </c>
      <c r="FK32" s="41" t="s">
        <v>458</v>
      </c>
      <c r="FL32" s="230"/>
      <c r="FM32" s="230"/>
      <c r="FN32" s="41" t="s">
        <v>460</v>
      </c>
      <c r="FO32" s="41" t="s">
        <v>458</v>
      </c>
      <c r="FP32" s="41" t="s">
        <v>458</v>
      </c>
      <c r="FQ32" s="41" t="s">
        <v>458</v>
      </c>
      <c r="FR32" s="41" t="s">
        <v>458</v>
      </c>
      <c r="FS32" s="230"/>
      <c r="FT32" s="230"/>
      <c r="FU32" s="41" t="s">
        <v>458</v>
      </c>
      <c r="FV32" s="41" t="s">
        <v>458</v>
      </c>
      <c r="FW32" s="41" t="s">
        <v>458</v>
      </c>
      <c r="FX32" s="41" t="s">
        <v>458</v>
      </c>
      <c r="FY32" s="41" t="s">
        <v>458</v>
      </c>
      <c r="FZ32" s="230"/>
      <c r="GA32" s="230"/>
      <c r="GB32" s="41" t="s">
        <v>458</v>
      </c>
      <c r="GC32" s="41" t="s">
        <v>458</v>
      </c>
      <c r="GD32" s="41" t="s">
        <v>458</v>
      </c>
      <c r="GE32" s="41" t="s">
        <v>458</v>
      </c>
      <c r="GF32" s="41" t="s">
        <v>458</v>
      </c>
      <c r="GG32" s="230"/>
      <c r="GH32" s="230"/>
      <c r="GI32" s="41" t="s">
        <v>458</v>
      </c>
      <c r="GJ32" s="41" t="s">
        <v>458</v>
      </c>
      <c r="GK32" s="41" t="s">
        <v>458</v>
      </c>
      <c r="GL32" s="41" t="s">
        <v>458</v>
      </c>
      <c r="GM32" s="41" t="s">
        <v>458</v>
      </c>
      <c r="GN32" s="230"/>
      <c r="GO32" s="230"/>
      <c r="GP32" s="41" t="s">
        <v>458</v>
      </c>
      <c r="GQ32" s="41" t="s">
        <v>458</v>
      </c>
      <c r="GR32" s="41" t="s">
        <v>458</v>
      </c>
      <c r="GS32" s="41" t="s">
        <v>458</v>
      </c>
      <c r="GT32" s="41" t="s">
        <v>458</v>
      </c>
      <c r="GU32" s="230"/>
      <c r="GV32" s="230"/>
      <c r="GW32" s="41" t="s">
        <v>460</v>
      </c>
      <c r="GX32" s="41" t="s">
        <v>458</v>
      </c>
      <c r="GY32" s="41" t="s">
        <v>458</v>
      </c>
      <c r="GZ32" s="41" t="s">
        <v>458</v>
      </c>
      <c r="HA32" s="41" t="s">
        <v>458</v>
      </c>
      <c r="HB32" s="230"/>
      <c r="HC32" s="230"/>
      <c r="HD32" s="41" t="s">
        <v>458</v>
      </c>
      <c r="HE32" s="41" t="s">
        <v>458</v>
      </c>
      <c r="HF32" s="41" t="s">
        <v>458</v>
      </c>
      <c r="HG32" s="41" t="s">
        <v>458</v>
      </c>
      <c r="HH32" s="41" t="s">
        <v>458</v>
      </c>
      <c r="HI32" s="234"/>
      <c r="HJ32" s="234"/>
      <c r="HK32" s="41" t="s">
        <v>458</v>
      </c>
      <c r="HL32" s="41" t="s">
        <v>458</v>
      </c>
      <c r="HM32" s="41" t="s">
        <v>458</v>
      </c>
      <c r="HN32" s="41" t="s">
        <v>458</v>
      </c>
      <c r="HO32" s="41" t="s">
        <v>458</v>
      </c>
      <c r="HP32" s="234"/>
      <c r="HQ32" s="234"/>
      <c r="HR32" s="41" t="s">
        <v>458</v>
      </c>
      <c r="HS32" s="41" t="s">
        <v>458</v>
      </c>
      <c r="HT32" s="41" t="s">
        <v>458</v>
      </c>
      <c r="HU32" s="41" t="s">
        <v>458</v>
      </c>
      <c r="HV32" s="41" t="s">
        <v>458</v>
      </c>
      <c r="HW32" s="234"/>
      <c r="HX32" s="234"/>
      <c r="HY32" s="41" t="s">
        <v>458</v>
      </c>
      <c r="HZ32" s="41" t="s">
        <v>458</v>
      </c>
      <c r="IA32" s="41" t="s">
        <v>458</v>
      </c>
      <c r="IB32" s="41" t="s">
        <v>458</v>
      </c>
      <c r="IC32" s="41" t="s">
        <v>458</v>
      </c>
      <c r="ID32" s="234"/>
      <c r="IE32" s="234"/>
      <c r="IF32" s="41" t="s">
        <v>458</v>
      </c>
      <c r="IG32" s="41" t="s">
        <v>458</v>
      </c>
      <c r="IH32" s="41" t="s">
        <v>458</v>
      </c>
      <c r="II32" s="41" t="s">
        <v>458</v>
      </c>
      <c r="IJ32" s="41" t="s">
        <v>458</v>
      </c>
      <c r="IK32" s="234"/>
      <c r="IL32" s="234"/>
      <c r="IM32" s="41" t="s">
        <v>458</v>
      </c>
      <c r="IN32" s="41" t="s">
        <v>458</v>
      </c>
      <c r="IO32" s="41" t="s">
        <v>458</v>
      </c>
      <c r="IP32" s="41" t="s">
        <v>458</v>
      </c>
      <c r="IQ32" s="41" t="s">
        <v>458</v>
      </c>
      <c r="IR32" s="234"/>
      <c r="IS32" s="234"/>
      <c r="IT32" s="41" t="s">
        <v>460</v>
      </c>
      <c r="IU32" s="41" t="s">
        <v>460</v>
      </c>
      <c r="IV32" s="41" t="s">
        <v>460</v>
      </c>
      <c r="IW32" s="41" t="s">
        <v>460</v>
      </c>
      <c r="IX32" s="41" t="s">
        <v>460</v>
      </c>
      <c r="IY32" s="234"/>
      <c r="IZ32" s="234"/>
      <c r="JA32" s="41" t="s">
        <v>460</v>
      </c>
      <c r="JB32" s="41" t="s">
        <v>460</v>
      </c>
      <c r="JC32" s="41" t="s">
        <v>460</v>
      </c>
      <c r="JD32" s="41" t="s">
        <v>460</v>
      </c>
      <c r="JE32" s="41" t="s">
        <v>460</v>
      </c>
      <c r="JF32" s="234"/>
      <c r="JG32" s="234"/>
      <c r="JH32" s="41"/>
      <c r="JI32" s="41"/>
      <c r="JJ32" s="41"/>
      <c r="JK32" s="41"/>
      <c r="JL32" s="41"/>
      <c r="JM32" s="234"/>
      <c r="JN32" s="234"/>
      <c r="JO32" s="41"/>
      <c r="JP32" s="41"/>
      <c r="JQ32" s="41"/>
      <c r="JR32" s="41"/>
      <c r="JS32" s="41"/>
      <c r="JT32" s="234"/>
      <c r="JU32" s="234"/>
      <c r="JV32" s="41"/>
      <c r="JW32" s="41"/>
      <c r="JX32" s="41"/>
      <c r="JY32" s="41"/>
      <c r="JZ32" s="41"/>
      <c r="KA32" s="234"/>
      <c r="KB32" s="234"/>
      <c r="KC32" s="41"/>
      <c r="KD32" s="41"/>
      <c r="KE32" s="41"/>
      <c r="KF32" s="41"/>
      <c r="KG32" s="41"/>
      <c r="KH32" s="234"/>
      <c r="KI32" s="234"/>
      <c r="KJ32" s="41"/>
      <c r="KK32" s="41"/>
      <c r="KL32" s="41"/>
      <c r="KM32" s="41"/>
      <c r="KN32" s="41"/>
      <c r="KO32" s="234"/>
      <c r="KP32" s="234"/>
      <c r="KQ32" s="41"/>
      <c r="KR32" s="41"/>
      <c r="KS32" s="41"/>
      <c r="KT32" s="41"/>
      <c r="KU32" s="41"/>
      <c r="KV32" s="234"/>
      <c r="KW32" s="234"/>
      <c r="KX32" s="41"/>
      <c r="KY32" s="41"/>
      <c r="KZ32" s="41"/>
      <c r="LA32" s="41"/>
      <c r="LB32" s="41"/>
      <c r="LC32" s="234"/>
      <c r="LD32" s="234"/>
      <c r="LE32" s="41"/>
      <c r="LF32" s="41"/>
      <c r="LG32" s="41"/>
      <c r="LH32" s="41"/>
      <c r="LI32" s="41"/>
      <c r="LJ32" s="234"/>
      <c r="LK32" s="234"/>
      <c r="LL32" s="41"/>
      <c r="LM32" s="41"/>
      <c r="LN32" s="41"/>
      <c r="LO32" s="41"/>
      <c r="LP32" s="41"/>
      <c r="LQ32" s="234"/>
      <c r="LR32" s="234"/>
      <c r="LS32" s="41"/>
      <c r="LT32" s="41"/>
      <c r="LU32" s="41"/>
      <c r="LV32" s="41"/>
      <c r="LW32" s="41"/>
      <c r="LX32" s="234"/>
      <c r="LY32" s="234"/>
      <c r="LZ32" s="41"/>
      <c r="MA32" s="41"/>
      <c r="MB32" s="41"/>
      <c r="MC32" s="41"/>
      <c r="MD32" s="41"/>
      <c r="ME32" s="234"/>
      <c r="MF32" s="234"/>
      <c r="MG32" s="41"/>
      <c r="MH32" s="41"/>
      <c r="MI32" s="41"/>
      <c r="MJ32" s="41"/>
      <c r="MK32" s="41"/>
      <c r="ML32" s="234"/>
      <c r="MM32" s="234"/>
      <c r="MN32" s="41"/>
      <c r="MO32" s="41"/>
      <c r="MP32" s="41"/>
      <c r="MQ32" s="41"/>
      <c r="MR32" s="41"/>
      <c r="MS32" s="234"/>
      <c r="MT32" s="234"/>
      <c r="MU32" s="41"/>
      <c r="MV32" s="41"/>
      <c r="MW32" s="41"/>
      <c r="MX32" s="41"/>
      <c r="MY32" s="41"/>
      <c r="MZ32" s="234"/>
      <c r="NA32" s="234"/>
      <c r="NB32" s="41"/>
      <c r="NC32" s="41"/>
      <c r="ND32" s="41"/>
      <c r="NE32" s="41"/>
      <c r="NF32" s="41"/>
      <c r="NG32" s="234"/>
      <c r="NH32" s="234"/>
      <c r="NI32" s="41"/>
      <c r="NJ32" s="41"/>
      <c r="NK32" s="41"/>
      <c r="NL32" s="41"/>
      <c r="NM32" s="41"/>
      <c r="NN32" s="234"/>
      <c r="NO32" s="234"/>
      <c r="NP32" s="41"/>
      <c r="NQ32" s="41"/>
      <c r="NR32" s="41"/>
      <c r="NS32" s="41"/>
      <c r="NT32" s="41"/>
      <c r="NU32" s="234"/>
      <c r="NV32" s="234"/>
      <c r="NW32" s="41"/>
      <c r="NX32" s="41"/>
      <c r="NY32" s="41"/>
      <c r="NZ32" s="41"/>
      <c r="OA32" s="41"/>
      <c r="OB32" s="234"/>
    </row>
    <row r="33" spans="4:392" x14ac:dyDescent="0.3">
      <c r="D33" s="206" t="s">
        <v>20</v>
      </c>
      <c r="E33" s="347" t="s">
        <v>21</v>
      </c>
      <c r="F33" s="357" t="s">
        <v>9</v>
      </c>
      <c r="G33" s="155" t="s">
        <v>1282</v>
      </c>
      <c r="H33" s="156" t="s">
        <v>893</v>
      </c>
      <c r="I33" s="239"/>
      <c r="J33" s="41"/>
      <c r="K33" s="41"/>
      <c r="L33" s="41"/>
      <c r="M33" s="41"/>
      <c r="N33" s="230"/>
      <c r="O33" s="230"/>
      <c r="P33" s="41"/>
      <c r="Q33" s="41"/>
      <c r="R33" s="41"/>
      <c r="S33" s="41"/>
      <c r="T33" s="41"/>
      <c r="U33" s="230"/>
      <c r="V33" s="230"/>
      <c r="W33" s="41"/>
      <c r="X33" s="41"/>
      <c r="Y33" s="41"/>
      <c r="Z33" s="41"/>
      <c r="AA33" s="41"/>
      <c r="AB33" s="230"/>
      <c r="AC33" s="230"/>
      <c r="AD33" s="41"/>
      <c r="AE33" s="41"/>
      <c r="AF33" s="41"/>
      <c r="AG33" s="41"/>
      <c r="AH33" s="41"/>
      <c r="AI33" s="230"/>
      <c r="AJ33" s="230"/>
      <c r="AK33" s="41"/>
      <c r="AL33" s="41"/>
      <c r="AM33" s="41"/>
      <c r="AN33" s="41"/>
      <c r="AO33" s="41"/>
      <c r="AP33" s="230"/>
      <c r="AQ33" s="230"/>
      <c r="AR33" s="41"/>
      <c r="AS33" s="41"/>
      <c r="AT33" s="41"/>
      <c r="AU33" s="41"/>
      <c r="AV33" s="41"/>
      <c r="AW33" s="230"/>
      <c r="AX33" s="230"/>
      <c r="AY33" s="41"/>
      <c r="AZ33" s="41"/>
      <c r="BA33" s="41"/>
      <c r="BB33" s="41"/>
      <c r="BC33" s="41"/>
      <c r="BD33" s="230"/>
      <c r="BE33" s="230"/>
      <c r="BF33" s="41"/>
      <c r="BG33" s="41"/>
      <c r="BH33" s="41"/>
      <c r="BI33" s="41"/>
      <c r="BJ33" s="41"/>
      <c r="BK33" s="230"/>
      <c r="BL33" s="230"/>
      <c r="BM33" s="41"/>
      <c r="BN33" s="41"/>
      <c r="BO33" s="41"/>
      <c r="BP33" s="41"/>
      <c r="BQ33" s="41"/>
      <c r="BR33" s="230"/>
      <c r="BS33" s="230"/>
      <c r="BT33" s="41"/>
      <c r="BU33" s="41"/>
      <c r="BV33" s="41"/>
      <c r="BW33" s="41"/>
      <c r="BX33" s="41"/>
      <c r="BY33" s="230"/>
      <c r="BZ33" s="230"/>
      <c r="CA33" s="41"/>
      <c r="CB33" s="41"/>
      <c r="CC33" s="41"/>
      <c r="CD33" s="41"/>
      <c r="CE33" s="41"/>
      <c r="CF33" s="230"/>
      <c r="CG33" s="230"/>
      <c r="CH33" s="41"/>
      <c r="CI33" s="41"/>
      <c r="CJ33" s="41"/>
      <c r="CK33" s="41"/>
      <c r="CL33" s="41"/>
      <c r="CM33" s="230"/>
      <c r="CN33" s="230"/>
      <c r="CO33" s="41"/>
      <c r="CP33" s="41"/>
      <c r="CQ33" s="41"/>
      <c r="CR33" s="41"/>
      <c r="CS33" s="41"/>
      <c r="CT33" s="230"/>
      <c r="CU33" s="230"/>
      <c r="CV33" s="41"/>
      <c r="CW33" s="41"/>
      <c r="CX33" s="41"/>
      <c r="CY33" s="41"/>
      <c r="CZ33" s="41"/>
      <c r="DA33" s="230"/>
      <c r="DB33" s="230"/>
      <c r="DC33" s="41"/>
      <c r="DD33" s="41"/>
      <c r="DE33" s="41"/>
      <c r="DF33" s="41"/>
      <c r="DG33" s="41"/>
      <c r="DH33" s="230"/>
      <c r="DI33" s="230"/>
      <c r="DJ33" s="41"/>
      <c r="DK33" s="41"/>
      <c r="DL33" s="41"/>
      <c r="DM33" s="41"/>
      <c r="DN33" s="41"/>
      <c r="DO33" s="230"/>
      <c r="DP33" s="230"/>
      <c r="DQ33" s="41"/>
      <c r="DR33" s="41"/>
      <c r="DS33" s="41"/>
      <c r="DT33" s="41"/>
      <c r="DU33" s="41"/>
      <c r="DV33" s="230"/>
      <c r="DW33" s="234"/>
      <c r="DX33" s="41"/>
      <c r="DY33" s="41"/>
      <c r="DZ33" s="41"/>
      <c r="EA33" s="41"/>
      <c r="EB33" s="41"/>
      <c r="EC33" s="230"/>
      <c r="ED33" s="230"/>
      <c r="EE33" s="41"/>
      <c r="EF33" s="41"/>
      <c r="EG33" s="41"/>
      <c r="EH33" s="41"/>
      <c r="EI33" s="41"/>
      <c r="EJ33" s="230"/>
      <c r="EK33" s="230"/>
      <c r="EL33" s="41"/>
      <c r="EM33" s="41"/>
      <c r="EN33" s="41"/>
      <c r="EO33" s="41"/>
      <c r="EP33" s="41"/>
      <c r="EQ33" s="230"/>
      <c r="ER33" s="230"/>
      <c r="ES33" s="41"/>
      <c r="ET33" s="41"/>
      <c r="EU33" s="41"/>
      <c r="EV33" s="41"/>
      <c r="EW33" s="41"/>
      <c r="EX33" s="230"/>
      <c r="EY33" s="230"/>
      <c r="EZ33" s="41"/>
      <c r="FA33" s="41"/>
      <c r="FB33" s="41"/>
      <c r="FC33" s="41"/>
      <c r="FD33" s="41"/>
      <c r="FE33" s="230"/>
      <c r="FF33" s="230"/>
      <c r="FG33" s="41"/>
      <c r="FH33" s="41"/>
      <c r="FI33" s="41"/>
      <c r="FJ33" s="41"/>
      <c r="FK33" s="41"/>
      <c r="FL33" s="230"/>
      <c r="FM33" s="230"/>
      <c r="FN33" s="41"/>
      <c r="FO33" s="41"/>
      <c r="FP33" s="41"/>
      <c r="FQ33" s="41"/>
      <c r="FR33" s="41"/>
      <c r="FS33" s="230"/>
      <c r="FT33" s="230"/>
      <c r="FU33" s="41"/>
      <c r="FV33" s="41"/>
      <c r="FW33" s="41"/>
      <c r="FX33" s="41"/>
      <c r="FY33" s="41"/>
      <c r="FZ33" s="230"/>
      <c r="GA33" s="230"/>
      <c r="GB33" s="41"/>
      <c r="GC33" s="41"/>
      <c r="GD33" s="41"/>
      <c r="GE33" s="41"/>
      <c r="GF33" s="41"/>
      <c r="GG33" s="230"/>
      <c r="GH33" s="230"/>
      <c r="GI33" s="41"/>
      <c r="GJ33" s="41"/>
      <c r="GK33" s="41"/>
      <c r="GL33" s="41"/>
      <c r="GM33" s="41"/>
      <c r="GN33" s="230"/>
      <c r="GO33" s="230"/>
      <c r="GP33" s="41"/>
      <c r="GQ33" s="41"/>
      <c r="GR33" s="41"/>
      <c r="GS33" s="41"/>
      <c r="GT33" s="41"/>
      <c r="GU33" s="230"/>
      <c r="GV33" s="230"/>
      <c r="GW33" s="41" t="s">
        <v>460</v>
      </c>
      <c r="GX33" s="41"/>
      <c r="GY33" s="41"/>
      <c r="GZ33" s="41"/>
      <c r="HA33" s="41"/>
      <c r="HB33" s="230"/>
      <c r="HC33" s="230"/>
      <c r="HD33" s="41"/>
      <c r="HE33" s="41"/>
      <c r="HF33" s="41"/>
      <c r="HG33" s="41"/>
      <c r="HH33" s="41"/>
      <c r="HI33" s="234"/>
      <c r="HJ33" s="234"/>
      <c r="HK33" s="41"/>
      <c r="HL33" s="41"/>
      <c r="HM33" s="41"/>
      <c r="HN33" s="41"/>
      <c r="HO33" s="41"/>
      <c r="HP33" s="234"/>
      <c r="HQ33" s="234"/>
      <c r="HR33" s="41"/>
      <c r="HS33" s="41"/>
      <c r="HT33" s="41"/>
      <c r="HU33" s="41"/>
      <c r="HV33" s="41"/>
      <c r="HW33" s="234"/>
      <c r="HX33" s="234"/>
      <c r="HY33" s="41"/>
      <c r="HZ33" s="41"/>
      <c r="IA33" s="41"/>
      <c r="IB33" s="41"/>
      <c r="IC33" s="41"/>
      <c r="ID33" s="234"/>
      <c r="IE33" s="234"/>
      <c r="IF33" s="41"/>
      <c r="IG33" s="41"/>
      <c r="IH33" s="41"/>
      <c r="II33" s="41"/>
      <c r="IJ33" s="41"/>
      <c r="IK33" s="234"/>
      <c r="IL33" s="234"/>
      <c r="IM33" s="41"/>
      <c r="IN33" s="41"/>
      <c r="IO33" s="41"/>
      <c r="IP33" s="41"/>
      <c r="IQ33" s="41"/>
      <c r="IR33" s="234"/>
      <c r="IS33" s="234"/>
      <c r="IT33" s="41"/>
      <c r="IU33" s="41"/>
      <c r="IV33" s="41"/>
      <c r="IW33" s="41"/>
      <c r="IX33" s="41"/>
      <c r="IY33" s="234"/>
      <c r="IZ33" s="234"/>
      <c r="JA33" s="41"/>
      <c r="JB33" s="41"/>
      <c r="JC33" s="41"/>
      <c r="JD33" s="41"/>
      <c r="JE33" s="41"/>
      <c r="JF33" s="234"/>
      <c r="JG33" s="234"/>
      <c r="JH33" s="41"/>
      <c r="JI33" s="41"/>
      <c r="JJ33" s="41"/>
      <c r="JK33" s="41"/>
      <c r="JL33" s="41"/>
      <c r="JM33" s="234"/>
      <c r="JN33" s="234"/>
      <c r="JO33" s="41"/>
      <c r="JP33" s="41"/>
      <c r="JQ33" s="41"/>
      <c r="JR33" s="41"/>
      <c r="JS33" s="41"/>
      <c r="JT33" s="234"/>
      <c r="JU33" s="234"/>
      <c r="JV33" s="41"/>
      <c r="JW33" s="41"/>
      <c r="JX33" s="41"/>
      <c r="JY33" s="41"/>
      <c r="JZ33" s="41"/>
      <c r="KA33" s="234"/>
      <c r="KB33" s="234"/>
      <c r="KC33" s="41"/>
      <c r="KD33" s="41"/>
      <c r="KE33" s="41"/>
      <c r="KF33" s="41"/>
      <c r="KG33" s="41"/>
      <c r="KH33" s="234"/>
      <c r="KI33" s="234"/>
      <c r="KJ33" s="41"/>
      <c r="KK33" s="41"/>
      <c r="KL33" s="41"/>
      <c r="KM33" s="41"/>
      <c r="KN33" s="41"/>
      <c r="KO33" s="234"/>
      <c r="KP33" s="234"/>
      <c r="KQ33" s="41"/>
      <c r="KR33" s="41"/>
      <c r="KS33" s="41"/>
      <c r="KT33" s="41"/>
      <c r="KU33" s="41"/>
      <c r="KV33" s="234"/>
      <c r="KW33" s="234"/>
      <c r="KX33" s="41"/>
      <c r="KY33" s="41"/>
      <c r="KZ33" s="41"/>
      <c r="LA33" s="41"/>
      <c r="LB33" s="41"/>
      <c r="LC33" s="234"/>
      <c r="LD33" s="234"/>
      <c r="LE33" s="41"/>
      <c r="LF33" s="41"/>
      <c r="LG33" s="41"/>
      <c r="LH33" s="41"/>
      <c r="LI33" s="41"/>
      <c r="LJ33" s="234"/>
      <c r="LK33" s="234"/>
      <c r="LL33" s="41"/>
      <c r="LM33" s="41"/>
      <c r="LN33" s="41"/>
      <c r="LO33" s="41"/>
      <c r="LP33" s="41"/>
      <c r="LQ33" s="234"/>
      <c r="LR33" s="234"/>
      <c r="LS33" s="41"/>
      <c r="LT33" s="41"/>
      <c r="LU33" s="41"/>
      <c r="LV33" s="41"/>
      <c r="LW33" s="41"/>
      <c r="LX33" s="234"/>
      <c r="LY33" s="234"/>
      <c r="LZ33" s="41"/>
      <c r="MA33" s="41"/>
      <c r="MB33" s="41"/>
      <c r="MC33" s="41"/>
      <c r="MD33" s="41"/>
      <c r="ME33" s="234"/>
      <c r="MF33" s="234"/>
      <c r="MG33" s="41"/>
      <c r="MH33" s="41"/>
      <c r="MI33" s="41"/>
      <c r="MJ33" s="41"/>
      <c r="MK33" s="41"/>
      <c r="ML33" s="234"/>
      <c r="MM33" s="234"/>
      <c r="MN33" s="41"/>
      <c r="MO33" s="41"/>
      <c r="MP33" s="41"/>
      <c r="MQ33" s="41"/>
      <c r="MR33" s="41"/>
      <c r="MS33" s="234"/>
      <c r="MT33" s="234"/>
      <c r="MU33" s="41"/>
      <c r="MV33" s="41"/>
      <c r="MW33" s="41"/>
      <c r="MX33" s="41"/>
      <c r="MY33" s="41"/>
      <c r="MZ33" s="234"/>
      <c r="NA33" s="234"/>
      <c r="NB33" s="41"/>
      <c r="NC33" s="41"/>
      <c r="ND33" s="41"/>
      <c r="NE33" s="41"/>
      <c r="NF33" s="41"/>
      <c r="NG33" s="234"/>
      <c r="NH33" s="234"/>
      <c r="NI33" s="41"/>
      <c r="NJ33" s="41"/>
      <c r="NK33" s="41"/>
      <c r="NL33" s="41"/>
      <c r="NM33" s="41"/>
      <c r="NN33" s="234"/>
      <c r="NO33" s="234"/>
      <c r="NP33" s="41"/>
      <c r="NQ33" s="41"/>
      <c r="NR33" s="41"/>
      <c r="NS33" s="41"/>
      <c r="NT33" s="41"/>
      <c r="NU33" s="234"/>
      <c r="NV33" s="234"/>
      <c r="NW33" s="41"/>
      <c r="NX33" s="41"/>
      <c r="NY33" s="41"/>
      <c r="NZ33" s="41"/>
      <c r="OA33" s="41"/>
      <c r="OB33" s="234"/>
    </row>
    <row r="34" spans="4:392" x14ac:dyDescent="0.3">
      <c r="D34" s="206"/>
      <c r="E34" s="187"/>
      <c r="F34" s="364"/>
      <c r="G34" s="366"/>
      <c r="H34" s="367"/>
      <c r="I34" s="41"/>
      <c r="J34" s="41"/>
      <c r="K34" s="41"/>
      <c r="L34" s="41"/>
      <c r="M34" s="41"/>
      <c r="N34" s="230"/>
      <c r="O34" s="230"/>
      <c r="P34" s="41"/>
      <c r="Q34" s="41"/>
      <c r="R34" s="41"/>
      <c r="S34" s="41"/>
      <c r="T34" s="41"/>
      <c r="U34" s="230"/>
      <c r="V34" s="230"/>
      <c r="W34" s="41"/>
      <c r="X34" s="41"/>
      <c r="Y34" s="41"/>
      <c r="Z34" s="41"/>
      <c r="AA34" s="41"/>
      <c r="AB34" s="230"/>
      <c r="AC34" s="230"/>
      <c r="AD34" s="41"/>
      <c r="AE34" s="41"/>
      <c r="AF34" s="41"/>
      <c r="AG34" s="41"/>
      <c r="AH34" s="41"/>
      <c r="AI34" s="230"/>
      <c r="AJ34" s="230"/>
      <c r="AK34" s="41"/>
      <c r="AL34" s="41"/>
      <c r="AM34" s="41"/>
      <c r="AN34" s="41"/>
      <c r="AO34" s="41"/>
      <c r="AP34" s="230"/>
      <c r="AQ34" s="230"/>
      <c r="AR34" s="41"/>
      <c r="AS34" s="41"/>
      <c r="AT34" s="41"/>
      <c r="AU34" s="41"/>
      <c r="AV34" s="41"/>
      <c r="AW34" s="230"/>
      <c r="AX34" s="230"/>
      <c r="AY34" s="41"/>
      <c r="AZ34" s="41"/>
      <c r="BA34" s="41"/>
      <c r="BB34" s="41"/>
      <c r="BC34" s="41"/>
      <c r="BD34" s="230"/>
      <c r="BE34" s="230"/>
      <c r="BF34" s="41"/>
      <c r="BG34" s="41"/>
      <c r="BH34" s="41"/>
      <c r="BI34" s="41"/>
      <c r="BJ34" s="41"/>
      <c r="BK34" s="230"/>
      <c r="BL34" s="230"/>
      <c r="BM34" s="41"/>
      <c r="BN34" s="41"/>
      <c r="BO34" s="41"/>
      <c r="BP34" s="41"/>
      <c r="BQ34" s="41"/>
      <c r="BR34" s="230"/>
      <c r="BS34" s="230"/>
      <c r="BT34" s="41"/>
      <c r="BU34" s="41"/>
      <c r="BV34" s="41"/>
      <c r="BW34" s="41"/>
      <c r="BX34" s="41"/>
      <c r="BY34" s="230"/>
      <c r="BZ34" s="230"/>
      <c r="CA34" s="41"/>
      <c r="CB34" s="41"/>
      <c r="CC34" s="41"/>
      <c r="CD34" s="41"/>
      <c r="CE34" s="41"/>
      <c r="CF34" s="230"/>
      <c r="CG34" s="230"/>
      <c r="CH34" s="41"/>
      <c r="CI34" s="41"/>
      <c r="CJ34" s="41"/>
      <c r="CK34" s="41"/>
      <c r="CL34" s="41"/>
      <c r="CM34" s="230"/>
      <c r="CN34" s="230"/>
      <c r="CO34" s="41"/>
      <c r="CP34" s="41"/>
      <c r="CQ34" s="41"/>
      <c r="CR34" s="41"/>
      <c r="CS34" s="41"/>
      <c r="CT34" s="230"/>
      <c r="CU34" s="230"/>
      <c r="CV34" s="41"/>
      <c r="CW34" s="41"/>
      <c r="CX34" s="41"/>
      <c r="CY34" s="41"/>
      <c r="CZ34" s="41"/>
      <c r="DA34" s="230"/>
      <c r="DB34" s="230"/>
      <c r="DC34" s="41"/>
      <c r="DD34" s="41"/>
      <c r="DE34" s="41"/>
      <c r="DF34" s="41"/>
      <c r="DG34" s="41"/>
      <c r="DH34" s="230"/>
      <c r="DI34" s="230"/>
      <c r="DJ34" s="41"/>
      <c r="DK34" s="41"/>
      <c r="DL34" s="41"/>
      <c r="DM34" s="41"/>
      <c r="DN34" s="41"/>
      <c r="DO34" s="230"/>
      <c r="DP34" s="230"/>
      <c r="DQ34" s="41"/>
      <c r="DR34" s="41"/>
      <c r="DS34" s="41"/>
      <c r="DT34" s="41"/>
      <c r="DU34" s="41"/>
      <c r="DV34" s="230"/>
      <c r="DW34" s="234"/>
      <c r="DX34" s="41"/>
      <c r="DY34" s="41"/>
      <c r="DZ34" s="41"/>
      <c r="EA34" s="41"/>
      <c r="EB34" s="41"/>
      <c r="EC34" s="230"/>
      <c r="ED34" s="230"/>
      <c r="EE34" s="41"/>
      <c r="EF34" s="41"/>
      <c r="EG34" s="41"/>
      <c r="EH34" s="41"/>
      <c r="EI34" s="41"/>
      <c r="EJ34" s="230"/>
      <c r="EK34" s="230"/>
      <c r="EL34" s="41"/>
      <c r="EM34" s="41"/>
      <c r="EN34" s="41"/>
      <c r="EO34" s="41"/>
      <c r="EP34" s="41"/>
      <c r="EQ34" s="230"/>
      <c r="ER34" s="230"/>
      <c r="ES34" s="41"/>
      <c r="ET34" s="41"/>
      <c r="EU34" s="41"/>
      <c r="EV34" s="41"/>
      <c r="EW34" s="41"/>
      <c r="EX34" s="230"/>
      <c r="EY34" s="230"/>
      <c r="EZ34" s="41"/>
      <c r="FA34" s="41"/>
      <c r="FB34" s="41"/>
      <c r="FC34" s="41"/>
      <c r="FD34" s="41"/>
      <c r="FE34" s="230"/>
      <c r="FF34" s="230"/>
      <c r="FG34" s="41"/>
      <c r="FH34" s="41"/>
      <c r="FI34" s="41"/>
      <c r="FJ34" s="41"/>
      <c r="FK34" s="41"/>
      <c r="FL34" s="230"/>
      <c r="FM34" s="230"/>
      <c r="FN34" s="41"/>
      <c r="FO34" s="41"/>
      <c r="FP34" s="41"/>
      <c r="FQ34" s="41"/>
      <c r="FR34" s="41"/>
      <c r="FS34" s="230"/>
      <c r="FT34" s="230"/>
      <c r="FU34" s="41"/>
      <c r="FV34" s="41"/>
      <c r="FW34" s="41"/>
      <c r="FX34" s="41"/>
      <c r="FY34" s="41"/>
      <c r="FZ34" s="230"/>
      <c r="GA34" s="230"/>
      <c r="GB34" s="41"/>
      <c r="GC34" s="41"/>
      <c r="GD34" s="41"/>
      <c r="GE34" s="41"/>
      <c r="GF34" s="41"/>
      <c r="GG34" s="230"/>
      <c r="GH34" s="230"/>
      <c r="GI34" s="41"/>
      <c r="GJ34" s="41"/>
      <c r="GK34" s="41"/>
      <c r="GL34" s="41"/>
      <c r="GM34" s="41"/>
      <c r="GN34" s="230"/>
      <c r="GO34" s="230"/>
      <c r="GP34" s="41"/>
      <c r="GQ34" s="41"/>
      <c r="GR34" s="41"/>
      <c r="GS34" s="41"/>
      <c r="GT34" s="41"/>
      <c r="GU34" s="230"/>
      <c r="GV34" s="230"/>
      <c r="GW34" s="41"/>
      <c r="GX34" s="41"/>
      <c r="GY34" s="41"/>
      <c r="GZ34" s="41"/>
      <c r="HA34" s="41"/>
      <c r="HB34" s="230"/>
      <c r="HC34" s="230"/>
      <c r="HD34" s="41"/>
      <c r="HE34" s="41"/>
      <c r="HF34" s="41"/>
      <c r="HG34" s="41"/>
      <c r="HH34" s="41"/>
      <c r="HI34" s="234"/>
      <c r="HJ34" s="234"/>
      <c r="HK34" s="41"/>
      <c r="HL34" s="41"/>
      <c r="HM34" s="41"/>
      <c r="HN34" s="41"/>
      <c r="HO34" s="41"/>
      <c r="HP34" s="234"/>
      <c r="HQ34" s="234"/>
      <c r="HR34" s="41"/>
      <c r="HS34" s="41"/>
      <c r="HT34" s="41"/>
      <c r="HU34" s="41"/>
      <c r="HV34" s="41"/>
      <c r="HW34" s="234"/>
      <c r="HX34" s="234"/>
      <c r="HY34" s="41"/>
      <c r="HZ34" s="41"/>
      <c r="IA34" s="41"/>
      <c r="IB34" s="41"/>
      <c r="IC34" s="41"/>
      <c r="ID34" s="234"/>
      <c r="IE34" s="234"/>
      <c r="IF34" s="41"/>
      <c r="IG34" s="41"/>
      <c r="IH34" s="41"/>
      <c r="II34" s="41"/>
      <c r="IJ34" s="41"/>
      <c r="IK34" s="234"/>
      <c r="IL34" s="234"/>
      <c r="IM34" s="41"/>
      <c r="IN34" s="41"/>
      <c r="IO34" s="41"/>
      <c r="IP34" s="41"/>
      <c r="IQ34" s="41"/>
      <c r="IR34" s="234"/>
      <c r="IS34" s="234"/>
      <c r="IT34" s="41"/>
      <c r="IU34" s="41"/>
      <c r="IV34" s="41"/>
      <c r="IW34" s="41"/>
      <c r="IX34" s="41"/>
      <c r="IY34" s="234"/>
      <c r="IZ34" s="234"/>
      <c r="JA34" s="41"/>
      <c r="JB34" s="41"/>
      <c r="JC34" s="41"/>
      <c r="JD34" s="41"/>
      <c r="JE34" s="41"/>
      <c r="JF34" s="234"/>
      <c r="JG34" s="234"/>
      <c r="JH34" s="41"/>
      <c r="JI34" s="41"/>
      <c r="JJ34" s="41"/>
      <c r="JK34" s="41"/>
      <c r="JL34" s="41"/>
      <c r="JM34" s="234"/>
      <c r="JN34" s="234"/>
      <c r="JO34" s="41"/>
      <c r="JP34" s="41"/>
      <c r="JQ34" s="41"/>
      <c r="JR34" s="41"/>
      <c r="JS34" s="41"/>
      <c r="JT34" s="234"/>
      <c r="JU34" s="234"/>
      <c r="JV34" s="41"/>
      <c r="JW34" s="41"/>
      <c r="JX34" s="41"/>
      <c r="JY34" s="41"/>
      <c r="JZ34" s="41"/>
      <c r="KA34" s="234"/>
      <c r="KB34" s="234"/>
      <c r="KC34" s="41"/>
      <c r="KD34" s="41"/>
      <c r="KE34" s="41"/>
      <c r="KF34" s="41"/>
      <c r="KG34" s="41"/>
      <c r="KH34" s="234"/>
      <c r="KI34" s="234"/>
      <c r="KJ34" s="41"/>
      <c r="KK34" s="41"/>
      <c r="KL34" s="41"/>
      <c r="KM34" s="41"/>
      <c r="KN34" s="41"/>
      <c r="KO34" s="234"/>
      <c r="KP34" s="234"/>
      <c r="KQ34" s="41"/>
      <c r="KR34" s="41"/>
      <c r="KS34" s="41"/>
      <c r="KT34" s="41"/>
      <c r="KU34" s="41"/>
      <c r="KV34" s="234"/>
      <c r="KW34" s="234"/>
      <c r="KX34" s="41"/>
      <c r="KY34" s="41"/>
      <c r="KZ34" s="41"/>
      <c r="LA34" s="41"/>
      <c r="LB34" s="41"/>
      <c r="LC34" s="234"/>
      <c r="LD34" s="234"/>
      <c r="LE34" s="41"/>
      <c r="LF34" s="41"/>
      <c r="LG34" s="41"/>
      <c r="LH34" s="41"/>
      <c r="LI34" s="41"/>
      <c r="LJ34" s="234"/>
      <c r="LK34" s="234"/>
      <c r="LL34" s="41"/>
      <c r="LM34" s="41"/>
      <c r="LN34" s="41"/>
      <c r="LO34" s="41"/>
      <c r="LP34" s="41"/>
      <c r="LQ34" s="234"/>
      <c r="LR34" s="234"/>
      <c r="LS34" s="41"/>
      <c r="LT34" s="41"/>
      <c r="LU34" s="41"/>
      <c r="LV34" s="41"/>
      <c r="LW34" s="41"/>
      <c r="LX34" s="234"/>
      <c r="LY34" s="234"/>
      <c r="LZ34" s="41"/>
      <c r="MA34" s="41"/>
      <c r="MB34" s="41"/>
      <c r="MC34" s="41"/>
      <c r="MD34" s="41"/>
      <c r="ME34" s="234"/>
      <c r="MF34" s="234"/>
      <c r="MG34" s="41"/>
      <c r="MH34" s="41"/>
      <c r="MI34" s="41"/>
      <c r="MJ34" s="41"/>
      <c r="MK34" s="41"/>
      <c r="ML34" s="234"/>
      <c r="MM34" s="234"/>
      <c r="MN34" s="41"/>
      <c r="MO34" s="41"/>
      <c r="MP34" s="41"/>
      <c r="MQ34" s="41"/>
      <c r="MR34" s="41"/>
      <c r="MS34" s="234"/>
      <c r="MT34" s="234"/>
      <c r="MU34" s="41"/>
      <c r="MV34" s="41"/>
      <c r="MW34" s="41"/>
      <c r="MX34" s="41"/>
      <c r="MY34" s="41"/>
      <c r="MZ34" s="234"/>
      <c r="NA34" s="234"/>
      <c r="NB34" s="41"/>
      <c r="NC34" s="41"/>
      <c r="ND34" s="41"/>
      <c r="NE34" s="41"/>
      <c r="NF34" s="41"/>
      <c r="NG34" s="234"/>
      <c r="NH34" s="234"/>
      <c r="NI34" s="41"/>
      <c r="NJ34" s="41"/>
      <c r="NK34" s="41"/>
      <c r="NL34" s="41"/>
      <c r="NM34" s="41"/>
      <c r="NN34" s="234"/>
      <c r="NO34" s="234"/>
      <c r="NP34" s="41"/>
      <c r="NQ34" s="41"/>
      <c r="NR34" s="41"/>
      <c r="NS34" s="41"/>
      <c r="NT34" s="41"/>
      <c r="NU34" s="234"/>
      <c r="NV34" s="234"/>
      <c r="NW34" s="41"/>
      <c r="NX34" s="41"/>
      <c r="NY34" s="41"/>
      <c r="NZ34" s="41"/>
      <c r="OA34" s="41"/>
      <c r="OB34" s="234"/>
    </row>
    <row r="35" spans="4:392" x14ac:dyDescent="0.3">
      <c r="D35" s="206"/>
      <c r="E35" s="187"/>
      <c r="F35" s="364"/>
      <c r="G35" s="366"/>
      <c r="H35" s="367"/>
      <c r="I35" s="41"/>
      <c r="J35" s="41"/>
      <c r="K35" s="41"/>
      <c r="L35" s="41"/>
      <c r="M35" s="41"/>
      <c r="N35" s="230"/>
      <c r="O35" s="230"/>
      <c r="P35" s="41"/>
      <c r="Q35" s="41"/>
      <c r="R35" s="41"/>
      <c r="S35" s="41"/>
      <c r="T35" s="41"/>
      <c r="U35" s="230"/>
      <c r="V35" s="230"/>
      <c r="W35" s="41"/>
      <c r="X35" s="41"/>
      <c r="Y35" s="41"/>
      <c r="Z35" s="41"/>
      <c r="AA35" s="41"/>
      <c r="AB35" s="230"/>
      <c r="AC35" s="230"/>
      <c r="AD35" s="41"/>
      <c r="AE35" s="41"/>
      <c r="AF35" s="41"/>
      <c r="AG35" s="41"/>
      <c r="AH35" s="41"/>
      <c r="AI35" s="230"/>
      <c r="AJ35" s="230"/>
      <c r="AK35" s="41"/>
      <c r="AL35" s="41"/>
      <c r="AM35" s="41"/>
      <c r="AN35" s="41"/>
      <c r="AO35" s="41"/>
      <c r="AP35" s="230"/>
      <c r="AQ35" s="230"/>
      <c r="AR35" s="41"/>
      <c r="AS35" s="41"/>
      <c r="AT35" s="41"/>
      <c r="AU35" s="41"/>
      <c r="AV35" s="41"/>
      <c r="AW35" s="230"/>
      <c r="AX35" s="230"/>
      <c r="AY35" s="41"/>
      <c r="AZ35" s="41"/>
      <c r="BA35" s="41"/>
      <c r="BB35" s="41"/>
      <c r="BC35" s="41"/>
      <c r="BD35" s="230"/>
      <c r="BE35" s="230"/>
      <c r="BF35" s="41"/>
      <c r="BG35" s="41"/>
      <c r="BH35" s="41"/>
      <c r="BI35" s="41"/>
      <c r="BJ35" s="41"/>
      <c r="BK35" s="230"/>
      <c r="BL35" s="230"/>
      <c r="BM35" s="41"/>
      <c r="BN35" s="41"/>
      <c r="BO35" s="41"/>
      <c r="BP35" s="41"/>
      <c r="BQ35" s="41"/>
      <c r="BR35" s="230"/>
      <c r="BS35" s="230"/>
      <c r="BT35" s="41"/>
      <c r="BU35" s="41"/>
      <c r="BV35" s="41"/>
      <c r="BW35" s="41"/>
      <c r="BX35" s="41"/>
      <c r="BY35" s="230"/>
      <c r="BZ35" s="230"/>
      <c r="CA35" s="41"/>
      <c r="CB35" s="41"/>
      <c r="CC35" s="41"/>
      <c r="CD35" s="41"/>
      <c r="CE35" s="41"/>
      <c r="CF35" s="230"/>
      <c r="CG35" s="230"/>
      <c r="CH35" s="41"/>
      <c r="CI35" s="41"/>
      <c r="CJ35" s="41"/>
      <c r="CK35" s="41"/>
      <c r="CL35" s="41"/>
      <c r="CM35" s="230"/>
      <c r="CN35" s="230"/>
      <c r="CO35" s="41"/>
      <c r="CP35" s="41"/>
      <c r="CQ35" s="41"/>
      <c r="CR35" s="41"/>
      <c r="CS35" s="41"/>
      <c r="CT35" s="230"/>
      <c r="CU35" s="230"/>
      <c r="CV35" s="41"/>
      <c r="CW35" s="41"/>
      <c r="CX35" s="41"/>
      <c r="CY35" s="41"/>
      <c r="CZ35" s="41"/>
      <c r="DA35" s="230"/>
      <c r="DB35" s="230"/>
      <c r="DC35" s="41"/>
      <c r="DD35" s="41"/>
      <c r="DE35" s="41"/>
      <c r="DF35" s="41"/>
      <c r="DG35" s="41"/>
      <c r="DH35" s="230"/>
      <c r="DI35" s="230"/>
      <c r="DJ35" s="41"/>
      <c r="DK35" s="41"/>
      <c r="DL35" s="41"/>
      <c r="DM35" s="41"/>
      <c r="DN35" s="41"/>
      <c r="DO35" s="230"/>
      <c r="DP35" s="230"/>
      <c r="DQ35" s="41"/>
      <c r="DR35" s="41"/>
      <c r="DS35" s="41"/>
      <c r="DT35" s="41"/>
      <c r="DU35" s="41"/>
      <c r="DV35" s="230"/>
      <c r="DW35" s="234"/>
      <c r="DX35" s="41"/>
      <c r="DY35" s="41"/>
      <c r="DZ35" s="41"/>
      <c r="EA35" s="41"/>
      <c r="EB35" s="41"/>
      <c r="EC35" s="230"/>
      <c r="ED35" s="230"/>
      <c r="EE35" s="41"/>
      <c r="EF35" s="41"/>
      <c r="EG35" s="41"/>
      <c r="EH35" s="41"/>
      <c r="EI35" s="41"/>
      <c r="EJ35" s="230"/>
      <c r="EK35" s="230"/>
      <c r="EL35" s="41"/>
      <c r="EM35" s="41"/>
      <c r="EN35" s="41"/>
      <c r="EO35" s="41"/>
      <c r="EP35" s="41"/>
      <c r="EQ35" s="230"/>
      <c r="ER35" s="230"/>
      <c r="ES35" s="41"/>
      <c r="ET35" s="41"/>
      <c r="EU35" s="41"/>
      <c r="EV35" s="41"/>
      <c r="EW35" s="41"/>
      <c r="EX35" s="230"/>
      <c r="EY35" s="230"/>
      <c r="EZ35" s="41"/>
      <c r="FA35" s="41"/>
      <c r="FB35" s="41"/>
      <c r="FC35" s="41"/>
      <c r="FD35" s="41"/>
      <c r="FE35" s="230"/>
      <c r="FF35" s="230"/>
      <c r="FG35" s="41"/>
      <c r="FH35" s="41"/>
      <c r="FI35" s="41"/>
      <c r="FJ35" s="41"/>
      <c r="FK35" s="41"/>
      <c r="FL35" s="230"/>
      <c r="FM35" s="230"/>
      <c r="FN35" s="41"/>
      <c r="FO35" s="41"/>
      <c r="FP35" s="41"/>
      <c r="FQ35" s="41"/>
      <c r="FR35" s="41"/>
      <c r="FS35" s="230"/>
      <c r="FT35" s="230"/>
      <c r="FU35" s="41"/>
      <c r="FV35" s="41"/>
      <c r="FW35" s="41"/>
      <c r="FX35" s="41"/>
      <c r="FY35" s="41"/>
      <c r="FZ35" s="230"/>
      <c r="GA35" s="230"/>
      <c r="GB35" s="41"/>
      <c r="GC35" s="41"/>
      <c r="GD35" s="41"/>
      <c r="GE35" s="41"/>
      <c r="GF35" s="41"/>
      <c r="GG35" s="230"/>
      <c r="GH35" s="230"/>
      <c r="GI35" s="41"/>
      <c r="GJ35" s="41"/>
      <c r="GK35" s="41"/>
      <c r="GL35" s="41"/>
      <c r="GM35" s="41"/>
      <c r="GN35" s="230"/>
      <c r="GO35" s="230"/>
      <c r="GP35" s="41"/>
      <c r="GQ35" s="41"/>
      <c r="GR35" s="41"/>
      <c r="GS35" s="41"/>
      <c r="GT35" s="41"/>
      <c r="GU35" s="230"/>
      <c r="GV35" s="230"/>
      <c r="GW35" s="41"/>
      <c r="GX35" s="41"/>
      <c r="GY35" s="41"/>
      <c r="GZ35" s="41"/>
      <c r="HA35" s="41"/>
      <c r="HB35" s="230"/>
      <c r="HC35" s="230"/>
      <c r="HD35" s="41"/>
      <c r="HE35" s="41"/>
      <c r="HF35" s="41"/>
      <c r="HG35" s="41"/>
      <c r="HH35" s="41"/>
      <c r="HI35" s="234"/>
      <c r="HJ35" s="234"/>
      <c r="HK35" s="41"/>
      <c r="HL35" s="41"/>
      <c r="HM35" s="41"/>
      <c r="HN35" s="41"/>
      <c r="HO35" s="41"/>
      <c r="HP35" s="234"/>
      <c r="HQ35" s="234"/>
      <c r="HR35" s="41"/>
      <c r="HS35" s="41"/>
      <c r="HT35" s="41"/>
      <c r="HU35" s="41"/>
      <c r="HV35" s="41"/>
      <c r="HW35" s="234"/>
      <c r="HX35" s="234"/>
      <c r="HY35" s="41"/>
      <c r="HZ35" s="41"/>
      <c r="IA35" s="41"/>
      <c r="IB35" s="41"/>
      <c r="IC35" s="41"/>
      <c r="ID35" s="234"/>
      <c r="IE35" s="234"/>
      <c r="IF35" s="41"/>
      <c r="IG35" s="41"/>
      <c r="IH35" s="41"/>
      <c r="II35" s="41"/>
      <c r="IJ35" s="41"/>
      <c r="IK35" s="234"/>
      <c r="IL35" s="234"/>
      <c r="IM35" s="41"/>
      <c r="IN35" s="41"/>
      <c r="IO35" s="41"/>
      <c r="IP35" s="41"/>
      <c r="IQ35" s="41"/>
      <c r="IR35" s="234"/>
      <c r="IS35" s="234"/>
      <c r="IT35" s="41"/>
      <c r="IU35" s="41"/>
      <c r="IV35" s="41"/>
      <c r="IW35" s="41"/>
      <c r="IX35" s="41"/>
      <c r="IY35" s="234"/>
      <c r="IZ35" s="234"/>
      <c r="JA35" s="41"/>
      <c r="JB35" s="41"/>
      <c r="JC35" s="41"/>
      <c r="JD35" s="41"/>
      <c r="JE35" s="41"/>
      <c r="JF35" s="234"/>
      <c r="JG35" s="234"/>
      <c r="JH35" s="41"/>
      <c r="JI35" s="41"/>
      <c r="JJ35" s="41"/>
      <c r="JK35" s="41"/>
      <c r="JL35" s="41"/>
      <c r="JM35" s="234"/>
      <c r="JN35" s="234"/>
      <c r="JO35" s="41"/>
      <c r="JP35" s="41"/>
      <c r="JQ35" s="41"/>
      <c r="JR35" s="41"/>
      <c r="JS35" s="41"/>
      <c r="JT35" s="234"/>
      <c r="JU35" s="234"/>
      <c r="JV35" s="41"/>
      <c r="JW35" s="41"/>
      <c r="JX35" s="41"/>
      <c r="JY35" s="41"/>
      <c r="JZ35" s="41"/>
      <c r="KA35" s="234"/>
      <c r="KB35" s="234"/>
      <c r="KC35" s="41"/>
      <c r="KD35" s="41"/>
      <c r="KE35" s="41"/>
      <c r="KF35" s="41"/>
      <c r="KG35" s="41"/>
      <c r="KH35" s="234"/>
      <c r="KI35" s="234"/>
      <c r="KJ35" s="41"/>
      <c r="KK35" s="41"/>
      <c r="KL35" s="41"/>
      <c r="KM35" s="41"/>
      <c r="KN35" s="41"/>
      <c r="KO35" s="234"/>
      <c r="KP35" s="234"/>
      <c r="KQ35" s="41"/>
      <c r="KR35" s="41"/>
      <c r="KS35" s="41"/>
      <c r="KT35" s="41"/>
      <c r="KU35" s="41"/>
      <c r="KV35" s="234"/>
      <c r="KW35" s="234"/>
      <c r="KX35" s="41"/>
      <c r="KY35" s="41"/>
      <c r="KZ35" s="41"/>
      <c r="LA35" s="41"/>
      <c r="LB35" s="41"/>
      <c r="LC35" s="234"/>
      <c r="LD35" s="234"/>
      <c r="LE35" s="41"/>
      <c r="LF35" s="41"/>
      <c r="LG35" s="41"/>
      <c r="LH35" s="41"/>
      <c r="LI35" s="41"/>
      <c r="LJ35" s="234"/>
      <c r="LK35" s="234"/>
      <c r="LL35" s="41"/>
      <c r="LM35" s="41"/>
      <c r="LN35" s="41"/>
      <c r="LO35" s="41"/>
      <c r="LP35" s="41"/>
      <c r="LQ35" s="234"/>
      <c r="LR35" s="234"/>
      <c r="LS35" s="41"/>
      <c r="LT35" s="41"/>
      <c r="LU35" s="41"/>
      <c r="LV35" s="41"/>
      <c r="LW35" s="41"/>
      <c r="LX35" s="234"/>
      <c r="LY35" s="234"/>
      <c r="LZ35" s="41"/>
      <c r="MA35" s="41"/>
      <c r="MB35" s="41"/>
      <c r="MC35" s="41"/>
      <c r="MD35" s="41"/>
      <c r="ME35" s="234"/>
      <c r="MF35" s="234"/>
      <c r="MG35" s="41"/>
      <c r="MH35" s="41"/>
      <c r="MI35" s="41"/>
      <c r="MJ35" s="41"/>
      <c r="MK35" s="41"/>
      <c r="ML35" s="234"/>
      <c r="MM35" s="234"/>
      <c r="MN35" s="41"/>
      <c r="MO35" s="41"/>
      <c r="MP35" s="41"/>
      <c r="MQ35" s="41"/>
      <c r="MR35" s="41"/>
      <c r="MS35" s="234"/>
      <c r="MT35" s="234"/>
      <c r="MU35" s="41"/>
      <c r="MV35" s="41"/>
      <c r="MW35" s="41"/>
      <c r="MX35" s="41"/>
      <c r="MY35" s="41"/>
      <c r="MZ35" s="234"/>
      <c r="NA35" s="234"/>
      <c r="NB35" s="41"/>
      <c r="NC35" s="41"/>
      <c r="ND35" s="41"/>
      <c r="NE35" s="41"/>
      <c r="NF35" s="41"/>
      <c r="NG35" s="234"/>
      <c r="NH35" s="234"/>
      <c r="NI35" s="41"/>
      <c r="NJ35" s="41"/>
      <c r="NK35" s="41"/>
      <c r="NL35" s="41"/>
      <c r="NM35" s="41"/>
      <c r="NN35" s="234"/>
      <c r="NO35" s="234"/>
      <c r="NP35" s="41"/>
      <c r="NQ35" s="41"/>
      <c r="NR35" s="41"/>
      <c r="NS35" s="41"/>
      <c r="NT35" s="41"/>
      <c r="NU35" s="234"/>
      <c r="NV35" s="234"/>
      <c r="NW35" s="41"/>
      <c r="NX35" s="41"/>
      <c r="NY35" s="41"/>
      <c r="NZ35" s="41"/>
      <c r="OA35" s="41"/>
      <c r="OB35" s="234"/>
    </row>
    <row r="36" spans="4:392" x14ac:dyDescent="0.3">
      <c r="D36" s="206" t="s">
        <v>20</v>
      </c>
      <c r="E36" s="347" t="s">
        <v>21</v>
      </c>
      <c r="F36" s="357" t="s">
        <v>9</v>
      </c>
      <c r="G36" s="366" t="s">
        <v>1313</v>
      </c>
      <c r="H36" s="367" t="s">
        <v>1293</v>
      </c>
      <c r="I36" s="41"/>
      <c r="J36" s="41"/>
      <c r="K36" s="41"/>
      <c r="L36" s="41"/>
      <c r="M36" s="41"/>
      <c r="N36" s="230"/>
      <c r="O36" s="230"/>
      <c r="P36" s="41"/>
      <c r="Q36" s="41"/>
      <c r="R36" s="41"/>
      <c r="S36" s="41"/>
      <c r="T36" s="41"/>
      <c r="U36" s="230"/>
      <c r="V36" s="230"/>
      <c r="W36" s="41"/>
      <c r="X36" s="41"/>
      <c r="Y36" s="41"/>
      <c r="Z36" s="41"/>
      <c r="AA36" s="41"/>
      <c r="AB36" s="230"/>
      <c r="AC36" s="230"/>
      <c r="AD36" s="41"/>
      <c r="AE36" s="41"/>
      <c r="AF36" s="41"/>
      <c r="AG36" s="41"/>
      <c r="AH36" s="41"/>
      <c r="AI36" s="230"/>
      <c r="AJ36" s="230"/>
      <c r="AK36" s="41"/>
      <c r="AL36" s="41"/>
      <c r="AM36" s="41"/>
      <c r="AN36" s="41"/>
      <c r="AO36" s="41"/>
      <c r="AP36" s="230"/>
      <c r="AQ36" s="230"/>
      <c r="AR36" s="41"/>
      <c r="AS36" s="41"/>
      <c r="AT36" s="41"/>
      <c r="AU36" s="41"/>
      <c r="AV36" s="41"/>
      <c r="AW36" s="230"/>
      <c r="AX36" s="230"/>
      <c r="AY36" s="41"/>
      <c r="AZ36" s="41"/>
      <c r="BA36" s="41"/>
      <c r="BB36" s="41"/>
      <c r="BC36" s="41"/>
      <c r="BD36" s="230"/>
      <c r="BE36" s="230"/>
      <c r="BF36" s="41"/>
      <c r="BG36" s="41"/>
      <c r="BH36" s="41"/>
      <c r="BI36" s="41"/>
      <c r="BJ36" s="41"/>
      <c r="BK36" s="230"/>
      <c r="BL36" s="230"/>
      <c r="BM36" s="41"/>
      <c r="BN36" s="41"/>
      <c r="BO36" s="41"/>
      <c r="BP36" s="41"/>
      <c r="BQ36" s="41"/>
      <c r="BR36" s="230"/>
      <c r="BS36" s="230"/>
      <c r="BT36" s="41"/>
      <c r="BU36" s="41"/>
      <c r="BV36" s="41"/>
      <c r="BW36" s="41"/>
      <c r="BX36" s="41"/>
      <c r="BY36" s="230"/>
      <c r="BZ36" s="230"/>
      <c r="CA36" s="41"/>
      <c r="CB36" s="41"/>
      <c r="CC36" s="41"/>
      <c r="CD36" s="41"/>
      <c r="CE36" s="41"/>
      <c r="CF36" s="230"/>
      <c r="CG36" s="230"/>
      <c r="CH36" s="41"/>
      <c r="CI36" s="41"/>
      <c r="CJ36" s="41"/>
      <c r="CK36" s="41"/>
      <c r="CL36" s="41"/>
      <c r="CM36" s="230"/>
      <c r="CN36" s="230"/>
      <c r="CO36" s="41"/>
      <c r="CP36" s="41"/>
      <c r="CQ36" s="41"/>
      <c r="CR36" s="41"/>
      <c r="CS36" s="41"/>
      <c r="CT36" s="230"/>
      <c r="CU36" s="230"/>
      <c r="CV36" s="41"/>
      <c r="CW36" s="41"/>
      <c r="CX36" s="41"/>
      <c r="CY36" s="41"/>
      <c r="CZ36" s="41"/>
      <c r="DA36" s="230"/>
      <c r="DB36" s="230"/>
      <c r="DC36" s="41"/>
      <c r="DD36" s="41"/>
      <c r="DE36" s="41"/>
      <c r="DF36" s="41"/>
      <c r="DG36" s="41"/>
      <c r="DH36" s="230"/>
      <c r="DI36" s="230"/>
      <c r="DJ36" s="41"/>
      <c r="DK36" s="41"/>
      <c r="DL36" s="41"/>
      <c r="DM36" s="41"/>
      <c r="DN36" s="41"/>
      <c r="DO36" s="230"/>
      <c r="DP36" s="230"/>
      <c r="DQ36" s="41"/>
      <c r="DR36" s="41"/>
      <c r="DS36" s="41"/>
      <c r="DT36" s="41"/>
      <c r="DU36" s="41"/>
      <c r="DV36" s="230"/>
      <c r="DW36" s="234"/>
      <c r="DX36" s="41"/>
      <c r="DY36" s="41"/>
      <c r="DZ36" s="41"/>
      <c r="EA36" s="41"/>
      <c r="EB36" s="41"/>
      <c r="EC36" s="230"/>
      <c r="ED36" s="230"/>
      <c r="EE36" s="41"/>
      <c r="EF36" s="41"/>
      <c r="EG36" s="41"/>
      <c r="EH36" s="41"/>
      <c r="EI36" s="41"/>
      <c r="EJ36" s="230"/>
      <c r="EK36" s="230"/>
      <c r="EL36" s="41"/>
      <c r="EM36" s="41"/>
      <c r="EN36" s="41"/>
      <c r="EO36" s="41"/>
      <c r="EP36" s="41"/>
      <c r="EQ36" s="230"/>
      <c r="ER36" s="230"/>
      <c r="ES36" s="41"/>
      <c r="ET36" s="41"/>
      <c r="EU36" s="41"/>
      <c r="EV36" s="41"/>
      <c r="EW36" s="41"/>
      <c r="EX36" s="230"/>
      <c r="EY36" s="230"/>
      <c r="EZ36" s="41"/>
      <c r="FA36" s="41"/>
      <c r="FB36" s="41"/>
      <c r="FC36" s="41"/>
      <c r="FD36" s="41"/>
      <c r="FE36" s="230"/>
      <c r="FF36" s="230"/>
      <c r="FG36" s="41"/>
      <c r="FH36" s="41"/>
      <c r="FI36" s="41"/>
      <c r="FJ36" s="41"/>
      <c r="FK36" s="41"/>
      <c r="FL36" s="230"/>
      <c r="FM36" s="230"/>
      <c r="FN36" s="41"/>
      <c r="FO36" s="41"/>
      <c r="FP36" s="41"/>
      <c r="FQ36" s="41"/>
      <c r="FR36" s="41"/>
      <c r="FS36" s="230"/>
      <c r="FT36" s="230"/>
      <c r="FU36" s="41"/>
      <c r="FV36" s="41"/>
      <c r="FW36" s="41"/>
      <c r="FX36" s="41"/>
      <c r="FY36" s="41"/>
      <c r="FZ36" s="230"/>
      <c r="GA36" s="230"/>
      <c r="GB36" s="41"/>
      <c r="GC36" s="41"/>
      <c r="GD36" s="41"/>
      <c r="GE36" s="41"/>
      <c r="GF36" s="41"/>
      <c r="GG36" s="230"/>
      <c r="GH36" s="230"/>
      <c r="GI36" s="41"/>
      <c r="GJ36" s="41"/>
      <c r="GK36" s="41"/>
      <c r="GL36" s="41"/>
      <c r="GM36" s="41"/>
      <c r="GN36" s="230"/>
      <c r="GO36" s="230"/>
      <c r="GP36" s="41"/>
      <c r="GQ36" s="41"/>
      <c r="GR36" s="41"/>
      <c r="GS36" s="41"/>
      <c r="GT36" s="41"/>
      <c r="GU36" s="230"/>
      <c r="GV36" s="230"/>
      <c r="GW36" s="41" t="s">
        <v>460</v>
      </c>
      <c r="GX36" s="41"/>
      <c r="GY36" s="41"/>
      <c r="GZ36" s="41"/>
      <c r="HA36" s="41"/>
      <c r="HB36" s="230"/>
      <c r="HC36" s="230"/>
      <c r="HD36" s="41"/>
      <c r="HE36" s="41"/>
      <c r="HF36" s="41"/>
      <c r="HG36" s="41"/>
      <c r="HH36" s="41"/>
      <c r="HI36" s="234"/>
      <c r="HJ36" s="234"/>
      <c r="HK36" s="41"/>
      <c r="HL36" s="41"/>
      <c r="HM36" s="41"/>
      <c r="HN36" s="41"/>
      <c r="HO36" s="41"/>
      <c r="HP36" s="234"/>
      <c r="HQ36" s="234"/>
      <c r="HR36" s="41"/>
      <c r="HS36" s="41"/>
      <c r="HT36" s="41"/>
      <c r="HU36" s="41"/>
      <c r="HV36" s="41"/>
      <c r="HW36" s="234"/>
      <c r="HX36" s="234"/>
      <c r="HY36" s="41"/>
      <c r="HZ36" s="41"/>
      <c r="IA36" s="41"/>
      <c r="IB36" s="41"/>
      <c r="IC36" s="41"/>
      <c r="ID36" s="234"/>
      <c r="IE36" s="234"/>
      <c r="IF36" s="41"/>
      <c r="IG36" s="41"/>
      <c r="IH36" s="41"/>
      <c r="II36" s="41"/>
      <c r="IJ36" s="41"/>
      <c r="IK36" s="234"/>
      <c r="IL36" s="234"/>
      <c r="IM36" s="41"/>
      <c r="IN36" s="41"/>
      <c r="IO36" s="41"/>
      <c r="IP36" s="41"/>
      <c r="IQ36" s="41"/>
      <c r="IR36" s="234"/>
      <c r="IS36" s="234"/>
      <c r="IT36" s="41"/>
      <c r="IU36" s="41"/>
      <c r="IV36" s="41"/>
      <c r="IW36" s="41"/>
      <c r="IX36" s="41"/>
      <c r="IY36" s="234"/>
      <c r="IZ36" s="234"/>
      <c r="JA36" s="41"/>
      <c r="JB36" s="41"/>
      <c r="JC36" s="41"/>
      <c r="JD36" s="41"/>
      <c r="JE36" s="41"/>
      <c r="JF36" s="234"/>
      <c r="JG36" s="234"/>
      <c r="JH36" s="41"/>
      <c r="JI36" s="41"/>
      <c r="JJ36" s="41"/>
      <c r="JK36" s="41"/>
      <c r="JL36" s="41"/>
      <c r="JM36" s="234"/>
      <c r="JN36" s="234"/>
      <c r="JO36" s="41"/>
      <c r="JP36" s="41"/>
      <c r="JQ36" s="41"/>
      <c r="JR36" s="41"/>
      <c r="JS36" s="41"/>
      <c r="JT36" s="234"/>
      <c r="JU36" s="234"/>
      <c r="JV36" s="41"/>
      <c r="JW36" s="41"/>
      <c r="JX36" s="41"/>
      <c r="JY36" s="41"/>
      <c r="JZ36" s="41"/>
      <c r="KA36" s="234"/>
      <c r="KB36" s="234"/>
      <c r="KC36" s="41"/>
      <c r="KD36" s="41"/>
      <c r="KE36" s="41"/>
      <c r="KF36" s="41"/>
      <c r="KG36" s="41"/>
      <c r="KH36" s="234"/>
      <c r="KI36" s="234"/>
      <c r="KJ36" s="41"/>
      <c r="KK36" s="41"/>
      <c r="KL36" s="41"/>
      <c r="KM36" s="41"/>
      <c r="KN36" s="41"/>
      <c r="KO36" s="234"/>
      <c r="KP36" s="234"/>
      <c r="KQ36" s="41"/>
      <c r="KR36" s="41"/>
      <c r="KS36" s="41"/>
      <c r="KT36" s="41"/>
      <c r="KU36" s="41"/>
      <c r="KV36" s="234"/>
      <c r="KW36" s="234"/>
      <c r="KX36" s="41"/>
      <c r="KY36" s="41"/>
      <c r="KZ36" s="41"/>
      <c r="LA36" s="41"/>
      <c r="LB36" s="41"/>
      <c r="LC36" s="234"/>
      <c r="LD36" s="234"/>
      <c r="LE36" s="41"/>
      <c r="LF36" s="41"/>
      <c r="LG36" s="41"/>
      <c r="LH36" s="41"/>
      <c r="LI36" s="41"/>
      <c r="LJ36" s="234"/>
      <c r="LK36" s="234"/>
      <c r="LL36" s="41"/>
      <c r="LM36" s="41"/>
      <c r="LN36" s="41"/>
      <c r="LO36" s="41"/>
      <c r="LP36" s="41"/>
      <c r="LQ36" s="234"/>
      <c r="LR36" s="234"/>
      <c r="LS36" s="41"/>
      <c r="LT36" s="41"/>
      <c r="LU36" s="41"/>
      <c r="LV36" s="41"/>
      <c r="LW36" s="41"/>
      <c r="LX36" s="234"/>
      <c r="LY36" s="234"/>
      <c r="LZ36" s="41"/>
      <c r="MA36" s="41"/>
      <c r="MB36" s="41"/>
      <c r="MC36" s="41"/>
      <c r="MD36" s="41"/>
      <c r="ME36" s="234"/>
      <c r="MF36" s="234"/>
      <c r="MG36" s="41"/>
      <c r="MH36" s="41"/>
      <c r="MI36" s="41"/>
      <c r="MJ36" s="41"/>
      <c r="MK36" s="41"/>
      <c r="ML36" s="234"/>
      <c r="MM36" s="234"/>
      <c r="MN36" s="41"/>
      <c r="MO36" s="41"/>
      <c r="MP36" s="41"/>
      <c r="MQ36" s="41"/>
      <c r="MR36" s="41"/>
      <c r="MS36" s="234"/>
      <c r="MT36" s="234"/>
      <c r="MU36" s="41"/>
      <c r="MV36" s="41"/>
      <c r="MW36" s="41"/>
      <c r="MX36" s="41"/>
      <c r="MY36" s="41"/>
      <c r="MZ36" s="234"/>
      <c r="NA36" s="234"/>
      <c r="NB36" s="41"/>
      <c r="NC36" s="41"/>
      <c r="ND36" s="41"/>
      <c r="NE36" s="41"/>
      <c r="NF36" s="41"/>
      <c r="NG36" s="234"/>
      <c r="NH36" s="234"/>
      <c r="NI36" s="41"/>
      <c r="NJ36" s="41"/>
      <c r="NK36" s="41"/>
      <c r="NL36" s="41"/>
      <c r="NM36" s="41"/>
      <c r="NN36" s="234"/>
      <c r="NO36" s="234"/>
      <c r="NP36" s="41"/>
      <c r="NQ36" s="41"/>
      <c r="NR36" s="41"/>
      <c r="NS36" s="41"/>
      <c r="NT36" s="41"/>
      <c r="NU36" s="234"/>
      <c r="NV36" s="234"/>
      <c r="NW36" s="41"/>
      <c r="NX36" s="41"/>
      <c r="NY36" s="41"/>
      <c r="NZ36" s="41"/>
      <c r="OA36" s="41"/>
      <c r="OB36" s="234"/>
    </row>
    <row r="37" spans="4:392" x14ac:dyDescent="0.3">
      <c r="D37" s="206" t="s">
        <v>20</v>
      </c>
      <c r="E37" s="347" t="s">
        <v>21</v>
      </c>
      <c r="F37" s="357" t="s">
        <v>9</v>
      </c>
      <c r="G37" s="366" t="s">
        <v>317</v>
      </c>
      <c r="H37" s="367" t="s">
        <v>318</v>
      </c>
      <c r="I37" s="41"/>
      <c r="J37" s="41"/>
      <c r="K37" s="41"/>
      <c r="L37" s="41"/>
      <c r="M37" s="41"/>
      <c r="N37" s="230"/>
      <c r="O37" s="230"/>
      <c r="P37" s="41"/>
      <c r="Q37" s="41"/>
      <c r="R37" s="41"/>
      <c r="S37" s="41"/>
      <c r="T37" s="41"/>
      <c r="U37" s="230"/>
      <c r="V37" s="230"/>
      <c r="W37" s="41"/>
      <c r="X37" s="41"/>
      <c r="Y37" s="41"/>
      <c r="Z37" s="41"/>
      <c r="AA37" s="41"/>
      <c r="AB37" s="230"/>
      <c r="AC37" s="230"/>
      <c r="AD37" s="41"/>
      <c r="AE37" s="41"/>
      <c r="AF37" s="41"/>
      <c r="AG37" s="41"/>
      <c r="AH37" s="41"/>
      <c r="AI37" s="230"/>
      <c r="AJ37" s="230"/>
      <c r="AK37" s="41"/>
      <c r="AL37" s="41"/>
      <c r="AM37" s="41"/>
      <c r="AN37" s="41"/>
      <c r="AO37" s="41"/>
      <c r="AP37" s="230"/>
      <c r="AQ37" s="230"/>
      <c r="AR37" s="41"/>
      <c r="AS37" s="41"/>
      <c r="AT37" s="41"/>
      <c r="AU37" s="41"/>
      <c r="AV37" s="41"/>
      <c r="AW37" s="230"/>
      <c r="AX37" s="230"/>
      <c r="AY37" s="41"/>
      <c r="AZ37" s="41"/>
      <c r="BA37" s="41"/>
      <c r="BB37" s="41"/>
      <c r="BC37" s="41"/>
      <c r="BD37" s="230"/>
      <c r="BE37" s="230"/>
      <c r="BF37" s="41"/>
      <c r="BG37" s="41"/>
      <c r="BH37" s="41"/>
      <c r="BI37" s="41"/>
      <c r="BJ37" s="41"/>
      <c r="BK37" s="230"/>
      <c r="BL37" s="230"/>
      <c r="BM37" s="41"/>
      <c r="BN37" s="41"/>
      <c r="BO37" s="41"/>
      <c r="BP37" s="41"/>
      <c r="BQ37" s="41"/>
      <c r="BR37" s="230"/>
      <c r="BS37" s="230"/>
      <c r="BT37" s="41"/>
      <c r="BU37" s="41"/>
      <c r="BV37" s="41"/>
      <c r="BW37" s="41"/>
      <c r="BX37" s="41"/>
      <c r="BY37" s="230"/>
      <c r="BZ37" s="230"/>
      <c r="CA37" s="41"/>
      <c r="CB37" s="41"/>
      <c r="CC37" s="41"/>
      <c r="CD37" s="41"/>
      <c r="CE37" s="41"/>
      <c r="CF37" s="230"/>
      <c r="CG37" s="230"/>
      <c r="CH37" s="41"/>
      <c r="CI37" s="41"/>
      <c r="CJ37" s="41"/>
      <c r="CK37" s="41"/>
      <c r="CL37" s="41"/>
      <c r="CM37" s="230"/>
      <c r="CN37" s="230"/>
      <c r="CO37" s="41"/>
      <c r="CP37" s="41"/>
      <c r="CQ37" s="41"/>
      <c r="CR37" s="41"/>
      <c r="CS37" s="41"/>
      <c r="CT37" s="230"/>
      <c r="CU37" s="230"/>
      <c r="CV37" s="41"/>
      <c r="CW37" s="41"/>
      <c r="CX37" s="41"/>
      <c r="CY37" s="41"/>
      <c r="CZ37" s="41"/>
      <c r="DA37" s="230"/>
      <c r="DB37" s="230"/>
      <c r="DC37" s="41"/>
      <c r="DD37" s="41"/>
      <c r="DE37" s="41"/>
      <c r="DF37" s="41"/>
      <c r="DG37" s="41"/>
      <c r="DH37" s="230"/>
      <c r="DI37" s="230"/>
      <c r="DJ37" s="41"/>
      <c r="DK37" s="41"/>
      <c r="DL37" s="41"/>
      <c r="DM37" s="41"/>
      <c r="DN37" s="41"/>
      <c r="DO37" s="230"/>
      <c r="DP37" s="230"/>
      <c r="DQ37" s="41"/>
      <c r="DR37" s="41"/>
      <c r="DS37" s="41"/>
      <c r="DT37" s="41"/>
      <c r="DU37" s="41"/>
      <c r="DV37" s="230"/>
      <c r="DW37" s="234"/>
      <c r="DX37" s="41"/>
      <c r="DY37" s="41"/>
      <c r="DZ37" s="41"/>
      <c r="EA37" s="41"/>
      <c r="EB37" s="41"/>
      <c r="EC37" s="230"/>
      <c r="ED37" s="230"/>
      <c r="EE37" s="41"/>
      <c r="EF37" s="41"/>
      <c r="EG37" s="41"/>
      <c r="EH37" s="41"/>
      <c r="EI37" s="41"/>
      <c r="EJ37" s="230"/>
      <c r="EK37" s="230"/>
      <c r="EL37" s="41"/>
      <c r="EM37" s="41"/>
      <c r="EN37" s="41"/>
      <c r="EO37" s="41"/>
      <c r="EP37" s="41"/>
      <c r="EQ37" s="230"/>
      <c r="ER37" s="230"/>
      <c r="ES37" s="41"/>
      <c r="ET37" s="41"/>
      <c r="EU37" s="41"/>
      <c r="EV37" s="41"/>
      <c r="EW37" s="41"/>
      <c r="EX37" s="230"/>
      <c r="EY37" s="230"/>
      <c r="EZ37" s="41"/>
      <c r="FA37" s="41"/>
      <c r="FB37" s="41"/>
      <c r="FC37" s="41"/>
      <c r="FD37" s="41"/>
      <c r="FE37" s="230"/>
      <c r="FF37" s="230"/>
      <c r="FG37" s="41"/>
      <c r="FH37" s="41"/>
      <c r="FI37" s="41"/>
      <c r="FJ37" s="41"/>
      <c r="FK37" s="41"/>
      <c r="FL37" s="230"/>
      <c r="FM37" s="230"/>
      <c r="FN37" s="41"/>
      <c r="FO37" s="41"/>
      <c r="FP37" s="41"/>
      <c r="FQ37" s="41"/>
      <c r="FR37" s="41"/>
      <c r="FS37" s="230"/>
      <c r="FT37" s="230"/>
      <c r="FU37" s="41"/>
      <c r="FV37" s="41"/>
      <c r="FW37" s="41"/>
      <c r="FX37" s="41"/>
      <c r="FY37" s="41"/>
      <c r="FZ37" s="230"/>
      <c r="GA37" s="230"/>
      <c r="GB37" s="41"/>
      <c r="GC37" s="41"/>
      <c r="GD37" s="41"/>
      <c r="GE37" s="41"/>
      <c r="GF37" s="41"/>
      <c r="GG37" s="230"/>
      <c r="GH37" s="230"/>
      <c r="GI37" s="41"/>
      <c r="GJ37" s="41"/>
      <c r="GK37" s="41"/>
      <c r="GL37" s="41"/>
      <c r="GM37" s="41"/>
      <c r="GN37" s="230"/>
      <c r="GO37" s="230"/>
      <c r="GP37" s="41"/>
      <c r="GQ37" s="41"/>
      <c r="GR37" s="41"/>
      <c r="GS37" s="41"/>
      <c r="GT37" s="41"/>
      <c r="GU37" s="230"/>
      <c r="GV37" s="230"/>
      <c r="GW37" s="41" t="s">
        <v>460</v>
      </c>
      <c r="GX37" s="41"/>
      <c r="GY37" s="41"/>
      <c r="GZ37" s="41"/>
      <c r="HA37" s="41"/>
      <c r="HB37" s="230"/>
      <c r="HC37" s="230"/>
      <c r="HD37" s="41"/>
      <c r="HE37" s="41"/>
      <c r="HF37" s="41"/>
      <c r="HG37" s="41"/>
      <c r="HH37" s="41"/>
      <c r="HI37" s="234"/>
      <c r="HJ37" s="234"/>
      <c r="HK37" s="41"/>
      <c r="HL37" s="41"/>
      <c r="HM37" s="41"/>
      <c r="HN37" s="41"/>
      <c r="HO37" s="41"/>
      <c r="HP37" s="234"/>
      <c r="HQ37" s="234"/>
      <c r="HR37" s="41"/>
      <c r="HS37" s="41"/>
      <c r="HT37" s="41"/>
      <c r="HU37" s="41"/>
      <c r="HV37" s="41"/>
      <c r="HW37" s="234"/>
      <c r="HX37" s="234"/>
      <c r="HY37" s="41"/>
      <c r="HZ37" s="41"/>
      <c r="IA37" s="41"/>
      <c r="IB37" s="41"/>
      <c r="IC37" s="41"/>
      <c r="ID37" s="234"/>
      <c r="IE37" s="234"/>
      <c r="IF37" s="41"/>
      <c r="IG37" s="41"/>
      <c r="IH37" s="41"/>
      <c r="II37" s="41"/>
      <c r="IJ37" s="41"/>
      <c r="IK37" s="234"/>
      <c r="IL37" s="234"/>
      <c r="IM37" s="41"/>
      <c r="IN37" s="41"/>
      <c r="IO37" s="41"/>
      <c r="IP37" s="41"/>
      <c r="IQ37" s="41"/>
      <c r="IR37" s="234"/>
      <c r="IS37" s="234"/>
      <c r="IT37" s="41"/>
      <c r="IU37" s="41"/>
      <c r="IV37" s="41"/>
      <c r="IW37" s="41"/>
      <c r="IX37" s="41"/>
      <c r="IY37" s="234"/>
      <c r="IZ37" s="234"/>
      <c r="JA37" s="41"/>
      <c r="JB37" s="41"/>
      <c r="JC37" s="41"/>
      <c r="JD37" s="41"/>
      <c r="JE37" s="41"/>
      <c r="JF37" s="234"/>
      <c r="JG37" s="234"/>
      <c r="JH37" s="41"/>
      <c r="JI37" s="41"/>
      <c r="JJ37" s="41"/>
      <c r="JK37" s="41"/>
      <c r="JL37" s="41"/>
      <c r="JM37" s="234"/>
      <c r="JN37" s="234"/>
      <c r="JO37" s="41"/>
      <c r="JP37" s="41"/>
      <c r="JQ37" s="41"/>
      <c r="JR37" s="41"/>
      <c r="JS37" s="41"/>
      <c r="JT37" s="234"/>
      <c r="JU37" s="234"/>
      <c r="JV37" s="41"/>
      <c r="JW37" s="41"/>
      <c r="JX37" s="41"/>
      <c r="JY37" s="41"/>
      <c r="JZ37" s="41"/>
      <c r="KA37" s="234"/>
      <c r="KB37" s="234"/>
      <c r="KC37" s="41"/>
      <c r="KD37" s="41"/>
      <c r="KE37" s="41"/>
      <c r="KF37" s="41"/>
      <c r="KG37" s="41"/>
      <c r="KH37" s="234"/>
      <c r="KI37" s="234"/>
      <c r="KJ37" s="41"/>
      <c r="KK37" s="41"/>
      <c r="KL37" s="41"/>
      <c r="KM37" s="41"/>
      <c r="KN37" s="41"/>
      <c r="KO37" s="234"/>
      <c r="KP37" s="234"/>
      <c r="KQ37" s="41"/>
      <c r="KR37" s="41"/>
      <c r="KS37" s="41"/>
      <c r="KT37" s="41"/>
      <c r="KU37" s="41"/>
      <c r="KV37" s="234"/>
      <c r="KW37" s="234"/>
      <c r="KX37" s="41"/>
      <c r="KY37" s="41"/>
      <c r="KZ37" s="41"/>
      <c r="LA37" s="41"/>
      <c r="LB37" s="41"/>
      <c r="LC37" s="234"/>
      <c r="LD37" s="234"/>
      <c r="LE37" s="41"/>
      <c r="LF37" s="41"/>
      <c r="LG37" s="41"/>
      <c r="LH37" s="41"/>
      <c r="LI37" s="41"/>
      <c r="LJ37" s="234"/>
      <c r="LK37" s="234"/>
      <c r="LL37" s="41"/>
      <c r="LM37" s="41"/>
      <c r="LN37" s="41"/>
      <c r="LO37" s="41"/>
      <c r="LP37" s="41"/>
      <c r="LQ37" s="234"/>
      <c r="LR37" s="234"/>
      <c r="LS37" s="41"/>
      <c r="LT37" s="41"/>
      <c r="LU37" s="41"/>
      <c r="LV37" s="41"/>
      <c r="LW37" s="41"/>
      <c r="LX37" s="234"/>
      <c r="LY37" s="234"/>
      <c r="LZ37" s="41"/>
      <c r="MA37" s="41"/>
      <c r="MB37" s="41"/>
      <c r="MC37" s="41"/>
      <c r="MD37" s="41"/>
      <c r="ME37" s="234"/>
      <c r="MF37" s="234"/>
      <c r="MG37" s="41"/>
      <c r="MH37" s="41"/>
      <c r="MI37" s="41"/>
      <c r="MJ37" s="41"/>
      <c r="MK37" s="41"/>
      <c r="ML37" s="234"/>
      <c r="MM37" s="234"/>
      <c r="MN37" s="41"/>
      <c r="MO37" s="41"/>
      <c r="MP37" s="41"/>
      <c r="MQ37" s="41"/>
      <c r="MR37" s="41"/>
      <c r="MS37" s="234"/>
      <c r="MT37" s="234"/>
      <c r="MU37" s="41"/>
      <c r="MV37" s="41"/>
      <c r="MW37" s="41"/>
      <c r="MX37" s="41"/>
      <c r="MY37" s="41"/>
      <c r="MZ37" s="234"/>
      <c r="NA37" s="234"/>
      <c r="NB37" s="41"/>
      <c r="NC37" s="41"/>
      <c r="ND37" s="41"/>
      <c r="NE37" s="41"/>
      <c r="NF37" s="41"/>
      <c r="NG37" s="234"/>
      <c r="NH37" s="234"/>
      <c r="NI37" s="41"/>
      <c r="NJ37" s="41"/>
      <c r="NK37" s="41"/>
      <c r="NL37" s="41"/>
      <c r="NM37" s="41"/>
      <c r="NN37" s="234"/>
      <c r="NO37" s="234"/>
      <c r="NP37" s="41"/>
      <c r="NQ37" s="41"/>
      <c r="NR37" s="41"/>
      <c r="NS37" s="41"/>
      <c r="NT37" s="41"/>
      <c r="NU37" s="234"/>
      <c r="NV37" s="234"/>
      <c r="NW37" s="41"/>
      <c r="NX37" s="41"/>
      <c r="NY37" s="41"/>
      <c r="NZ37" s="41"/>
      <c r="OA37" s="41"/>
      <c r="OB37" s="234"/>
    </row>
    <row r="38" spans="4:392" ht="16.2" customHeight="1" x14ac:dyDescent="0.3">
      <c r="D38" s="206" t="s">
        <v>20</v>
      </c>
      <c r="E38" s="347" t="s">
        <v>21</v>
      </c>
      <c r="F38" s="357" t="s">
        <v>9</v>
      </c>
      <c r="G38" s="366" t="s">
        <v>1314</v>
      </c>
      <c r="H38" s="367" t="s">
        <v>39</v>
      </c>
      <c r="I38" s="41"/>
      <c r="J38" s="41"/>
      <c r="K38" s="41"/>
      <c r="L38" s="41"/>
      <c r="M38" s="41"/>
      <c r="N38" s="230"/>
      <c r="O38" s="230"/>
      <c r="P38" s="41"/>
      <c r="Q38" s="41"/>
      <c r="R38" s="41"/>
      <c r="S38" s="41"/>
      <c r="T38" s="41"/>
      <c r="U38" s="230"/>
      <c r="V38" s="230"/>
      <c r="W38" s="41"/>
      <c r="X38" s="41"/>
      <c r="Y38" s="41"/>
      <c r="Z38" s="41"/>
      <c r="AA38" s="41"/>
      <c r="AB38" s="230"/>
      <c r="AC38" s="230"/>
      <c r="AD38" s="41"/>
      <c r="AE38" s="41"/>
      <c r="AF38" s="41"/>
      <c r="AG38" s="41"/>
      <c r="AH38" s="41"/>
      <c r="AI38" s="230"/>
      <c r="AJ38" s="230"/>
      <c r="AK38" s="41"/>
      <c r="AL38" s="41"/>
      <c r="AM38" s="41"/>
      <c r="AN38" s="41"/>
      <c r="AO38" s="41"/>
      <c r="AP38" s="230"/>
      <c r="AQ38" s="230"/>
      <c r="AR38" s="41"/>
      <c r="AS38" s="41"/>
      <c r="AT38" s="41"/>
      <c r="AU38" s="41"/>
      <c r="AV38" s="41"/>
      <c r="AW38" s="230"/>
      <c r="AX38" s="230"/>
      <c r="AY38" s="41"/>
      <c r="AZ38" s="41"/>
      <c r="BA38" s="41"/>
      <c r="BB38" s="41"/>
      <c r="BC38" s="41"/>
      <c r="BD38" s="230"/>
      <c r="BE38" s="230"/>
      <c r="BF38" s="41"/>
      <c r="BG38" s="41"/>
      <c r="BH38" s="41"/>
      <c r="BI38" s="41"/>
      <c r="BJ38" s="41"/>
      <c r="BK38" s="230"/>
      <c r="BL38" s="230"/>
      <c r="BM38" s="41"/>
      <c r="BN38" s="41"/>
      <c r="BO38" s="41"/>
      <c r="BP38" s="41"/>
      <c r="BQ38" s="41"/>
      <c r="BR38" s="230"/>
      <c r="BS38" s="230"/>
      <c r="BT38" s="41"/>
      <c r="BU38" s="41"/>
      <c r="BV38" s="41"/>
      <c r="BW38" s="41"/>
      <c r="BX38" s="41"/>
      <c r="BY38" s="230"/>
      <c r="BZ38" s="230"/>
      <c r="CA38" s="41"/>
      <c r="CB38" s="41"/>
      <c r="CC38" s="41"/>
      <c r="CD38" s="41"/>
      <c r="CE38" s="41"/>
      <c r="CF38" s="230"/>
      <c r="CG38" s="230"/>
      <c r="CH38" s="41"/>
      <c r="CI38" s="41"/>
      <c r="CJ38" s="41"/>
      <c r="CK38" s="41"/>
      <c r="CL38" s="41"/>
      <c r="CM38" s="230"/>
      <c r="CN38" s="230"/>
      <c r="CO38" s="41"/>
      <c r="CP38" s="41"/>
      <c r="CQ38" s="41"/>
      <c r="CR38" s="41"/>
      <c r="CS38" s="41"/>
      <c r="CT38" s="230"/>
      <c r="CU38" s="230"/>
      <c r="CV38" s="41"/>
      <c r="CW38" s="41"/>
      <c r="CX38" s="41"/>
      <c r="CY38" s="41"/>
      <c r="CZ38" s="41"/>
      <c r="DA38" s="230"/>
      <c r="DB38" s="230"/>
      <c r="DC38" s="41"/>
      <c r="DD38" s="41"/>
      <c r="DE38" s="41"/>
      <c r="DF38" s="41"/>
      <c r="DG38" s="41"/>
      <c r="DH38" s="230"/>
      <c r="DI38" s="230"/>
      <c r="DJ38" s="41"/>
      <c r="DK38" s="41"/>
      <c r="DL38" s="41"/>
      <c r="DM38" s="41"/>
      <c r="DN38" s="41"/>
      <c r="DO38" s="230"/>
      <c r="DP38" s="230"/>
      <c r="DQ38" s="41"/>
      <c r="DR38" s="41"/>
      <c r="DS38" s="41"/>
      <c r="DT38" s="41"/>
      <c r="DU38" s="41"/>
      <c r="DV38" s="230"/>
      <c r="DW38" s="234"/>
      <c r="DX38" s="41"/>
      <c r="DY38" s="41"/>
      <c r="DZ38" s="41"/>
      <c r="EA38" s="41"/>
      <c r="EB38" s="41"/>
      <c r="EC38" s="230"/>
      <c r="ED38" s="230"/>
      <c r="EE38" s="41"/>
      <c r="EF38" s="41"/>
      <c r="EG38" s="41"/>
      <c r="EH38" s="41"/>
      <c r="EI38" s="41"/>
      <c r="EJ38" s="230"/>
      <c r="EK38" s="230"/>
      <c r="EL38" s="41"/>
      <c r="EM38" s="41"/>
      <c r="EN38" s="41"/>
      <c r="EO38" s="41"/>
      <c r="EP38" s="41"/>
      <c r="EQ38" s="230"/>
      <c r="ER38" s="230"/>
      <c r="ES38" s="41"/>
      <c r="ET38" s="41"/>
      <c r="EU38" s="41"/>
      <c r="EV38" s="41"/>
      <c r="EW38" s="41"/>
      <c r="EX38" s="230"/>
      <c r="EY38" s="230"/>
      <c r="EZ38" s="41"/>
      <c r="FA38" s="41"/>
      <c r="FB38" s="41"/>
      <c r="FC38" s="41"/>
      <c r="FD38" s="41"/>
      <c r="FE38" s="230"/>
      <c r="FF38" s="230"/>
      <c r="FG38" s="41"/>
      <c r="FH38" s="41"/>
      <c r="FI38" s="41"/>
      <c r="FJ38" s="41"/>
      <c r="FK38" s="41"/>
      <c r="FL38" s="230"/>
      <c r="FM38" s="230"/>
      <c r="FN38" s="41"/>
      <c r="FO38" s="41"/>
      <c r="FP38" s="41"/>
      <c r="FQ38" s="41"/>
      <c r="FR38" s="41"/>
      <c r="FS38" s="230"/>
      <c r="FT38" s="230"/>
      <c r="FU38" s="41"/>
      <c r="FV38" s="41"/>
      <c r="FW38" s="41"/>
      <c r="FX38" s="41"/>
      <c r="FY38" s="41"/>
      <c r="FZ38" s="230"/>
      <c r="GA38" s="230"/>
      <c r="GB38" s="41"/>
      <c r="GC38" s="41"/>
      <c r="GD38" s="41"/>
      <c r="GE38" s="41"/>
      <c r="GF38" s="41"/>
      <c r="GG38" s="230"/>
      <c r="GH38" s="230"/>
      <c r="GI38" s="41"/>
      <c r="GJ38" s="41"/>
      <c r="GK38" s="41"/>
      <c r="GL38" s="41"/>
      <c r="GM38" s="41"/>
      <c r="GN38" s="230"/>
      <c r="GO38" s="230"/>
      <c r="GP38" s="41"/>
      <c r="GQ38" s="41"/>
      <c r="GR38" s="41"/>
      <c r="GS38" s="41"/>
      <c r="GT38" s="41"/>
      <c r="GU38" s="230"/>
      <c r="GV38" s="230"/>
      <c r="GW38" s="41" t="s">
        <v>460</v>
      </c>
      <c r="GX38" s="41"/>
      <c r="GY38" s="41"/>
      <c r="GZ38" s="41"/>
      <c r="HA38" s="41"/>
      <c r="HB38" s="230"/>
      <c r="HC38" s="230"/>
      <c r="HD38" s="41"/>
      <c r="HE38" s="41"/>
      <c r="HF38" s="41"/>
      <c r="HG38" s="41"/>
      <c r="HH38" s="41"/>
      <c r="HI38" s="234"/>
      <c r="HJ38" s="234"/>
      <c r="HK38" s="41"/>
      <c r="HL38" s="41"/>
      <c r="HM38" s="41"/>
      <c r="HN38" s="41"/>
      <c r="HO38" s="41"/>
      <c r="HP38" s="234"/>
      <c r="HQ38" s="234"/>
      <c r="HR38" s="41"/>
      <c r="HS38" s="41"/>
      <c r="HT38" s="41"/>
      <c r="HU38" s="41"/>
      <c r="HV38" s="41"/>
      <c r="HW38" s="234"/>
      <c r="HX38" s="234"/>
      <c r="HY38" s="41"/>
      <c r="HZ38" s="41"/>
      <c r="IA38" s="41"/>
      <c r="IB38" s="41"/>
      <c r="IC38" s="41"/>
      <c r="ID38" s="234"/>
      <c r="IE38" s="234"/>
      <c r="IF38" s="41"/>
      <c r="IG38" s="41"/>
      <c r="IH38" s="41"/>
      <c r="II38" s="41"/>
      <c r="IJ38" s="41"/>
      <c r="IK38" s="234"/>
      <c r="IL38" s="234"/>
      <c r="IM38" s="41"/>
      <c r="IN38" s="41"/>
      <c r="IO38" s="41"/>
      <c r="IP38" s="41"/>
      <c r="IQ38" s="41"/>
      <c r="IR38" s="234"/>
      <c r="IS38" s="234"/>
      <c r="IT38" s="41"/>
      <c r="IU38" s="41"/>
      <c r="IV38" s="41"/>
      <c r="IW38" s="41"/>
      <c r="IX38" s="41"/>
      <c r="IY38" s="234"/>
      <c r="IZ38" s="234"/>
      <c r="JA38" s="41"/>
      <c r="JB38" s="41"/>
      <c r="JC38" s="41"/>
      <c r="JD38" s="41"/>
      <c r="JE38" s="41"/>
      <c r="JF38" s="234"/>
      <c r="JG38" s="234"/>
      <c r="JH38" s="41"/>
      <c r="JI38" s="41"/>
      <c r="JJ38" s="41"/>
      <c r="JK38" s="41"/>
      <c r="JL38" s="41"/>
      <c r="JM38" s="234"/>
      <c r="JN38" s="234"/>
      <c r="JO38" s="41"/>
      <c r="JP38" s="41"/>
      <c r="JQ38" s="41"/>
      <c r="JR38" s="41"/>
      <c r="JS38" s="41"/>
      <c r="JT38" s="234"/>
      <c r="JU38" s="234"/>
      <c r="JV38" s="41"/>
      <c r="JW38" s="41"/>
      <c r="JX38" s="41"/>
      <c r="JY38" s="41"/>
      <c r="JZ38" s="41"/>
      <c r="KA38" s="234"/>
      <c r="KB38" s="234"/>
      <c r="KC38" s="41"/>
      <c r="KD38" s="41"/>
      <c r="KE38" s="41"/>
      <c r="KF38" s="41"/>
      <c r="KG38" s="41"/>
      <c r="KH38" s="234"/>
      <c r="KI38" s="234"/>
      <c r="KJ38" s="41"/>
      <c r="KK38" s="41"/>
      <c r="KL38" s="41"/>
      <c r="KM38" s="41"/>
      <c r="KN38" s="41"/>
      <c r="KO38" s="234"/>
      <c r="KP38" s="234"/>
      <c r="KQ38" s="41"/>
      <c r="KR38" s="41"/>
      <c r="KS38" s="41"/>
      <c r="KT38" s="41"/>
      <c r="KU38" s="41"/>
      <c r="KV38" s="234"/>
      <c r="KW38" s="234"/>
      <c r="KX38" s="41"/>
      <c r="KY38" s="41"/>
      <c r="KZ38" s="41"/>
      <c r="LA38" s="41"/>
      <c r="LB38" s="41"/>
      <c r="LC38" s="234"/>
      <c r="LD38" s="234"/>
      <c r="LE38" s="41"/>
      <c r="LF38" s="41"/>
      <c r="LG38" s="41"/>
      <c r="LH38" s="41"/>
      <c r="LI38" s="41"/>
      <c r="LJ38" s="234"/>
      <c r="LK38" s="234"/>
      <c r="LL38" s="41"/>
      <c r="LM38" s="41"/>
      <c r="LN38" s="41"/>
      <c r="LO38" s="41"/>
      <c r="LP38" s="41"/>
      <c r="LQ38" s="234"/>
      <c r="LR38" s="234"/>
      <c r="LS38" s="41"/>
      <c r="LT38" s="41"/>
      <c r="LU38" s="41"/>
      <c r="LV38" s="41"/>
      <c r="LW38" s="41"/>
      <c r="LX38" s="234"/>
      <c r="LY38" s="234"/>
      <c r="LZ38" s="41"/>
      <c r="MA38" s="41"/>
      <c r="MB38" s="41"/>
      <c r="MC38" s="41"/>
      <c r="MD38" s="41"/>
      <c r="ME38" s="234"/>
      <c r="MF38" s="234"/>
      <c r="MG38" s="41"/>
      <c r="MH38" s="41"/>
      <c r="MI38" s="41"/>
      <c r="MJ38" s="41"/>
      <c r="MK38" s="41"/>
      <c r="ML38" s="234"/>
      <c r="MM38" s="234"/>
      <c r="MN38" s="41"/>
      <c r="MO38" s="41"/>
      <c r="MP38" s="41"/>
      <c r="MQ38" s="41"/>
      <c r="MR38" s="41"/>
      <c r="MS38" s="234"/>
      <c r="MT38" s="234"/>
      <c r="MU38" s="41"/>
      <c r="MV38" s="41"/>
      <c r="MW38" s="41"/>
      <c r="MX38" s="41"/>
      <c r="MY38" s="41"/>
      <c r="MZ38" s="234"/>
      <c r="NA38" s="234"/>
      <c r="NB38" s="41"/>
      <c r="NC38" s="41"/>
      <c r="ND38" s="41"/>
      <c r="NE38" s="41"/>
      <c r="NF38" s="41"/>
      <c r="NG38" s="234"/>
      <c r="NH38" s="234"/>
      <c r="NI38" s="41"/>
      <c r="NJ38" s="41"/>
      <c r="NK38" s="41"/>
      <c r="NL38" s="41"/>
      <c r="NM38" s="41"/>
      <c r="NN38" s="234"/>
      <c r="NO38" s="234"/>
      <c r="NP38" s="41"/>
      <c r="NQ38" s="41"/>
      <c r="NR38" s="41"/>
      <c r="NS38" s="41"/>
      <c r="NT38" s="41"/>
      <c r="NU38" s="234"/>
      <c r="NV38" s="234"/>
      <c r="NW38" s="41"/>
      <c r="NX38" s="41"/>
      <c r="NY38" s="41"/>
      <c r="NZ38" s="41"/>
      <c r="OA38" s="41"/>
      <c r="OB38" s="234"/>
    </row>
    <row r="39" spans="4:392" ht="15.6" customHeight="1" x14ac:dyDescent="0.3">
      <c r="D39" s="206" t="s">
        <v>20</v>
      </c>
      <c r="E39" s="347" t="s">
        <v>21</v>
      </c>
      <c r="F39" s="364" t="s">
        <v>9</v>
      </c>
      <c r="G39" s="366" t="s">
        <v>134</v>
      </c>
      <c r="H39" s="367" t="s">
        <v>1312</v>
      </c>
      <c r="I39" s="41"/>
      <c r="J39" s="41"/>
      <c r="K39" s="41"/>
      <c r="L39" s="41"/>
      <c r="M39" s="41"/>
      <c r="N39" s="230"/>
      <c r="O39" s="230"/>
      <c r="P39" s="41"/>
      <c r="Q39" s="41"/>
      <c r="R39" s="41"/>
      <c r="S39" s="41"/>
      <c r="T39" s="41"/>
      <c r="U39" s="230"/>
      <c r="V39" s="230"/>
      <c r="W39" s="41"/>
      <c r="X39" s="41"/>
      <c r="Y39" s="41"/>
      <c r="Z39" s="41"/>
      <c r="AA39" s="41"/>
      <c r="AB39" s="230"/>
      <c r="AC39" s="230"/>
      <c r="AD39" s="41"/>
      <c r="AE39" s="41"/>
      <c r="AF39" s="41"/>
      <c r="AG39" s="41"/>
      <c r="AH39" s="41"/>
      <c r="AI39" s="230"/>
      <c r="AJ39" s="230"/>
      <c r="AK39" s="41"/>
      <c r="AL39" s="41"/>
      <c r="AM39" s="41"/>
      <c r="AN39" s="41"/>
      <c r="AO39" s="41"/>
      <c r="AP39" s="230"/>
      <c r="AQ39" s="230"/>
      <c r="AR39" s="41"/>
      <c r="AS39" s="41"/>
      <c r="AT39" s="41"/>
      <c r="AU39" s="41"/>
      <c r="AV39" s="41"/>
      <c r="AW39" s="230"/>
      <c r="AX39" s="230"/>
      <c r="AY39" s="41"/>
      <c r="AZ39" s="41"/>
      <c r="BA39" s="41"/>
      <c r="BB39" s="41"/>
      <c r="BC39" s="41"/>
      <c r="BD39" s="230"/>
      <c r="BE39" s="230"/>
      <c r="BF39" s="41"/>
      <c r="BG39" s="41"/>
      <c r="BH39" s="41"/>
      <c r="BI39" s="41"/>
      <c r="BJ39" s="41"/>
      <c r="BK39" s="230"/>
      <c r="BL39" s="230"/>
      <c r="BM39" s="41"/>
      <c r="BN39" s="41"/>
      <c r="BO39" s="41"/>
      <c r="BP39" s="41"/>
      <c r="BQ39" s="41"/>
      <c r="BR39" s="230"/>
      <c r="BS39" s="230"/>
      <c r="BT39" s="41"/>
      <c r="BU39" s="41"/>
      <c r="BV39" s="41"/>
      <c r="BW39" s="41"/>
      <c r="BX39" s="41"/>
      <c r="BY39" s="230"/>
      <c r="BZ39" s="230"/>
      <c r="CA39" s="41"/>
      <c r="CB39" s="41"/>
      <c r="CC39" s="41"/>
      <c r="CD39" s="41"/>
      <c r="CE39" s="41"/>
      <c r="CF39" s="230"/>
      <c r="CG39" s="230"/>
      <c r="CH39" s="41"/>
      <c r="CI39" s="41"/>
      <c r="CJ39" s="41"/>
      <c r="CK39" s="41"/>
      <c r="CL39" s="41"/>
      <c r="CM39" s="230"/>
      <c r="CN39" s="230"/>
      <c r="CO39" s="41"/>
      <c r="CP39" s="41"/>
      <c r="CQ39" s="41"/>
      <c r="CR39" s="41"/>
      <c r="CS39" s="41"/>
      <c r="CT39" s="230"/>
      <c r="CU39" s="230"/>
      <c r="CV39" s="41"/>
      <c r="CW39" s="41"/>
      <c r="CX39" s="41"/>
      <c r="CY39" s="41"/>
      <c r="CZ39" s="41"/>
      <c r="DA39" s="230"/>
      <c r="DB39" s="230"/>
      <c r="DC39" s="41"/>
      <c r="DD39" s="41"/>
      <c r="DE39" s="41"/>
      <c r="DF39" s="41"/>
      <c r="DG39" s="41"/>
      <c r="DH39" s="230"/>
      <c r="DI39" s="230"/>
      <c r="DJ39" s="41"/>
      <c r="DK39" s="41"/>
      <c r="DL39" s="41"/>
      <c r="DM39" s="41"/>
      <c r="DN39" s="41"/>
      <c r="DO39" s="230"/>
      <c r="DP39" s="230"/>
      <c r="DQ39" s="41"/>
      <c r="DR39" s="41"/>
      <c r="DS39" s="41"/>
      <c r="DT39" s="41"/>
      <c r="DU39" s="41"/>
      <c r="DV39" s="230"/>
      <c r="DW39" s="234"/>
      <c r="DX39" s="41" t="s">
        <v>460</v>
      </c>
      <c r="DY39" s="41"/>
      <c r="DZ39" s="41"/>
      <c r="EA39" s="41"/>
      <c r="EB39" s="41"/>
      <c r="EC39" s="230"/>
      <c r="ED39" s="230"/>
      <c r="EE39" s="41" t="s">
        <v>460</v>
      </c>
      <c r="EF39" s="41" t="s">
        <v>460</v>
      </c>
      <c r="EG39" s="41" t="s">
        <v>460</v>
      </c>
      <c r="EH39" s="41" t="s">
        <v>460</v>
      </c>
      <c r="EI39" s="41" t="s">
        <v>460</v>
      </c>
      <c r="EJ39" s="230"/>
      <c r="EK39" s="230"/>
      <c r="EL39" s="41"/>
      <c r="EM39" s="41"/>
      <c r="EN39" s="41"/>
      <c r="EO39" s="41"/>
      <c r="EP39" s="41"/>
      <c r="EQ39" s="230"/>
      <c r="ER39" s="230"/>
      <c r="ES39" s="41"/>
      <c r="ET39" s="41"/>
      <c r="EU39" s="41"/>
      <c r="EV39" s="41"/>
      <c r="EW39" s="41"/>
      <c r="EX39" s="230"/>
      <c r="EY39" s="230"/>
      <c r="EZ39" s="41"/>
      <c r="FA39" s="41"/>
      <c r="FB39" s="41"/>
      <c r="FC39" s="41"/>
      <c r="FD39" s="41"/>
      <c r="FE39" s="230"/>
      <c r="FF39" s="230"/>
      <c r="FG39" s="41"/>
      <c r="FH39" s="41"/>
      <c r="FI39" s="41"/>
      <c r="FJ39" s="41"/>
      <c r="FK39" s="41"/>
      <c r="FL39" s="230"/>
      <c r="FM39" s="230"/>
      <c r="FN39" s="41" t="s">
        <v>460</v>
      </c>
      <c r="FO39" s="41"/>
      <c r="FP39" s="41"/>
      <c r="FQ39" s="41"/>
      <c r="FR39" s="41"/>
      <c r="FS39" s="230"/>
      <c r="FT39" s="230"/>
      <c r="FU39" s="41"/>
      <c r="FV39" s="41"/>
      <c r="FW39" s="41"/>
      <c r="FX39" s="41"/>
      <c r="FY39" s="41"/>
      <c r="FZ39" s="230"/>
      <c r="GA39" s="230"/>
      <c r="GB39" s="41"/>
      <c r="GC39" s="41"/>
      <c r="GD39" s="41"/>
      <c r="GE39" s="41"/>
      <c r="GF39" s="41"/>
      <c r="GG39" s="230"/>
      <c r="GH39" s="230"/>
      <c r="GI39" s="41"/>
      <c r="GJ39" s="41"/>
      <c r="GK39" s="41"/>
      <c r="GL39" s="41"/>
      <c r="GM39" s="41"/>
      <c r="GN39" s="230"/>
      <c r="GO39" s="230"/>
      <c r="GP39" s="41"/>
      <c r="GQ39" s="41"/>
      <c r="GR39" s="41"/>
      <c r="GS39" s="41"/>
      <c r="GT39" s="41"/>
      <c r="GU39" s="230"/>
      <c r="GV39" s="230"/>
      <c r="GW39" s="41" t="s">
        <v>460</v>
      </c>
      <c r="GX39" s="41"/>
      <c r="GY39" s="41"/>
      <c r="GZ39" s="41"/>
      <c r="HA39" s="41"/>
      <c r="HB39" s="230"/>
      <c r="HC39" s="230"/>
      <c r="HD39" s="41"/>
      <c r="HE39" s="41"/>
      <c r="HF39" s="41"/>
      <c r="HG39" s="41"/>
      <c r="HH39" s="41"/>
      <c r="HI39" s="234"/>
      <c r="HJ39" s="234"/>
      <c r="HK39" s="41"/>
      <c r="HL39" s="41"/>
      <c r="HM39" s="41"/>
      <c r="HN39" s="41"/>
      <c r="HO39" s="41"/>
      <c r="HP39" s="234"/>
      <c r="HQ39" s="234"/>
      <c r="HR39" s="41"/>
      <c r="HS39" s="41"/>
      <c r="HT39" s="41"/>
      <c r="HU39" s="41"/>
      <c r="HV39" s="41"/>
      <c r="HW39" s="234"/>
      <c r="HX39" s="234"/>
      <c r="HY39" s="41"/>
      <c r="HZ39" s="41"/>
      <c r="IA39" s="41"/>
      <c r="IB39" s="41"/>
      <c r="IC39" s="41"/>
      <c r="ID39" s="234"/>
      <c r="IE39" s="234"/>
      <c r="IF39" s="41"/>
      <c r="IG39" s="41"/>
      <c r="IH39" s="41"/>
      <c r="II39" s="41"/>
      <c r="IJ39" s="41"/>
      <c r="IK39" s="234"/>
      <c r="IL39" s="234"/>
      <c r="IM39" s="41"/>
      <c r="IN39" s="41"/>
      <c r="IO39" s="41"/>
      <c r="IP39" s="41"/>
      <c r="IQ39" s="41"/>
      <c r="IR39" s="234"/>
      <c r="IS39" s="234"/>
      <c r="IT39" s="41"/>
      <c r="IU39" s="41"/>
      <c r="IV39" s="41"/>
      <c r="IW39" s="41"/>
      <c r="IX39" s="41"/>
      <c r="IY39" s="234"/>
      <c r="IZ39" s="234"/>
      <c r="JA39" s="41"/>
      <c r="JB39" s="41"/>
      <c r="JC39" s="41"/>
      <c r="JD39" s="41"/>
      <c r="JE39" s="41"/>
      <c r="JF39" s="234"/>
      <c r="JG39" s="234"/>
      <c r="JH39" s="41"/>
      <c r="JI39" s="41"/>
      <c r="JJ39" s="41"/>
      <c r="JK39" s="41"/>
      <c r="JL39" s="41"/>
      <c r="JM39" s="234"/>
      <c r="JN39" s="234"/>
      <c r="JO39" s="41"/>
      <c r="JP39" s="41"/>
      <c r="JQ39" s="41"/>
      <c r="JR39" s="41"/>
      <c r="JS39" s="41"/>
      <c r="JT39" s="234"/>
      <c r="JU39" s="234"/>
      <c r="JV39" s="41"/>
      <c r="JW39" s="41"/>
      <c r="JX39" s="41"/>
      <c r="JY39" s="41"/>
      <c r="JZ39" s="41"/>
      <c r="KA39" s="234"/>
      <c r="KB39" s="234"/>
      <c r="KC39" s="41"/>
      <c r="KD39" s="41"/>
      <c r="KE39" s="41"/>
      <c r="KF39" s="41"/>
      <c r="KG39" s="41"/>
      <c r="KH39" s="234"/>
      <c r="KI39" s="234"/>
      <c r="KJ39" s="41"/>
      <c r="KK39" s="41"/>
      <c r="KL39" s="41"/>
      <c r="KM39" s="41"/>
      <c r="KN39" s="41"/>
      <c r="KO39" s="234"/>
      <c r="KP39" s="234"/>
      <c r="KQ39" s="41"/>
      <c r="KR39" s="41"/>
      <c r="KS39" s="41"/>
      <c r="KT39" s="41"/>
      <c r="KU39" s="41"/>
      <c r="KV39" s="234"/>
      <c r="KW39" s="234"/>
      <c r="KX39" s="41"/>
      <c r="KY39" s="41"/>
      <c r="KZ39" s="41"/>
      <c r="LA39" s="41"/>
      <c r="LB39" s="41"/>
      <c r="LC39" s="234"/>
      <c r="LD39" s="234"/>
      <c r="LE39" s="41"/>
      <c r="LF39" s="41"/>
      <c r="LG39" s="41"/>
      <c r="LH39" s="41"/>
      <c r="LI39" s="41"/>
      <c r="LJ39" s="234"/>
      <c r="LK39" s="234"/>
      <c r="LL39" s="41"/>
      <c r="LM39" s="41"/>
      <c r="LN39" s="41"/>
      <c r="LO39" s="41"/>
      <c r="LP39" s="41"/>
      <c r="LQ39" s="234"/>
      <c r="LR39" s="234"/>
      <c r="LS39" s="41"/>
      <c r="LT39" s="41"/>
      <c r="LU39" s="41"/>
      <c r="LV39" s="41"/>
      <c r="LW39" s="41"/>
      <c r="LX39" s="234"/>
      <c r="LY39" s="234"/>
      <c r="LZ39" s="41"/>
      <c r="MA39" s="41"/>
      <c r="MB39" s="41"/>
      <c r="MC39" s="41"/>
      <c r="MD39" s="41"/>
      <c r="ME39" s="234"/>
      <c r="MF39" s="234"/>
      <c r="MG39" s="41"/>
      <c r="MH39" s="41"/>
      <c r="MI39" s="41"/>
      <c r="MJ39" s="41"/>
      <c r="MK39" s="41"/>
      <c r="ML39" s="234"/>
      <c r="MM39" s="234"/>
      <c r="MN39" s="41"/>
      <c r="MO39" s="41"/>
      <c r="MP39" s="41"/>
      <c r="MQ39" s="41"/>
      <c r="MR39" s="41"/>
      <c r="MS39" s="234"/>
      <c r="MT39" s="234"/>
      <c r="MU39" s="41"/>
      <c r="MV39" s="41"/>
      <c r="MW39" s="41"/>
      <c r="MX39" s="41"/>
      <c r="MY39" s="41"/>
      <c r="MZ39" s="234"/>
      <c r="NA39" s="234"/>
      <c r="NB39" s="41"/>
      <c r="NC39" s="41"/>
      <c r="ND39" s="41"/>
      <c r="NE39" s="41"/>
      <c r="NF39" s="41"/>
      <c r="NG39" s="234"/>
      <c r="NH39" s="234"/>
      <c r="NI39" s="41"/>
      <c r="NJ39" s="41"/>
      <c r="NK39" s="41"/>
      <c r="NL39" s="41"/>
      <c r="NM39" s="41"/>
      <c r="NN39" s="234"/>
      <c r="NO39" s="234"/>
      <c r="NP39" s="41"/>
      <c r="NQ39" s="41"/>
      <c r="NR39" s="41"/>
      <c r="NS39" s="41"/>
      <c r="NT39" s="41"/>
      <c r="NU39" s="234"/>
      <c r="NV39" s="234"/>
      <c r="NW39" s="41"/>
      <c r="NX39" s="41"/>
      <c r="NY39" s="41"/>
      <c r="NZ39" s="41"/>
      <c r="OA39" s="41"/>
      <c r="OB39" s="234"/>
    </row>
    <row r="40" spans="4:392" ht="14.4" customHeight="1" thickBot="1" x14ac:dyDescent="0.35"/>
    <row r="41" spans="4:392" ht="15" thickBot="1" x14ac:dyDescent="0.35">
      <c r="N41" s="221" t="e">
        <f>#REF!</f>
        <v>#REF!</v>
      </c>
      <c r="O41" s="218"/>
      <c r="U41" s="221" t="e">
        <f>#REF!</f>
        <v>#REF!</v>
      </c>
      <c r="V41" s="218"/>
      <c r="AB41" s="221" t="e">
        <f>#REF!</f>
        <v>#REF!</v>
      </c>
      <c r="AC41" s="218"/>
      <c r="AI41" s="221" t="e">
        <f>#REF!</f>
        <v>#REF!</v>
      </c>
      <c r="AJ41" s="218"/>
      <c r="AP41" s="221" t="e">
        <f>#REF!</f>
        <v>#REF!</v>
      </c>
      <c r="AQ41" s="218"/>
      <c r="AW41" s="221" t="e">
        <f>#REF!</f>
        <v>#REF!</v>
      </c>
      <c r="AX41" s="218"/>
      <c r="BD41" s="221" t="e">
        <f>#REF!</f>
        <v>#REF!</v>
      </c>
      <c r="BE41" s="218"/>
      <c r="BK41" s="221" t="e">
        <f>#REF!</f>
        <v>#REF!</v>
      </c>
      <c r="BL41" s="218"/>
      <c r="BR41" s="221" t="e">
        <f>#REF!</f>
        <v>#REF!</v>
      </c>
      <c r="BS41" s="218"/>
      <c r="BY41" s="221" t="e">
        <f>#REF!</f>
        <v>#REF!</v>
      </c>
      <c r="BZ41" s="218"/>
      <c r="CF41" s="221" t="e">
        <f>#REF!</f>
        <v>#REF!</v>
      </c>
      <c r="CG41" s="218"/>
      <c r="CM41" s="221" t="e">
        <f>#REF!</f>
        <v>#REF!</v>
      </c>
      <c r="CN41" s="218"/>
      <c r="CT41" s="221" t="e">
        <f>#REF!</f>
        <v>#REF!</v>
      </c>
      <c r="CU41" s="218"/>
      <c r="DA41" s="221" t="e">
        <f>#REF!</f>
        <v>#REF!</v>
      </c>
      <c r="DB41" s="218"/>
      <c r="DH41" s="221" t="e">
        <f>#REF!</f>
        <v>#REF!</v>
      </c>
      <c r="DI41" s="218"/>
      <c r="DO41" s="221" t="e">
        <f>#REF!</f>
        <v>#REF!</v>
      </c>
      <c r="DP41" s="218"/>
      <c r="DV41" s="221" t="e">
        <f>#REF!</f>
        <v>#REF!</v>
      </c>
      <c r="DW41" s="218"/>
      <c r="EC41" s="221" t="e">
        <f>#REF!</f>
        <v>#REF!</v>
      </c>
      <c r="ED41" s="218"/>
      <c r="EJ41" s="221" t="e">
        <f>#REF!</f>
        <v>#REF!</v>
      </c>
      <c r="EK41" s="218"/>
      <c r="EQ41" s="221" t="e">
        <f>#REF!</f>
        <v>#REF!</v>
      </c>
      <c r="ER41" s="218"/>
      <c r="EX41" s="221" t="e">
        <f>#REF!</f>
        <v>#REF!</v>
      </c>
      <c r="EY41" s="218"/>
      <c r="FE41" s="221" t="e">
        <f>#REF!</f>
        <v>#REF!</v>
      </c>
      <c r="FF41" s="218"/>
      <c r="FL41" s="221" t="e">
        <f>#REF!</f>
        <v>#REF!</v>
      </c>
      <c r="FM41" s="218"/>
      <c r="FS41" s="221" t="e">
        <f>#REF!</f>
        <v>#REF!</v>
      </c>
      <c r="FT41" s="218"/>
      <c r="FZ41" s="221" t="e">
        <f>#REF!</f>
        <v>#REF!</v>
      </c>
      <c r="GA41" s="218"/>
      <c r="GG41" s="221" t="e">
        <f>#REF!</f>
        <v>#REF!</v>
      </c>
      <c r="GH41" s="218"/>
      <c r="GN41" s="221" t="e">
        <f>#REF!</f>
        <v>#REF!</v>
      </c>
      <c r="GO41" s="218"/>
      <c r="GU41" s="221" t="e">
        <f>#REF!</f>
        <v>#REF!</v>
      </c>
      <c r="GV41" s="218"/>
      <c r="HB41" s="221" t="e">
        <f>#REF!</f>
        <v>#REF!</v>
      </c>
      <c r="HC41" s="218"/>
      <c r="HI41" s="221" t="e">
        <f>#REF!</f>
        <v>#REF!</v>
      </c>
      <c r="HJ41" s="218"/>
      <c r="HP41" s="221" t="e">
        <f>#REF!</f>
        <v>#REF!</v>
      </c>
      <c r="HQ41" s="218"/>
      <c r="HW41" s="221" t="e">
        <f>#REF!</f>
        <v>#REF!</v>
      </c>
      <c r="HX41" s="218"/>
      <c r="ID41" s="221" t="e">
        <f>#REF!</f>
        <v>#REF!</v>
      </c>
      <c r="IE41" s="218"/>
      <c r="IK41" s="221" t="e">
        <f>#REF!</f>
        <v>#REF!</v>
      </c>
      <c r="IL41" s="218"/>
      <c r="IR41" s="221" t="e">
        <f>#REF!</f>
        <v>#REF!</v>
      </c>
      <c r="IS41" s="218"/>
      <c r="IY41" s="221" t="e">
        <f>#REF!</f>
        <v>#REF!</v>
      </c>
      <c r="IZ41" s="218"/>
      <c r="JF41" s="221" t="e">
        <f>#REF!</f>
        <v>#REF!</v>
      </c>
      <c r="JG41" s="218"/>
      <c r="JM41" s="221" t="e">
        <f>#REF!</f>
        <v>#REF!</v>
      </c>
      <c r="JN41" s="218"/>
      <c r="JT41" s="221" t="e">
        <f>#REF!</f>
        <v>#REF!</v>
      </c>
      <c r="JU41" s="218"/>
      <c r="KA41" s="221" t="e">
        <f>#REF!</f>
        <v>#REF!</v>
      </c>
      <c r="KB41" s="218"/>
      <c r="KH41" s="221" t="e">
        <f>#REF!</f>
        <v>#REF!</v>
      </c>
      <c r="KI41" s="218"/>
      <c r="KO41" s="221" t="e">
        <f>#REF!</f>
        <v>#REF!</v>
      </c>
      <c r="KP41" s="218"/>
      <c r="KV41" s="221" t="e">
        <f>#REF!</f>
        <v>#REF!</v>
      </c>
      <c r="KW41" s="218"/>
      <c r="LC41" s="221" t="e">
        <f>#REF!</f>
        <v>#REF!</v>
      </c>
      <c r="LD41" s="218"/>
      <c r="LJ41" s="221" t="e">
        <f>#REF!</f>
        <v>#REF!</v>
      </c>
      <c r="LK41" s="218"/>
      <c r="LQ41" s="221" t="e">
        <f>#REF!</f>
        <v>#REF!</v>
      </c>
      <c r="LR41" s="218"/>
      <c r="LX41" s="221" t="e">
        <f>#REF!</f>
        <v>#REF!</v>
      </c>
      <c r="LY41" s="218"/>
      <c r="ME41" s="221" t="e">
        <f>#REF!</f>
        <v>#REF!</v>
      </c>
      <c r="MF41" s="218"/>
      <c r="ML41" s="221" t="e">
        <f>#REF!</f>
        <v>#REF!</v>
      </c>
      <c r="MM41" s="218"/>
      <c r="MS41" s="221" t="e">
        <f>#REF!</f>
        <v>#REF!</v>
      </c>
      <c r="MT41" s="218"/>
      <c r="MZ41" s="221" t="e">
        <f>#REF!</f>
        <v>#REF!</v>
      </c>
      <c r="NA41" s="218"/>
      <c r="NG41" s="221" t="e">
        <f>#REF!</f>
        <v>#REF!</v>
      </c>
      <c r="NH41" s="218"/>
      <c r="NN41" s="221" t="e">
        <f>#REF!</f>
        <v>#REF!</v>
      </c>
      <c r="NO41" s="218"/>
      <c r="NU41" s="221" t="e">
        <f>#REF!</f>
        <v>#REF!</v>
      </c>
      <c r="NV41" s="218"/>
      <c r="OB41" s="221" t="e">
        <f>#REF!</f>
        <v>#REF!</v>
      </c>
    </row>
    <row r="42" spans="4:392" x14ac:dyDescent="0.3">
      <c r="H42" s="212" t="s">
        <v>497</v>
      </c>
      <c r="I42" s="215">
        <f>COUNTIF(Tableau13[lun.10],"&lt;&gt;"&amp;"A.")</f>
        <v>35</v>
      </c>
      <c r="J42" s="209">
        <f>COUNTIF(Tableau13[mar.11],"&lt;&gt;"&amp;"A.")</f>
        <v>35</v>
      </c>
      <c r="K42" s="209">
        <f>COUNTIF(Tableau13[mer.12],"&lt;&gt;"&amp;"A.")</f>
        <v>35</v>
      </c>
      <c r="L42" s="209">
        <f>COUNTIF(Tableau13[jeu.13],"&lt;&gt;"&amp;"A.")</f>
        <v>35</v>
      </c>
      <c r="M42" s="209">
        <f>COUNTIF(Tableau13[ven.14],"&lt;&gt;"&amp;"A.")</f>
        <v>35</v>
      </c>
      <c r="N42" s="231">
        <f>AVERAGE(I42:M42)</f>
        <v>35</v>
      </c>
      <c r="O42" s="209">
        <f>COUNTIF(Tableau13[dim.16],"&lt;&gt;"&amp;"A.")</f>
        <v>35</v>
      </c>
      <c r="P42" s="209">
        <f>COUNTIF(Tableau13[lun.17],"&lt;&gt;"&amp;"A.")</f>
        <v>35</v>
      </c>
      <c r="Q42" s="209">
        <f>COUNTIF(Tableau13[mar.18],"&lt;&gt;"&amp;"A.")</f>
        <v>35</v>
      </c>
      <c r="R42" s="209">
        <f>COUNTIF(Tableau13[mer.19],"&lt;&gt;"&amp;"A.")</f>
        <v>35</v>
      </c>
      <c r="S42" s="209">
        <f>COUNTIF(Tableau13[jeu.20],"&lt;&gt;"&amp;"A.")</f>
        <v>35</v>
      </c>
      <c r="T42" s="209">
        <f>COUNTIF(Tableau13[ven.21],"&lt;&gt;"&amp;"A.")</f>
        <v>35</v>
      </c>
      <c r="U42" s="231">
        <f>AVERAGE(P42:T42)</f>
        <v>35</v>
      </c>
      <c r="V42" s="209">
        <f>COUNTIF(Tableau13[dim.23],"&lt;&gt;"&amp;"A.")</f>
        <v>35</v>
      </c>
      <c r="W42" s="209">
        <f>COUNTIF(Tableau13[lun.24],"&lt;&gt;"&amp;"A.")</f>
        <v>34</v>
      </c>
      <c r="X42" s="209">
        <f>COUNTIF(Tableau13[mar.25],"&lt;&gt;"&amp;"A.")</f>
        <v>34</v>
      </c>
      <c r="Y42" s="209">
        <f>COUNTIF(Tableau13[mer.26],"&lt;&gt;"&amp;"A.")</f>
        <v>34</v>
      </c>
      <c r="Z42" s="209">
        <f>COUNTIF(Tableau13[jeu.27],"&lt;&gt;"&amp;"A.")</f>
        <v>34</v>
      </c>
      <c r="AA42" s="209">
        <f>COUNTIF(Tableau13[ven.28],"&lt;&gt;"&amp;"A.")</f>
        <v>34</v>
      </c>
      <c r="AB42" s="231">
        <f>AVERAGE(W42:AA42)</f>
        <v>34</v>
      </c>
      <c r="AC42" s="209">
        <f>COUNTIF(Tableau13[dim.30],"&lt;&gt;"&amp;"A.")</f>
        <v>33</v>
      </c>
      <c r="AD42" s="209">
        <f>COUNTIF(Tableau13[lun.01],"&lt;&gt;"&amp;"A.")</f>
        <v>34</v>
      </c>
      <c r="AE42" s="209">
        <f>COUNTIF(Tableau13[mar.02],"&lt;&gt;"&amp;"A.")</f>
        <v>34</v>
      </c>
      <c r="AF42" s="209">
        <f>COUNTIF(Tableau13[mer.03],"&lt;&gt;"&amp;"A.")</f>
        <v>34</v>
      </c>
      <c r="AG42" s="209">
        <f>COUNTIF(Tableau13[jeu.04],"&lt;&gt;"&amp;"A.")</f>
        <v>34</v>
      </c>
      <c r="AH42" s="209">
        <f>COUNTIF(Tableau13[ven.05],"&lt;&gt;"&amp;"A.")</f>
        <v>34</v>
      </c>
      <c r="AI42" s="231">
        <f>AVERAGE(AD42:AH42)</f>
        <v>34</v>
      </c>
      <c r="AJ42" s="209">
        <f>COUNTIF(Tableau13[dim.07],"&lt;&gt;"&amp;"A.")</f>
        <v>33</v>
      </c>
      <c r="AK42" s="209">
        <f>COUNTIF(Tableau13[lun.08],"&lt;&gt;"&amp;"A.")</f>
        <v>33</v>
      </c>
      <c r="AL42" s="209">
        <f>COUNTIF(Tableau13[mar.09],"&lt;&gt;"&amp;"A.")</f>
        <v>33</v>
      </c>
      <c r="AM42" s="209">
        <f>COUNTIF(Tableau13[mer.10],"&lt;&gt;"&amp;"A.")</f>
        <v>33</v>
      </c>
      <c r="AN42" s="209">
        <f>COUNTIF(Tableau13[jeu.11],"&lt;&gt;"&amp;"A.")</f>
        <v>33</v>
      </c>
      <c r="AO42" s="209">
        <f>COUNTIF(Tableau13[ven.12],"&lt;&gt;"&amp;"A.")</f>
        <v>33</v>
      </c>
      <c r="AP42" s="231">
        <f>AVERAGE(AK42:AO42)</f>
        <v>33</v>
      </c>
      <c r="AQ42" s="209">
        <f>COUNTIF(Tableau13[dim.14],"&lt;&gt;"&amp;"A.")</f>
        <v>35</v>
      </c>
      <c r="AR42" s="209">
        <f>COUNTIF(Tableau13[lun.15],"&lt;&gt;"&amp;"A.")</f>
        <v>33</v>
      </c>
      <c r="AS42" s="209">
        <f>COUNTIF(Tableau13[mar.16],"&lt;&gt;"&amp;"A.")</f>
        <v>33</v>
      </c>
      <c r="AT42" s="209">
        <f>COUNTIF(Tableau13[mer.17],"&lt;&gt;"&amp;"A.")</f>
        <v>33</v>
      </c>
      <c r="AU42" s="209">
        <f>COUNTIF(Tableau13[jeu.18],"&lt;&gt;"&amp;"A.")</f>
        <v>33</v>
      </c>
      <c r="AV42" s="209">
        <f>COUNTIF(Tableau13[ven.19],"&lt;&gt;"&amp;"A.")</f>
        <v>33</v>
      </c>
      <c r="AW42" s="231">
        <f>AVERAGE(AR42:AV42)</f>
        <v>33</v>
      </c>
      <c r="AX42" s="209">
        <f>COUNTIF(Tableau13[dim.21],"&lt;&gt;"&amp;"A.")</f>
        <v>35</v>
      </c>
      <c r="AY42" s="209">
        <f>COUNTIF(Tableau13[lun.03],"&lt;&gt;"&amp;"A.")</f>
        <v>34</v>
      </c>
      <c r="AZ42" s="209">
        <f>COUNTIF(Tableau13[mar.23],"&lt;&gt;"&amp;"A.")</f>
        <v>34</v>
      </c>
      <c r="BA42" s="209">
        <f>COUNTIF(Tableau13[mer.24],"&lt;&gt;"&amp;"A.")</f>
        <v>34</v>
      </c>
      <c r="BB42" s="209">
        <f>COUNTIF(Tableau13[jeu.25],"&lt;&gt;"&amp;"A.")</f>
        <v>34</v>
      </c>
      <c r="BC42" s="209">
        <f>COUNTIF(Tableau13[ven.26],"&lt;&gt;"&amp;"A.")</f>
        <v>34</v>
      </c>
      <c r="BD42" s="231">
        <f>AVERAGE(AY42:BC42)</f>
        <v>34</v>
      </c>
      <c r="BE42" s="209">
        <f>COUNTIF(Tableau13[dim.28],"&lt;&gt;"&amp;"A.")</f>
        <v>35</v>
      </c>
      <c r="BF42" s="209">
        <f>COUNTIF(Tableau13[lun.29],"&lt;&gt;"&amp;"A.")</f>
        <v>33</v>
      </c>
      <c r="BG42" s="209">
        <f>COUNTIF(Tableau13[mar.30],"&lt;&gt;"&amp;"A.")</f>
        <v>33</v>
      </c>
      <c r="BH42" s="209">
        <f>COUNTIF(Tableau13[mer.31],"&lt;&gt;"&amp;"A.")</f>
        <v>33</v>
      </c>
      <c r="BI42" s="209">
        <f>COUNTIF(Tableau13[jeu.01],"&lt;&gt;"&amp;"A.")</f>
        <v>33</v>
      </c>
      <c r="BJ42" s="209">
        <f>COUNTIF(Tableau13[ven.02],"&lt;&gt;"&amp;"A.")</f>
        <v>33</v>
      </c>
      <c r="BK42" s="231">
        <f>AVERAGE(BF42:BJ42)</f>
        <v>33</v>
      </c>
      <c r="BL42" s="209">
        <f>COUNTIF(Tableau13[dim.04],"&lt;&gt;"&amp;"A.")</f>
        <v>33</v>
      </c>
      <c r="BM42" s="209">
        <f>COUNTIF(Tableau13[lun.05],"&lt;&gt;"&amp;"A.")</f>
        <v>34</v>
      </c>
      <c r="BN42" s="209">
        <f>COUNTIF(Tableau13[mar.06],"&lt;&gt;"&amp;"A.")</f>
        <v>34</v>
      </c>
      <c r="BO42" s="209">
        <f>COUNTIF(Tableau13[mer.07],"&lt;&gt;"&amp;"A.")</f>
        <v>34</v>
      </c>
      <c r="BP42" s="209">
        <f>COUNTIF(Tableau13[jeu.08],"&lt;&gt;"&amp;"A.")</f>
        <v>34</v>
      </c>
      <c r="BQ42" s="209">
        <f>COUNTIF(Tableau13[ven.09],"&lt;&gt;"&amp;"A.")</f>
        <v>34</v>
      </c>
      <c r="BR42" s="231">
        <f>AVERAGE(BM42:BQ42)</f>
        <v>34</v>
      </c>
      <c r="BS42" s="209">
        <f>COUNTIF(Tableau13[dim.11],"&lt;&gt;"&amp;"A.")</f>
        <v>33</v>
      </c>
      <c r="BT42" s="209">
        <f>COUNTIF(Tableau13[lun.12],"&lt;&gt;"&amp;"A.")</f>
        <v>35</v>
      </c>
      <c r="BU42" s="209">
        <f>COUNTIF(Tableau13[mar.13],"&lt;&gt;"&amp;"A.")</f>
        <v>35</v>
      </c>
      <c r="BV42" s="209">
        <f>COUNTIF(Tableau13[mer.14],"&lt;&gt;"&amp;"A.")</f>
        <v>35</v>
      </c>
      <c r="BW42" s="209">
        <f>COUNTIF(Tableau13[jeu.15],"&lt;&gt;"&amp;"A.")</f>
        <v>35</v>
      </c>
      <c r="BX42" s="209">
        <f>COUNTIF(Tableau13[ven.16],"&lt;&gt;"&amp;"A.")</f>
        <v>35</v>
      </c>
      <c r="BY42" s="231">
        <f>AVERAGE(BT42:BX42)</f>
        <v>35</v>
      </c>
      <c r="BZ42" s="209">
        <f>COUNTIF(Tableau13[dim.18],"&lt;&gt;"&amp;"A.")</f>
        <v>32</v>
      </c>
      <c r="CA42" s="209">
        <f>COUNTIF(Tableau13[lun.19],"&lt;&gt;"&amp;"A.")</f>
        <v>35</v>
      </c>
      <c r="CB42" s="209">
        <f>COUNTIF(Tableau13[mar.20],"&lt;&gt;"&amp;"A.")</f>
        <v>35</v>
      </c>
      <c r="CC42" s="209">
        <f>COUNTIF(Tableau13[mer.21],"&lt;&gt;"&amp;"A.")</f>
        <v>35</v>
      </c>
      <c r="CD42" s="209">
        <f>COUNTIF(Tableau13[jeu.22],"&lt;&gt;"&amp;"A.")</f>
        <v>35</v>
      </c>
      <c r="CE42" s="209">
        <f>COUNTIF(Tableau13[ven.23],"&lt;&gt;"&amp;"A.")</f>
        <v>35</v>
      </c>
      <c r="CF42" s="231">
        <f>AVERAGE(CA42:CE42)</f>
        <v>35</v>
      </c>
      <c r="CG42" s="209">
        <f>COUNTIF(Tableau13[dim.25],"&lt;&gt;"&amp;"A.")</f>
        <v>34</v>
      </c>
      <c r="CH42" s="209">
        <f>COUNTIF(Tableau13[lun.26],"&lt;&gt;"&amp;"A.")</f>
        <v>31</v>
      </c>
      <c r="CI42" s="209">
        <f>COUNTIF(Tableau13[mar.27],"&lt;&gt;"&amp;"A.")</f>
        <v>31</v>
      </c>
      <c r="CJ42" s="209">
        <f>COUNTIF(Tableau13[mer.28],"&lt;&gt;"&amp;"A.")</f>
        <v>31</v>
      </c>
      <c r="CK42" s="209">
        <f>COUNTIF(Tableau13[jeu.29],"&lt;&gt;"&amp;"A.")</f>
        <v>31</v>
      </c>
      <c r="CL42" s="209">
        <f>COUNTIF(Tableau13[ven.30],"&lt;&gt;"&amp;"A.")</f>
        <v>31</v>
      </c>
      <c r="CM42" s="231">
        <f>AVERAGE(CH42:CL42)</f>
        <v>31</v>
      </c>
      <c r="CN42" s="209">
        <f>COUNTIF(Tableau13[dim.01],"&lt;&gt;"&amp;"A.")</f>
        <v>32</v>
      </c>
      <c r="CO42" s="209">
        <f>COUNTIF(Tableau13[lun.02],"&lt;&gt;"&amp;"A.")</f>
        <v>31</v>
      </c>
      <c r="CP42" s="209">
        <f>COUNTIF(Tableau13[mar.03],"&lt;&gt;"&amp;"A.")</f>
        <v>31</v>
      </c>
      <c r="CQ42" s="209">
        <f>COUNTIF(Tableau13[mer.04],"&lt;&gt;"&amp;"A.")</f>
        <v>31</v>
      </c>
      <c r="CR42" s="209">
        <f>COUNTIF(Tableau13[jeu.05],"&lt;&gt;"&amp;"A.")</f>
        <v>31</v>
      </c>
      <c r="CS42" s="209">
        <f>COUNTIF(Tableau13[ven.06],"&lt;&gt;"&amp;"A.")</f>
        <v>31</v>
      </c>
      <c r="CT42" s="231">
        <f>AVERAGE(CO42:CS42)</f>
        <v>31</v>
      </c>
      <c r="CU42" s="209">
        <f>COUNTIF(Tableau13[dim.08],"&lt;&gt;"&amp;"A.")</f>
        <v>35</v>
      </c>
      <c r="CV42" s="209">
        <f>COUNTIF(Tableau13[lun.09],"&lt;&gt;"&amp;"A.")</f>
        <v>31</v>
      </c>
      <c r="CW42" s="209">
        <f>COUNTIF(Tableau13[mar.10],"&lt;&gt;"&amp;"A.")</f>
        <v>31</v>
      </c>
      <c r="CX42" s="209">
        <f>COUNTIF(Tableau13[mer.11],"&lt;&gt;"&amp;"A.")</f>
        <v>31</v>
      </c>
      <c r="CY42" s="209">
        <f>COUNTIF(Tableau13[jeu.12],"&lt;&gt;"&amp;"A.")</f>
        <v>31</v>
      </c>
      <c r="CZ42" s="209">
        <f>COUNTIF(Tableau13[ven.13],"&lt;&gt;"&amp;"A.")</f>
        <v>31</v>
      </c>
      <c r="DA42" s="231">
        <f>AVERAGE(CV42:CZ42)</f>
        <v>31</v>
      </c>
      <c r="DB42" s="209">
        <f>COUNTIF(Tableau13[dim.15],"&lt;&gt;"&amp;"A.")</f>
        <v>35</v>
      </c>
      <c r="DC42" s="209">
        <f>COUNTIF(Tableau13[lun.16],"&lt;&gt;"&amp;"A.")</f>
        <v>32</v>
      </c>
      <c r="DD42" s="209">
        <f>COUNTIF(Tableau13[mar.17],"&lt;&gt;"&amp;"A.")</f>
        <v>32</v>
      </c>
      <c r="DE42" s="209">
        <f>COUNTIF(Tableau13[mer.18],"&lt;&gt;"&amp;"A.")</f>
        <v>32</v>
      </c>
      <c r="DF42" s="209">
        <f>COUNTIF(Tableau13[jeu.19],"&lt;&gt;"&amp;"A.")</f>
        <v>33</v>
      </c>
      <c r="DG42" s="209">
        <f>COUNTIF(Tableau13[ven.20],"&lt;&gt;"&amp;"A.")</f>
        <v>33</v>
      </c>
      <c r="DH42" s="231">
        <f>AVERAGE(DC42:DG42)</f>
        <v>32.4</v>
      </c>
      <c r="DI42" s="209">
        <f>COUNTIF(Tableau13[dim.22],"&lt;&gt;"&amp;"A.")</f>
        <v>35</v>
      </c>
      <c r="DJ42" s="209">
        <f>COUNTIF(Tableau13[lun.23],"&lt;&gt;"&amp;"A.")</f>
        <v>30</v>
      </c>
      <c r="DK42" s="209">
        <f>COUNTIF(Tableau13[mar.24],"&lt;&gt;"&amp;"A.")</f>
        <v>30</v>
      </c>
      <c r="DL42" s="209">
        <f>COUNTIF(Tableau13[mer.25],"&lt;&gt;"&amp;"A.")</f>
        <v>30</v>
      </c>
      <c r="DM42" s="209">
        <f>COUNTIF(Tableau13[jeu.26],"&lt;&gt;"&amp;"A.")</f>
        <v>30</v>
      </c>
      <c r="DN42" s="209">
        <f>COUNTIF(Tableau13[ven.27],"&lt;&gt;"&amp;"A.")</f>
        <v>30</v>
      </c>
      <c r="DO42" s="231">
        <f>AVERAGE(DJ42:DN42)</f>
        <v>30</v>
      </c>
      <c r="DP42" s="209">
        <f>COUNTIF(Tableau13[dim.29],"&lt;&gt;"&amp;"A.")</f>
        <v>35</v>
      </c>
      <c r="DQ42" s="209">
        <f>COUNTIF(Tableau13[lun.30],"&lt;&gt;"&amp;"A.")</f>
        <v>30</v>
      </c>
      <c r="DR42" s="209">
        <f>COUNTIF(Tableau13[mar.01],"&lt;&gt;"&amp;"A.")</f>
        <v>30</v>
      </c>
      <c r="DS42" s="209">
        <f>COUNTIF(Tableau13[mer.02],"&lt;&gt;"&amp;"A.")</f>
        <v>31</v>
      </c>
      <c r="DT42" s="209">
        <f>COUNTIF(Tableau13[jeu.03],"&lt;&gt;"&amp;"A.")</f>
        <v>30</v>
      </c>
      <c r="DU42" s="209">
        <f>COUNTIF(Tableau13[ven.04],"&lt;&gt;"&amp;"A.")</f>
        <v>29</v>
      </c>
      <c r="DV42" s="231">
        <f>AVERAGE(DQ42:DU42)</f>
        <v>30</v>
      </c>
      <c r="DW42" s="209">
        <f>COUNTIF(Tableau13[dim.06],"&lt;&gt;"&amp;"A.")</f>
        <v>35</v>
      </c>
      <c r="DX42" s="209">
        <f>COUNTIF(Tableau13[lun.07],"&lt;&gt;"&amp;"A.")</f>
        <v>7</v>
      </c>
      <c r="DY42" s="209">
        <f>COUNTIF(Tableau13[mar.08],"&lt;&gt;"&amp;"A.")</f>
        <v>29</v>
      </c>
      <c r="DZ42" s="209">
        <f>COUNTIF(Tableau13[mer.09],"&lt;&gt;"&amp;"A.")</f>
        <v>29</v>
      </c>
      <c r="EA42" s="209">
        <f>COUNTIF(Tableau13[jeu.10],"&lt;&gt;"&amp;"A.")</f>
        <v>29</v>
      </c>
      <c r="EB42" s="209">
        <f>COUNTIF(Tableau13[ven.11],"&lt;&gt;"&amp;"A.")</f>
        <v>29</v>
      </c>
      <c r="EC42" s="231">
        <f>AVERAGE(DX42:EB42)</f>
        <v>24.6</v>
      </c>
      <c r="ED42" s="209">
        <f>COUNTIF(Tableau13[dim.13],"&lt;&gt;"&amp;"A.")</f>
        <v>35</v>
      </c>
      <c r="EE42" s="209">
        <f>COUNTIF(Tableau13[lun.14],"&lt;&gt;"&amp;"A.")</f>
        <v>32</v>
      </c>
      <c r="EF42" s="209">
        <f>COUNTIF(Tableau13[mar.15],"&lt;&gt;"&amp;"A.")</f>
        <v>32</v>
      </c>
      <c r="EG42" s="209">
        <f>COUNTIF(Tableau13[mer.16],"&lt;&gt;"&amp;"A.")</f>
        <v>32</v>
      </c>
      <c r="EH42" s="209">
        <f>COUNTIF(Tableau13[jeu.17],"&lt;&gt;"&amp;"A.")</f>
        <v>7</v>
      </c>
      <c r="EI42" s="209">
        <f>COUNTIF(Tableau13[ven.18],"&lt;&gt;"&amp;"A.")</f>
        <v>32</v>
      </c>
      <c r="EJ42" s="231">
        <f>AVERAGE(EE42:EI42)</f>
        <v>27</v>
      </c>
      <c r="EK42" s="209">
        <f>COUNTIF(Tableau13[dim.20],"&lt;&gt;"&amp;"A.")</f>
        <v>35</v>
      </c>
      <c r="EL42" s="209">
        <f>COUNTIF(Tableau13[lun.21],"&lt;&gt;"&amp;"A.")</f>
        <v>31</v>
      </c>
      <c r="EM42" s="209">
        <f>COUNTIF(Tableau13[mar.22],"&lt;&gt;"&amp;"A.")</f>
        <v>31</v>
      </c>
      <c r="EN42" s="209">
        <f>COUNTIF(Tableau13[mer.23],"&lt;&gt;"&amp;"A.")</f>
        <v>31</v>
      </c>
      <c r="EO42" s="209">
        <f>COUNTIF(Tableau13[jeu.24],"&lt;&gt;"&amp;"A.")</f>
        <v>31</v>
      </c>
      <c r="EP42" s="209">
        <f>COUNTIF(Tableau13[ven.25],"&lt;&gt;"&amp;"A.")</f>
        <v>31</v>
      </c>
      <c r="EQ42" s="231">
        <f>AVERAGE(EL42:EP42)</f>
        <v>31</v>
      </c>
      <c r="ER42" s="209">
        <f>COUNTIF(Tableau13[dim.27],"&lt;&gt;"&amp;"A.")</f>
        <v>35</v>
      </c>
      <c r="ES42" s="209">
        <f>COUNTIF(Tableau13[lun.28],"&lt;&gt;"&amp;"A.")</f>
        <v>33</v>
      </c>
      <c r="ET42" s="209">
        <f>COUNTIF(Tableau13[mar.29],"&lt;&gt;"&amp;"A.")</f>
        <v>33</v>
      </c>
      <c r="EU42" s="209">
        <f>COUNTIF(Tableau13[mer.30],"&lt;&gt;"&amp;"A.")</f>
        <v>33</v>
      </c>
      <c r="EV42" s="209">
        <f>COUNTIF(Tableau13[jeu.31],"&lt;&gt;"&amp;"A.")</f>
        <v>33</v>
      </c>
      <c r="EW42" s="209">
        <f>COUNTIF(Tableau13[ven.01],"&lt;&gt;"&amp;"A.")</f>
        <v>33</v>
      </c>
      <c r="EX42" s="231">
        <f>AVERAGE(ES42:EW42)</f>
        <v>33</v>
      </c>
      <c r="EY42" s="209">
        <f>COUNTIF(Tableau13[dim.03],"&lt;&gt;"&amp;"A.")</f>
        <v>35</v>
      </c>
      <c r="EZ42" s="209">
        <f>COUNTIF(Tableau13[lun.04],"&lt;&gt;"&amp;"A.")</f>
        <v>30</v>
      </c>
      <c r="FA42" s="209">
        <f>COUNTIF(Tableau13[mar.05],"&lt;&gt;"&amp;"A.")</f>
        <v>30</v>
      </c>
      <c r="FB42" s="209">
        <f>COUNTIF(Tableau13[mer.06],"&lt;&gt;"&amp;"A.")</f>
        <v>30</v>
      </c>
      <c r="FC42" s="209">
        <f>COUNTIF(Tableau13[jeu.07],"&lt;&gt;"&amp;"A.")</f>
        <v>30</v>
      </c>
      <c r="FD42" s="209">
        <f>COUNTIF(Tableau13[ven.08],"&lt;&gt;"&amp;"A.")</f>
        <v>30</v>
      </c>
      <c r="FE42" s="231">
        <f>AVERAGE(EZ42:FD42)</f>
        <v>30</v>
      </c>
      <c r="FF42" s="209">
        <f>COUNTIF(Tableau13[dim.10],"&lt;&gt;"&amp;"A.")</f>
        <v>35</v>
      </c>
      <c r="FG42" s="209">
        <f>COUNTIF(Tableau13[lun.11],"&lt;&gt;"&amp;"A.")</f>
        <v>31</v>
      </c>
      <c r="FH42" s="209">
        <f>COUNTIF(Tableau13[mar.12],"&lt;&gt;"&amp;"A.")</f>
        <v>31</v>
      </c>
      <c r="FI42" s="209">
        <f>COUNTIF(Tableau13[mer.13],"&lt;&gt;"&amp;"A.")</f>
        <v>31</v>
      </c>
      <c r="FJ42" s="209">
        <f>COUNTIF(Tableau13[jeu.14],"&lt;&gt;"&amp;"A.")</f>
        <v>31</v>
      </c>
      <c r="FK42" s="209">
        <f>COUNTIF(Tableau13[ven.15],"&lt;&gt;"&amp;"A.")</f>
        <v>31</v>
      </c>
      <c r="FL42" s="231">
        <f>AVERAGE(FG42:FK42)</f>
        <v>31</v>
      </c>
      <c r="FM42" s="209">
        <f>COUNTIF(Tableau13[dim.17],"&lt;&gt;"&amp;"A.")</f>
        <v>35</v>
      </c>
      <c r="FN42" s="209">
        <f>COUNTIF(Tableau13[lun.18],"&lt;&gt;"&amp;"A.")</f>
        <v>6</v>
      </c>
      <c r="FO42" s="209">
        <f>COUNTIF(Tableau13[mar.19],"&lt;&gt;"&amp;"A.")</f>
        <v>32</v>
      </c>
      <c r="FP42" s="209">
        <f>COUNTIF(Tableau13[mer.20],"&lt;&gt;"&amp;"A.")</f>
        <v>32</v>
      </c>
      <c r="FQ42" s="209">
        <f>COUNTIF(Tableau13[jeu.21],"&lt;&gt;"&amp;"A.")</f>
        <v>32</v>
      </c>
      <c r="FR42" s="209">
        <f>COUNTIF(Tableau13[ven.22],"&lt;&gt;"&amp;"A.")</f>
        <v>32</v>
      </c>
      <c r="FS42" s="231">
        <f>AVERAGE(FN42:FR42)</f>
        <v>26.8</v>
      </c>
      <c r="FT42" s="209">
        <f>COUNTIF(Tableau13[dim.24],"&lt;&gt;"&amp;"A.")</f>
        <v>35</v>
      </c>
      <c r="FU42" s="209">
        <f>COUNTIF(Tableau13[lun.25],"&lt;&gt;"&amp;"A.")</f>
        <v>32</v>
      </c>
      <c r="FV42" s="209">
        <f>COUNTIF(Tableau13[mar.26],"&lt;&gt;"&amp;"A.")</f>
        <v>32</v>
      </c>
      <c r="FW42" s="209">
        <f>COUNTIF(Tableau13[mer.27],"&lt;&gt;"&amp;"A.")</f>
        <v>32</v>
      </c>
      <c r="FX42" s="209">
        <f>COUNTIF(Tableau13[jeu.28],"&lt;&gt;"&amp;"A.")</f>
        <v>32</v>
      </c>
      <c r="FY42" s="209">
        <f>COUNTIF(Tableau13[ven.29],"&lt;&gt;"&amp;"A.")</f>
        <v>32</v>
      </c>
      <c r="FZ42" s="231">
        <f>AVERAGE(FU42:FY42)</f>
        <v>32</v>
      </c>
      <c r="GA42" s="209">
        <f>COUNTIF(Tableau13[dim.012],"&lt;&gt;"&amp;"A.")</f>
        <v>35</v>
      </c>
      <c r="GB42" s="209">
        <f>COUNTIF(Tableau13[lun.023],"&lt;&gt;"&amp;"A.")</f>
        <v>32</v>
      </c>
      <c r="GC42" s="209">
        <f>COUNTIF(Tableau13[mar.034],"&lt;&gt;"&amp;"A.")</f>
        <v>32</v>
      </c>
      <c r="GD42" s="209">
        <f>COUNTIF(Tableau13[mer.045],"&lt;&gt;"&amp;"A.")</f>
        <v>32</v>
      </c>
      <c r="GE42" s="209">
        <f>COUNTIF(Tableau13[jeu.056],"&lt;&gt;"&amp;"A.")</f>
        <v>33</v>
      </c>
      <c r="GF42" s="209">
        <f>COUNTIF(Tableau13[ven.067],"&lt;&gt;"&amp;"A.")</f>
        <v>33</v>
      </c>
      <c r="GG42" s="231">
        <f>AVERAGE(GB42:GF42)</f>
        <v>32.4</v>
      </c>
      <c r="GH42" s="209">
        <f>COUNTIF(Tableau13[dim.089],"&lt;&gt;"&amp;"A.")</f>
        <v>35</v>
      </c>
      <c r="GI42" s="209">
        <f>COUNTIF(Tableau13[lun.0910],"&lt;&gt;"&amp;"A.")</f>
        <v>28</v>
      </c>
      <c r="GJ42" s="209">
        <f>COUNTIF(Tableau13[mar.1011],"&lt;&gt;"&amp;"A.")</f>
        <v>28</v>
      </c>
      <c r="GK42" s="209">
        <f>COUNTIF(Tableau13[mer.1112],"&lt;&gt;"&amp;"A.")</f>
        <v>28</v>
      </c>
      <c r="GL42" s="209">
        <f>COUNTIF(Tableau13[jeu.1213],"&lt;&gt;"&amp;"A.")</f>
        <v>28</v>
      </c>
      <c r="GM42" s="209">
        <f>COUNTIF(Tableau13[ven.1314],"&lt;&gt;"&amp;"A.")</f>
        <v>28</v>
      </c>
      <c r="GN42" s="231">
        <f>AVERAGE(GI42:GM42)</f>
        <v>28</v>
      </c>
      <c r="GO42" s="209">
        <f>COUNTIF(Tableau13[dim.1516],"&lt;&gt;"&amp;"A.")</f>
        <v>35</v>
      </c>
      <c r="GP42" s="209">
        <f>COUNTIF(Tableau13[lun.1617],"&lt;&gt;"&amp;"A.")</f>
        <v>29</v>
      </c>
      <c r="GQ42" s="209">
        <f>COUNTIF(Tableau13[mar.1718],"&lt;&gt;"&amp;"A.")</f>
        <v>29</v>
      </c>
      <c r="GR42" s="209">
        <f>COUNTIF(Tableau13[mer.1819],"&lt;&gt;"&amp;"A.")</f>
        <v>29</v>
      </c>
      <c r="GS42" s="209">
        <f>COUNTIF(Tableau13[jeu.1920],"&lt;&gt;"&amp;"A.")</f>
        <v>29</v>
      </c>
      <c r="GT42" s="209">
        <f>COUNTIF(Tableau13[ven.2021],"&lt;&gt;"&amp;"A.")</f>
        <v>29</v>
      </c>
      <c r="GU42" s="231">
        <f>AVERAGE(GP42:GT42)</f>
        <v>29</v>
      </c>
      <c r="GV42" s="209">
        <f>COUNTIF(Tableau13[dim.2223],"&lt;&gt;"&amp;"A.")</f>
        <v>35</v>
      </c>
      <c r="GW42" s="209">
        <f>COUNTIF(Tableau13[lun.2324],"&lt;&gt;"&amp;"A.")</f>
        <v>2</v>
      </c>
      <c r="GX42" s="209">
        <f>COUNTIF(Tableau13[mar.2425],"&lt;&gt;"&amp;"A.")</f>
        <v>30</v>
      </c>
      <c r="GY42" s="209">
        <f>COUNTIF(Tableau13[mer.2526],"&lt;&gt;"&amp;"A.")</f>
        <v>30</v>
      </c>
      <c r="GZ42" s="209">
        <f>COUNTIF(Tableau13[jeu.2627],"&lt;&gt;"&amp;"A.")</f>
        <v>30</v>
      </c>
      <c r="HA42" s="209">
        <f>COUNTIF(Tableau13[ven.2728],"&lt;&gt;"&amp;"A.")</f>
        <v>30</v>
      </c>
      <c r="HB42" s="231">
        <f>AVERAGE(GW42:HA42)</f>
        <v>24.4</v>
      </c>
      <c r="HC42" s="209">
        <f>COUNTIF(Tableau13[dim.2930],"&lt;&gt;"&amp;"A.")</f>
        <v>35</v>
      </c>
      <c r="HD42" s="209">
        <f>COUNTIF(Tableau13[lun.152],"&lt;&gt;"&amp;"A.")</f>
        <v>24</v>
      </c>
      <c r="HE42" s="209">
        <f>COUNTIF(Tableau13[mar.163],"&lt;&gt;"&amp;"A.")</f>
        <v>24</v>
      </c>
      <c r="HF42" s="209">
        <f>COUNTIF(Tableau13[mer.174],"&lt;&gt;"&amp;"A.")</f>
        <v>24</v>
      </c>
      <c r="HG42" s="209">
        <f>COUNTIF(Tableau13[jeu.185],"&lt;&gt;"&amp;"A.")</f>
        <v>24</v>
      </c>
      <c r="HH42" s="209">
        <f>COUNTIF(Tableau13[ven.196],"&lt;&gt;"&amp;"A.")</f>
        <v>24</v>
      </c>
      <c r="HI42" s="231">
        <f>AVERAGE(HD42:HH42)</f>
        <v>24</v>
      </c>
      <c r="HJ42" s="209">
        <f>COUNTIF(Tableau13[dim.218],"&lt;&gt;"&amp;"A.")</f>
        <v>35</v>
      </c>
      <c r="HK42" s="209">
        <f>COUNTIF(Tableau13[lun.039],"&lt;&gt;"&amp;"A.")</f>
        <v>25</v>
      </c>
      <c r="HL42" s="209">
        <f>COUNTIF(Tableau13[mar.2310],"&lt;&gt;"&amp;"A.")</f>
        <v>25</v>
      </c>
      <c r="HM42" s="209">
        <f>COUNTIF(Tableau13[mer.2411],"&lt;&gt;"&amp;"A.")</f>
        <v>25</v>
      </c>
      <c r="HN42" s="209">
        <f>COUNTIF(Tableau13[jeu.2512],"&lt;&gt;"&amp;"A.")</f>
        <v>25</v>
      </c>
      <c r="HO42" s="209">
        <f>COUNTIF(Tableau13[ven.2613],"&lt;&gt;"&amp;"A.")</f>
        <v>25</v>
      </c>
      <c r="HP42" s="231">
        <f>AVERAGE(HK42:HO42)</f>
        <v>25</v>
      </c>
      <c r="HQ42" s="209">
        <f>COUNTIF(Tableau13[dim.2815],"&lt;&gt;"&amp;"A.")</f>
        <v>35</v>
      </c>
      <c r="HR42" s="209">
        <f>COUNTIF(Tableau13[lun.2916],"&lt;&gt;"&amp;"A.")</f>
        <v>28</v>
      </c>
      <c r="HS42" s="209">
        <f>COUNTIF(Tableau13[mar.3017],"&lt;&gt;"&amp;"A.")</f>
        <v>28</v>
      </c>
      <c r="HT42" s="209">
        <f>COUNTIF(Tableau13[mer.3118],"&lt;&gt;"&amp;"A.")</f>
        <v>28</v>
      </c>
      <c r="HU42" s="209">
        <f>COUNTIF(Tableau13[jeu.0119],"&lt;&gt;"&amp;"A.")</f>
        <v>28</v>
      </c>
      <c r="HV42" s="209">
        <f>COUNTIF(Tableau13[ven.0220],"&lt;&gt;"&amp;"A.")</f>
        <v>28</v>
      </c>
      <c r="HW42" s="231">
        <f>AVERAGE(HR42:HV42)</f>
        <v>28</v>
      </c>
      <c r="HX42" s="209">
        <f>COUNTIF(Tableau13[dim.0422],"&lt;&gt;"&amp;"A.")</f>
        <v>35</v>
      </c>
      <c r="HY42" s="209">
        <f>COUNTIF(Tableau13[lun.0523],"&lt;&gt;"&amp;"A.")</f>
        <v>29</v>
      </c>
      <c r="HZ42" s="209">
        <f>COUNTIF(Tableau13[mar.0624],"&lt;&gt;"&amp;"A.")</f>
        <v>29</v>
      </c>
      <c r="IA42" s="209">
        <f>COUNTIF(Tableau13[mer.0725],"&lt;&gt;"&amp;"A.")</f>
        <v>29</v>
      </c>
      <c r="IB42" s="209">
        <f>COUNTIF(Tableau13[jeu.0826],"&lt;&gt;"&amp;"A.")</f>
        <v>29</v>
      </c>
      <c r="IC42" s="209">
        <f>COUNTIF(Tableau13[ven.0927],"&lt;&gt;"&amp;"A.")</f>
        <v>29</v>
      </c>
      <c r="ID42" s="231">
        <f>AVERAGE(HY42:IC42)</f>
        <v>29</v>
      </c>
      <c r="IE42" s="209">
        <f>COUNTIF(Tableau13[dim.1129],"&lt;&gt;"&amp;"A.")</f>
        <v>35</v>
      </c>
      <c r="IF42" s="209">
        <f>COUNTIF(Tableau13[lun.1230],"&lt;&gt;"&amp;"A.")</f>
        <v>27</v>
      </c>
      <c r="IG42" s="209">
        <f>COUNTIF(Tableau13[mar.1331],"&lt;&gt;"&amp;"A.")</f>
        <v>27</v>
      </c>
      <c r="IH42" s="209">
        <f>COUNTIF(Tableau13[mer.1432],"&lt;&gt;"&amp;"A.")</f>
        <v>27</v>
      </c>
      <c r="II42" s="209">
        <f>COUNTIF(Tableau13[jeu.1533],"&lt;&gt;"&amp;"A.")</f>
        <v>27</v>
      </c>
      <c r="IJ42" s="209">
        <f>COUNTIF(Tableau13[ven.1634],"&lt;&gt;"&amp;"A.")</f>
        <v>27</v>
      </c>
      <c r="IK42" s="231">
        <f>AVERAGE(IF42:IJ42)</f>
        <v>27</v>
      </c>
      <c r="IL42" s="209">
        <f>COUNTIF(Tableau13[dim.1836],"&lt;&gt;"&amp;"A.")</f>
        <v>35</v>
      </c>
      <c r="IM42" s="209">
        <f>COUNTIF(Tableau13[lun.1937],"&lt;&gt;"&amp;"A.")</f>
        <v>29</v>
      </c>
      <c r="IN42" s="209">
        <f>COUNTIF(Tableau13[mar.2038],"&lt;&gt;"&amp;"A.")</f>
        <v>29</v>
      </c>
      <c r="IO42" s="209">
        <f>COUNTIF(Tableau13[mer.2139],"&lt;&gt;"&amp;"A.")</f>
        <v>29</v>
      </c>
      <c r="IP42" s="209">
        <f>COUNTIF(Tableau13[jeu.2240],"&lt;&gt;"&amp;"A.")</f>
        <v>29</v>
      </c>
      <c r="IQ42" s="209">
        <f>COUNTIF(Tableau13[ven.2341],"&lt;&gt;"&amp;"A.")</f>
        <v>29</v>
      </c>
      <c r="IR42" s="231">
        <f>AVERAGE(IM42:IQ42)</f>
        <v>29</v>
      </c>
      <c r="IS42" s="209">
        <f>COUNTIF(Tableau13[dim.2543],"&lt;&gt;"&amp;"A.")</f>
        <v>35</v>
      </c>
      <c r="IT42" s="209">
        <f>COUNTIF(Tableau13[lun.2644],"&lt;&gt;"&amp;"A.")</f>
        <v>28</v>
      </c>
      <c r="IU42" s="209">
        <f>COUNTIF(Tableau13[mar.2745],"&lt;&gt;"&amp;"A.")</f>
        <v>28</v>
      </c>
      <c r="IV42" s="209">
        <f>COUNTIF(Tableau13[mer.2846],"&lt;&gt;"&amp;"A.")</f>
        <v>28</v>
      </c>
      <c r="IW42" s="209">
        <f>COUNTIF(Tableau13[jeu.2947],"&lt;&gt;"&amp;"A.")</f>
        <v>28</v>
      </c>
      <c r="IX42" s="209">
        <f>COUNTIF(Tableau13[ven.3048],"&lt;&gt;"&amp;"A.")</f>
        <v>28</v>
      </c>
      <c r="IY42" s="231">
        <f>AVERAGE(IT42:IX42)</f>
        <v>28</v>
      </c>
      <c r="IZ42" s="209">
        <f>COUNTIF(Tableau13[dim.0150],"&lt;&gt;"&amp;"A.")</f>
        <v>35</v>
      </c>
      <c r="JA42" s="209">
        <f>COUNTIF(Tableau13[lun.0251],"&lt;&gt;"&amp;"A.")</f>
        <v>32</v>
      </c>
      <c r="JB42" s="209">
        <f>COUNTIF(Tableau13[mar.0352],"&lt;&gt;"&amp;"A.")</f>
        <v>32</v>
      </c>
      <c r="JC42" s="209">
        <f>COUNTIF(Tableau13[mer.0453],"&lt;&gt;"&amp;"A.")</f>
        <v>32</v>
      </c>
      <c r="JD42" s="209">
        <f>COUNTIF(Tableau13[jeu.0554],"&lt;&gt;"&amp;"A.")</f>
        <v>32</v>
      </c>
      <c r="JE42" s="209">
        <f>COUNTIF(Tableau13[ven.0655],"&lt;&gt;"&amp;"A.")</f>
        <v>32</v>
      </c>
      <c r="JF42" s="231">
        <f>AVERAGE(JA42:JE42)</f>
        <v>32</v>
      </c>
      <c r="JG42" s="209">
        <f>COUNTIF(Tableau13[dim.0857],"&lt;&gt;"&amp;"A.")</f>
        <v>35</v>
      </c>
      <c r="JH42" s="209">
        <f>COUNTIF(Tableau13[lun.0958],"&lt;&gt;"&amp;"A.")</f>
        <v>34</v>
      </c>
      <c r="JI42" s="209">
        <f>COUNTIF(Tableau13[mar.1059],"&lt;&gt;"&amp;"A.")</f>
        <v>34</v>
      </c>
      <c r="JJ42" s="209">
        <f>COUNTIF(Tableau13[mer.1160],"&lt;&gt;"&amp;"A.")</f>
        <v>34</v>
      </c>
      <c r="JK42" s="209">
        <f>COUNTIF(Tableau13[jeu.1261],"&lt;&gt;"&amp;"A.")</f>
        <v>34</v>
      </c>
      <c r="JL42" s="209">
        <f>COUNTIF(Tableau13[ven.1362],"&lt;&gt;"&amp;"A.")</f>
        <v>34</v>
      </c>
      <c r="JM42" s="231">
        <f>AVERAGE(JH42:JL42)</f>
        <v>34</v>
      </c>
      <c r="JN42" s="209">
        <f>COUNTIF(Tableau13[dim.1564],"&lt;&gt;"&amp;"A.")</f>
        <v>35</v>
      </c>
      <c r="JO42" s="209">
        <f>COUNTIF(Tableau13[lun.1665],"&lt;&gt;"&amp;"A.")</f>
        <v>34</v>
      </c>
      <c r="JP42" s="209">
        <f>COUNTIF(Tableau13[mar.1766],"&lt;&gt;"&amp;"A.")</f>
        <v>34</v>
      </c>
      <c r="JQ42" s="209">
        <f>COUNTIF(Tableau13[mer.1867],"&lt;&gt;"&amp;"A.")</f>
        <v>34</v>
      </c>
      <c r="JR42" s="209">
        <f>COUNTIF(Tableau13[jeu.1968],"&lt;&gt;"&amp;"A.")</f>
        <v>34</v>
      </c>
      <c r="JS42" s="209">
        <f>COUNTIF(Tableau13[ven.2069],"&lt;&gt;"&amp;"A.")</f>
        <v>34</v>
      </c>
      <c r="JT42" s="231">
        <f>AVERAGE(JO42:JS42)</f>
        <v>34</v>
      </c>
      <c r="JU42" s="209">
        <f>COUNTIF(Tableau13[dim.2271],"&lt;&gt;"&amp;"A.")</f>
        <v>35</v>
      </c>
      <c r="JV42" s="209">
        <f>COUNTIF(Tableau13[lun.2372],"&lt;&gt;"&amp;"A.")</f>
        <v>35</v>
      </c>
      <c r="JW42" s="209">
        <f>COUNTIF(Tableau13[mar.2473],"&lt;&gt;"&amp;"A.")</f>
        <v>35</v>
      </c>
      <c r="JX42" s="209">
        <f>COUNTIF(Tableau13[mer.2574],"&lt;&gt;"&amp;"A.")</f>
        <v>35</v>
      </c>
      <c r="JY42" s="209">
        <f>COUNTIF(Tableau13[jeu.2675],"&lt;&gt;"&amp;"A.")</f>
        <v>35</v>
      </c>
      <c r="JZ42" s="209">
        <f>COUNTIF(Tableau13[ven.2776],"&lt;&gt;"&amp;"A.")</f>
        <v>35</v>
      </c>
      <c r="KA42" s="231">
        <f>AVERAGE(JV42:JZ42)</f>
        <v>35</v>
      </c>
      <c r="KB42" s="209">
        <f>COUNTIF(Tableau13[dim.2978],"&lt;&gt;"&amp;"A.")</f>
        <v>35</v>
      </c>
      <c r="KC42" s="209">
        <f>COUNTIF(Tableau13[lun.3079],"&lt;&gt;"&amp;"A.")</f>
        <v>35</v>
      </c>
      <c r="KD42" s="209">
        <f>COUNTIF(Tableau13[mar.0180],"&lt;&gt;"&amp;"A.")</f>
        <v>35</v>
      </c>
      <c r="KE42" s="209">
        <f>COUNTIF(Tableau13[mer.0281],"&lt;&gt;"&amp;"A.")</f>
        <v>35</v>
      </c>
      <c r="KF42" s="209">
        <f>COUNTIF(Tableau13[jeu.0382],"&lt;&gt;"&amp;"A.")</f>
        <v>35</v>
      </c>
      <c r="KG42" s="209">
        <f>COUNTIF(Tableau13[ven.0483],"&lt;&gt;"&amp;"A.")</f>
        <v>35</v>
      </c>
      <c r="KH42" s="231">
        <f>AVERAGE(KC42:KG42)</f>
        <v>35</v>
      </c>
      <c r="KI42" s="209">
        <f>COUNTIF(Tableau13[dim.0685],"&lt;&gt;"&amp;"A.")</f>
        <v>35</v>
      </c>
      <c r="KJ42" s="209">
        <f>COUNTIF(Tableau13[lun.0786],"&lt;&gt;"&amp;"A.")</f>
        <v>35</v>
      </c>
      <c r="KK42" s="209">
        <f>COUNTIF(Tableau13[mar.0887],"&lt;&gt;"&amp;"A.")</f>
        <v>35</v>
      </c>
      <c r="KL42" s="209">
        <f>COUNTIF(Tableau13[mer.0988],"&lt;&gt;"&amp;"A.")</f>
        <v>35</v>
      </c>
      <c r="KM42" s="209">
        <f>COUNTIF(Tableau13[jeu.1089],"&lt;&gt;"&amp;"A.")</f>
        <v>35</v>
      </c>
      <c r="KN42" s="209">
        <f>COUNTIF(Tableau13[ven.1190],"&lt;&gt;"&amp;"A.")</f>
        <v>35</v>
      </c>
      <c r="KO42" s="231">
        <f>AVERAGE(KJ42:KN42)</f>
        <v>35</v>
      </c>
      <c r="KP42" s="209">
        <f>COUNTIF(Tableau13[dim.1392],"&lt;&gt;"&amp;"A.")</f>
        <v>35</v>
      </c>
      <c r="KQ42" s="209">
        <f>COUNTIF(Tableau13[lun.1493],"&lt;&gt;"&amp;"A.")</f>
        <v>35</v>
      </c>
      <c r="KR42" s="209">
        <f>COUNTIF(Tableau13[mar.1594],"&lt;&gt;"&amp;"A.")</f>
        <v>35</v>
      </c>
      <c r="KS42" s="209">
        <f>COUNTIF(Tableau13[mer.1695],"&lt;&gt;"&amp;"A.")</f>
        <v>35</v>
      </c>
      <c r="KT42" s="209">
        <f>COUNTIF(Tableau13[jeu.1796],"&lt;&gt;"&amp;"A.")</f>
        <v>35</v>
      </c>
      <c r="KU42" s="209">
        <f>COUNTIF(Tableau13[ven.1897],"&lt;&gt;"&amp;"A.")</f>
        <v>35</v>
      </c>
      <c r="KV42" s="231">
        <f>AVERAGE(KQ42:KU42)</f>
        <v>35</v>
      </c>
      <c r="KW42" s="209">
        <f>COUNTIF(Tableau13[dim.2099],"&lt;&gt;"&amp;"A.")</f>
        <v>35</v>
      </c>
      <c r="KX42" s="209">
        <f>COUNTIF(Tableau13[lun.21100],"&lt;&gt;"&amp;"A.")</f>
        <v>35</v>
      </c>
      <c r="KY42" s="209">
        <f>COUNTIF(Tableau13[mar.22101],"&lt;&gt;"&amp;"A.")</f>
        <v>35</v>
      </c>
      <c r="KZ42" s="209">
        <f>COUNTIF(Tableau13[mer.23102],"&lt;&gt;"&amp;"A.")</f>
        <v>35</v>
      </c>
      <c r="LA42" s="209">
        <f>COUNTIF(Tableau13[jeu.24103],"&lt;&gt;"&amp;"A.")</f>
        <v>35</v>
      </c>
      <c r="LB42" s="209">
        <f>COUNTIF(Tableau13[ven.25104],"&lt;&gt;"&amp;"A.")</f>
        <v>35</v>
      </c>
      <c r="LC42" s="231">
        <f>AVERAGE(KX42:LB42)</f>
        <v>35</v>
      </c>
      <c r="LD42" s="209">
        <f>COUNTIF(Tableau13[dim.27106],"&lt;&gt;"&amp;"A.")</f>
        <v>35</v>
      </c>
      <c r="LE42" s="209">
        <f>COUNTIF(Tableau13[lun.28107],"&lt;&gt;"&amp;"A.")</f>
        <v>35</v>
      </c>
      <c r="LF42" s="209">
        <f>COUNTIF(Tableau13[mar.29108],"&lt;&gt;"&amp;"A.")</f>
        <v>35</v>
      </c>
      <c r="LG42" s="209">
        <f>COUNTIF(Tableau13[mer.30109],"&lt;&gt;"&amp;"A.")</f>
        <v>35</v>
      </c>
      <c r="LH42" s="209">
        <f>COUNTIF(Tableau13[jeu.31110],"&lt;&gt;"&amp;"A.")</f>
        <v>35</v>
      </c>
      <c r="LI42" s="209">
        <f>COUNTIF(Tableau13[ven.01111],"&lt;&gt;"&amp;"A.")</f>
        <v>35</v>
      </c>
      <c r="LJ42" s="231">
        <f>AVERAGE(LE42:LI42)</f>
        <v>35</v>
      </c>
      <c r="LK42" s="209">
        <f>COUNTIF(Tableau13[dim.03113],"&lt;&gt;"&amp;"A.")</f>
        <v>35</v>
      </c>
      <c r="LL42" s="209">
        <f>COUNTIF(Tableau13[lun.04114],"&lt;&gt;"&amp;"A.")</f>
        <v>35</v>
      </c>
      <c r="LM42" s="209">
        <f>COUNTIF(Tableau13[mar.05115],"&lt;&gt;"&amp;"A.")</f>
        <v>35</v>
      </c>
      <c r="LN42" s="209">
        <f>COUNTIF(Tableau13[mer.06116],"&lt;&gt;"&amp;"A.")</f>
        <v>35</v>
      </c>
      <c r="LO42" s="209">
        <f>COUNTIF(Tableau13[jeu.07117],"&lt;&gt;"&amp;"A.")</f>
        <v>35</v>
      </c>
      <c r="LP42" s="209">
        <f>COUNTIF(Tableau13[ven.08118],"&lt;&gt;"&amp;"A.")</f>
        <v>35</v>
      </c>
      <c r="LQ42" s="231">
        <f>AVERAGE(LL42:LP42)</f>
        <v>35</v>
      </c>
      <c r="LR42" s="209">
        <f>COUNTIF(Tableau13[dim.10120],"&lt;&gt;"&amp;"A.")</f>
        <v>35</v>
      </c>
      <c r="LS42" s="209">
        <f>COUNTIF(Tableau13[lun.11121],"&lt;&gt;"&amp;"A.")</f>
        <v>35</v>
      </c>
      <c r="LT42" s="209">
        <f>COUNTIF(Tableau13[mar.12122],"&lt;&gt;"&amp;"A.")</f>
        <v>35</v>
      </c>
      <c r="LU42" s="209">
        <f>COUNTIF(Tableau13[mer.13123],"&lt;&gt;"&amp;"A.")</f>
        <v>35</v>
      </c>
      <c r="LV42" s="209">
        <f>COUNTIF(Tableau13[jeu.14124],"&lt;&gt;"&amp;"A.")</f>
        <v>35</v>
      </c>
      <c r="LW42" s="209">
        <f>COUNTIF(Tableau13[ven.15125],"&lt;&gt;"&amp;"A.")</f>
        <v>35</v>
      </c>
      <c r="LX42" s="231">
        <f>AVERAGE(LS42:LW42)</f>
        <v>35</v>
      </c>
      <c r="LY42" s="209">
        <f>COUNTIF(Tableau13[dim.17127],"&lt;&gt;"&amp;"A.")</f>
        <v>35</v>
      </c>
      <c r="LZ42" s="209">
        <f>COUNTIF(Tableau13[lun.18128],"&lt;&gt;"&amp;"A.")</f>
        <v>35</v>
      </c>
      <c r="MA42" s="209">
        <f>COUNTIF(Tableau13[mar.19129],"&lt;&gt;"&amp;"A.")</f>
        <v>35</v>
      </c>
      <c r="MB42" s="209">
        <f>COUNTIF(Tableau13[mer.20130],"&lt;&gt;"&amp;"A.")</f>
        <v>35</v>
      </c>
      <c r="MC42" s="209">
        <f>COUNTIF(Tableau13[jeu.21131],"&lt;&gt;"&amp;"A.")</f>
        <v>35</v>
      </c>
      <c r="MD42" s="209">
        <f>COUNTIF(Tableau13[ven.22132],"&lt;&gt;"&amp;"A.")</f>
        <v>35</v>
      </c>
      <c r="ME42" s="231">
        <f>AVERAGE(LZ42:MD42)</f>
        <v>35</v>
      </c>
      <c r="MF42" s="209">
        <f>COUNTIF(Tableau13[dim.24134],"&lt;&gt;"&amp;"A.")</f>
        <v>35</v>
      </c>
      <c r="MG42" s="209">
        <f>COUNTIF(Tableau13[lun.25135],"&lt;&gt;"&amp;"A.")</f>
        <v>35</v>
      </c>
      <c r="MH42" s="209">
        <f>COUNTIF(Tableau13[mar.26136],"&lt;&gt;"&amp;"A.")</f>
        <v>35</v>
      </c>
      <c r="MI42" s="209">
        <f>COUNTIF(Tableau13[mer.27137],"&lt;&gt;"&amp;"A.")</f>
        <v>35</v>
      </c>
      <c r="MJ42" s="209">
        <f>COUNTIF(Tableau13[jeu.28138],"&lt;&gt;"&amp;"A.")</f>
        <v>35</v>
      </c>
      <c r="MK42" s="209">
        <f>COUNTIF(Tableau13[ven.29139],"&lt;&gt;"&amp;"A.")</f>
        <v>35</v>
      </c>
      <c r="ML42" s="231">
        <f>AVERAGE(MG42:MK42)</f>
        <v>35</v>
      </c>
      <c r="MM42" s="209">
        <f>COUNTIF(Tableau13[dim.012141],"&lt;&gt;"&amp;"A.")</f>
        <v>35</v>
      </c>
      <c r="MN42" s="209">
        <f>COUNTIF(Tableau13[lun.023142],"&lt;&gt;"&amp;"A.")</f>
        <v>35</v>
      </c>
      <c r="MO42" s="209">
        <f>COUNTIF(Tableau13[mar.034143],"&lt;&gt;"&amp;"A.")</f>
        <v>35</v>
      </c>
      <c r="MP42" s="209">
        <f>COUNTIF(Tableau13[mer.045144],"&lt;&gt;"&amp;"A.")</f>
        <v>35</v>
      </c>
      <c r="MQ42" s="209">
        <f>COUNTIF(Tableau13[jeu.056145],"&lt;&gt;"&amp;"A.")</f>
        <v>35</v>
      </c>
      <c r="MR42" s="209">
        <f>COUNTIF(Tableau13[ven.067146],"&lt;&gt;"&amp;"A.")</f>
        <v>35</v>
      </c>
      <c r="MS42" s="231">
        <f>AVERAGE(MN42:MR42)</f>
        <v>35</v>
      </c>
      <c r="MT42" s="209">
        <f>COUNTIF(Tableau13[dim.089148],"&lt;&gt;"&amp;"A.")</f>
        <v>35</v>
      </c>
      <c r="MU42" s="209">
        <f>COUNTIF(Tableau13[lun.0910149],"&lt;&gt;"&amp;"A.")</f>
        <v>35</v>
      </c>
      <c r="MV42" s="209">
        <f>COUNTIF(Tableau13[mar.1011150],"&lt;&gt;"&amp;"A.")</f>
        <v>35</v>
      </c>
      <c r="MW42" s="209">
        <f>COUNTIF(Tableau13[mer.1112151],"&lt;&gt;"&amp;"A.")</f>
        <v>35</v>
      </c>
      <c r="MX42" s="209">
        <f>COUNTIF(Tableau13[jeu.1213152],"&lt;&gt;"&amp;"A.")</f>
        <v>35</v>
      </c>
      <c r="MY42" s="209">
        <f>COUNTIF(Tableau13[ven.1314153],"&lt;&gt;"&amp;"A.")</f>
        <v>35</v>
      </c>
      <c r="MZ42" s="231">
        <f>AVERAGE(MU42:MY42)</f>
        <v>35</v>
      </c>
      <c r="NA42" s="209">
        <f>COUNTIF(Tableau13[dim.1516155],"&lt;&gt;"&amp;"A.")</f>
        <v>35</v>
      </c>
      <c r="NB42" s="209">
        <f>COUNTIF(Tableau13[lun.1617156],"&lt;&gt;"&amp;"A.")</f>
        <v>35</v>
      </c>
      <c r="NC42" s="209">
        <f>COUNTIF(Tableau13[mar.1718157],"&lt;&gt;"&amp;"A.")</f>
        <v>35</v>
      </c>
      <c r="ND42" s="209">
        <f>COUNTIF(Tableau13[mer.1819158],"&lt;&gt;"&amp;"A.")</f>
        <v>35</v>
      </c>
      <c r="NE42" s="209">
        <f>COUNTIF(Tableau13[jeu.1920159],"&lt;&gt;"&amp;"A.")</f>
        <v>35</v>
      </c>
      <c r="NF42" s="209">
        <f>COUNTIF(Tableau13[ven.2021160],"&lt;&gt;"&amp;"A.")</f>
        <v>35</v>
      </c>
      <c r="NG42" s="231">
        <f>AVERAGE(NB42:NF42)</f>
        <v>35</v>
      </c>
      <c r="NH42" s="209">
        <f>COUNTIF(Tableau13[dim.2223162],"&lt;&gt;"&amp;"A.")</f>
        <v>35</v>
      </c>
      <c r="NI42" s="209">
        <f>COUNTIF(Tableau13[lun.2324163],"&lt;&gt;"&amp;"A.")</f>
        <v>35</v>
      </c>
      <c r="NJ42" s="209">
        <f>COUNTIF(Tableau13[mar.2425164],"&lt;&gt;"&amp;"A.")</f>
        <v>35</v>
      </c>
      <c r="NK42" s="209">
        <f>COUNTIF(Tableau13[mer.2526165],"&lt;&gt;"&amp;"A.")</f>
        <v>35</v>
      </c>
      <c r="NL42" s="209">
        <f>COUNTIF(Tableau13[jeu.2627166],"&lt;&gt;"&amp;"A.")</f>
        <v>35</v>
      </c>
      <c r="NM42" s="209">
        <f>COUNTIF(Tableau13[ven.2728167],"&lt;&gt;"&amp;"A.")</f>
        <v>35</v>
      </c>
      <c r="NN42" s="231">
        <f>AVERAGE(NI42:NM42)</f>
        <v>35</v>
      </c>
      <c r="NO42" s="209">
        <f>COUNTIF(Tableau13[dim.2930169],"&lt;&gt;"&amp;"A.")</f>
        <v>35</v>
      </c>
      <c r="NP42" s="209">
        <f>COUNTIF(Tableau13[lun.1617170],"&lt;&gt;"&amp;"A.")</f>
        <v>35</v>
      </c>
      <c r="NQ42" s="209">
        <f>COUNTIF(Tableau13[mar.1718171],"&lt;&gt;"&amp;"A.")</f>
        <v>35</v>
      </c>
      <c r="NR42" s="209">
        <f>COUNTIF(Tableau13[mer.1819172],"&lt;&gt;"&amp;"A.")</f>
        <v>35</v>
      </c>
      <c r="NS42" s="209">
        <f>COUNTIF(Tableau13[jeu.1920173],"&lt;&gt;"&amp;"A.")</f>
        <v>35</v>
      </c>
      <c r="NT42" s="209">
        <f>COUNTIF(Tableau13[ven.2021174],"&lt;&gt;"&amp;"A.")</f>
        <v>35</v>
      </c>
      <c r="NU42" s="231">
        <f>AVERAGE(NP42:NT42)</f>
        <v>35</v>
      </c>
      <c r="NV42" s="209">
        <f>COUNTIF(Tableau13[dim.2223176],"&lt;&gt;"&amp;"A.")</f>
        <v>35</v>
      </c>
      <c r="NW42" s="209">
        <f>COUNTIF(Tableau13[lun.2324177],"&lt;&gt;"&amp;"A.")</f>
        <v>35</v>
      </c>
      <c r="NX42" s="209">
        <f>COUNTIF(Tableau13[mar.2425178],"&lt;&gt;"&amp;"A.")</f>
        <v>35</v>
      </c>
      <c r="NY42" s="209">
        <f>COUNTIF(Tableau13[mer.2526179],"&lt;&gt;"&amp;"A.")</f>
        <v>35</v>
      </c>
      <c r="NZ42" s="209">
        <f>COUNTIF(Tableau13[jeu.2627180],"&lt;&gt;"&amp;"A.")</f>
        <v>35</v>
      </c>
      <c r="OA42" s="209">
        <f>COUNTIF(Tableau13[ven.2728181],"&lt;&gt;"&amp;"A.")</f>
        <v>35</v>
      </c>
      <c r="OB42" s="231">
        <f>AVERAGE(NW42:OA42)</f>
        <v>35</v>
      </c>
    </row>
    <row r="43" spans="4:392" x14ac:dyDescent="0.3">
      <c r="H43" s="213" t="s">
        <v>498</v>
      </c>
      <c r="I43" s="216">
        <f>COUNTIF(Tableau13[lun.10],"="&amp;"")</f>
        <v>35</v>
      </c>
      <c r="J43" s="210">
        <f>COUNTIF(Tableau13[mar.11],"="&amp;"")</f>
        <v>35</v>
      </c>
      <c r="K43" s="210">
        <f>COUNTIF(Tableau13[mer.12],"="&amp;"")</f>
        <v>35</v>
      </c>
      <c r="L43" s="210">
        <f>COUNTIF(Tableau13[jeu.13],"="&amp;"")</f>
        <v>35</v>
      </c>
      <c r="M43" s="210">
        <f>COUNTIF(Tableau13[ven.14],"="&amp;"")</f>
        <v>35</v>
      </c>
      <c r="N43" s="232">
        <f>AVERAGE(I43:M43)</f>
        <v>35</v>
      </c>
      <c r="O43" s="210">
        <f>COUNTIF(Tableau13[dim.16],"="&amp;"")</f>
        <v>35</v>
      </c>
      <c r="P43" s="210">
        <f>COUNTIF(Tableau13[lun.17],"="&amp;"")</f>
        <v>35</v>
      </c>
      <c r="Q43" s="210">
        <f>COUNTIF(Tableau13[mar.18],"="&amp;"")</f>
        <v>35</v>
      </c>
      <c r="R43" s="210">
        <f>COUNTIF(Tableau13[mer.19],"="&amp;"")</f>
        <v>35</v>
      </c>
      <c r="S43" s="210">
        <f>COUNTIF(Tableau13[jeu.20],"="&amp;"")</f>
        <v>35</v>
      </c>
      <c r="T43" s="210">
        <f>COUNTIF(Tableau13[ven.21],"="&amp;"")</f>
        <v>35</v>
      </c>
      <c r="U43" s="232">
        <f>AVERAGE(P43:T43)</f>
        <v>35</v>
      </c>
      <c r="V43" s="210">
        <f>COUNTIF(Tableau13[dim.23],"="&amp;"")</f>
        <v>35</v>
      </c>
      <c r="W43" s="210">
        <f>COUNTIF(Tableau13[lun.24],"="&amp;"")</f>
        <v>32</v>
      </c>
      <c r="X43" s="210">
        <f>COUNTIF(Tableau13[mar.25],"="&amp;"")</f>
        <v>32</v>
      </c>
      <c r="Y43" s="210">
        <f>COUNTIF(Tableau13[mer.26],"="&amp;"")</f>
        <v>32</v>
      </c>
      <c r="Z43" s="210">
        <f>COUNTIF(Tableau13[jeu.27],"="&amp;"")</f>
        <v>32</v>
      </c>
      <c r="AA43" s="210">
        <f>COUNTIF(Tableau13[ven.28],"="&amp;"")</f>
        <v>32</v>
      </c>
      <c r="AB43" s="232">
        <f>AVERAGE(W43:AA43)</f>
        <v>32</v>
      </c>
      <c r="AC43" s="210">
        <f>COUNTIF(Tableau13[dim.30],"="&amp;"")</f>
        <v>33</v>
      </c>
      <c r="AD43" s="210">
        <f>COUNTIF(Tableau13[lun.01],"="&amp;"")</f>
        <v>32</v>
      </c>
      <c r="AE43" s="210">
        <f>COUNTIF(Tableau13[mar.02],"="&amp;"")</f>
        <v>32</v>
      </c>
      <c r="AF43" s="210">
        <f>COUNTIF(Tableau13[mer.03],"="&amp;"")</f>
        <v>32</v>
      </c>
      <c r="AG43" s="210">
        <f>COUNTIF(Tableau13[jeu.04],"="&amp;"")</f>
        <v>32</v>
      </c>
      <c r="AH43" s="210">
        <f>COUNTIF(Tableau13[ven.05],"="&amp;"")</f>
        <v>32</v>
      </c>
      <c r="AI43" s="232">
        <f>AVERAGE(AD43:AH43)</f>
        <v>32</v>
      </c>
      <c r="AJ43" s="210">
        <f>COUNTIF(Tableau13[dim.07],"="&amp;"")</f>
        <v>33</v>
      </c>
      <c r="AK43" s="210">
        <f>COUNTIF(Tableau13[lun.08],"="&amp;"")</f>
        <v>30</v>
      </c>
      <c r="AL43" s="210">
        <f>COUNTIF(Tableau13[mar.09],"="&amp;"")</f>
        <v>30</v>
      </c>
      <c r="AM43" s="210">
        <f>COUNTIF(Tableau13[mer.10],"="&amp;"")</f>
        <v>30</v>
      </c>
      <c r="AN43" s="210">
        <f>COUNTIF(Tableau13[jeu.11],"="&amp;"")</f>
        <v>30</v>
      </c>
      <c r="AO43" s="210">
        <f>COUNTIF(Tableau13[ven.12],"="&amp;"")</f>
        <v>30</v>
      </c>
      <c r="AP43" s="232">
        <f>AVERAGE(AK43:AO43)</f>
        <v>30</v>
      </c>
      <c r="AQ43" s="210">
        <f>COUNTIF(Tableau13[dim.14],"="&amp;"")</f>
        <v>35</v>
      </c>
      <c r="AR43" s="210">
        <f>COUNTIF(Tableau13[lun.15],"="&amp;"")</f>
        <v>30</v>
      </c>
      <c r="AS43" s="210">
        <f>COUNTIF(Tableau13[mar.16],"="&amp;"")</f>
        <v>30</v>
      </c>
      <c r="AT43" s="210">
        <f>COUNTIF(Tableau13[mer.17],"="&amp;"")</f>
        <v>30</v>
      </c>
      <c r="AU43" s="210">
        <f>COUNTIF(Tableau13[jeu.18],"="&amp;"")</f>
        <v>30</v>
      </c>
      <c r="AV43" s="210">
        <f>COUNTIF(Tableau13[ven.19],"="&amp;"")</f>
        <v>30</v>
      </c>
      <c r="AW43" s="232">
        <f>AVERAGE(AR43:AV43)</f>
        <v>30</v>
      </c>
      <c r="AX43" s="210">
        <f>COUNTIF(Tableau13[dim.21],"="&amp;"")</f>
        <v>35</v>
      </c>
      <c r="AY43" s="210">
        <f>COUNTIF(Tableau13[lun.03],"="&amp;"")</f>
        <v>31</v>
      </c>
      <c r="AZ43" s="210">
        <f>COUNTIF(Tableau13[mar.23],"="&amp;"")</f>
        <v>31</v>
      </c>
      <c r="BA43" s="210">
        <f>COUNTIF(Tableau13[mer.24],"="&amp;"")</f>
        <v>31</v>
      </c>
      <c r="BB43" s="210">
        <f>COUNTIF(Tableau13[jeu.25],"="&amp;"")</f>
        <v>31</v>
      </c>
      <c r="BC43" s="210">
        <f>COUNTIF(Tableau13[ven.26],"="&amp;"")</f>
        <v>31</v>
      </c>
      <c r="BD43" s="232">
        <f>AVERAGE(AY43:BC43)</f>
        <v>31</v>
      </c>
      <c r="BE43" s="210">
        <f>COUNTIF(Tableau13[dim.28],"="&amp;"")</f>
        <v>35</v>
      </c>
      <c r="BF43" s="210">
        <f>COUNTIF(Tableau13[lun.29],"="&amp;"")</f>
        <v>31</v>
      </c>
      <c r="BG43" s="210">
        <f>COUNTIF(Tableau13[mar.30],"="&amp;"")</f>
        <v>31</v>
      </c>
      <c r="BH43" s="210">
        <f>COUNTIF(Tableau13[mer.31],"="&amp;"")</f>
        <v>31</v>
      </c>
      <c r="BI43" s="210">
        <f>COUNTIF(Tableau13[jeu.01],"="&amp;"")</f>
        <v>31</v>
      </c>
      <c r="BJ43" s="210">
        <f>COUNTIF(Tableau13[ven.02],"="&amp;"")</f>
        <v>31</v>
      </c>
      <c r="BK43" s="232">
        <f>AVERAGE(BF43:BJ43)</f>
        <v>31</v>
      </c>
      <c r="BL43" s="210">
        <f>COUNTIF(Tableau13[dim.04],"="&amp;"")</f>
        <v>33</v>
      </c>
      <c r="BM43" s="210">
        <f>COUNTIF(Tableau13[lun.05],"="&amp;"")</f>
        <v>31</v>
      </c>
      <c r="BN43" s="210">
        <f>COUNTIF(Tableau13[mar.06],"="&amp;"")</f>
        <v>31</v>
      </c>
      <c r="BO43" s="210">
        <f>COUNTIF(Tableau13[mer.07],"="&amp;"")</f>
        <v>31</v>
      </c>
      <c r="BP43" s="210">
        <f>COUNTIF(Tableau13[jeu.08],"="&amp;"")</f>
        <v>31</v>
      </c>
      <c r="BQ43" s="210">
        <f>COUNTIF(Tableau13[ven.09],"="&amp;"")</f>
        <v>31</v>
      </c>
      <c r="BR43" s="232">
        <f>AVERAGE(BM43:BQ43)</f>
        <v>31</v>
      </c>
      <c r="BS43" s="210">
        <f>COUNTIF(Tableau13[dim.11],"="&amp;"")</f>
        <v>33</v>
      </c>
      <c r="BT43" s="210">
        <f>COUNTIF(Tableau13[lun.12],"="&amp;"")</f>
        <v>32</v>
      </c>
      <c r="BU43" s="210">
        <f>COUNTIF(Tableau13[mar.13],"="&amp;"")</f>
        <v>32</v>
      </c>
      <c r="BV43" s="210">
        <f>COUNTIF(Tableau13[mer.14],"="&amp;"")</f>
        <v>32</v>
      </c>
      <c r="BW43" s="210">
        <f>COUNTIF(Tableau13[jeu.15],"="&amp;"")</f>
        <v>32</v>
      </c>
      <c r="BX43" s="210">
        <f>COUNTIF(Tableau13[ven.16],"="&amp;"")</f>
        <v>32</v>
      </c>
      <c r="BY43" s="232">
        <f>AVERAGE(BT43:BX43)</f>
        <v>32</v>
      </c>
      <c r="BZ43" s="210">
        <f>COUNTIF(Tableau13[dim.18],"="&amp;"")</f>
        <v>32</v>
      </c>
      <c r="CA43" s="210">
        <f>COUNTIF(Tableau13[lun.19],"="&amp;"")</f>
        <v>33</v>
      </c>
      <c r="CB43" s="210">
        <f>COUNTIF(Tableau13[mar.20],"="&amp;"")</f>
        <v>33</v>
      </c>
      <c r="CC43" s="210">
        <f>COUNTIF(Tableau13[mer.21],"="&amp;"")</f>
        <v>33</v>
      </c>
      <c r="CD43" s="210">
        <f>COUNTIF(Tableau13[jeu.22],"="&amp;"")</f>
        <v>33</v>
      </c>
      <c r="CE43" s="210">
        <f>COUNTIF(Tableau13[ven.23],"="&amp;"")</f>
        <v>33</v>
      </c>
      <c r="CF43" s="232">
        <f>AVERAGE(CA43:CE43)</f>
        <v>33</v>
      </c>
      <c r="CG43" s="210">
        <f>COUNTIF(Tableau13[dim.25],"="&amp;"")</f>
        <v>34</v>
      </c>
      <c r="CH43" s="210">
        <f>COUNTIF(Tableau13[lun.26],"="&amp;"")</f>
        <v>28</v>
      </c>
      <c r="CI43" s="210">
        <f>COUNTIF(Tableau13[mar.27],"="&amp;"")</f>
        <v>28</v>
      </c>
      <c r="CJ43" s="210">
        <f>COUNTIF(Tableau13[mer.28],"="&amp;"")</f>
        <v>28</v>
      </c>
      <c r="CK43" s="210">
        <f>COUNTIF(Tableau13[jeu.29],"="&amp;"")</f>
        <v>28</v>
      </c>
      <c r="CL43" s="210">
        <f>COUNTIF(Tableau13[ven.30],"="&amp;"")</f>
        <v>28</v>
      </c>
      <c r="CM43" s="232">
        <f>AVERAGE(CH43:CL43)</f>
        <v>28</v>
      </c>
      <c r="CN43" s="210">
        <f>COUNTIF(Tableau13[dim.01],"="&amp;"")</f>
        <v>32</v>
      </c>
      <c r="CO43" s="210">
        <f>COUNTIF(Tableau13[lun.02],"="&amp;"")</f>
        <v>28</v>
      </c>
      <c r="CP43" s="210">
        <f>COUNTIF(Tableau13[mar.03],"="&amp;"")</f>
        <v>28</v>
      </c>
      <c r="CQ43" s="210">
        <f>COUNTIF(Tableau13[mer.04],"="&amp;"")</f>
        <v>28</v>
      </c>
      <c r="CR43" s="210">
        <f>COUNTIF(Tableau13[jeu.05],"="&amp;"")</f>
        <v>28</v>
      </c>
      <c r="CS43" s="210">
        <f>COUNTIF(Tableau13[ven.06],"="&amp;"")</f>
        <v>28</v>
      </c>
      <c r="CT43" s="232">
        <f>AVERAGE(CO43:CS43)</f>
        <v>28</v>
      </c>
      <c r="CU43" s="210">
        <f>COUNTIF(Tableau13[dim.08],"="&amp;"")</f>
        <v>35</v>
      </c>
      <c r="CV43" s="210">
        <f>COUNTIF(Tableau13[lun.09],"="&amp;"")</f>
        <v>28</v>
      </c>
      <c r="CW43" s="210">
        <f>COUNTIF(Tableau13[mar.10],"="&amp;"")</f>
        <v>28</v>
      </c>
      <c r="CX43" s="210">
        <f>COUNTIF(Tableau13[mer.11],"="&amp;"")</f>
        <v>28</v>
      </c>
      <c r="CY43" s="210">
        <f>COUNTIF(Tableau13[jeu.12],"="&amp;"")</f>
        <v>28</v>
      </c>
      <c r="CZ43" s="210">
        <f>COUNTIF(Tableau13[ven.13],"="&amp;"")</f>
        <v>28</v>
      </c>
      <c r="DA43" s="232">
        <f>AVERAGE(CV43:CZ43)</f>
        <v>28</v>
      </c>
      <c r="DB43" s="210">
        <f>COUNTIF(Tableau13[dim.15],"="&amp;"")</f>
        <v>35</v>
      </c>
      <c r="DC43" s="210">
        <f>COUNTIF(Tableau13[lun.16],"="&amp;"")</f>
        <v>29</v>
      </c>
      <c r="DD43" s="210">
        <f>COUNTIF(Tableau13[mar.17],"="&amp;"")</f>
        <v>29</v>
      </c>
      <c r="DE43" s="210">
        <f>COUNTIF(Tableau13[mer.18],"="&amp;"")</f>
        <v>29</v>
      </c>
      <c r="DF43" s="210">
        <f>COUNTIF(Tableau13[jeu.19],"="&amp;"")</f>
        <v>30</v>
      </c>
      <c r="DG43" s="210">
        <f>COUNTIF(Tableau13[ven.20],"="&amp;"")</f>
        <v>30</v>
      </c>
      <c r="DH43" s="232">
        <f>AVERAGE(DC43:DG43)</f>
        <v>29.4</v>
      </c>
      <c r="DI43" s="210">
        <f>COUNTIF(Tableau13[dim.22],"="&amp;"")</f>
        <v>35</v>
      </c>
      <c r="DJ43" s="210">
        <f>COUNTIF(Tableau13[lun.23],"="&amp;"")</f>
        <v>27</v>
      </c>
      <c r="DK43" s="210">
        <f>COUNTIF(Tableau13[mar.24],"="&amp;"")</f>
        <v>27</v>
      </c>
      <c r="DL43" s="210">
        <f>COUNTIF(Tableau13[mer.25],"="&amp;"")</f>
        <v>27</v>
      </c>
      <c r="DM43" s="210">
        <f>COUNTIF(Tableau13[jeu.26],"="&amp;"")</f>
        <v>27</v>
      </c>
      <c r="DN43" s="210">
        <f>COUNTIF(Tableau13[ven.27],"="&amp;"")</f>
        <v>27</v>
      </c>
      <c r="DO43" s="232">
        <f>AVERAGE(DJ43:DN43)</f>
        <v>27</v>
      </c>
      <c r="DP43" s="210">
        <f>COUNTIF(Tableau13[dim.29],"="&amp;"")</f>
        <v>35</v>
      </c>
      <c r="DQ43" s="210">
        <f>COUNTIF(Tableau13[lun.30],"="&amp;"")</f>
        <v>27</v>
      </c>
      <c r="DR43" s="210">
        <f>COUNTIF(Tableau13[mar.01],"="&amp;"")</f>
        <v>27</v>
      </c>
      <c r="DS43" s="210">
        <f>COUNTIF(Tableau13[mer.02],"="&amp;"")</f>
        <v>28</v>
      </c>
      <c r="DT43" s="210">
        <f>COUNTIF(Tableau13[jeu.03],"="&amp;"")</f>
        <v>27</v>
      </c>
      <c r="DU43" s="210">
        <f>COUNTIF(Tableau13[ven.04],"="&amp;"")</f>
        <v>26</v>
      </c>
      <c r="DV43" s="232">
        <f>AVERAGE(DQ43:DU43)</f>
        <v>27</v>
      </c>
      <c r="DW43" s="210">
        <f>COUNTIF(Tableau13[dim.06],"="&amp;"")</f>
        <v>35</v>
      </c>
      <c r="DX43" s="210">
        <f>COUNTIF(Tableau13[lun.07],"="&amp;"")</f>
        <v>7</v>
      </c>
      <c r="DY43" s="210">
        <f>COUNTIF(Tableau13[mar.08],"="&amp;"")</f>
        <v>26</v>
      </c>
      <c r="DZ43" s="210">
        <f>COUNTIF(Tableau13[mer.09],"="&amp;"")</f>
        <v>26</v>
      </c>
      <c r="EA43" s="210">
        <f>COUNTIF(Tableau13[jeu.10],"="&amp;"")</f>
        <v>26</v>
      </c>
      <c r="EB43" s="210">
        <f>COUNTIF(Tableau13[ven.11],"="&amp;"")</f>
        <v>26</v>
      </c>
      <c r="EC43" s="232">
        <f>AVERAGE(DX43:EB43)</f>
        <v>22.2</v>
      </c>
      <c r="ED43" s="210">
        <f>COUNTIF(Tableau13[dim.13],"="&amp;"")</f>
        <v>35</v>
      </c>
      <c r="EE43" s="210">
        <f>COUNTIF(Tableau13[lun.14],"="&amp;"")</f>
        <v>29</v>
      </c>
      <c r="EF43" s="210">
        <f>COUNTIF(Tableau13[mar.15],"="&amp;"")</f>
        <v>29</v>
      </c>
      <c r="EG43" s="210">
        <f>COUNTIF(Tableau13[mer.16],"="&amp;"")</f>
        <v>29</v>
      </c>
      <c r="EH43" s="210">
        <f>COUNTIF(Tableau13[jeu.17],"="&amp;"")</f>
        <v>7</v>
      </c>
      <c r="EI43" s="210">
        <f>COUNTIF(Tableau13[ven.18],"="&amp;"")</f>
        <v>29</v>
      </c>
      <c r="EJ43" s="232">
        <f>AVERAGE(EE43:EI43)</f>
        <v>24.6</v>
      </c>
      <c r="EK43" s="210">
        <f>COUNTIF(Tableau13[dim.20],"="&amp;"")</f>
        <v>35</v>
      </c>
      <c r="EL43" s="210">
        <f>COUNTIF(Tableau13[lun.21],"="&amp;"")</f>
        <v>27</v>
      </c>
      <c r="EM43" s="210">
        <f>COUNTIF(Tableau13[mar.22],"="&amp;"")</f>
        <v>27</v>
      </c>
      <c r="EN43" s="210">
        <f>COUNTIF(Tableau13[mer.23],"="&amp;"")</f>
        <v>27</v>
      </c>
      <c r="EO43" s="210">
        <f>COUNTIF(Tableau13[jeu.24],"="&amp;"")</f>
        <v>27</v>
      </c>
      <c r="EP43" s="210">
        <f>COUNTIF(Tableau13[ven.25],"="&amp;"")</f>
        <v>27</v>
      </c>
      <c r="EQ43" s="232">
        <f>AVERAGE(EL43:EP43)</f>
        <v>27</v>
      </c>
      <c r="ER43" s="210">
        <f>COUNTIF(Tableau13[dim.27],"="&amp;"")</f>
        <v>35</v>
      </c>
      <c r="ES43" s="210">
        <f>COUNTIF(Tableau13[lun.28],"="&amp;"")</f>
        <v>30</v>
      </c>
      <c r="ET43" s="210">
        <f>COUNTIF(Tableau13[mar.29],"="&amp;"")</f>
        <v>30</v>
      </c>
      <c r="EU43" s="210">
        <f>COUNTIF(Tableau13[mer.30],"="&amp;"")</f>
        <v>30</v>
      </c>
      <c r="EV43" s="210">
        <f>COUNTIF(Tableau13[jeu.31],"="&amp;"")</f>
        <v>30</v>
      </c>
      <c r="EW43" s="210">
        <f>COUNTIF(Tableau13[ven.01],"="&amp;"")</f>
        <v>30</v>
      </c>
      <c r="EX43" s="232">
        <f>AVERAGE(ES43:EW43)</f>
        <v>30</v>
      </c>
      <c r="EY43" s="210">
        <f>COUNTIF(Tableau13[dim.03],"="&amp;"")</f>
        <v>35</v>
      </c>
      <c r="EZ43" s="210">
        <f>COUNTIF(Tableau13[lun.04],"="&amp;"")</f>
        <v>27</v>
      </c>
      <c r="FA43" s="210">
        <f>COUNTIF(Tableau13[mar.05],"="&amp;"")</f>
        <v>27</v>
      </c>
      <c r="FB43" s="210">
        <f>COUNTIF(Tableau13[mer.06],"="&amp;"")</f>
        <v>27</v>
      </c>
      <c r="FC43" s="210">
        <f>COUNTIF(Tableau13[jeu.07],"="&amp;"")</f>
        <v>27</v>
      </c>
      <c r="FD43" s="210">
        <f>COUNTIF(Tableau13[ven.08],"="&amp;"")</f>
        <v>27</v>
      </c>
      <c r="FE43" s="232">
        <f>AVERAGE(EZ43:FD43)</f>
        <v>27</v>
      </c>
      <c r="FF43" s="210">
        <f>COUNTIF(Tableau13[dim.10],"="&amp;"")</f>
        <v>35</v>
      </c>
      <c r="FG43" s="210">
        <f>COUNTIF(Tableau13[lun.11],"="&amp;"")</f>
        <v>28</v>
      </c>
      <c r="FH43" s="210">
        <f>COUNTIF(Tableau13[mar.12],"="&amp;"")</f>
        <v>28</v>
      </c>
      <c r="FI43" s="210">
        <f>COUNTIF(Tableau13[mer.13],"="&amp;"")</f>
        <v>28</v>
      </c>
      <c r="FJ43" s="210">
        <f>COUNTIF(Tableau13[jeu.14],"="&amp;"")</f>
        <v>28</v>
      </c>
      <c r="FK43" s="210">
        <f>COUNTIF(Tableau13[ven.15],"="&amp;"")</f>
        <v>28</v>
      </c>
      <c r="FL43" s="232">
        <f>AVERAGE(FG43:FK43)</f>
        <v>28</v>
      </c>
      <c r="FM43" s="210">
        <f>COUNTIF(Tableau13[dim.17],"="&amp;"")</f>
        <v>35</v>
      </c>
      <c r="FN43" s="210">
        <f>COUNTIF(Tableau13[lun.18],"="&amp;"")</f>
        <v>6</v>
      </c>
      <c r="FO43" s="210">
        <f>COUNTIF(Tableau13[mar.19],"="&amp;"")</f>
        <v>29</v>
      </c>
      <c r="FP43" s="210">
        <f>COUNTIF(Tableau13[mer.20],"="&amp;"")</f>
        <v>29</v>
      </c>
      <c r="FQ43" s="210">
        <f>COUNTIF(Tableau13[jeu.21],"="&amp;"")</f>
        <v>29</v>
      </c>
      <c r="FR43" s="210">
        <f>COUNTIF(Tableau13[ven.22],"="&amp;"")</f>
        <v>29</v>
      </c>
      <c r="FS43" s="232">
        <f>AVERAGE(FN43:FR43)</f>
        <v>24.4</v>
      </c>
      <c r="FT43" s="210">
        <f>COUNTIF(Tableau13[dim.24],"="&amp;"")</f>
        <v>35</v>
      </c>
      <c r="FU43" s="210">
        <f>COUNTIF(Tableau13[lun.25],"="&amp;"")</f>
        <v>29</v>
      </c>
      <c r="FV43" s="210">
        <f>COUNTIF(Tableau13[mar.26],"="&amp;"")</f>
        <v>29</v>
      </c>
      <c r="FW43" s="210">
        <f>COUNTIF(Tableau13[mer.27],"="&amp;"")</f>
        <v>29</v>
      </c>
      <c r="FX43" s="210">
        <f>COUNTIF(Tableau13[jeu.28],"="&amp;"")</f>
        <v>29</v>
      </c>
      <c r="FY43" s="210">
        <f>COUNTIF(Tableau13[ven.29],"="&amp;"")</f>
        <v>29</v>
      </c>
      <c r="FZ43" s="232">
        <f>AVERAGE(FU43:FY43)</f>
        <v>29</v>
      </c>
      <c r="GA43" s="210">
        <f>COUNTIF(Tableau13[dim.012],"="&amp;"")</f>
        <v>35</v>
      </c>
      <c r="GB43" s="210">
        <f>COUNTIF(Tableau13[lun.023],"="&amp;"")</f>
        <v>29</v>
      </c>
      <c r="GC43" s="210">
        <f>COUNTIF(Tableau13[mar.034],"="&amp;"")</f>
        <v>29</v>
      </c>
      <c r="GD43" s="210">
        <f>COUNTIF(Tableau13[mer.045],"="&amp;"")</f>
        <v>29</v>
      </c>
      <c r="GE43" s="210">
        <f>COUNTIF(Tableau13[jeu.056],"="&amp;"")</f>
        <v>30</v>
      </c>
      <c r="GF43" s="210">
        <f>COUNTIF(Tableau13[ven.067],"="&amp;"")</f>
        <v>30</v>
      </c>
      <c r="GG43" s="232">
        <f>AVERAGE(GB43:GF43)</f>
        <v>29.4</v>
      </c>
      <c r="GH43" s="210">
        <f>COUNTIF(Tableau13[dim.089],"="&amp;"")</f>
        <v>35</v>
      </c>
      <c r="GI43" s="210">
        <f>COUNTIF(Tableau13[lun.0910],"="&amp;"")</f>
        <v>26</v>
      </c>
      <c r="GJ43" s="210">
        <f>COUNTIF(Tableau13[mar.1011],"="&amp;"")</f>
        <v>26</v>
      </c>
      <c r="GK43" s="210">
        <f>COUNTIF(Tableau13[mer.1112],"="&amp;"")</f>
        <v>26</v>
      </c>
      <c r="GL43" s="210">
        <f>COUNTIF(Tableau13[jeu.1213],"="&amp;"")</f>
        <v>26</v>
      </c>
      <c r="GM43" s="210">
        <f>COUNTIF(Tableau13[ven.1314],"="&amp;"")</f>
        <v>26</v>
      </c>
      <c r="GN43" s="232">
        <f>AVERAGE(GI43:GM43)</f>
        <v>26</v>
      </c>
      <c r="GO43" s="210">
        <f>COUNTIF(Tableau13[dim.1516],"="&amp;"")</f>
        <v>35</v>
      </c>
      <c r="GP43" s="210">
        <f>COUNTIF(Tableau13[lun.1617],"="&amp;"")</f>
        <v>27</v>
      </c>
      <c r="GQ43" s="210">
        <f>COUNTIF(Tableau13[mar.1718],"="&amp;"")</f>
        <v>27</v>
      </c>
      <c r="GR43" s="210">
        <f>COUNTIF(Tableau13[mer.1819],"="&amp;"")</f>
        <v>27</v>
      </c>
      <c r="GS43" s="210">
        <f>COUNTIF(Tableau13[jeu.1920],"="&amp;"")</f>
        <v>27</v>
      </c>
      <c r="GT43" s="210">
        <f>COUNTIF(Tableau13[ven.2021],"="&amp;"")</f>
        <v>27</v>
      </c>
      <c r="GU43" s="232">
        <f>AVERAGE(GP43:GT43)</f>
        <v>27</v>
      </c>
      <c r="GV43" s="210">
        <f>COUNTIF(Tableau13[dim.2223],"="&amp;"")</f>
        <v>35</v>
      </c>
      <c r="GW43" s="210">
        <f>COUNTIF(Tableau13[lun.2324],"="&amp;"")</f>
        <v>2</v>
      </c>
      <c r="GX43" s="210">
        <f>COUNTIF(Tableau13[mar.2425],"="&amp;"")</f>
        <v>27</v>
      </c>
      <c r="GY43" s="210">
        <f>COUNTIF(Tableau13[mer.2526],"="&amp;"")</f>
        <v>27</v>
      </c>
      <c r="GZ43" s="210">
        <f>COUNTIF(Tableau13[jeu.2627],"="&amp;"")</f>
        <v>27</v>
      </c>
      <c r="HA43" s="210">
        <f>COUNTIF(Tableau13[ven.2728],"="&amp;"")</f>
        <v>27</v>
      </c>
      <c r="HB43" s="232">
        <f>AVERAGE(GW43:HA43)</f>
        <v>22</v>
      </c>
      <c r="HC43" s="210">
        <f>COUNTIF(Tableau13[dim.2930],"="&amp;"")</f>
        <v>35</v>
      </c>
      <c r="HD43" s="210">
        <f>COUNTIF(Tableau13[lun.152],"="&amp;"")</f>
        <v>21</v>
      </c>
      <c r="HE43" s="210">
        <f>COUNTIF(Tableau13[mar.163],"="&amp;"")</f>
        <v>21</v>
      </c>
      <c r="HF43" s="210">
        <f>COUNTIF(Tableau13[mer.174],"="&amp;"")</f>
        <v>21</v>
      </c>
      <c r="HG43" s="210">
        <f>COUNTIF(Tableau13[jeu.185],"="&amp;"")</f>
        <v>21</v>
      </c>
      <c r="HH43" s="210">
        <f>COUNTIF(Tableau13[ven.196],"="&amp;"")</f>
        <v>21</v>
      </c>
      <c r="HI43" s="232">
        <f>AVERAGE(HD43:HH43)</f>
        <v>21</v>
      </c>
      <c r="HJ43" s="210">
        <f>COUNTIF(Tableau13[dim.218],"="&amp;"")</f>
        <v>35</v>
      </c>
      <c r="HK43" s="210">
        <f>COUNTIF(Tableau13[lun.039],"="&amp;"")</f>
        <v>22</v>
      </c>
      <c r="HL43" s="210">
        <f>COUNTIF(Tableau13[mar.2310],"="&amp;"")</f>
        <v>22</v>
      </c>
      <c r="HM43" s="210">
        <f>COUNTIF(Tableau13[mer.2411],"="&amp;"")</f>
        <v>22</v>
      </c>
      <c r="HN43" s="210">
        <f>COUNTIF(Tableau13[jeu.2512],"="&amp;"")</f>
        <v>22</v>
      </c>
      <c r="HO43" s="210">
        <f>COUNTIF(Tableau13[ven.2613],"="&amp;"")</f>
        <v>22</v>
      </c>
      <c r="HP43" s="232">
        <f>AVERAGE(HK43:HO43)</f>
        <v>22</v>
      </c>
      <c r="HQ43" s="210">
        <f>COUNTIF(Tableau13[dim.2815],"="&amp;"")</f>
        <v>35</v>
      </c>
      <c r="HR43" s="210">
        <f>COUNTIF(Tableau13[lun.2916],"="&amp;"")</f>
        <v>25</v>
      </c>
      <c r="HS43" s="210">
        <f>COUNTIF(Tableau13[mar.3017],"="&amp;"")</f>
        <v>25</v>
      </c>
      <c r="HT43" s="210">
        <f>COUNTIF(Tableau13[mer.3118],"="&amp;"")</f>
        <v>25</v>
      </c>
      <c r="HU43" s="210">
        <f>COUNTIF(Tableau13[jeu.0119],"="&amp;"")</f>
        <v>25</v>
      </c>
      <c r="HV43" s="210">
        <f>COUNTIF(Tableau13[ven.0220],"="&amp;"")</f>
        <v>25</v>
      </c>
      <c r="HW43" s="232">
        <f>AVERAGE(HR43:HV43)</f>
        <v>25</v>
      </c>
      <c r="HX43" s="210">
        <f>COUNTIF(Tableau13[dim.0422],"="&amp;"")</f>
        <v>35</v>
      </c>
      <c r="HY43" s="210">
        <f>COUNTIF(Tableau13[lun.0523],"="&amp;"")</f>
        <v>26</v>
      </c>
      <c r="HZ43" s="210">
        <f>COUNTIF(Tableau13[mar.0624],"="&amp;"")</f>
        <v>26</v>
      </c>
      <c r="IA43" s="210">
        <f>COUNTIF(Tableau13[mer.0725],"="&amp;"")</f>
        <v>26</v>
      </c>
      <c r="IB43" s="210">
        <f>COUNTIF(Tableau13[jeu.0826],"="&amp;"")</f>
        <v>26</v>
      </c>
      <c r="IC43" s="210">
        <f>COUNTIF(Tableau13[ven.0927],"="&amp;"")</f>
        <v>26</v>
      </c>
      <c r="ID43" s="232">
        <f>AVERAGE(HY43:IC43)</f>
        <v>26</v>
      </c>
      <c r="IE43" s="210">
        <f>COUNTIF(Tableau13[dim.1129],"="&amp;"")</f>
        <v>35</v>
      </c>
      <c r="IF43" s="210">
        <f>COUNTIF(Tableau13[lun.1230],"="&amp;"")</f>
        <v>24</v>
      </c>
      <c r="IG43" s="210">
        <f>COUNTIF(Tableau13[mar.1331],"="&amp;"")</f>
        <v>24</v>
      </c>
      <c r="IH43" s="210">
        <f>COUNTIF(Tableau13[mer.1432],"="&amp;"")</f>
        <v>24</v>
      </c>
      <c r="II43" s="210">
        <f>COUNTIF(Tableau13[jeu.1533],"="&amp;"")</f>
        <v>24</v>
      </c>
      <c r="IJ43" s="210">
        <f>COUNTIF(Tableau13[ven.1634],"="&amp;"")</f>
        <v>24</v>
      </c>
      <c r="IK43" s="232">
        <f>AVERAGE(IF43:IJ43)</f>
        <v>24</v>
      </c>
      <c r="IL43" s="210">
        <f>COUNTIF(Tableau13[dim.1836],"="&amp;"")</f>
        <v>35</v>
      </c>
      <c r="IM43" s="210">
        <f>COUNTIF(Tableau13[lun.1937],"="&amp;"")</f>
        <v>26</v>
      </c>
      <c r="IN43" s="210">
        <f>COUNTIF(Tableau13[mar.2038],"="&amp;"")</f>
        <v>26</v>
      </c>
      <c r="IO43" s="210">
        <f>COUNTIF(Tableau13[mer.2139],"="&amp;"")</f>
        <v>26</v>
      </c>
      <c r="IP43" s="210">
        <f>COUNTIF(Tableau13[jeu.2240],"="&amp;"")</f>
        <v>26</v>
      </c>
      <c r="IQ43" s="210">
        <f>COUNTIF(Tableau13[ven.2341],"="&amp;"")</f>
        <v>26</v>
      </c>
      <c r="IR43" s="232">
        <f>AVERAGE(IM43:IQ43)</f>
        <v>26</v>
      </c>
      <c r="IS43" s="210">
        <f>COUNTIF(Tableau13[dim.2543],"="&amp;"")</f>
        <v>35</v>
      </c>
      <c r="IT43" s="210">
        <f>COUNTIF(Tableau13[lun.2644],"="&amp;"")</f>
        <v>26</v>
      </c>
      <c r="IU43" s="210">
        <f>COUNTIF(Tableau13[mar.2745],"="&amp;"")</f>
        <v>26</v>
      </c>
      <c r="IV43" s="210">
        <f>COUNTIF(Tableau13[mer.2846],"="&amp;"")</f>
        <v>26</v>
      </c>
      <c r="IW43" s="210">
        <f>COUNTIF(Tableau13[jeu.2947],"="&amp;"")</f>
        <v>26</v>
      </c>
      <c r="IX43" s="210">
        <f>COUNTIF(Tableau13[ven.3048],"="&amp;"")</f>
        <v>26</v>
      </c>
      <c r="IY43" s="232">
        <f>AVERAGE(IT43:IX43)</f>
        <v>26</v>
      </c>
      <c r="IZ43" s="210">
        <f>COUNTIF(Tableau13[dim.0150],"="&amp;"")</f>
        <v>35</v>
      </c>
      <c r="JA43" s="210">
        <f>COUNTIF(Tableau13[lun.0251],"="&amp;"")</f>
        <v>30</v>
      </c>
      <c r="JB43" s="210">
        <f>COUNTIF(Tableau13[mar.0352],"="&amp;"")</f>
        <v>30</v>
      </c>
      <c r="JC43" s="210">
        <f>COUNTIF(Tableau13[mer.0453],"="&amp;"")</f>
        <v>30</v>
      </c>
      <c r="JD43" s="210">
        <f>COUNTIF(Tableau13[jeu.0554],"="&amp;"")</f>
        <v>30</v>
      </c>
      <c r="JE43" s="210">
        <f>COUNTIF(Tableau13[ven.0655],"="&amp;"")</f>
        <v>30</v>
      </c>
      <c r="JF43" s="232">
        <f>AVERAGE(JA43:JE43)</f>
        <v>30</v>
      </c>
      <c r="JG43" s="210">
        <f>COUNTIF(Tableau13[dim.0857],"="&amp;"")</f>
        <v>35</v>
      </c>
      <c r="JH43" s="210">
        <f>COUNTIF(Tableau13[lun.0958],"="&amp;"")</f>
        <v>32</v>
      </c>
      <c r="JI43" s="210">
        <f>COUNTIF(Tableau13[mar.1059],"="&amp;"")</f>
        <v>32</v>
      </c>
      <c r="JJ43" s="210">
        <f>COUNTIF(Tableau13[mer.1160],"="&amp;"")</f>
        <v>32</v>
      </c>
      <c r="JK43" s="210">
        <f>COUNTIF(Tableau13[jeu.1261],"="&amp;"")</f>
        <v>32</v>
      </c>
      <c r="JL43" s="210">
        <f>COUNTIF(Tableau13[ven.1362],"="&amp;"")</f>
        <v>32</v>
      </c>
      <c r="JM43" s="232">
        <f>AVERAGE(JH43:JL43)</f>
        <v>32</v>
      </c>
      <c r="JN43" s="210">
        <f>COUNTIF(Tableau13[dim.1564],"="&amp;"")</f>
        <v>35</v>
      </c>
      <c r="JO43" s="210">
        <f>COUNTIF(Tableau13[lun.1665],"="&amp;"")</f>
        <v>34</v>
      </c>
      <c r="JP43" s="210">
        <f>COUNTIF(Tableau13[mar.1766],"="&amp;"")</f>
        <v>34</v>
      </c>
      <c r="JQ43" s="210">
        <f>COUNTIF(Tableau13[mer.1867],"="&amp;"")</f>
        <v>34</v>
      </c>
      <c r="JR43" s="210">
        <f>COUNTIF(Tableau13[jeu.1968],"="&amp;"")</f>
        <v>34</v>
      </c>
      <c r="JS43" s="210">
        <f>COUNTIF(Tableau13[ven.2069],"="&amp;"")</f>
        <v>34</v>
      </c>
      <c r="JT43" s="232">
        <f>AVERAGE(JO43:JS43)</f>
        <v>34</v>
      </c>
      <c r="JU43" s="210">
        <f>COUNTIF(Tableau13[dim.2271],"="&amp;"")</f>
        <v>35</v>
      </c>
      <c r="JV43" s="210">
        <f>COUNTIF(Tableau13[lun.2372],"="&amp;"")</f>
        <v>35</v>
      </c>
      <c r="JW43" s="210">
        <f>COUNTIF(Tableau13[mar.2473],"="&amp;"")</f>
        <v>35</v>
      </c>
      <c r="JX43" s="210">
        <f>COUNTIF(Tableau13[mer.2574],"="&amp;"")</f>
        <v>35</v>
      </c>
      <c r="JY43" s="210">
        <f>COUNTIF(Tableau13[jeu.2675],"="&amp;"")</f>
        <v>35</v>
      </c>
      <c r="JZ43" s="210">
        <f>COUNTIF(Tableau13[ven.2776],"="&amp;"")</f>
        <v>35</v>
      </c>
      <c r="KA43" s="232">
        <f>AVERAGE(JV43:JZ43)</f>
        <v>35</v>
      </c>
      <c r="KB43" s="210">
        <f>COUNTIF(Tableau13[dim.2978],"="&amp;"")</f>
        <v>35</v>
      </c>
      <c r="KC43" s="210">
        <f>COUNTIF(Tableau13[lun.3079],"="&amp;"")</f>
        <v>35</v>
      </c>
      <c r="KD43" s="210">
        <f>COUNTIF(Tableau13[mar.0180],"="&amp;"")</f>
        <v>35</v>
      </c>
      <c r="KE43" s="210">
        <f>COUNTIF(Tableau13[mer.0281],"="&amp;"")</f>
        <v>35</v>
      </c>
      <c r="KF43" s="210">
        <f>COUNTIF(Tableau13[jeu.0382],"="&amp;"")</f>
        <v>35</v>
      </c>
      <c r="KG43" s="210">
        <f>COUNTIF(Tableau13[ven.0483],"="&amp;"")</f>
        <v>35</v>
      </c>
      <c r="KH43" s="232">
        <f>AVERAGE(KC43:KG43)</f>
        <v>35</v>
      </c>
      <c r="KI43" s="210">
        <f>COUNTIF(Tableau13[dim.0685],"="&amp;"")</f>
        <v>35</v>
      </c>
      <c r="KJ43" s="210">
        <f>COUNTIF(Tableau13[lun.0786],"="&amp;"")</f>
        <v>35</v>
      </c>
      <c r="KK43" s="210">
        <f>COUNTIF(Tableau13[mar.0887],"="&amp;"")</f>
        <v>35</v>
      </c>
      <c r="KL43" s="210">
        <f>COUNTIF(Tableau13[mer.0988],"="&amp;"")</f>
        <v>35</v>
      </c>
      <c r="KM43" s="210">
        <f>COUNTIF(Tableau13[jeu.1089],"="&amp;"")</f>
        <v>35</v>
      </c>
      <c r="KN43" s="210">
        <f>COUNTIF(Tableau13[ven.1190],"="&amp;"")</f>
        <v>35</v>
      </c>
      <c r="KO43" s="232">
        <f>AVERAGE(KJ43:KN43)</f>
        <v>35</v>
      </c>
      <c r="KP43" s="210">
        <f>COUNTIF(Tableau13[dim.1392],"="&amp;"")</f>
        <v>35</v>
      </c>
      <c r="KQ43" s="210">
        <f>COUNTIF(Tableau13[lun.1493],"="&amp;"")</f>
        <v>35</v>
      </c>
      <c r="KR43" s="210">
        <f>COUNTIF(Tableau13[mar.1594],"="&amp;"")</f>
        <v>35</v>
      </c>
      <c r="KS43" s="210">
        <f>COUNTIF(Tableau13[mer.1695],"="&amp;"")</f>
        <v>35</v>
      </c>
      <c r="KT43" s="210">
        <f>COUNTIF(Tableau13[jeu.1796],"="&amp;"")</f>
        <v>35</v>
      </c>
      <c r="KU43" s="210">
        <f>COUNTIF(Tableau13[ven.1897],"="&amp;"")</f>
        <v>35</v>
      </c>
      <c r="KV43" s="232">
        <f>AVERAGE(KQ43:KU43)</f>
        <v>35</v>
      </c>
      <c r="KW43" s="210">
        <f>COUNTIF(Tableau13[dim.2099],"="&amp;"")</f>
        <v>35</v>
      </c>
      <c r="KX43" s="210">
        <f>COUNTIF(Tableau13[lun.21100],"="&amp;"")</f>
        <v>35</v>
      </c>
      <c r="KY43" s="210">
        <f>COUNTIF(Tableau13[mar.22101],"="&amp;"")</f>
        <v>35</v>
      </c>
      <c r="KZ43" s="210">
        <f>COUNTIF(Tableau13[mer.23102],"="&amp;"")</f>
        <v>35</v>
      </c>
      <c r="LA43" s="210">
        <f>COUNTIF(Tableau13[jeu.24103],"="&amp;"")</f>
        <v>35</v>
      </c>
      <c r="LB43" s="210">
        <f>COUNTIF(Tableau13[ven.25104],"="&amp;"")</f>
        <v>35</v>
      </c>
      <c r="LC43" s="232">
        <f>AVERAGE(KX43:LB43)</f>
        <v>35</v>
      </c>
      <c r="LD43" s="210">
        <f>COUNTIF(Tableau13[dim.27106],"="&amp;"")</f>
        <v>35</v>
      </c>
      <c r="LE43" s="210">
        <f>COUNTIF(Tableau13[lun.28107],"="&amp;"")</f>
        <v>35</v>
      </c>
      <c r="LF43" s="210">
        <f>COUNTIF(Tableau13[mar.29108],"="&amp;"")</f>
        <v>35</v>
      </c>
      <c r="LG43" s="210">
        <f>COUNTIF(Tableau13[mer.30109],"="&amp;"")</f>
        <v>35</v>
      </c>
      <c r="LH43" s="210">
        <f>COUNTIF(Tableau13[jeu.31110],"="&amp;"")</f>
        <v>35</v>
      </c>
      <c r="LI43" s="210">
        <f>COUNTIF(Tableau13[ven.01111],"="&amp;"")</f>
        <v>35</v>
      </c>
      <c r="LJ43" s="232">
        <f>AVERAGE(LE43:LI43)</f>
        <v>35</v>
      </c>
      <c r="LK43" s="210">
        <f>COUNTIF(Tableau13[dim.03113],"="&amp;"")</f>
        <v>35</v>
      </c>
      <c r="LL43" s="210">
        <f>COUNTIF(Tableau13[lun.04114],"="&amp;"")</f>
        <v>35</v>
      </c>
      <c r="LM43" s="210">
        <f>COUNTIF(Tableau13[mar.05115],"="&amp;"")</f>
        <v>35</v>
      </c>
      <c r="LN43" s="210">
        <f>COUNTIF(Tableau13[mer.06116],"="&amp;"")</f>
        <v>35</v>
      </c>
      <c r="LO43" s="210">
        <f>COUNTIF(Tableau13[jeu.07117],"="&amp;"")</f>
        <v>35</v>
      </c>
      <c r="LP43" s="210">
        <f>COUNTIF(Tableau13[ven.08118],"="&amp;"")</f>
        <v>35</v>
      </c>
      <c r="LQ43" s="232">
        <f>AVERAGE(LL43:LP43)</f>
        <v>35</v>
      </c>
      <c r="LR43" s="210">
        <f>COUNTIF(Tableau13[dim.10120],"="&amp;"")</f>
        <v>35</v>
      </c>
      <c r="LS43" s="210">
        <f>COUNTIF(Tableau13[lun.11121],"="&amp;"")</f>
        <v>35</v>
      </c>
      <c r="LT43" s="210">
        <f>COUNTIF(Tableau13[mar.12122],"="&amp;"")</f>
        <v>35</v>
      </c>
      <c r="LU43" s="210">
        <f>COUNTIF(Tableau13[mer.13123],"="&amp;"")</f>
        <v>35</v>
      </c>
      <c r="LV43" s="210">
        <f>COUNTIF(Tableau13[jeu.14124],"="&amp;"")</f>
        <v>35</v>
      </c>
      <c r="LW43" s="210">
        <f>COUNTIF(Tableau13[ven.15125],"="&amp;"")</f>
        <v>35</v>
      </c>
      <c r="LX43" s="232">
        <f>AVERAGE(LS43:LW43)</f>
        <v>35</v>
      </c>
      <c r="LY43" s="210">
        <f>COUNTIF(Tableau13[dim.17127],"="&amp;"")</f>
        <v>35</v>
      </c>
      <c r="LZ43" s="210">
        <f>COUNTIF(Tableau13[lun.18128],"="&amp;"")</f>
        <v>35</v>
      </c>
      <c r="MA43" s="210">
        <f>COUNTIF(Tableau13[mar.19129],"="&amp;"")</f>
        <v>35</v>
      </c>
      <c r="MB43" s="210">
        <f>COUNTIF(Tableau13[mer.20130],"="&amp;"")</f>
        <v>35</v>
      </c>
      <c r="MC43" s="210">
        <f>COUNTIF(Tableau13[jeu.21131],"="&amp;"")</f>
        <v>35</v>
      </c>
      <c r="MD43" s="210">
        <f>COUNTIF(Tableau13[ven.22132],"="&amp;"")</f>
        <v>35</v>
      </c>
      <c r="ME43" s="232">
        <f>AVERAGE(LZ43:MD43)</f>
        <v>35</v>
      </c>
      <c r="MF43" s="210">
        <f>COUNTIF(Tableau13[dim.24134],"="&amp;"")</f>
        <v>35</v>
      </c>
      <c r="MG43" s="210">
        <f>COUNTIF(Tableau13[lun.25135],"="&amp;"")</f>
        <v>35</v>
      </c>
      <c r="MH43" s="210">
        <f>COUNTIF(Tableau13[mar.26136],"="&amp;"")</f>
        <v>35</v>
      </c>
      <c r="MI43" s="210">
        <f>COUNTIF(Tableau13[mer.27137],"="&amp;"")</f>
        <v>35</v>
      </c>
      <c r="MJ43" s="210">
        <f>COUNTIF(Tableau13[jeu.28138],"="&amp;"")</f>
        <v>35</v>
      </c>
      <c r="MK43" s="210">
        <f>COUNTIF(Tableau13[ven.29139],"="&amp;"")</f>
        <v>35</v>
      </c>
      <c r="ML43" s="232">
        <f>AVERAGE(MG43:MK43)</f>
        <v>35</v>
      </c>
      <c r="MM43" s="210">
        <f>COUNTIF(Tableau13[dim.012141],"="&amp;"")</f>
        <v>35</v>
      </c>
      <c r="MN43" s="210">
        <f>COUNTIF(Tableau13[lun.023142],"="&amp;"")</f>
        <v>35</v>
      </c>
      <c r="MO43" s="210">
        <f>COUNTIF(Tableau13[mar.034143],"="&amp;"")</f>
        <v>35</v>
      </c>
      <c r="MP43" s="210">
        <f>COUNTIF(Tableau13[mer.045144],"="&amp;"")</f>
        <v>35</v>
      </c>
      <c r="MQ43" s="210">
        <f>COUNTIF(Tableau13[jeu.056145],"="&amp;"")</f>
        <v>35</v>
      </c>
      <c r="MR43" s="210">
        <f>COUNTIF(Tableau13[ven.067146],"="&amp;"")</f>
        <v>35</v>
      </c>
      <c r="MS43" s="232">
        <f>AVERAGE(MN43:MR43)</f>
        <v>35</v>
      </c>
      <c r="MT43" s="210">
        <f>COUNTIF(Tableau13[dim.089148],"="&amp;"")</f>
        <v>35</v>
      </c>
      <c r="MU43" s="210">
        <f>COUNTIF(Tableau13[lun.0910149],"="&amp;"")</f>
        <v>35</v>
      </c>
      <c r="MV43" s="210">
        <f>COUNTIF(Tableau13[mar.1011150],"="&amp;"")</f>
        <v>35</v>
      </c>
      <c r="MW43" s="210">
        <f>COUNTIF(Tableau13[mer.1112151],"="&amp;"")</f>
        <v>35</v>
      </c>
      <c r="MX43" s="210">
        <f>COUNTIF(Tableau13[jeu.1213152],"="&amp;"")</f>
        <v>35</v>
      </c>
      <c r="MY43" s="210">
        <f>COUNTIF(Tableau13[ven.1314153],"="&amp;"")</f>
        <v>35</v>
      </c>
      <c r="MZ43" s="232">
        <f>AVERAGE(MU43:MY43)</f>
        <v>35</v>
      </c>
      <c r="NA43" s="210">
        <f>COUNTIF(Tableau13[dim.1516155],"="&amp;"")</f>
        <v>35</v>
      </c>
      <c r="NB43" s="210">
        <f>COUNTIF(Tableau13[lun.1617156],"="&amp;"")</f>
        <v>35</v>
      </c>
      <c r="NC43" s="210">
        <f>COUNTIF(Tableau13[mar.1718157],"="&amp;"")</f>
        <v>35</v>
      </c>
      <c r="ND43" s="210">
        <f>COUNTIF(Tableau13[mer.1819158],"="&amp;"")</f>
        <v>35</v>
      </c>
      <c r="NE43" s="210">
        <f>COUNTIF(Tableau13[jeu.1920159],"="&amp;"")</f>
        <v>35</v>
      </c>
      <c r="NF43" s="210">
        <f>COUNTIF(Tableau13[ven.2021160],"="&amp;"")</f>
        <v>35</v>
      </c>
      <c r="NG43" s="232">
        <f>AVERAGE(NB43:NF43)</f>
        <v>35</v>
      </c>
      <c r="NH43" s="210">
        <f>COUNTIF(Tableau13[dim.2223162],"="&amp;"")</f>
        <v>35</v>
      </c>
      <c r="NI43" s="210">
        <f>COUNTIF(Tableau13[lun.2324163],"="&amp;"")</f>
        <v>35</v>
      </c>
      <c r="NJ43" s="210">
        <f>COUNTIF(Tableau13[mar.2425164],"="&amp;"")</f>
        <v>35</v>
      </c>
      <c r="NK43" s="210">
        <f>COUNTIF(Tableau13[mer.2526165],"="&amp;"")</f>
        <v>35</v>
      </c>
      <c r="NL43" s="210">
        <f>COUNTIF(Tableau13[jeu.2627166],"="&amp;"")</f>
        <v>35</v>
      </c>
      <c r="NM43" s="210">
        <f>COUNTIF(Tableau13[ven.2728167],"="&amp;"")</f>
        <v>35</v>
      </c>
      <c r="NN43" s="232">
        <f>AVERAGE(NI43:NM43)</f>
        <v>35</v>
      </c>
      <c r="NO43" s="210">
        <f>COUNTIF(Tableau13[dim.2930169],"="&amp;"")</f>
        <v>35</v>
      </c>
      <c r="NP43" s="210">
        <f>COUNTIF(Tableau13[lun.1617170],"="&amp;"")</f>
        <v>35</v>
      </c>
      <c r="NQ43" s="210">
        <f>COUNTIF(Tableau13[mar.1718171],"="&amp;"")</f>
        <v>35</v>
      </c>
      <c r="NR43" s="210">
        <f>COUNTIF(Tableau13[mer.1819172],"="&amp;"")</f>
        <v>35</v>
      </c>
      <c r="NS43" s="210">
        <f>COUNTIF(Tableau13[jeu.1920173],"="&amp;"")</f>
        <v>35</v>
      </c>
      <c r="NT43" s="210">
        <f>COUNTIF(Tableau13[ven.2021174],"="&amp;"")</f>
        <v>35</v>
      </c>
      <c r="NU43" s="232">
        <f>AVERAGE(NP43:NT43)</f>
        <v>35</v>
      </c>
      <c r="NV43" s="210">
        <f>COUNTIF(Tableau13[dim.2223176],"="&amp;"")</f>
        <v>35</v>
      </c>
      <c r="NW43" s="210">
        <f>COUNTIF(Tableau13[lun.2324177],"="&amp;"")</f>
        <v>35</v>
      </c>
      <c r="NX43" s="210">
        <f>COUNTIF(Tableau13[mar.2425178],"="&amp;"")</f>
        <v>35</v>
      </c>
      <c r="NY43" s="210">
        <f>COUNTIF(Tableau13[mer.2526179],"="&amp;"")</f>
        <v>35</v>
      </c>
      <c r="NZ43" s="210">
        <f>COUNTIF(Tableau13[jeu.2627180],"="&amp;"")</f>
        <v>35</v>
      </c>
      <c r="OA43" s="210">
        <f>COUNTIF(Tableau13[ven.2728181],"="&amp;"")</f>
        <v>35</v>
      </c>
      <c r="OB43" s="232">
        <f>AVERAGE(NW43:OA43)</f>
        <v>35</v>
      </c>
    </row>
    <row r="44" spans="4:392" x14ac:dyDescent="0.3">
      <c r="H44" s="290" t="s">
        <v>695</v>
      </c>
      <c r="I44" s="216">
        <f>COUNTIF(Tableau13[lun.10],"="&amp;"ECH")+COUNTIF(Tableau13[lun.10],"="&amp;"PTRI")</f>
        <v>0</v>
      </c>
      <c r="J44" s="291">
        <f>COUNTIF(Tableau13[mar.11],"="&amp;"ECH")+COUNTIF(Tableau13[mar.11],"="&amp;"PTRI")</f>
        <v>0</v>
      </c>
      <c r="K44" s="291">
        <f>COUNTIF(Tableau13[mer.12],"="&amp;"ECH")+COUNTIF(Tableau13[mer.12],"="&amp;"PTRI")</f>
        <v>0</v>
      </c>
      <c r="L44" s="291">
        <f>COUNTIF(Tableau13[jeu.13],"="&amp;"ECH")+COUNTIF(Tableau13[jeu.13],"="&amp;"PTRI")</f>
        <v>0</v>
      </c>
      <c r="M44" s="291">
        <f>COUNTIF(Tableau13[ven.14],"="&amp;"ECH")+COUNTIF(Tableau13[ven.14],"="&amp;"PTRI")</f>
        <v>0</v>
      </c>
      <c r="N44" s="232">
        <f>AVERAGE(I44:M44)</f>
        <v>0</v>
      </c>
      <c r="O44" s="291">
        <f>COUNTIF(Tableau13[dim.16],"="&amp;"ECH")+COUNTIF(Tableau13[dim.16],"="&amp;"PTRI")</f>
        <v>0</v>
      </c>
      <c r="P44" s="291">
        <f>COUNTIF(Tableau13[lun.17],"="&amp;"ECH")+COUNTIF(Tableau13[lun.17],"="&amp;"PTRI")</f>
        <v>0</v>
      </c>
      <c r="Q44" s="291">
        <f>COUNTIF(Tableau13[mar.18],"="&amp;"ECH")+COUNTIF(Tableau13[mar.18],"="&amp;"PTRI")</f>
        <v>0</v>
      </c>
      <c r="R44" s="291">
        <f>COUNTIF(Tableau13[mer.19],"="&amp;"ECH")+COUNTIF(Tableau13[mer.19],"="&amp;"PTRI")</f>
        <v>0</v>
      </c>
      <c r="S44" s="291">
        <f>COUNTIF(Tableau13[jeu.20],"="&amp;"ECH")+COUNTIF(Tableau13[jeu.20],"="&amp;"PTRI")</f>
        <v>0</v>
      </c>
      <c r="T44" s="291">
        <f>COUNTIF(Tableau13[ven.21],"="&amp;"ECH")+COUNTIF(Tableau13[ven.21],"="&amp;"PTRI")</f>
        <v>0</v>
      </c>
      <c r="U44" s="232">
        <f>AVERAGE(P44:T44)</f>
        <v>0</v>
      </c>
      <c r="V44" s="291">
        <f>COUNTIF(Tableau13[dim.23],"="&amp;"ECH")+COUNTIF(Tableau13[dim.23],"="&amp;"PTRI")</f>
        <v>0</v>
      </c>
      <c r="W44" s="291">
        <f>COUNTIF(Tableau13[lun.24],"="&amp;"ECH")+COUNTIF(Tableau13[lun.24],"="&amp;"PTRI")</f>
        <v>0</v>
      </c>
      <c r="X44" s="291">
        <f>COUNTIF(Tableau13[mar.25],"="&amp;"ECH")+COUNTIF(Tableau13[mar.25],"="&amp;"PTRI")</f>
        <v>0</v>
      </c>
      <c r="Y44" s="291">
        <f>COUNTIF(Tableau13[mer.26],"="&amp;"ECH")+COUNTIF(Tableau13[mer.26],"="&amp;"PTRI")</f>
        <v>0</v>
      </c>
      <c r="Z44" s="291">
        <f>COUNTIF(Tableau13[jeu.27],"="&amp;"ECH")+COUNTIF(Tableau13[jeu.27],"="&amp;"PTRI")</f>
        <v>0</v>
      </c>
      <c r="AA44" s="291">
        <f>COUNTIF(Tableau13[ven.28],"="&amp;"ECH")+COUNTIF(Tableau13[ven.28],"="&amp;"PTRI")</f>
        <v>0</v>
      </c>
      <c r="AB44" s="232">
        <f>AVERAGE(W44:AA44)</f>
        <v>0</v>
      </c>
      <c r="AC44" s="291">
        <f>COUNTIF(Tableau13[dim.30],"="&amp;"ECH")+COUNTIF(Tableau13[dim.30],"="&amp;"PTRI")</f>
        <v>0</v>
      </c>
      <c r="AD44" s="291">
        <f>COUNTIF(Tableau13[lun.01],"="&amp;"ECH")+COUNTIF(Tableau13[lun.01],"="&amp;"PTRI")</f>
        <v>0</v>
      </c>
      <c r="AE44" s="291">
        <f>COUNTIF(Tableau13[mar.02],"="&amp;"ECH")+COUNTIF(Tableau13[mar.02],"="&amp;"PTRI")</f>
        <v>0</v>
      </c>
      <c r="AF44" s="291">
        <f>COUNTIF(Tableau13[mer.03],"="&amp;"ECH")+COUNTIF(Tableau13[mer.03],"="&amp;"PTRI")</f>
        <v>0</v>
      </c>
      <c r="AG44" s="291">
        <f>COUNTIF(Tableau13[jeu.04],"="&amp;"ECH")+COUNTIF(Tableau13[jeu.04],"="&amp;"PTRI")</f>
        <v>0</v>
      </c>
      <c r="AH44" s="291">
        <f>COUNTIF(Tableau13[ven.05],"="&amp;"ECH")+COUNTIF(Tableau13[ven.05],"="&amp;"PTRI")</f>
        <v>0</v>
      </c>
      <c r="AI44" s="232">
        <f>AVERAGE(AD44:AH44)</f>
        <v>0</v>
      </c>
      <c r="AJ44" s="291">
        <f>COUNTIF(Tableau13[dim.07],"="&amp;"ECH")+COUNTIF(Tableau13[dim.07],"="&amp;"PTRI")</f>
        <v>0</v>
      </c>
      <c r="AK44" s="291">
        <f>COUNTIF(Tableau13[lun.08],"="&amp;"ECH")+COUNTIF(Tableau13[lun.08],"="&amp;"PTRI")</f>
        <v>0</v>
      </c>
      <c r="AL44" s="291">
        <f>COUNTIF(Tableau13[mar.09],"="&amp;"ECH")+COUNTIF(Tableau13[mar.09],"="&amp;"PTRI")</f>
        <v>0</v>
      </c>
      <c r="AM44" s="291">
        <f>COUNTIF(Tableau13[mer.10],"="&amp;"ECH")+COUNTIF(Tableau13[mer.10],"="&amp;"PTRI")</f>
        <v>0</v>
      </c>
      <c r="AN44" s="291">
        <f>COUNTIF(Tableau13[jeu.11],"="&amp;"ECH")+COUNTIF(Tableau13[jeu.11],"="&amp;"PTRI")</f>
        <v>0</v>
      </c>
      <c r="AO44" s="291">
        <f>COUNTIF(Tableau13[ven.12],"="&amp;"ECH")+COUNTIF(Tableau13[ven.12],"="&amp;"PTRI")</f>
        <v>0</v>
      </c>
      <c r="AP44" s="232">
        <f>AVERAGE(AK44:AO44)</f>
        <v>0</v>
      </c>
      <c r="AQ44" s="291">
        <f>COUNTIF(Tableau13[dim.14],"="&amp;"ECH")+COUNTIF(Tableau13[dim.14],"="&amp;"PTRI")</f>
        <v>0</v>
      </c>
      <c r="AR44" s="291">
        <f>COUNTIF(Tableau13[lun.15],"="&amp;"ECH")+COUNTIF(Tableau13[lun.15],"="&amp;"PTRI")</f>
        <v>0</v>
      </c>
      <c r="AS44" s="291">
        <f>COUNTIF(Tableau13[mar.16],"="&amp;"ECH")+COUNTIF(Tableau13[mar.16],"="&amp;"PTRI")</f>
        <v>0</v>
      </c>
      <c r="AT44" s="291">
        <f>COUNTIF(Tableau13[mer.17],"="&amp;"ECH")+COUNTIF(Tableau13[mer.17],"="&amp;"PTRI")</f>
        <v>0</v>
      </c>
      <c r="AU44" s="291">
        <f>COUNTIF(Tableau13[jeu.18],"="&amp;"ECH")+COUNTIF(Tableau13[jeu.18],"="&amp;"PTRI")</f>
        <v>0</v>
      </c>
      <c r="AV44" s="291">
        <f>COUNTIF(Tableau13[ven.19],"="&amp;"ECH")+COUNTIF(Tableau13[ven.19],"="&amp;"PTRI")</f>
        <v>0</v>
      </c>
      <c r="AW44" s="232">
        <f>AVERAGE(AR44:AV44)</f>
        <v>0</v>
      </c>
      <c r="AX44" s="291">
        <f>COUNTIF(Tableau13[dim.21],"="&amp;"ECH")+COUNTIF(Tableau13[dim.21],"="&amp;"PTRI")</f>
        <v>0</v>
      </c>
      <c r="AY44" s="291">
        <f>COUNTIF(Tableau13[lun.03],"="&amp;"ECH")+COUNTIF(Tableau13[lun.03],"="&amp;"PTRI")</f>
        <v>0</v>
      </c>
      <c r="AZ44" s="291">
        <f>COUNTIF(Tableau13[mar.23],"="&amp;"ECH")+COUNTIF(Tableau13[mar.23],"="&amp;"PTRI")</f>
        <v>0</v>
      </c>
      <c r="BA44" s="291">
        <f>COUNTIF(Tableau13[mer.24],"="&amp;"ECH")+COUNTIF(Tableau13[mer.24],"="&amp;"PTRI")</f>
        <v>0</v>
      </c>
      <c r="BB44" s="291">
        <f>COUNTIF(Tableau13[jeu.25],"="&amp;"ECH")+COUNTIF(Tableau13[jeu.25],"="&amp;"PTRI")</f>
        <v>0</v>
      </c>
      <c r="BC44" s="291">
        <f>COUNTIF(Tableau13[ven.26],"="&amp;"ECH")+COUNTIF(Tableau13[ven.26],"="&amp;"PTRI")</f>
        <v>0</v>
      </c>
      <c r="BD44" s="232">
        <f>AVERAGE(AY44:BC44)</f>
        <v>0</v>
      </c>
      <c r="BE44" s="291">
        <f>COUNTIF(Tableau13[dim.28],"="&amp;"ECH")+COUNTIF(Tableau13[dim.28],"="&amp;"PTRI")</f>
        <v>0</v>
      </c>
      <c r="BF44" s="291">
        <f>COUNTIF(Tableau13[lun.29],"="&amp;"ECH")+COUNTIF(Tableau13[lun.29],"="&amp;"PTRI")</f>
        <v>0</v>
      </c>
      <c r="BG44" s="291">
        <f>COUNTIF(Tableau13[mar.30],"="&amp;"ECH")+COUNTIF(Tableau13[mar.30],"="&amp;"PTRI")</f>
        <v>0</v>
      </c>
      <c r="BH44" s="291">
        <f>COUNTIF(Tableau13[mer.31],"="&amp;"ECH")+COUNTIF(Tableau13[mer.31],"="&amp;"PTRI")</f>
        <v>0</v>
      </c>
      <c r="BI44" s="291">
        <f>COUNTIF(Tableau13[jeu.01],"="&amp;"ECH")+COUNTIF(Tableau13[jeu.01],"="&amp;"PTRI")</f>
        <v>0</v>
      </c>
      <c r="BJ44" s="291">
        <f>COUNTIF(Tableau13[ven.02],"="&amp;"ECH")+COUNTIF(Tableau13[ven.02],"="&amp;"PTRI")</f>
        <v>0</v>
      </c>
      <c r="BK44" s="232">
        <f>AVERAGE(BF44:BJ44)</f>
        <v>0</v>
      </c>
      <c r="BL44" s="291">
        <f>COUNTIF(Tableau13[dim.04],"="&amp;"ECH")+COUNTIF(Tableau13[dim.04],"="&amp;"PTRI")</f>
        <v>0</v>
      </c>
      <c r="BM44" s="291">
        <f>COUNTIF(Tableau13[lun.05],"="&amp;"ECH")+COUNTIF(Tableau13[lun.05],"="&amp;"PTRI")</f>
        <v>0</v>
      </c>
      <c r="BN44" s="291">
        <f>COUNTIF(Tableau13[mar.06],"="&amp;"ECH")+COUNTIF(Tableau13[mar.06],"="&amp;"PTRI")</f>
        <v>0</v>
      </c>
      <c r="BO44" s="291">
        <f>COUNTIF(Tableau13[mer.07],"="&amp;"ECH")+COUNTIF(Tableau13[mer.07],"="&amp;"PTRI")</f>
        <v>0</v>
      </c>
      <c r="BP44" s="291">
        <f>COUNTIF(Tableau13[jeu.08],"="&amp;"ECH")+COUNTIF(Tableau13[jeu.08],"="&amp;"PTRI")</f>
        <v>0</v>
      </c>
      <c r="BQ44" s="291">
        <f>COUNTIF(Tableau13[ven.09],"="&amp;"ECH")+COUNTIF(Tableau13[ven.09],"="&amp;"PTRI")</f>
        <v>0</v>
      </c>
      <c r="BR44" s="232">
        <f>AVERAGE(BM44:BQ44)</f>
        <v>0</v>
      </c>
      <c r="BS44" s="291">
        <f>COUNTIF(Tableau13[dim.11],"="&amp;"ECH")+COUNTIF(Tableau13[dim.11],"="&amp;"PTRI")</f>
        <v>0</v>
      </c>
      <c r="BT44" s="291">
        <f>COUNTIF(Tableau13[lun.12],"="&amp;"ECH")+COUNTIF(Tableau13[lun.12],"="&amp;"PTRI")</f>
        <v>0</v>
      </c>
      <c r="BU44" s="291">
        <f>COUNTIF(Tableau13[mar.13],"="&amp;"ECH")+COUNTIF(Tableau13[mar.13],"="&amp;"PTRI")</f>
        <v>0</v>
      </c>
      <c r="BV44" s="291">
        <f>COUNTIF(Tableau13[mer.14],"="&amp;"ECH")+COUNTIF(Tableau13[mer.14],"="&amp;"PTRI")</f>
        <v>0</v>
      </c>
      <c r="BW44" s="291">
        <f>COUNTIF(Tableau13[jeu.15],"="&amp;"ECH")+COUNTIF(Tableau13[jeu.15],"="&amp;"PTRI")</f>
        <v>0</v>
      </c>
      <c r="BX44" s="291">
        <f>COUNTIF(Tableau13[ven.16],"="&amp;"ECH")+COUNTIF(Tableau13[ven.16],"="&amp;"PTRI")</f>
        <v>0</v>
      </c>
      <c r="BY44" s="232">
        <f>AVERAGE(BT44:BX44)</f>
        <v>0</v>
      </c>
      <c r="BZ44" s="291">
        <f>COUNTIF(Tableau13[dim.18],"="&amp;"ECH")+COUNTIF(Tableau13[dim.18],"="&amp;"PTRI")</f>
        <v>0</v>
      </c>
      <c r="CA44" s="291">
        <f>COUNTIF(Tableau13[lun.19],"="&amp;"ECH")+COUNTIF(Tableau13[lun.19],"="&amp;"PTRI")</f>
        <v>0</v>
      </c>
      <c r="CB44" s="291">
        <f>COUNTIF(Tableau13[mar.20],"="&amp;"ECH")+COUNTIF(Tableau13[mar.20],"="&amp;"PTRI")</f>
        <v>0</v>
      </c>
      <c r="CC44" s="291">
        <f>COUNTIF(Tableau13[mer.21],"="&amp;"ECH")+COUNTIF(Tableau13[mer.21],"="&amp;"PTRI")</f>
        <v>0</v>
      </c>
      <c r="CD44" s="291">
        <f>COUNTIF(Tableau13[jeu.22],"="&amp;"ECH")+COUNTIF(Tableau13[jeu.22],"="&amp;"PTRI")</f>
        <v>0</v>
      </c>
      <c r="CE44" s="291">
        <f>COUNTIF(Tableau13[ven.23],"="&amp;"ECH")+COUNTIF(Tableau13[ven.23],"="&amp;"PTRI")</f>
        <v>0</v>
      </c>
      <c r="CF44" s="232">
        <f>AVERAGE(CA44:CE44)</f>
        <v>0</v>
      </c>
      <c r="CG44" s="291">
        <f>COUNTIF(Tableau13[dim.25],"="&amp;"ECH")+COUNTIF(Tableau13[dim.25],"="&amp;"PTRI")</f>
        <v>0</v>
      </c>
      <c r="CH44" s="291">
        <f>COUNTIF(Tableau13[lun.26],"="&amp;"ECH")+COUNTIF(Tableau13[lun.26],"="&amp;"PTRI")</f>
        <v>0</v>
      </c>
      <c r="CI44" s="291">
        <f>COUNTIF(Tableau13[mar.27],"="&amp;"ECH")+COUNTIF(Tableau13[mar.27],"="&amp;"PTRI")</f>
        <v>0</v>
      </c>
      <c r="CJ44" s="291">
        <f>COUNTIF(Tableau13[mer.28],"="&amp;"ECH")+COUNTIF(Tableau13[mer.28],"="&amp;"PTRI")</f>
        <v>0</v>
      </c>
      <c r="CK44" s="291">
        <f>COUNTIF(Tableau13[jeu.29],"="&amp;"ECH")+COUNTIF(Tableau13[jeu.29],"="&amp;"PTRI")</f>
        <v>0</v>
      </c>
      <c r="CL44" s="291">
        <f>COUNTIF(Tableau13[ven.30],"="&amp;"ECH")+COUNTIF(Tableau13[ven.30],"="&amp;"PTRI")</f>
        <v>0</v>
      </c>
      <c r="CM44" s="232">
        <f>AVERAGE(CH44:CL44)</f>
        <v>0</v>
      </c>
      <c r="CN44" s="291">
        <f>COUNTIF(Tableau13[dim.01],"="&amp;"ECH")+COUNTIF(Tableau13[dim.01],"="&amp;"PTRI")</f>
        <v>0</v>
      </c>
      <c r="CO44" s="291">
        <f>COUNTIF(Tableau13[lun.02],"="&amp;"ECH")+COUNTIF(Tableau13[lun.02],"="&amp;"PTRI")</f>
        <v>0</v>
      </c>
      <c r="CP44" s="291">
        <f>COUNTIF(Tableau13[mar.03],"="&amp;"ECH")+COUNTIF(Tableau13[mar.03],"="&amp;"PTRI")</f>
        <v>0</v>
      </c>
      <c r="CQ44" s="291">
        <f>COUNTIF(Tableau13[mer.04],"="&amp;"ECH")+COUNTIF(Tableau13[mer.04],"="&amp;"PTRI")</f>
        <v>0</v>
      </c>
      <c r="CR44" s="291">
        <f>COUNTIF(Tableau13[jeu.05],"="&amp;"ECH")+COUNTIF(Tableau13[jeu.05],"="&amp;"PTRI")</f>
        <v>0</v>
      </c>
      <c r="CS44" s="291">
        <f>COUNTIF(Tableau13[ven.06],"="&amp;"ECH")+COUNTIF(Tableau13[ven.06],"="&amp;"PTRI")</f>
        <v>0</v>
      </c>
      <c r="CT44" s="232">
        <f>AVERAGE(CO44:CS44)</f>
        <v>0</v>
      </c>
      <c r="CU44" s="291">
        <f>COUNTIF(Tableau13[dim.08],"="&amp;"ECH")+COUNTIF(Tableau13[dim.08],"="&amp;"PTRI")</f>
        <v>0</v>
      </c>
      <c r="CV44" s="291">
        <f>COUNTIF(Tableau13[lun.09],"="&amp;"ECH")+COUNTIF(Tableau13[lun.09],"="&amp;"PTRI")</f>
        <v>0</v>
      </c>
      <c r="CW44" s="291">
        <f>COUNTIF(Tableau13[mar.10],"="&amp;"ECH")+COUNTIF(Tableau13[mar.10],"="&amp;"PTRI")</f>
        <v>0</v>
      </c>
      <c r="CX44" s="291">
        <f>COUNTIF(Tableau13[mer.11],"="&amp;"ECH")+COUNTIF(Tableau13[mer.11],"="&amp;"PTRI")</f>
        <v>0</v>
      </c>
      <c r="CY44" s="291">
        <f>COUNTIF(Tableau13[jeu.12],"="&amp;"ECH")+COUNTIF(Tableau13[jeu.12],"="&amp;"PTRI")</f>
        <v>0</v>
      </c>
      <c r="CZ44" s="291">
        <f>COUNTIF(Tableau13[ven.13],"="&amp;"ECH")+COUNTIF(Tableau13[ven.13],"="&amp;"PTRI")</f>
        <v>0</v>
      </c>
      <c r="DA44" s="232">
        <f>AVERAGE(CV44:CZ44)</f>
        <v>0</v>
      </c>
      <c r="DB44" s="291">
        <f>COUNTIF(Tableau13[dim.15],"="&amp;"ECH")+COUNTIF(Tableau13[dim.15],"="&amp;"PTRI")</f>
        <v>0</v>
      </c>
      <c r="DC44" s="291">
        <f>COUNTIF(Tableau13[lun.16],"="&amp;"ECH")+COUNTIF(Tableau13[lun.16],"="&amp;"PTRI")</f>
        <v>0</v>
      </c>
      <c r="DD44" s="291">
        <f>COUNTIF(Tableau13[mar.17],"="&amp;"ECH")+COUNTIF(Tableau13[mar.17],"="&amp;"PTRI")</f>
        <v>0</v>
      </c>
      <c r="DE44" s="291">
        <f>COUNTIF(Tableau13[mer.18],"="&amp;"ECH")+COUNTIF(Tableau13[mer.18],"="&amp;"PTRI")</f>
        <v>0</v>
      </c>
      <c r="DF44" s="291">
        <f>COUNTIF(Tableau13[jeu.19],"="&amp;"ECH")+COUNTIF(Tableau13[jeu.19],"="&amp;"PTRI")</f>
        <v>0</v>
      </c>
      <c r="DG44" s="291">
        <f>COUNTIF(Tableau13[ven.20],"="&amp;"ECH")+COUNTIF(Tableau13[ven.20],"="&amp;"PTRI")</f>
        <v>0</v>
      </c>
      <c r="DH44" s="232">
        <f>AVERAGE(DC44:DG44)</f>
        <v>0</v>
      </c>
      <c r="DI44" s="291">
        <f>COUNTIF(Tableau13[dim.22],"="&amp;"ECH")+COUNTIF(Tableau13[dim.22],"="&amp;"PTRI")</f>
        <v>0</v>
      </c>
      <c r="DJ44" s="291">
        <f>COUNTIF(Tableau13[lun.23],"="&amp;"ECH")+COUNTIF(Tableau13[lun.23],"="&amp;"PTRI")</f>
        <v>0</v>
      </c>
      <c r="DK44" s="291">
        <f>COUNTIF(Tableau13[mar.24],"="&amp;"ECH")+COUNTIF(Tableau13[mar.24],"="&amp;"PTRI")</f>
        <v>0</v>
      </c>
      <c r="DL44" s="291">
        <f>COUNTIF(Tableau13[mer.25],"="&amp;"ECH")+COUNTIF(Tableau13[mer.25],"="&amp;"PTRI")</f>
        <v>0</v>
      </c>
      <c r="DM44" s="291">
        <f>COUNTIF(Tableau13[jeu.26],"="&amp;"ECH")+COUNTIF(Tableau13[jeu.26],"="&amp;"PTRI")</f>
        <v>0</v>
      </c>
      <c r="DN44" s="291">
        <f>COUNTIF(Tableau13[ven.27],"="&amp;"ECH")+COUNTIF(Tableau13[ven.27],"="&amp;"PTRI")</f>
        <v>0</v>
      </c>
      <c r="DO44" s="232">
        <f>AVERAGE(DJ44:DN44)</f>
        <v>0</v>
      </c>
      <c r="DP44" s="291">
        <f>COUNTIF(Tableau13[dim.29],"="&amp;"ECH")+COUNTIF(Tableau13[dim.29],"="&amp;"PTRI")</f>
        <v>0</v>
      </c>
      <c r="DQ44" s="291">
        <f>COUNTIF(Tableau13[lun.30],"="&amp;"ECH")+COUNTIF(Tableau13[lun.30],"="&amp;"PTRI")</f>
        <v>0</v>
      </c>
      <c r="DR44" s="291">
        <f>COUNTIF(Tableau13[mar.01],"="&amp;"ECH")+COUNTIF(Tableau13[mar.01],"="&amp;"PTRI")</f>
        <v>0</v>
      </c>
      <c r="DS44" s="291">
        <f>COUNTIF(Tableau13[mer.02],"="&amp;"ECH")+COUNTIF(Tableau13[mer.02],"="&amp;"PTRI")</f>
        <v>0</v>
      </c>
      <c r="DT44" s="291">
        <f>COUNTIF(Tableau13[jeu.03],"="&amp;"ECH")+COUNTIF(Tableau13[jeu.03],"="&amp;"PTRI")</f>
        <v>0</v>
      </c>
      <c r="DU44" s="291">
        <f>COUNTIF(Tableau13[ven.04],"="&amp;"ECH")+COUNTIF(Tableau13[ven.04],"="&amp;"PTRI")</f>
        <v>0</v>
      </c>
      <c r="DV44" s="232">
        <f>AVERAGE(DQ44:DU44)</f>
        <v>0</v>
      </c>
      <c r="DW44" s="291">
        <f>COUNTIF(Tableau13[dim.06],"="&amp;"ECH")+COUNTIF(Tableau13[dim.06],"="&amp;"PTRI")</f>
        <v>0</v>
      </c>
      <c r="DX44" s="291">
        <f>COUNTIF(Tableau13[lun.07],"="&amp;"ECH")+COUNTIF(Tableau13[lun.07],"="&amp;"PTRI")</f>
        <v>0</v>
      </c>
      <c r="DY44" s="291">
        <f>COUNTIF(Tableau13[mar.08],"="&amp;"ECH")+COUNTIF(Tableau13[mar.08],"="&amp;"PTRI")</f>
        <v>0</v>
      </c>
      <c r="DZ44" s="291">
        <f>COUNTIF(Tableau13[mer.09],"="&amp;"ECH")+COUNTIF(Tableau13[mer.09],"="&amp;"PTRI")</f>
        <v>0</v>
      </c>
      <c r="EA44" s="291">
        <f>COUNTIF(Tableau13[jeu.10],"="&amp;"ECH")+COUNTIF(Tableau13[jeu.10],"="&amp;"PTRI")</f>
        <v>0</v>
      </c>
      <c r="EB44" s="291">
        <f>COUNTIF(Tableau13[ven.11],"="&amp;"ECH")+COUNTIF(Tableau13[ven.11],"="&amp;"PTRI")</f>
        <v>0</v>
      </c>
      <c r="EC44" s="232">
        <f>AVERAGE(DX44:EB44)</f>
        <v>0</v>
      </c>
      <c r="ED44" s="291">
        <f>COUNTIF(Tableau13[dim.13],"="&amp;"ECH")+COUNTIF(Tableau13[dim.13],"="&amp;"PTRI")</f>
        <v>0</v>
      </c>
      <c r="EE44" s="291">
        <f>COUNTIF(Tableau13[lun.14],"="&amp;"ECH")+COUNTIF(Tableau13[lun.14],"="&amp;"PTRI")</f>
        <v>0</v>
      </c>
      <c r="EF44" s="291">
        <f>COUNTIF(Tableau13[mar.15],"="&amp;"ECH")+COUNTIF(Tableau13[mar.15],"="&amp;"PTRI")</f>
        <v>0</v>
      </c>
      <c r="EG44" s="291">
        <f>COUNTIF(Tableau13[mer.16],"="&amp;"ECH")+COUNTIF(Tableau13[mer.16],"="&amp;"PTRI")</f>
        <v>0</v>
      </c>
      <c r="EH44" s="291">
        <f>COUNTIF(Tableau13[jeu.17],"="&amp;"ECH")+COUNTIF(Tableau13[jeu.17],"="&amp;"PTRI")</f>
        <v>0</v>
      </c>
      <c r="EI44" s="291">
        <f>COUNTIF(Tableau13[ven.18],"="&amp;"ECH")+COUNTIF(Tableau13[ven.18],"="&amp;"PTRI")</f>
        <v>0</v>
      </c>
      <c r="EJ44" s="232">
        <f>AVERAGE(EE44:EI44)</f>
        <v>0</v>
      </c>
      <c r="EK44" s="291">
        <f>COUNTIF(Tableau13[dim.20],"="&amp;"ECH")+COUNTIF(Tableau13[dim.20],"="&amp;"PTRI")</f>
        <v>0</v>
      </c>
      <c r="EL44" s="291">
        <f>COUNTIF(Tableau13[lun.21],"="&amp;"ECH")+COUNTIF(Tableau13[lun.21],"="&amp;"PTRI")</f>
        <v>0</v>
      </c>
      <c r="EM44" s="291">
        <f>COUNTIF(Tableau13[mar.22],"="&amp;"ECH")+COUNTIF(Tableau13[mar.22],"="&amp;"PTRI")</f>
        <v>0</v>
      </c>
      <c r="EN44" s="291">
        <f>COUNTIF(Tableau13[mer.23],"="&amp;"ECH")+COUNTIF(Tableau13[mer.23],"="&amp;"PTRI")</f>
        <v>0</v>
      </c>
      <c r="EO44" s="291">
        <f>COUNTIF(Tableau13[jeu.24],"="&amp;"ECH")+COUNTIF(Tableau13[jeu.24],"="&amp;"PTRI")</f>
        <v>0</v>
      </c>
      <c r="EP44" s="291">
        <f>COUNTIF(Tableau13[ven.25],"="&amp;"ECH")+COUNTIF(Tableau13[ven.25],"="&amp;"PTRI")</f>
        <v>0</v>
      </c>
      <c r="EQ44" s="232">
        <f>AVERAGE(EL44:EP44)</f>
        <v>0</v>
      </c>
      <c r="ER44" s="291">
        <f>COUNTIF(Tableau13[dim.27],"="&amp;"ECH")+COUNTIF(Tableau13[dim.27],"="&amp;"PTRI")</f>
        <v>0</v>
      </c>
      <c r="ES44" s="291">
        <f>COUNTIF(Tableau13[lun.28],"="&amp;"ECH")+COUNTIF(Tableau13[lun.28],"="&amp;"PTRI")</f>
        <v>0</v>
      </c>
      <c r="ET44" s="291">
        <f>COUNTIF(Tableau13[mar.29],"="&amp;"ECH")+COUNTIF(Tableau13[mar.29],"="&amp;"PTRI")</f>
        <v>0</v>
      </c>
      <c r="EU44" s="291">
        <f>COUNTIF(Tableau13[mer.30],"="&amp;"ECH")+COUNTIF(Tableau13[mer.30],"="&amp;"PTRI")</f>
        <v>0</v>
      </c>
      <c r="EV44" s="291">
        <f>COUNTIF(Tableau13[jeu.31],"="&amp;"ECH")+COUNTIF(Tableau13[jeu.31],"="&amp;"PTRI")</f>
        <v>0</v>
      </c>
      <c r="EW44" s="291">
        <f>COUNTIF(Tableau13[ven.01],"="&amp;"ECH")+COUNTIF(Tableau13[ven.01],"="&amp;"PTRI")</f>
        <v>0</v>
      </c>
      <c r="EX44" s="232">
        <f>AVERAGE(ES44:EW44)</f>
        <v>0</v>
      </c>
      <c r="EY44" s="291">
        <f>COUNTIF(Tableau13[dim.03],"="&amp;"ECH")+COUNTIF(Tableau13[dim.03],"="&amp;"PTRI")</f>
        <v>0</v>
      </c>
      <c r="EZ44" s="291">
        <f>COUNTIF(Tableau13[lun.04],"="&amp;"ECH")+COUNTIF(Tableau13[lun.04],"="&amp;"PTRI")</f>
        <v>0</v>
      </c>
      <c r="FA44" s="291">
        <f>COUNTIF(Tableau13[mar.05],"="&amp;"ECH")+COUNTIF(Tableau13[mar.05],"="&amp;"PTRI")</f>
        <v>0</v>
      </c>
      <c r="FB44" s="291">
        <f>COUNTIF(Tableau13[mer.06],"="&amp;"ECH")+COUNTIF(Tableau13[mer.06],"="&amp;"PTRI")</f>
        <v>0</v>
      </c>
      <c r="FC44" s="291">
        <f>COUNTIF(Tableau13[jeu.07],"="&amp;"ECH")+COUNTIF(Tableau13[jeu.07],"="&amp;"PTRI")</f>
        <v>0</v>
      </c>
      <c r="FD44" s="291">
        <f>COUNTIF(Tableau13[ven.08],"="&amp;"ECH")+COUNTIF(Tableau13[ven.08],"="&amp;"PTRI")</f>
        <v>0</v>
      </c>
      <c r="FE44" s="232">
        <f>AVERAGE(EZ44:FD44)</f>
        <v>0</v>
      </c>
      <c r="FF44" s="291">
        <f>COUNTIF(Tableau13[dim.10],"="&amp;"ECH")+COUNTIF(Tableau13[dim.10],"="&amp;"PTRI")</f>
        <v>0</v>
      </c>
      <c r="FG44" s="291">
        <f>COUNTIF(Tableau13[lun.11],"="&amp;"ECH")+COUNTIF(Tableau13[lun.11],"="&amp;"PTRI")</f>
        <v>0</v>
      </c>
      <c r="FH44" s="291">
        <f>COUNTIF(Tableau13[mar.12],"="&amp;"ECH")+COUNTIF(Tableau13[mar.12],"="&amp;"PTRI")</f>
        <v>0</v>
      </c>
      <c r="FI44" s="291">
        <f>COUNTIF(Tableau13[mer.13],"="&amp;"ECH")+COUNTIF(Tableau13[mer.13],"="&amp;"PTRI")</f>
        <v>0</v>
      </c>
      <c r="FJ44" s="291">
        <f>COUNTIF(Tableau13[jeu.14],"="&amp;"ECH")+COUNTIF(Tableau13[jeu.14],"="&amp;"PTRI")</f>
        <v>0</v>
      </c>
      <c r="FK44" s="291">
        <f>COUNTIF(Tableau13[ven.15],"="&amp;"ECH")+COUNTIF(Tableau13[ven.15],"="&amp;"PTRI")</f>
        <v>0</v>
      </c>
      <c r="FL44" s="232">
        <f>AVERAGE(FG44:FK44)</f>
        <v>0</v>
      </c>
      <c r="FM44" s="291">
        <f>COUNTIF(Tableau13[dim.17],"="&amp;"ECH")+COUNTIF(Tableau13[dim.17],"="&amp;"PTRI")</f>
        <v>0</v>
      </c>
      <c r="FN44" s="291">
        <f>COUNTIF(Tableau13[lun.18],"="&amp;"ECH")+COUNTIF(Tableau13[lun.18],"="&amp;"PTRI")</f>
        <v>0</v>
      </c>
      <c r="FO44" s="291">
        <f>COUNTIF(Tableau13[mar.19],"="&amp;"ECH")+COUNTIF(Tableau13[mar.19],"="&amp;"PTRI")</f>
        <v>0</v>
      </c>
      <c r="FP44" s="291">
        <f>COUNTIF(Tableau13[mer.20],"="&amp;"ECH")+COUNTIF(Tableau13[mer.20],"="&amp;"PTRI")</f>
        <v>0</v>
      </c>
      <c r="FQ44" s="291">
        <f>COUNTIF(Tableau13[jeu.21],"="&amp;"ECH")+COUNTIF(Tableau13[jeu.21],"="&amp;"PTRI")</f>
        <v>0</v>
      </c>
      <c r="FR44" s="291">
        <f>COUNTIF(Tableau13[ven.22],"="&amp;"ECH")+COUNTIF(Tableau13[ven.22],"="&amp;"PTRI")</f>
        <v>0</v>
      </c>
      <c r="FS44" s="232">
        <f>AVERAGE(FN44:FR44)</f>
        <v>0</v>
      </c>
      <c r="FT44" s="291">
        <f>COUNTIF(Tableau13[dim.24],"="&amp;"ECH")+COUNTIF(Tableau13[dim.24],"="&amp;"PTRI")</f>
        <v>0</v>
      </c>
      <c r="FU44" s="291">
        <f>COUNTIF(Tableau13[lun.25],"="&amp;"ECH")+COUNTIF(Tableau13[lun.25],"="&amp;"PTRI")</f>
        <v>0</v>
      </c>
      <c r="FV44" s="291">
        <f>COUNTIF(Tableau13[mar.26],"="&amp;"ECH")+COUNTIF(Tableau13[mar.26],"="&amp;"PTRI")</f>
        <v>0</v>
      </c>
      <c r="FW44" s="291">
        <f>COUNTIF(Tableau13[mer.27],"="&amp;"ECH")+COUNTIF(Tableau13[mer.27],"="&amp;"PTRI")</f>
        <v>0</v>
      </c>
      <c r="FX44" s="291">
        <f>COUNTIF(Tableau13[jeu.28],"="&amp;"ECH")+COUNTIF(Tableau13[jeu.28],"="&amp;"PTRI")</f>
        <v>0</v>
      </c>
      <c r="FY44" s="291">
        <f>COUNTIF(Tableau13[ven.29],"="&amp;"ECH")+COUNTIF(Tableau13[ven.29],"="&amp;"PTRI")</f>
        <v>0</v>
      </c>
      <c r="FZ44" s="232">
        <f>AVERAGE(FU44:FY44)</f>
        <v>0</v>
      </c>
      <c r="GA44" s="291">
        <f>COUNTIF(Tableau13[dim.012],"="&amp;"ECH")+COUNTIF(Tableau13[dim.012],"="&amp;"PTRI")</f>
        <v>0</v>
      </c>
      <c r="GB44" s="291">
        <f>COUNTIF(Tableau13[lun.023],"="&amp;"ECH")+COUNTIF(Tableau13[lun.023],"="&amp;"PTRI")</f>
        <v>0</v>
      </c>
      <c r="GC44" s="291">
        <f>COUNTIF(Tableau13[mar.034],"="&amp;"ECH")+COUNTIF(Tableau13[mar.034],"="&amp;"PTRI")</f>
        <v>0</v>
      </c>
      <c r="GD44" s="291">
        <f>COUNTIF(Tableau13[mer.045],"="&amp;"ECH")+COUNTIF(Tableau13[mer.045],"="&amp;"PTRI")</f>
        <v>0</v>
      </c>
      <c r="GE44" s="291">
        <f>COUNTIF(Tableau13[jeu.056],"="&amp;"ECH")+COUNTIF(Tableau13[jeu.056],"="&amp;"PTRI")</f>
        <v>0</v>
      </c>
      <c r="GF44" s="291">
        <f>COUNTIF(Tableau13[ven.067],"="&amp;"ECH")+COUNTIF(Tableau13[ven.067],"="&amp;"PTRI")</f>
        <v>0</v>
      </c>
      <c r="GG44" s="232">
        <f>AVERAGE(GB44:GF44)</f>
        <v>0</v>
      </c>
      <c r="GH44" s="291">
        <f>COUNTIF(Tableau13[dim.089],"="&amp;"ECH")+COUNTIF(Tableau13[dim.089],"="&amp;"PTRI")</f>
        <v>0</v>
      </c>
      <c r="GI44" s="291">
        <f>COUNTIF(Tableau13[lun.0910],"="&amp;"ECH")+COUNTIF(Tableau13[lun.0910],"="&amp;"PTRI")</f>
        <v>0</v>
      </c>
      <c r="GJ44" s="291">
        <f>COUNTIF(Tableau13[mar.1011],"="&amp;"ECH")+COUNTIF(Tableau13[mar.1011],"="&amp;"PTRI")</f>
        <v>0</v>
      </c>
      <c r="GK44" s="291">
        <f>COUNTIF(Tableau13[mer.1112],"="&amp;"ECH")+COUNTIF(Tableau13[mer.1112],"="&amp;"PTRI")</f>
        <v>0</v>
      </c>
      <c r="GL44" s="291">
        <f>COUNTIF(Tableau13[jeu.1213],"="&amp;"ECH")+COUNTIF(Tableau13[jeu.1213],"="&amp;"PTRI")</f>
        <v>0</v>
      </c>
      <c r="GM44" s="291">
        <f>COUNTIF(Tableau13[ven.1314],"="&amp;"ECH")+COUNTIF(Tableau13[ven.1314],"="&amp;"PTRI")</f>
        <v>0</v>
      </c>
      <c r="GN44" s="232">
        <f>AVERAGE(GI44:GM44)</f>
        <v>0</v>
      </c>
      <c r="GO44" s="291">
        <f>COUNTIF(Tableau13[dim.1516],"="&amp;"ECH")+COUNTIF(Tableau13[dim.1516],"="&amp;"PTRI")</f>
        <v>0</v>
      </c>
      <c r="GP44" s="291">
        <f>COUNTIF(Tableau13[lun.1617],"="&amp;"ECH")+COUNTIF(Tableau13[lun.1617],"="&amp;"PTRI")</f>
        <v>0</v>
      </c>
      <c r="GQ44" s="291">
        <f>COUNTIF(Tableau13[mar.1718],"="&amp;"ECH")+COUNTIF(Tableau13[mar.1718],"="&amp;"PTRI")</f>
        <v>0</v>
      </c>
      <c r="GR44" s="291">
        <f>COUNTIF(Tableau13[mer.1819],"="&amp;"ECH")+COUNTIF(Tableau13[mer.1819],"="&amp;"PTRI")</f>
        <v>0</v>
      </c>
      <c r="GS44" s="291">
        <f>COUNTIF(Tableau13[jeu.1920],"="&amp;"ECH")+COUNTIF(Tableau13[jeu.1920],"="&amp;"PTRI")</f>
        <v>0</v>
      </c>
      <c r="GT44" s="291">
        <f>COUNTIF(Tableau13[ven.2021],"="&amp;"ECH")+COUNTIF(Tableau13[ven.2021],"="&amp;"PTRI")</f>
        <v>0</v>
      </c>
      <c r="GU44" s="232">
        <f>AVERAGE(GP44:GT44)</f>
        <v>0</v>
      </c>
      <c r="GV44" s="291">
        <f>COUNTIF(Tableau13[dim.2223],"="&amp;"ECH")+COUNTIF(Tableau13[dim.2223],"="&amp;"PTRI")</f>
        <v>0</v>
      </c>
      <c r="GW44" s="291">
        <f>COUNTIF(Tableau13[lun.2324],"="&amp;"ECH")+COUNTIF(Tableau13[lun.2324],"="&amp;"PTRI")</f>
        <v>0</v>
      </c>
      <c r="GX44" s="291">
        <f>COUNTIF(Tableau13[mar.2425],"="&amp;"ECH")+COUNTIF(Tableau13[mar.2425],"="&amp;"PTRI")</f>
        <v>0</v>
      </c>
      <c r="GY44" s="291">
        <f>COUNTIF(Tableau13[mer.2526],"="&amp;"ECH")+COUNTIF(Tableau13[mer.2526],"="&amp;"PTRI")</f>
        <v>0</v>
      </c>
      <c r="GZ44" s="291">
        <f>COUNTIF(Tableau13[jeu.2627],"="&amp;"ECH")+COUNTIF(Tableau13[jeu.2627],"="&amp;"PTRI")</f>
        <v>0</v>
      </c>
      <c r="HA44" s="291">
        <f>COUNTIF(Tableau13[ven.2728],"="&amp;"ECH")+COUNTIF(Tableau13[ven.2728],"="&amp;"PTRI")</f>
        <v>0</v>
      </c>
      <c r="HB44" s="232">
        <f>AVERAGE(GW44:HA44)</f>
        <v>0</v>
      </c>
      <c r="HC44" s="291">
        <f>COUNTIF(Tableau13[dim.2930],"="&amp;"ECH")+COUNTIF(Tableau13[dim.2930],"="&amp;"PTRI")</f>
        <v>0</v>
      </c>
      <c r="HD44" s="291">
        <f>COUNTIF(Tableau13[lun.152],"="&amp;"ECH")+COUNTIF(Tableau13[lun.152],"="&amp;"PTRI")</f>
        <v>0</v>
      </c>
      <c r="HE44" s="291">
        <f>COUNTIF(Tableau13[mar.163],"="&amp;"ECH")+COUNTIF(Tableau13[mar.163],"="&amp;"PTRI")</f>
        <v>0</v>
      </c>
      <c r="HF44" s="291">
        <f>COUNTIF(Tableau13[mer.174],"="&amp;"ECH")+COUNTIF(Tableau13[mer.174],"="&amp;"PTRI")</f>
        <v>0</v>
      </c>
      <c r="HG44" s="291">
        <f>COUNTIF(Tableau13[jeu.185],"="&amp;"ECH")+COUNTIF(Tableau13[jeu.185],"="&amp;"PTRI")</f>
        <v>0</v>
      </c>
      <c r="HH44" s="291">
        <f>COUNTIF(Tableau13[ven.196],"="&amp;"ECH")+COUNTIF(Tableau13[ven.196],"="&amp;"PTRI")</f>
        <v>0</v>
      </c>
      <c r="HI44" s="232">
        <f>AVERAGE(HD44:HH44)</f>
        <v>0</v>
      </c>
      <c r="HJ44" s="291">
        <f>COUNTIF(Tableau13[dim.218],"="&amp;"ECH")+COUNTIF(Tableau13[dim.218],"="&amp;"PTRI")</f>
        <v>0</v>
      </c>
      <c r="HK44" s="291">
        <f>COUNTIF(Tableau13[lun.039],"="&amp;"ECH")+COUNTIF(Tableau13[lun.039],"="&amp;"PTRI")</f>
        <v>0</v>
      </c>
      <c r="HL44" s="291">
        <f>COUNTIF(Tableau13[mar.2310],"="&amp;"ECH")+COUNTIF(Tableau13[mar.2310],"="&amp;"PTRI")</f>
        <v>0</v>
      </c>
      <c r="HM44" s="291">
        <f>COUNTIF(Tableau13[mer.2411],"="&amp;"ECH")+COUNTIF(Tableau13[mer.2411],"="&amp;"PTRI")</f>
        <v>0</v>
      </c>
      <c r="HN44" s="291">
        <f>COUNTIF(Tableau13[jeu.2512],"="&amp;"ECH")+COUNTIF(Tableau13[jeu.2512],"="&amp;"PTRI")</f>
        <v>0</v>
      </c>
      <c r="HO44" s="291">
        <f>COUNTIF(Tableau13[ven.2613],"="&amp;"ECH")+COUNTIF(Tableau13[ven.2613],"="&amp;"PTRI")</f>
        <v>0</v>
      </c>
      <c r="HP44" s="232">
        <f>AVERAGE(HK44:HO44)</f>
        <v>0</v>
      </c>
      <c r="HQ44" s="291">
        <f>COUNTIF(Tableau13[dim.2815],"="&amp;"ECH")+COUNTIF(Tableau13[dim.2815],"="&amp;"PTRI")</f>
        <v>0</v>
      </c>
      <c r="HR44" s="291">
        <f>COUNTIF(Tableau13[lun.2916],"="&amp;"ECH")+COUNTIF(Tableau13[lun.2916],"="&amp;"PTRI")</f>
        <v>0</v>
      </c>
      <c r="HS44" s="291">
        <f>COUNTIF(Tableau13[mar.3017],"="&amp;"ECH")+COUNTIF(Tableau13[mar.3017],"="&amp;"PTRI")</f>
        <v>0</v>
      </c>
      <c r="HT44" s="291">
        <f>COUNTIF(Tableau13[mer.3118],"="&amp;"ECH")+COUNTIF(Tableau13[mer.3118],"="&amp;"PTRI")</f>
        <v>0</v>
      </c>
      <c r="HU44" s="291">
        <f>COUNTIF(Tableau13[jeu.0119],"="&amp;"ECH")+COUNTIF(Tableau13[jeu.0119],"="&amp;"PTRI")</f>
        <v>0</v>
      </c>
      <c r="HV44" s="291">
        <f>COUNTIF(Tableau13[ven.0220],"="&amp;"ECH")+COUNTIF(Tableau13[ven.0220],"="&amp;"PTRI")</f>
        <v>0</v>
      </c>
      <c r="HW44" s="232">
        <f>AVERAGE(HR44:HV44)</f>
        <v>0</v>
      </c>
      <c r="HX44" s="291">
        <f>COUNTIF(Tableau13[dim.0422],"="&amp;"ECH")+COUNTIF(Tableau13[dim.0422],"="&amp;"PTRI")</f>
        <v>0</v>
      </c>
      <c r="HY44" s="291">
        <f>COUNTIF(Tableau13[lun.0523],"="&amp;"ECH")+COUNTIF(Tableau13[lun.0523],"="&amp;"PTRI")</f>
        <v>0</v>
      </c>
      <c r="HZ44" s="291">
        <f>COUNTIF(Tableau13[mar.0624],"="&amp;"ECH")+COUNTIF(Tableau13[mar.0624],"="&amp;"PTRI")</f>
        <v>0</v>
      </c>
      <c r="IA44" s="291">
        <f>COUNTIF(Tableau13[mer.0725],"="&amp;"ECH")+COUNTIF(Tableau13[mer.0725],"="&amp;"PTRI")</f>
        <v>0</v>
      </c>
      <c r="IB44" s="291">
        <f>COUNTIF(Tableau13[jeu.0826],"="&amp;"ECH")+COUNTIF(Tableau13[jeu.0826],"="&amp;"PTRI")</f>
        <v>0</v>
      </c>
      <c r="IC44" s="291">
        <f>COUNTIF(Tableau13[ven.0927],"="&amp;"ECH")+COUNTIF(Tableau13[ven.0927],"="&amp;"PTRI")</f>
        <v>0</v>
      </c>
      <c r="ID44" s="232">
        <f>AVERAGE(HY44:IC44)</f>
        <v>0</v>
      </c>
      <c r="IE44" s="291">
        <f>COUNTIF(Tableau13[dim.1129],"="&amp;"ECH")+COUNTIF(Tableau13[dim.1129],"="&amp;"PTRI")</f>
        <v>0</v>
      </c>
      <c r="IF44" s="291">
        <f>COUNTIF(Tableau13[lun.1230],"="&amp;"ECH")+COUNTIF(Tableau13[lun.1230],"="&amp;"PTRI")</f>
        <v>0</v>
      </c>
      <c r="IG44" s="291">
        <f>COUNTIF(Tableau13[mar.1331],"="&amp;"ECH")+COUNTIF(Tableau13[mar.1331],"="&amp;"PTRI")</f>
        <v>0</v>
      </c>
      <c r="IH44" s="291">
        <f>COUNTIF(Tableau13[mer.1432],"="&amp;"ECH")+COUNTIF(Tableau13[mer.1432],"="&amp;"PTRI")</f>
        <v>0</v>
      </c>
      <c r="II44" s="291">
        <f>COUNTIF(Tableau13[jeu.1533],"="&amp;"ECH")+COUNTIF(Tableau13[jeu.1533],"="&amp;"PTRI")</f>
        <v>0</v>
      </c>
      <c r="IJ44" s="291">
        <f>COUNTIF(Tableau13[ven.1634],"="&amp;"ECH")+COUNTIF(Tableau13[ven.1634],"="&amp;"PTRI")</f>
        <v>0</v>
      </c>
      <c r="IK44" s="232">
        <f>AVERAGE(IF44:IJ44)</f>
        <v>0</v>
      </c>
      <c r="IL44" s="291">
        <f>COUNTIF(Tableau13[dim.1836],"="&amp;"ECH")+COUNTIF(Tableau13[dim.1836],"="&amp;"PTRI")</f>
        <v>0</v>
      </c>
      <c r="IM44" s="291">
        <f>COUNTIF(Tableau13[lun.1937],"="&amp;"ECH")+COUNTIF(Tableau13[lun.1937],"="&amp;"PTRI")</f>
        <v>0</v>
      </c>
      <c r="IN44" s="291">
        <f>COUNTIF(Tableau13[mar.2038],"="&amp;"ECH")+COUNTIF(Tableau13[mar.2038],"="&amp;"PTRI")</f>
        <v>0</v>
      </c>
      <c r="IO44" s="291">
        <f>COUNTIF(Tableau13[mer.2139],"="&amp;"ECH")+COUNTIF(Tableau13[mer.2139],"="&amp;"PTRI")</f>
        <v>0</v>
      </c>
      <c r="IP44" s="291">
        <f>COUNTIF(Tableau13[jeu.2240],"="&amp;"ECH")+COUNTIF(Tableau13[jeu.2240],"="&amp;"PTRI")</f>
        <v>0</v>
      </c>
      <c r="IQ44" s="291">
        <f>COUNTIF(Tableau13[ven.2341],"="&amp;"ECH")+COUNTIF(Tableau13[ven.2341],"="&amp;"PTRI")</f>
        <v>0</v>
      </c>
      <c r="IR44" s="232">
        <f>AVERAGE(IM44:IQ44)</f>
        <v>0</v>
      </c>
      <c r="IS44" s="291">
        <f>COUNTIF(Tableau13[dim.2543],"="&amp;"ECH")+COUNTIF(Tableau13[dim.2543],"="&amp;"PTRI")</f>
        <v>0</v>
      </c>
      <c r="IT44" s="291">
        <f>COUNTIF(Tableau13[lun.2644],"="&amp;"ECH")+COUNTIF(Tableau13[lun.2644],"="&amp;"PTRI")</f>
        <v>0</v>
      </c>
      <c r="IU44" s="291">
        <f>COUNTIF(Tableau13[mar.2745],"="&amp;"ECH")+COUNTIF(Tableau13[mar.2745],"="&amp;"PTRI")</f>
        <v>0</v>
      </c>
      <c r="IV44" s="291">
        <f>COUNTIF(Tableau13[mer.2846],"="&amp;"ECH")+COUNTIF(Tableau13[mer.2846],"="&amp;"PTRI")</f>
        <v>0</v>
      </c>
      <c r="IW44" s="291">
        <f>COUNTIF(Tableau13[jeu.2947],"="&amp;"ECH")+COUNTIF(Tableau13[jeu.2947],"="&amp;"PTRI")</f>
        <v>0</v>
      </c>
      <c r="IX44" s="291">
        <f>COUNTIF(Tableau13[ven.3048],"="&amp;"ECH")+COUNTIF(Tableau13[ven.3048],"="&amp;"PTRI")</f>
        <v>0</v>
      </c>
      <c r="IY44" s="232">
        <f>AVERAGE(IT44:IX44)</f>
        <v>0</v>
      </c>
      <c r="IZ44" s="291">
        <f>COUNTIF(Tableau13[dim.0150],"="&amp;"ECH")+COUNTIF(Tableau13[dim.0150],"="&amp;"PTRI")</f>
        <v>0</v>
      </c>
      <c r="JA44" s="291">
        <f>COUNTIF(Tableau13[lun.0251],"="&amp;"ECH")+COUNTIF(Tableau13[lun.0251],"="&amp;"PTRI")</f>
        <v>0</v>
      </c>
      <c r="JB44" s="291">
        <f>COUNTIF(Tableau13[mar.0352],"="&amp;"ECH")+COUNTIF(Tableau13[mar.0352],"="&amp;"PTRI")</f>
        <v>0</v>
      </c>
      <c r="JC44" s="291">
        <f>COUNTIF(Tableau13[mer.0453],"="&amp;"ECH")+COUNTIF(Tableau13[mer.0453],"="&amp;"PTRI")</f>
        <v>0</v>
      </c>
      <c r="JD44" s="291">
        <f>COUNTIF(Tableau13[jeu.0554],"="&amp;"ECH")+COUNTIF(Tableau13[jeu.0554],"="&amp;"PTRI")</f>
        <v>0</v>
      </c>
      <c r="JE44" s="291">
        <f>COUNTIF(Tableau13[ven.0655],"="&amp;"ECH")+COUNTIF(Tableau13[ven.0655],"="&amp;"PTRI")</f>
        <v>0</v>
      </c>
      <c r="JF44" s="232">
        <f>AVERAGE(JA44:JE44)</f>
        <v>0</v>
      </c>
      <c r="JG44" s="291">
        <f>COUNTIF(Tableau13[dim.0857],"="&amp;"ECH")+COUNTIF(Tableau13[dim.0857],"="&amp;"PTRI")</f>
        <v>0</v>
      </c>
      <c r="JH44" s="291">
        <f>COUNTIF(Tableau13[lun.0958],"="&amp;"ECH")+COUNTIF(Tableau13[lun.0958],"="&amp;"PTRI")</f>
        <v>0</v>
      </c>
      <c r="JI44" s="291">
        <f>COUNTIF(Tableau13[mar.1059],"="&amp;"ECH")+COUNTIF(Tableau13[mar.1059],"="&amp;"PTRI")</f>
        <v>0</v>
      </c>
      <c r="JJ44" s="291">
        <f>COUNTIF(Tableau13[mer.1160],"="&amp;"ECH")+COUNTIF(Tableau13[mer.1160],"="&amp;"PTRI")</f>
        <v>0</v>
      </c>
      <c r="JK44" s="291">
        <f>COUNTIF(Tableau13[jeu.1261],"="&amp;"ECH")+COUNTIF(Tableau13[jeu.1261],"="&amp;"PTRI")</f>
        <v>0</v>
      </c>
      <c r="JL44" s="291">
        <f>COUNTIF(Tableau13[ven.1362],"="&amp;"ECH")+COUNTIF(Tableau13[ven.1362],"="&amp;"PTRI")</f>
        <v>0</v>
      </c>
      <c r="JM44" s="232">
        <f>AVERAGE(JH44:JL44)</f>
        <v>0</v>
      </c>
      <c r="JN44" s="291">
        <f>COUNTIF(Tableau13[dim.1564],"="&amp;"ECH")+COUNTIF(Tableau13[dim.1564],"="&amp;"PTRI")</f>
        <v>0</v>
      </c>
      <c r="JO44" s="291">
        <f>COUNTIF(Tableau13[lun.1665],"="&amp;"ECH")+COUNTIF(Tableau13[lun.1665],"="&amp;"PTRI")</f>
        <v>0</v>
      </c>
      <c r="JP44" s="291">
        <f>COUNTIF(Tableau13[mar.1766],"="&amp;"ECH")+COUNTIF(Tableau13[mar.1766],"="&amp;"PTRI")</f>
        <v>0</v>
      </c>
      <c r="JQ44" s="291">
        <f>COUNTIF(Tableau13[mer.1867],"="&amp;"ECH")+COUNTIF(Tableau13[mer.1867],"="&amp;"PTRI")</f>
        <v>0</v>
      </c>
      <c r="JR44" s="291">
        <f>COUNTIF(Tableau13[jeu.1968],"="&amp;"ECH")+COUNTIF(Tableau13[jeu.1968],"="&amp;"PTRI")</f>
        <v>0</v>
      </c>
      <c r="JS44" s="291">
        <f>COUNTIF(Tableau13[ven.2069],"="&amp;"ECH")+COUNTIF(Tableau13[ven.2069],"="&amp;"PTRI")</f>
        <v>0</v>
      </c>
      <c r="JT44" s="232">
        <f>AVERAGE(JO44:JS44)</f>
        <v>0</v>
      </c>
      <c r="JU44" s="291">
        <f>COUNTIF(Tableau13[dim.2271],"="&amp;"ECH")+COUNTIF(Tableau13[dim.2271],"="&amp;"PTRI")</f>
        <v>0</v>
      </c>
      <c r="JV44" s="291">
        <f>COUNTIF(Tableau13[lun.2372],"="&amp;"ECH")+COUNTIF(Tableau13[lun.2372],"="&amp;"PTRI")</f>
        <v>0</v>
      </c>
      <c r="JW44" s="291">
        <f>COUNTIF(Tableau13[mar.2473],"="&amp;"ECH")+COUNTIF(Tableau13[mar.2473],"="&amp;"PTRI")</f>
        <v>0</v>
      </c>
      <c r="JX44" s="291">
        <f>COUNTIF(Tableau13[mer.2574],"="&amp;"ECH")+COUNTIF(Tableau13[mer.2574],"="&amp;"PTRI")</f>
        <v>0</v>
      </c>
      <c r="JY44" s="291">
        <f>COUNTIF(Tableau13[jeu.2675],"="&amp;"ECH")+COUNTIF(Tableau13[jeu.2675],"="&amp;"PTRI")</f>
        <v>0</v>
      </c>
      <c r="JZ44" s="291">
        <f>COUNTIF(Tableau13[ven.2776],"="&amp;"ECH")+COUNTIF(Tableau13[ven.2776],"="&amp;"PTRI")</f>
        <v>0</v>
      </c>
      <c r="KA44" s="232">
        <f>AVERAGE(JV44:JZ44)</f>
        <v>0</v>
      </c>
      <c r="KB44" s="291">
        <f>COUNTIF(Tableau13[dim.2978],"="&amp;"ECH")+COUNTIF(Tableau13[dim.2978],"="&amp;"PTRI")</f>
        <v>0</v>
      </c>
      <c r="KC44" s="291">
        <f>COUNTIF(Tableau13[lun.3079],"="&amp;"ECH")+COUNTIF(Tableau13[lun.3079],"="&amp;"PTRI")</f>
        <v>0</v>
      </c>
      <c r="KD44" s="291">
        <f>COUNTIF(Tableau13[mar.0180],"="&amp;"ECH")+COUNTIF(Tableau13[mar.0180],"="&amp;"PTRI")</f>
        <v>0</v>
      </c>
      <c r="KE44" s="291">
        <f>COUNTIF(Tableau13[mer.0281],"="&amp;"ECH")+COUNTIF(Tableau13[mer.0281],"="&amp;"PTRI")</f>
        <v>0</v>
      </c>
      <c r="KF44" s="291">
        <f>COUNTIF(Tableau13[jeu.0382],"="&amp;"ECH")+COUNTIF(Tableau13[jeu.0382],"="&amp;"PTRI")</f>
        <v>0</v>
      </c>
      <c r="KG44" s="291">
        <f>COUNTIF(Tableau13[ven.0483],"="&amp;"ECH")+COUNTIF(Tableau13[ven.0483],"="&amp;"PTRI")</f>
        <v>0</v>
      </c>
      <c r="KH44" s="232">
        <f>AVERAGE(KC44:KG44)</f>
        <v>0</v>
      </c>
      <c r="KI44" s="291">
        <f>COUNTIF(Tableau13[dim.0685],"="&amp;"ECH")+COUNTIF(Tableau13[dim.0685],"="&amp;"PTRI")</f>
        <v>0</v>
      </c>
      <c r="KJ44" s="291">
        <f>COUNTIF(Tableau13[lun.0786],"="&amp;"ECH")+COUNTIF(Tableau13[lun.0786],"="&amp;"PTRI")</f>
        <v>0</v>
      </c>
      <c r="KK44" s="291">
        <f>COUNTIF(Tableau13[mar.0887],"="&amp;"ECH")+COUNTIF(Tableau13[mar.0887],"="&amp;"PTRI")</f>
        <v>0</v>
      </c>
      <c r="KL44" s="291">
        <f>COUNTIF(Tableau13[mer.0988],"="&amp;"ECH")+COUNTIF(Tableau13[mer.0988],"="&amp;"PTRI")</f>
        <v>0</v>
      </c>
      <c r="KM44" s="291">
        <f>COUNTIF(Tableau13[jeu.1089],"="&amp;"ECH")+COUNTIF(Tableau13[jeu.1089],"="&amp;"PTRI")</f>
        <v>0</v>
      </c>
      <c r="KN44" s="291">
        <f>COUNTIF(Tableau13[ven.1190],"="&amp;"ECH")+COUNTIF(Tableau13[ven.1190],"="&amp;"PTRI")</f>
        <v>0</v>
      </c>
      <c r="KO44" s="232">
        <f>AVERAGE(KJ44:KN44)</f>
        <v>0</v>
      </c>
      <c r="KP44" s="291">
        <f>COUNTIF(Tableau13[dim.1392],"="&amp;"ECH")+COUNTIF(Tableau13[dim.1392],"="&amp;"PTRI")</f>
        <v>0</v>
      </c>
      <c r="KQ44" s="291">
        <f>COUNTIF(Tableau13[lun.1493],"="&amp;"ECH")+COUNTIF(Tableau13[lun.1493],"="&amp;"PTRI")</f>
        <v>0</v>
      </c>
      <c r="KR44" s="291">
        <f>COUNTIF(Tableau13[mar.1594],"="&amp;"ECH")+COUNTIF(Tableau13[mar.1594],"="&amp;"PTRI")</f>
        <v>0</v>
      </c>
      <c r="KS44" s="291">
        <f>COUNTIF(Tableau13[mer.1695],"="&amp;"ECH")+COUNTIF(Tableau13[mer.1695],"="&amp;"PTRI")</f>
        <v>0</v>
      </c>
      <c r="KT44" s="291">
        <f>COUNTIF(Tableau13[jeu.1796],"="&amp;"ECH")+COUNTIF(Tableau13[jeu.1796],"="&amp;"PTRI")</f>
        <v>0</v>
      </c>
      <c r="KU44" s="291">
        <f>COUNTIF(Tableau13[ven.1897],"="&amp;"ECH")+COUNTIF(Tableau13[ven.1897],"="&amp;"PTRI")</f>
        <v>0</v>
      </c>
      <c r="KV44" s="232">
        <f>AVERAGE(KQ44:KU44)</f>
        <v>0</v>
      </c>
      <c r="KW44" s="291">
        <f>COUNTIF(Tableau13[dim.2099],"="&amp;"ECH")+COUNTIF(Tableau13[dim.2099],"="&amp;"PTRI")</f>
        <v>0</v>
      </c>
      <c r="KX44" s="291">
        <f>COUNTIF(Tableau13[lun.21100],"="&amp;"ECH")+COUNTIF(Tableau13[lun.21100],"="&amp;"PTRI")</f>
        <v>0</v>
      </c>
      <c r="KY44" s="291">
        <f>COUNTIF(Tableau13[mar.22101],"="&amp;"ECH")+COUNTIF(Tableau13[mar.22101],"="&amp;"PTRI")</f>
        <v>0</v>
      </c>
      <c r="KZ44" s="291">
        <f>COUNTIF(Tableau13[mer.23102],"="&amp;"ECH")+COUNTIF(Tableau13[mer.23102],"="&amp;"PTRI")</f>
        <v>0</v>
      </c>
      <c r="LA44" s="291">
        <f>COUNTIF(Tableau13[jeu.24103],"="&amp;"ECH")+COUNTIF(Tableau13[jeu.24103],"="&amp;"PTRI")</f>
        <v>0</v>
      </c>
      <c r="LB44" s="291">
        <f>COUNTIF(Tableau13[ven.25104],"="&amp;"ECH")+COUNTIF(Tableau13[ven.25104],"="&amp;"PTRI")</f>
        <v>0</v>
      </c>
      <c r="LC44" s="232">
        <f>AVERAGE(KX44:LB44)</f>
        <v>0</v>
      </c>
      <c r="LD44" s="291">
        <f>COUNTIF(Tableau13[dim.27106],"="&amp;"ECH")+COUNTIF(Tableau13[dim.27106],"="&amp;"PTRI")</f>
        <v>0</v>
      </c>
      <c r="LE44" s="291">
        <f>COUNTIF(Tableau13[lun.28107],"="&amp;"ECH")+COUNTIF(Tableau13[lun.28107],"="&amp;"PTRI")</f>
        <v>0</v>
      </c>
      <c r="LF44" s="291">
        <f>COUNTIF(Tableau13[mar.29108],"="&amp;"ECH")+COUNTIF(Tableau13[mar.29108],"="&amp;"PTRI")</f>
        <v>0</v>
      </c>
      <c r="LG44" s="291">
        <f>COUNTIF(Tableau13[mer.30109],"="&amp;"ECH")+COUNTIF(Tableau13[mer.30109],"="&amp;"PTRI")</f>
        <v>0</v>
      </c>
      <c r="LH44" s="291">
        <f>COUNTIF(Tableau13[jeu.31110],"="&amp;"ECH")+COUNTIF(Tableau13[jeu.31110],"="&amp;"PTRI")</f>
        <v>0</v>
      </c>
      <c r="LI44" s="291">
        <f>COUNTIF(Tableau13[ven.01111],"="&amp;"ECH")+COUNTIF(Tableau13[ven.01111],"="&amp;"PTRI")</f>
        <v>0</v>
      </c>
      <c r="LJ44" s="232">
        <f>AVERAGE(LE44:LI44)</f>
        <v>0</v>
      </c>
      <c r="LK44" s="291">
        <f>COUNTIF(Tableau13[dim.03113],"="&amp;"ECH")+COUNTIF(Tableau13[dim.03113],"="&amp;"PTRI")</f>
        <v>0</v>
      </c>
      <c r="LL44" s="291">
        <f>COUNTIF(Tableau13[lun.04114],"="&amp;"ECH")+COUNTIF(Tableau13[lun.04114],"="&amp;"PTRI")</f>
        <v>0</v>
      </c>
      <c r="LM44" s="291">
        <f>COUNTIF(Tableau13[mar.05115],"="&amp;"ECH")+COUNTIF(Tableau13[mar.05115],"="&amp;"PTRI")</f>
        <v>0</v>
      </c>
      <c r="LN44" s="291">
        <f>COUNTIF(Tableau13[mer.06116],"="&amp;"ECH")+COUNTIF(Tableau13[mer.06116],"="&amp;"PTRI")</f>
        <v>0</v>
      </c>
      <c r="LO44" s="291">
        <f>COUNTIF(Tableau13[jeu.07117],"="&amp;"ECH")+COUNTIF(Tableau13[jeu.07117],"="&amp;"PTRI")</f>
        <v>0</v>
      </c>
      <c r="LP44" s="291">
        <f>COUNTIF(Tableau13[ven.08118],"="&amp;"ECH")+COUNTIF(Tableau13[ven.08118],"="&amp;"PTRI")</f>
        <v>0</v>
      </c>
      <c r="LQ44" s="232">
        <f>AVERAGE(LL44:LP44)</f>
        <v>0</v>
      </c>
      <c r="LR44" s="291">
        <f>COUNTIF(Tableau13[dim.10120],"="&amp;"ECH")+COUNTIF(Tableau13[dim.10120],"="&amp;"PTRI")</f>
        <v>0</v>
      </c>
      <c r="LS44" s="291">
        <f>COUNTIF(Tableau13[lun.11121],"="&amp;"ECH")+COUNTIF(Tableau13[lun.11121],"="&amp;"PTRI")</f>
        <v>0</v>
      </c>
      <c r="LT44" s="291">
        <f>COUNTIF(Tableau13[mar.12122],"="&amp;"ECH")+COUNTIF(Tableau13[mar.12122],"="&amp;"PTRI")</f>
        <v>0</v>
      </c>
      <c r="LU44" s="291">
        <f>COUNTIF(Tableau13[mer.13123],"="&amp;"ECH")+COUNTIF(Tableau13[mer.13123],"="&amp;"PTRI")</f>
        <v>0</v>
      </c>
      <c r="LV44" s="291">
        <f>COUNTIF(Tableau13[jeu.14124],"="&amp;"ECH")+COUNTIF(Tableau13[jeu.14124],"="&amp;"PTRI")</f>
        <v>0</v>
      </c>
      <c r="LW44" s="291">
        <f>COUNTIF(Tableau13[ven.15125],"="&amp;"ECH")+COUNTIF(Tableau13[ven.15125],"="&amp;"PTRI")</f>
        <v>0</v>
      </c>
      <c r="LX44" s="232">
        <f>AVERAGE(LS44:LW44)</f>
        <v>0</v>
      </c>
      <c r="LY44" s="291">
        <f>COUNTIF(Tableau13[dim.17127],"="&amp;"ECH")+COUNTIF(Tableau13[dim.17127],"="&amp;"PTRI")</f>
        <v>0</v>
      </c>
      <c r="LZ44" s="291">
        <f>COUNTIF(Tableau13[lun.18128],"="&amp;"ECH")+COUNTIF(Tableau13[lun.18128],"="&amp;"PTRI")</f>
        <v>0</v>
      </c>
      <c r="MA44" s="291">
        <f>COUNTIF(Tableau13[mar.19129],"="&amp;"ECH")+COUNTIF(Tableau13[mar.19129],"="&amp;"PTRI")</f>
        <v>0</v>
      </c>
      <c r="MB44" s="291">
        <f>COUNTIF(Tableau13[mer.20130],"="&amp;"ECH")+COUNTIF(Tableau13[mer.20130],"="&amp;"PTRI")</f>
        <v>0</v>
      </c>
      <c r="MC44" s="291">
        <f>COUNTIF(Tableau13[jeu.21131],"="&amp;"ECH")+COUNTIF(Tableau13[jeu.21131],"="&amp;"PTRI")</f>
        <v>0</v>
      </c>
      <c r="MD44" s="291">
        <f>COUNTIF(Tableau13[ven.22132],"="&amp;"ECH")+COUNTIF(Tableau13[ven.22132],"="&amp;"PTRI")</f>
        <v>0</v>
      </c>
      <c r="ME44" s="232">
        <f>AVERAGE(LZ44:MD44)</f>
        <v>0</v>
      </c>
      <c r="MF44" s="291">
        <f>COUNTIF(Tableau13[dim.24134],"="&amp;"ECH")+COUNTIF(Tableau13[dim.24134],"="&amp;"PTRI")</f>
        <v>0</v>
      </c>
      <c r="MG44" s="291">
        <f>COUNTIF(Tableau13[lun.25135],"="&amp;"ECH")+COUNTIF(Tableau13[lun.25135],"="&amp;"PTRI")</f>
        <v>0</v>
      </c>
      <c r="MH44" s="291">
        <f>COUNTIF(Tableau13[mar.26136],"="&amp;"ECH")+COUNTIF(Tableau13[mar.26136],"="&amp;"PTRI")</f>
        <v>0</v>
      </c>
      <c r="MI44" s="291">
        <f>COUNTIF(Tableau13[mer.27137],"="&amp;"ECH")+COUNTIF(Tableau13[mer.27137],"="&amp;"PTRI")</f>
        <v>0</v>
      </c>
      <c r="MJ44" s="291">
        <f>COUNTIF(Tableau13[jeu.28138],"="&amp;"ECH")+COUNTIF(Tableau13[jeu.28138],"="&amp;"PTRI")</f>
        <v>0</v>
      </c>
      <c r="MK44" s="291">
        <f>COUNTIF(Tableau13[ven.29139],"="&amp;"ECH")+COUNTIF(Tableau13[ven.29139],"="&amp;"PTRI")</f>
        <v>0</v>
      </c>
      <c r="ML44" s="232">
        <f>AVERAGE(MG44:MK44)</f>
        <v>0</v>
      </c>
      <c r="MM44" s="291">
        <f>COUNTIF(Tableau13[dim.012141],"="&amp;"ECH")+COUNTIF(Tableau13[dim.012141],"="&amp;"PTRI")</f>
        <v>0</v>
      </c>
      <c r="MN44" s="291">
        <f>COUNTIF(Tableau13[lun.023142],"="&amp;"ECH")+COUNTIF(Tableau13[lun.023142],"="&amp;"PTRI")</f>
        <v>0</v>
      </c>
      <c r="MO44" s="291">
        <f>COUNTIF(Tableau13[mar.034143],"="&amp;"ECH")+COUNTIF(Tableau13[mar.034143],"="&amp;"PTRI")</f>
        <v>0</v>
      </c>
      <c r="MP44" s="291">
        <f>COUNTIF(Tableau13[mer.045144],"="&amp;"ECH")+COUNTIF(Tableau13[mer.045144],"="&amp;"PTRI")</f>
        <v>0</v>
      </c>
      <c r="MQ44" s="291">
        <f>COUNTIF(Tableau13[jeu.056145],"="&amp;"ECH")+COUNTIF(Tableau13[jeu.056145],"="&amp;"PTRI")</f>
        <v>0</v>
      </c>
      <c r="MR44" s="291">
        <f>COUNTIF(Tableau13[ven.067146],"="&amp;"ECH")+COUNTIF(Tableau13[ven.067146],"="&amp;"PTRI")</f>
        <v>0</v>
      </c>
      <c r="MS44" s="232">
        <f>AVERAGE(MN44:MR44)</f>
        <v>0</v>
      </c>
      <c r="MT44" s="291">
        <f>COUNTIF(Tableau13[dim.089148],"="&amp;"ECH")+COUNTIF(Tableau13[dim.089148],"="&amp;"PTRI")</f>
        <v>0</v>
      </c>
      <c r="MU44" s="291">
        <f>COUNTIF(Tableau13[lun.0910149],"="&amp;"ECH")+COUNTIF(Tableau13[lun.0910149],"="&amp;"PTRI")</f>
        <v>0</v>
      </c>
      <c r="MV44" s="291">
        <f>COUNTIF(Tableau13[mar.1011150],"="&amp;"ECH")+COUNTIF(Tableau13[mar.1011150],"="&amp;"PTRI")</f>
        <v>0</v>
      </c>
      <c r="MW44" s="291">
        <f>COUNTIF(Tableau13[mer.1112151],"="&amp;"ECH")+COUNTIF(Tableau13[mer.1112151],"="&amp;"PTRI")</f>
        <v>0</v>
      </c>
      <c r="MX44" s="291">
        <f>COUNTIF(Tableau13[jeu.1213152],"="&amp;"ECH")+COUNTIF(Tableau13[jeu.1213152],"="&amp;"PTRI")</f>
        <v>0</v>
      </c>
      <c r="MY44" s="291">
        <f>COUNTIF(Tableau13[ven.1314153],"="&amp;"ECH")+COUNTIF(Tableau13[ven.1314153],"="&amp;"PTRI")</f>
        <v>0</v>
      </c>
      <c r="MZ44" s="232">
        <f>AVERAGE(MU44:MY44)</f>
        <v>0</v>
      </c>
      <c r="NA44" s="291">
        <f>COUNTIF(Tableau13[dim.1516155],"="&amp;"ECH")+COUNTIF(Tableau13[dim.1516155],"="&amp;"PTRI")</f>
        <v>0</v>
      </c>
      <c r="NB44" s="291">
        <f>COUNTIF(Tableau13[lun.1617156],"="&amp;"ECH")+COUNTIF(Tableau13[lun.1617156],"="&amp;"PTRI")</f>
        <v>0</v>
      </c>
      <c r="NC44" s="291">
        <f>COUNTIF(Tableau13[mar.1718157],"="&amp;"ECH")+COUNTIF(Tableau13[mar.1718157],"="&amp;"PTRI")</f>
        <v>0</v>
      </c>
      <c r="ND44" s="291">
        <f>COUNTIF(Tableau13[mer.1819158],"="&amp;"ECH")+COUNTIF(Tableau13[mer.1819158],"="&amp;"PTRI")</f>
        <v>0</v>
      </c>
      <c r="NE44" s="291">
        <f>COUNTIF(Tableau13[jeu.1920159],"="&amp;"ECH")+COUNTIF(Tableau13[jeu.1920159],"="&amp;"PTRI")</f>
        <v>0</v>
      </c>
      <c r="NF44" s="291">
        <f>COUNTIF(Tableau13[ven.2021160],"="&amp;"ECH")+COUNTIF(Tableau13[ven.2021160],"="&amp;"PTRI")</f>
        <v>0</v>
      </c>
      <c r="NG44" s="232">
        <f>AVERAGE(NB44:NF44)</f>
        <v>0</v>
      </c>
      <c r="NH44" s="291">
        <f>COUNTIF(Tableau13[dim.2223162],"="&amp;"ECH")+COUNTIF(Tableau13[dim.2223162],"="&amp;"PTRI")</f>
        <v>0</v>
      </c>
      <c r="NI44" s="291">
        <f>COUNTIF(Tableau13[lun.2324163],"="&amp;"ECH")+COUNTIF(Tableau13[lun.2324163],"="&amp;"PTRI")</f>
        <v>0</v>
      </c>
      <c r="NJ44" s="291">
        <f>COUNTIF(Tableau13[mar.2425164],"="&amp;"ECH")+COUNTIF(Tableau13[mar.2425164],"="&amp;"PTRI")</f>
        <v>0</v>
      </c>
      <c r="NK44" s="291">
        <f>COUNTIF(Tableau13[mer.2526165],"="&amp;"ECH")+COUNTIF(Tableau13[mer.2526165],"="&amp;"PTRI")</f>
        <v>0</v>
      </c>
      <c r="NL44" s="291">
        <f>COUNTIF(Tableau13[jeu.2627166],"="&amp;"ECH")+COUNTIF(Tableau13[jeu.2627166],"="&amp;"PTRI")</f>
        <v>0</v>
      </c>
      <c r="NM44" s="291">
        <f>COUNTIF(Tableau13[ven.2728167],"="&amp;"ECH")+COUNTIF(Tableau13[ven.2728167],"="&amp;"PTRI")</f>
        <v>0</v>
      </c>
      <c r="NN44" s="232">
        <f>AVERAGE(NI44:NM44)</f>
        <v>0</v>
      </c>
      <c r="NO44" s="291">
        <f>COUNTIF(Tableau13[dim.2930169],"="&amp;"ECH")+COUNTIF(Tableau13[dim.2930169],"="&amp;"PTRI")</f>
        <v>0</v>
      </c>
      <c r="NP44" s="291">
        <f>COUNTIF(Tableau13[lun.1617170],"="&amp;"ECH")+COUNTIF(Tableau13[lun.1617170],"="&amp;"PTRI")</f>
        <v>0</v>
      </c>
      <c r="NQ44" s="291">
        <f>COUNTIF(Tableau13[mar.1718171],"="&amp;"ECH")+COUNTIF(Tableau13[mar.1718171],"="&amp;"PTRI")</f>
        <v>0</v>
      </c>
      <c r="NR44" s="291">
        <f>COUNTIF(Tableau13[mer.1819172],"="&amp;"ECH")+COUNTIF(Tableau13[mer.1819172],"="&amp;"PTRI")</f>
        <v>0</v>
      </c>
      <c r="NS44" s="291">
        <f>COUNTIF(Tableau13[jeu.1920173],"="&amp;"ECH")+COUNTIF(Tableau13[jeu.1920173],"="&amp;"PTRI")</f>
        <v>0</v>
      </c>
      <c r="NT44" s="291">
        <f>COUNTIF(Tableau13[ven.2021174],"="&amp;"ECH")+COUNTIF(Tableau13[ven.2021174],"="&amp;"PTRI")</f>
        <v>0</v>
      </c>
      <c r="NU44" s="232">
        <f>AVERAGE(NP44:NT44)</f>
        <v>0</v>
      </c>
      <c r="NV44" s="291">
        <f>COUNTIF(Tableau13[dim.2223176],"="&amp;"ECH")+COUNTIF(Tableau13[dim.2223176],"="&amp;"PTRI")</f>
        <v>0</v>
      </c>
      <c r="NW44" s="291">
        <f>COUNTIF(Tableau13[lun.2324177],"="&amp;"ECH")+COUNTIF(Tableau13[lun.2324177],"="&amp;"PTRI")</f>
        <v>0</v>
      </c>
      <c r="NX44" s="291">
        <f>COUNTIF(Tableau13[mar.2425178],"="&amp;"ECH")+COUNTIF(Tableau13[mar.2425178],"="&amp;"PTRI")</f>
        <v>0</v>
      </c>
      <c r="NY44" s="291">
        <f>COUNTIF(Tableau13[mer.2526179],"="&amp;"ECH")+COUNTIF(Tableau13[mer.2526179],"="&amp;"PTRI")</f>
        <v>0</v>
      </c>
      <c r="NZ44" s="291">
        <f>COUNTIF(Tableau13[jeu.2627180],"="&amp;"ECH")+COUNTIF(Tableau13[jeu.2627180],"="&amp;"PTRI")</f>
        <v>0</v>
      </c>
      <c r="OA44" s="291">
        <f>COUNTIF(Tableau13[ven.2728181],"="&amp;"ECH")+COUNTIF(Tableau13[ven.2728181],"="&amp;"PTRI")</f>
        <v>0</v>
      </c>
      <c r="OB44" s="232">
        <f>AVERAGE(NW44:OA44)</f>
        <v>0</v>
      </c>
    </row>
    <row r="45" spans="4:392" ht="15" thickBot="1" x14ac:dyDescent="0.35">
      <c r="H45" s="214" t="s">
        <v>499</v>
      </c>
      <c r="I45" s="217">
        <f>I43*7</f>
        <v>245</v>
      </c>
      <c r="J45" s="211">
        <f>J43*7</f>
        <v>245</v>
      </c>
      <c r="K45" s="211">
        <f>K43*7</f>
        <v>245</v>
      </c>
      <c r="L45" s="211">
        <f>L43*7</f>
        <v>245</v>
      </c>
      <c r="M45" s="211">
        <f>M43*7</f>
        <v>245</v>
      </c>
      <c r="N45" s="233">
        <f>SUM(I45:M45)</f>
        <v>1225</v>
      </c>
      <c r="O45" s="211">
        <f>O43*35</f>
        <v>1225</v>
      </c>
      <c r="P45" s="211">
        <f>P43*7</f>
        <v>245</v>
      </c>
      <c r="Q45" s="211">
        <f t="shared" ref="Q45:CB45" si="0">Q43*7</f>
        <v>245</v>
      </c>
      <c r="R45" s="211">
        <f t="shared" si="0"/>
        <v>245</v>
      </c>
      <c r="S45" s="211">
        <f t="shared" si="0"/>
        <v>245</v>
      </c>
      <c r="T45" s="211">
        <f t="shared" si="0"/>
        <v>245</v>
      </c>
      <c r="U45" s="233">
        <f>SUM(P45:T45)</f>
        <v>1225</v>
      </c>
      <c r="V45" s="211">
        <f t="shared" si="0"/>
        <v>245</v>
      </c>
      <c r="W45" s="211">
        <f t="shared" si="0"/>
        <v>224</v>
      </c>
      <c r="X45" s="211">
        <f t="shared" si="0"/>
        <v>224</v>
      </c>
      <c r="Y45" s="211">
        <f t="shared" si="0"/>
        <v>224</v>
      </c>
      <c r="Z45" s="211">
        <f t="shared" si="0"/>
        <v>224</v>
      </c>
      <c r="AA45" s="211">
        <f t="shared" si="0"/>
        <v>224</v>
      </c>
      <c r="AB45" s="233">
        <f>SUM(W45:AA45)</f>
        <v>1120</v>
      </c>
      <c r="AC45" s="211">
        <f t="shared" si="0"/>
        <v>231</v>
      </c>
      <c r="AD45" s="211">
        <f t="shared" si="0"/>
        <v>224</v>
      </c>
      <c r="AE45" s="211">
        <f t="shared" si="0"/>
        <v>224</v>
      </c>
      <c r="AF45" s="211">
        <f t="shared" si="0"/>
        <v>224</v>
      </c>
      <c r="AG45" s="211">
        <f t="shared" si="0"/>
        <v>224</v>
      </c>
      <c r="AH45" s="211">
        <f t="shared" si="0"/>
        <v>224</v>
      </c>
      <c r="AI45" s="233">
        <f>SUM(AD45:AH45)</f>
        <v>1120</v>
      </c>
      <c r="AJ45" s="211">
        <f t="shared" si="0"/>
        <v>231</v>
      </c>
      <c r="AK45" s="211">
        <f t="shared" si="0"/>
        <v>210</v>
      </c>
      <c r="AL45" s="211">
        <f t="shared" si="0"/>
        <v>210</v>
      </c>
      <c r="AM45" s="211">
        <f t="shared" si="0"/>
        <v>210</v>
      </c>
      <c r="AN45" s="211">
        <f t="shared" si="0"/>
        <v>210</v>
      </c>
      <c r="AO45" s="211">
        <f t="shared" si="0"/>
        <v>210</v>
      </c>
      <c r="AP45" s="233">
        <f>SUM(AK45:AO45)</f>
        <v>1050</v>
      </c>
      <c r="AQ45" s="211">
        <f t="shared" si="0"/>
        <v>245</v>
      </c>
      <c r="AR45" s="211">
        <f t="shared" si="0"/>
        <v>210</v>
      </c>
      <c r="AS45" s="211">
        <f t="shared" si="0"/>
        <v>210</v>
      </c>
      <c r="AT45" s="211">
        <f t="shared" si="0"/>
        <v>210</v>
      </c>
      <c r="AU45" s="211">
        <f t="shared" si="0"/>
        <v>210</v>
      </c>
      <c r="AV45" s="211">
        <f t="shared" si="0"/>
        <v>210</v>
      </c>
      <c r="AW45" s="233">
        <f>SUM(AR45:AV45)</f>
        <v>1050</v>
      </c>
      <c r="AX45" s="211">
        <f t="shared" si="0"/>
        <v>245</v>
      </c>
      <c r="AY45" s="211">
        <f t="shared" si="0"/>
        <v>217</v>
      </c>
      <c r="AZ45" s="211">
        <f t="shared" si="0"/>
        <v>217</v>
      </c>
      <c r="BA45" s="211">
        <f t="shared" si="0"/>
        <v>217</v>
      </c>
      <c r="BB45" s="211">
        <f t="shared" si="0"/>
        <v>217</v>
      </c>
      <c r="BC45" s="211">
        <f t="shared" si="0"/>
        <v>217</v>
      </c>
      <c r="BD45" s="233">
        <f>SUM(AY45:BC45)</f>
        <v>1085</v>
      </c>
      <c r="BE45" s="211">
        <f t="shared" si="0"/>
        <v>245</v>
      </c>
      <c r="BF45" s="211">
        <f t="shared" si="0"/>
        <v>217</v>
      </c>
      <c r="BG45" s="211">
        <f t="shared" si="0"/>
        <v>217</v>
      </c>
      <c r="BH45" s="211">
        <f t="shared" si="0"/>
        <v>217</v>
      </c>
      <c r="BI45" s="211">
        <f t="shared" si="0"/>
        <v>217</v>
      </c>
      <c r="BJ45" s="211">
        <f t="shared" si="0"/>
        <v>217</v>
      </c>
      <c r="BK45" s="233">
        <f>SUM(BF45:BJ45)</f>
        <v>1085</v>
      </c>
      <c r="BL45" s="211">
        <f t="shared" si="0"/>
        <v>231</v>
      </c>
      <c r="BM45" s="211">
        <f t="shared" si="0"/>
        <v>217</v>
      </c>
      <c r="BN45" s="211">
        <f t="shared" si="0"/>
        <v>217</v>
      </c>
      <c r="BO45" s="211">
        <f t="shared" si="0"/>
        <v>217</v>
      </c>
      <c r="BP45" s="211">
        <f t="shared" si="0"/>
        <v>217</v>
      </c>
      <c r="BQ45" s="211">
        <f t="shared" si="0"/>
        <v>217</v>
      </c>
      <c r="BR45" s="233">
        <f>SUM(BM45:BQ45)</f>
        <v>1085</v>
      </c>
      <c r="BS45" s="211">
        <f t="shared" si="0"/>
        <v>231</v>
      </c>
      <c r="BT45" s="211">
        <f t="shared" si="0"/>
        <v>224</v>
      </c>
      <c r="BU45" s="211">
        <f t="shared" si="0"/>
        <v>224</v>
      </c>
      <c r="BV45" s="211">
        <f t="shared" si="0"/>
        <v>224</v>
      </c>
      <c r="BW45" s="211">
        <f t="shared" si="0"/>
        <v>224</v>
      </c>
      <c r="BX45" s="211">
        <f t="shared" si="0"/>
        <v>224</v>
      </c>
      <c r="BY45" s="233">
        <f>SUM(BT45:BX45)</f>
        <v>1120</v>
      </c>
      <c r="BZ45" s="211">
        <f t="shared" si="0"/>
        <v>224</v>
      </c>
      <c r="CA45" s="211">
        <f t="shared" si="0"/>
        <v>231</v>
      </c>
      <c r="CB45" s="211">
        <f t="shared" si="0"/>
        <v>231</v>
      </c>
      <c r="CC45" s="211">
        <f t="shared" ref="CC45:EN45" si="1">CC43*7</f>
        <v>231</v>
      </c>
      <c r="CD45" s="211">
        <f t="shared" si="1"/>
        <v>231</v>
      </c>
      <c r="CE45" s="211">
        <f t="shared" si="1"/>
        <v>231</v>
      </c>
      <c r="CF45" s="233">
        <f>SUM(CA45:CE45)</f>
        <v>1155</v>
      </c>
      <c r="CG45" s="211">
        <f t="shared" si="1"/>
        <v>238</v>
      </c>
      <c r="CH45" s="211">
        <f t="shared" si="1"/>
        <v>196</v>
      </c>
      <c r="CI45" s="211">
        <f t="shared" si="1"/>
        <v>196</v>
      </c>
      <c r="CJ45" s="211">
        <f t="shared" si="1"/>
        <v>196</v>
      </c>
      <c r="CK45" s="211">
        <f t="shared" si="1"/>
        <v>196</v>
      </c>
      <c r="CL45" s="211">
        <f t="shared" si="1"/>
        <v>196</v>
      </c>
      <c r="CM45" s="233">
        <f>SUM(CH45:CL45)</f>
        <v>980</v>
      </c>
      <c r="CN45" s="211">
        <f t="shared" si="1"/>
        <v>224</v>
      </c>
      <c r="CO45" s="211">
        <f t="shared" si="1"/>
        <v>196</v>
      </c>
      <c r="CP45" s="211">
        <f t="shared" si="1"/>
        <v>196</v>
      </c>
      <c r="CQ45" s="211">
        <f t="shared" si="1"/>
        <v>196</v>
      </c>
      <c r="CR45" s="211">
        <f t="shared" si="1"/>
        <v>196</v>
      </c>
      <c r="CS45" s="211">
        <f t="shared" si="1"/>
        <v>196</v>
      </c>
      <c r="CT45" s="233">
        <f>SUM(CO45:CS45)</f>
        <v>980</v>
      </c>
      <c r="CU45" s="211">
        <f t="shared" si="1"/>
        <v>245</v>
      </c>
      <c r="CV45" s="211">
        <f t="shared" si="1"/>
        <v>196</v>
      </c>
      <c r="CW45" s="211">
        <f t="shared" si="1"/>
        <v>196</v>
      </c>
      <c r="CX45" s="211">
        <f t="shared" si="1"/>
        <v>196</v>
      </c>
      <c r="CY45" s="211">
        <f t="shared" si="1"/>
        <v>196</v>
      </c>
      <c r="CZ45" s="211">
        <f t="shared" si="1"/>
        <v>196</v>
      </c>
      <c r="DA45" s="233">
        <f>SUM(CV45:CZ45)</f>
        <v>980</v>
      </c>
      <c r="DB45" s="211">
        <f t="shared" si="1"/>
        <v>245</v>
      </c>
      <c r="DC45" s="211">
        <f t="shared" si="1"/>
        <v>203</v>
      </c>
      <c r="DD45" s="211">
        <f t="shared" si="1"/>
        <v>203</v>
      </c>
      <c r="DE45" s="211">
        <f t="shared" si="1"/>
        <v>203</v>
      </c>
      <c r="DF45" s="211">
        <f t="shared" si="1"/>
        <v>210</v>
      </c>
      <c r="DG45" s="211">
        <f t="shared" si="1"/>
        <v>210</v>
      </c>
      <c r="DH45" s="233">
        <f>SUM(DC45:DG45)</f>
        <v>1029</v>
      </c>
      <c r="DI45" s="211">
        <f t="shared" si="1"/>
        <v>245</v>
      </c>
      <c r="DJ45" s="211">
        <f t="shared" si="1"/>
        <v>189</v>
      </c>
      <c r="DK45" s="211">
        <f t="shared" si="1"/>
        <v>189</v>
      </c>
      <c r="DL45" s="211">
        <f t="shared" si="1"/>
        <v>189</v>
      </c>
      <c r="DM45" s="211">
        <f t="shared" si="1"/>
        <v>189</v>
      </c>
      <c r="DN45" s="211">
        <f t="shared" si="1"/>
        <v>189</v>
      </c>
      <c r="DO45" s="233">
        <f>SUM(DJ45:DN45)</f>
        <v>945</v>
      </c>
      <c r="DP45" s="211">
        <f t="shared" si="1"/>
        <v>245</v>
      </c>
      <c r="DQ45" s="211">
        <f t="shared" si="1"/>
        <v>189</v>
      </c>
      <c r="DR45" s="211">
        <f t="shared" si="1"/>
        <v>189</v>
      </c>
      <c r="DS45" s="211">
        <f t="shared" si="1"/>
        <v>196</v>
      </c>
      <c r="DT45" s="211">
        <f t="shared" si="1"/>
        <v>189</v>
      </c>
      <c r="DU45" s="211">
        <f t="shared" si="1"/>
        <v>182</v>
      </c>
      <c r="DV45" s="233">
        <f>SUM(DQ45:DU45)</f>
        <v>945</v>
      </c>
      <c r="DW45" s="211">
        <f t="shared" si="1"/>
        <v>245</v>
      </c>
      <c r="DX45" s="211">
        <f t="shared" si="1"/>
        <v>49</v>
      </c>
      <c r="DY45" s="211">
        <f t="shared" si="1"/>
        <v>182</v>
      </c>
      <c r="DZ45" s="211">
        <f t="shared" si="1"/>
        <v>182</v>
      </c>
      <c r="EA45" s="211">
        <f t="shared" si="1"/>
        <v>182</v>
      </c>
      <c r="EB45" s="211">
        <f t="shared" si="1"/>
        <v>182</v>
      </c>
      <c r="EC45" s="233">
        <f>SUM(DX45:EB45)</f>
        <v>777</v>
      </c>
      <c r="ED45" s="211">
        <f t="shared" si="1"/>
        <v>245</v>
      </c>
      <c r="EE45" s="211">
        <f t="shared" si="1"/>
        <v>203</v>
      </c>
      <c r="EF45" s="211">
        <f t="shared" si="1"/>
        <v>203</v>
      </c>
      <c r="EG45" s="211">
        <f t="shared" si="1"/>
        <v>203</v>
      </c>
      <c r="EH45" s="211">
        <f t="shared" si="1"/>
        <v>49</v>
      </c>
      <c r="EI45" s="211">
        <f t="shared" si="1"/>
        <v>203</v>
      </c>
      <c r="EJ45" s="233">
        <f>SUM(EE45:EI45)</f>
        <v>861</v>
      </c>
      <c r="EK45" s="211">
        <f t="shared" si="1"/>
        <v>245</v>
      </c>
      <c r="EL45" s="211">
        <f t="shared" si="1"/>
        <v>189</v>
      </c>
      <c r="EM45" s="211">
        <f t="shared" si="1"/>
        <v>189</v>
      </c>
      <c r="EN45" s="211">
        <f t="shared" si="1"/>
        <v>189</v>
      </c>
      <c r="EO45" s="211">
        <f t="shared" ref="EO45:GY45" si="2">EO43*7</f>
        <v>189</v>
      </c>
      <c r="EP45" s="211">
        <f t="shared" si="2"/>
        <v>189</v>
      </c>
      <c r="EQ45" s="233">
        <f>SUM(EL45:EP45)</f>
        <v>945</v>
      </c>
      <c r="ER45" s="211">
        <f t="shared" si="2"/>
        <v>245</v>
      </c>
      <c r="ES45" s="211">
        <f t="shared" si="2"/>
        <v>210</v>
      </c>
      <c r="ET45" s="211">
        <f t="shared" si="2"/>
        <v>210</v>
      </c>
      <c r="EU45" s="211">
        <f t="shared" si="2"/>
        <v>210</v>
      </c>
      <c r="EV45" s="211">
        <f t="shared" si="2"/>
        <v>210</v>
      </c>
      <c r="EW45" s="211">
        <f t="shared" si="2"/>
        <v>210</v>
      </c>
      <c r="EX45" s="233">
        <f>SUM(ES45:EW45)</f>
        <v>1050</v>
      </c>
      <c r="EY45" s="211">
        <f t="shared" si="2"/>
        <v>245</v>
      </c>
      <c r="EZ45" s="211">
        <f t="shared" si="2"/>
        <v>189</v>
      </c>
      <c r="FA45" s="211">
        <f t="shared" si="2"/>
        <v>189</v>
      </c>
      <c r="FB45" s="211">
        <f t="shared" si="2"/>
        <v>189</v>
      </c>
      <c r="FC45" s="211">
        <f t="shared" si="2"/>
        <v>189</v>
      </c>
      <c r="FD45" s="211">
        <f t="shared" si="2"/>
        <v>189</v>
      </c>
      <c r="FE45" s="233">
        <f>SUM(EZ45:FD45)</f>
        <v>945</v>
      </c>
      <c r="FF45" s="211">
        <f t="shared" si="2"/>
        <v>245</v>
      </c>
      <c r="FG45" s="211">
        <f t="shared" si="2"/>
        <v>196</v>
      </c>
      <c r="FH45" s="211">
        <f t="shared" si="2"/>
        <v>196</v>
      </c>
      <c r="FI45" s="211">
        <f t="shared" si="2"/>
        <v>196</v>
      </c>
      <c r="FJ45" s="211">
        <f t="shared" si="2"/>
        <v>196</v>
      </c>
      <c r="FK45" s="211">
        <f t="shared" si="2"/>
        <v>196</v>
      </c>
      <c r="FL45" s="233">
        <f>SUM(FG45:FK45)</f>
        <v>980</v>
      </c>
      <c r="FM45" s="211">
        <f t="shared" si="2"/>
        <v>245</v>
      </c>
      <c r="FN45" s="211">
        <f t="shared" si="2"/>
        <v>42</v>
      </c>
      <c r="FO45" s="211">
        <f t="shared" si="2"/>
        <v>203</v>
      </c>
      <c r="FP45" s="211">
        <f t="shared" si="2"/>
        <v>203</v>
      </c>
      <c r="FQ45" s="211">
        <f t="shared" si="2"/>
        <v>203</v>
      </c>
      <c r="FR45" s="211">
        <f t="shared" si="2"/>
        <v>203</v>
      </c>
      <c r="FS45" s="233">
        <f>SUM(FN45:FR45)</f>
        <v>854</v>
      </c>
      <c r="FT45" s="211">
        <f t="shared" si="2"/>
        <v>245</v>
      </c>
      <c r="FU45" s="211">
        <f t="shared" si="2"/>
        <v>203</v>
      </c>
      <c r="FV45" s="211">
        <f t="shared" si="2"/>
        <v>203</v>
      </c>
      <c r="FW45" s="211">
        <f t="shared" si="2"/>
        <v>203</v>
      </c>
      <c r="FX45" s="211">
        <f t="shared" si="2"/>
        <v>203</v>
      </c>
      <c r="FY45" s="211">
        <f t="shared" si="2"/>
        <v>203</v>
      </c>
      <c r="FZ45" s="233">
        <f>SUM(FU45:FY45)</f>
        <v>1015</v>
      </c>
      <c r="GA45" s="211">
        <f t="shared" si="2"/>
        <v>245</v>
      </c>
      <c r="GB45" s="211">
        <f t="shared" si="2"/>
        <v>203</v>
      </c>
      <c r="GC45" s="211">
        <f t="shared" si="2"/>
        <v>203</v>
      </c>
      <c r="GD45" s="211">
        <f t="shared" si="2"/>
        <v>203</v>
      </c>
      <c r="GE45" s="211">
        <f t="shared" si="2"/>
        <v>210</v>
      </c>
      <c r="GF45" s="211">
        <f t="shared" si="2"/>
        <v>210</v>
      </c>
      <c r="GG45" s="233">
        <f>SUM(GB45:GF45)</f>
        <v>1029</v>
      </c>
      <c r="GH45" s="211">
        <f t="shared" si="2"/>
        <v>245</v>
      </c>
      <c r="GI45" s="211">
        <f t="shared" si="2"/>
        <v>182</v>
      </c>
      <c r="GJ45" s="211">
        <f t="shared" si="2"/>
        <v>182</v>
      </c>
      <c r="GK45" s="211">
        <f t="shared" si="2"/>
        <v>182</v>
      </c>
      <c r="GL45" s="211">
        <f t="shared" si="2"/>
        <v>182</v>
      </c>
      <c r="GM45" s="211">
        <f t="shared" si="2"/>
        <v>182</v>
      </c>
      <c r="GN45" s="233">
        <f>SUM(GI45:GM45)</f>
        <v>910</v>
      </c>
      <c r="GO45" s="211">
        <f t="shared" si="2"/>
        <v>245</v>
      </c>
      <c r="GP45" s="211">
        <f t="shared" si="2"/>
        <v>189</v>
      </c>
      <c r="GQ45" s="211">
        <f t="shared" si="2"/>
        <v>189</v>
      </c>
      <c r="GR45" s="211">
        <f t="shared" si="2"/>
        <v>189</v>
      </c>
      <c r="GS45" s="211">
        <f t="shared" si="2"/>
        <v>189</v>
      </c>
      <c r="GT45" s="211">
        <f t="shared" si="2"/>
        <v>189</v>
      </c>
      <c r="GU45" s="233">
        <f>SUM(GP45:GT45)</f>
        <v>945</v>
      </c>
      <c r="GV45" s="211">
        <f t="shared" si="2"/>
        <v>245</v>
      </c>
      <c r="GW45" s="211">
        <f t="shared" si="2"/>
        <v>14</v>
      </c>
      <c r="GX45" s="211">
        <f t="shared" si="2"/>
        <v>189</v>
      </c>
      <c r="GY45" s="211">
        <f t="shared" si="2"/>
        <v>189</v>
      </c>
      <c r="GZ45" s="211">
        <f t="shared" ref="GZ45:JK45" si="3">GZ43*7</f>
        <v>189</v>
      </c>
      <c r="HA45" s="211">
        <f t="shared" si="3"/>
        <v>189</v>
      </c>
      <c r="HB45" s="233">
        <f>SUM(GW45:HA45)</f>
        <v>770</v>
      </c>
      <c r="HC45" s="211">
        <f t="shared" si="3"/>
        <v>245</v>
      </c>
      <c r="HD45" s="211">
        <f t="shared" si="3"/>
        <v>147</v>
      </c>
      <c r="HE45" s="211">
        <f t="shared" si="3"/>
        <v>147</v>
      </c>
      <c r="HF45" s="211">
        <f t="shared" si="3"/>
        <v>147</v>
      </c>
      <c r="HG45" s="211">
        <f t="shared" si="3"/>
        <v>147</v>
      </c>
      <c r="HH45" s="211">
        <f t="shared" si="3"/>
        <v>147</v>
      </c>
      <c r="HI45" s="233">
        <f>SUM(HD45:HH45)</f>
        <v>735</v>
      </c>
      <c r="HJ45" s="211">
        <f t="shared" si="3"/>
        <v>245</v>
      </c>
      <c r="HK45" s="211">
        <f t="shared" si="3"/>
        <v>154</v>
      </c>
      <c r="HL45" s="211">
        <f t="shared" si="3"/>
        <v>154</v>
      </c>
      <c r="HM45" s="211">
        <f t="shared" si="3"/>
        <v>154</v>
      </c>
      <c r="HN45" s="211">
        <f t="shared" si="3"/>
        <v>154</v>
      </c>
      <c r="HO45" s="211">
        <f t="shared" si="3"/>
        <v>154</v>
      </c>
      <c r="HP45" s="233">
        <f>SUM(HK45:HO45)</f>
        <v>770</v>
      </c>
      <c r="HQ45" s="211">
        <f t="shared" si="3"/>
        <v>245</v>
      </c>
      <c r="HR45" s="211">
        <f t="shared" si="3"/>
        <v>175</v>
      </c>
      <c r="HS45" s="211">
        <f t="shared" si="3"/>
        <v>175</v>
      </c>
      <c r="HT45" s="211">
        <f t="shared" si="3"/>
        <v>175</v>
      </c>
      <c r="HU45" s="211">
        <f t="shared" si="3"/>
        <v>175</v>
      </c>
      <c r="HV45" s="211">
        <f t="shared" si="3"/>
        <v>175</v>
      </c>
      <c r="HW45" s="233">
        <f>SUM(HR45:HV45)</f>
        <v>875</v>
      </c>
      <c r="HX45" s="211">
        <f t="shared" si="3"/>
        <v>245</v>
      </c>
      <c r="HY45" s="211">
        <f t="shared" si="3"/>
        <v>182</v>
      </c>
      <c r="HZ45" s="211">
        <f t="shared" si="3"/>
        <v>182</v>
      </c>
      <c r="IA45" s="211">
        <f t="shared" si="3"/>
        <v>182</v>
      </c>
      <c r="IB45" s="211">
        <f t="shared" si="3"/>
        <v>182</v>
      </c>
      <c r="IC45" s="211">
        <f t="shared" si="3"/>
        <v>182</v>
      </c>
      <c r="ID45" s="233">
        <f>SUM(HY45:IC45)</f>
        <v>910</v>
      </c>
      <c r="IE45" s="211">
        <f t="shared" si="3"/>
        <v>245</v>
      </c>
      <c r="IF45" s="211">
        <f t="shared" si="3"/>
        <v>168</v>
      </c>
      <c r="IG45" s="211">
        <f t="shared" si="3"/>
        <v>168</v>
      </c>
      <c r="IH45" s="211">
        <f t="shared" si="3"/>
        <v>168</v>
      </c>
      <c r="II45" s="211">
        <f t="shared" si="3"/>
        <v>168</v>
      </c>
      <c r="IJ45" s="211">
        <f t="shared" si="3"/>
        <v>168</v>
      </c>
      <c r="IK45" s="233">
        <f>SUM(IF45:IJ45)</f>
        <v>840</v>
      </c>
      <c r="IL45" s="211">
        <f t="shared" si="3"/>
        <v>245</v>
      </c>
      <c r="IM45" s="211">
        <f t="shared" si="3"/>
        <v>182</v>
      </c>
      <c r="IN45" s="211">
        <f t="shared" si="3"/>
        <v>182</v>
      </c>
      <c r="IO45" s="211">
        <f t="shared" si="3"/>
        <v>182</v>
      </c>
      <c r="IP45" s="211">
        <f t="shared" si="3"/>
        <v>182</v>
      </c>
      <c r="IQ45" s="211">
        <f t="shared" si="3"/>
        <v>182</v>
      </c>
      <c r="IR45" s="233">
        <f>SUM(IM45:IQ45)</f>
        <v>910</v>
      </c>
      <c r="IS45" s="211">
        <f t="shared" si="3"/>
        <v>245</v>
      </c>
      <c r="IT45" s="211">
        <f t="shared" si="3"/>
        <v>182</v>
      </c>
      <c r="IU45" s="211">
        <f t="shared" si="3"/>
        <v>182</v>
      </c>
      <c r="IV45" s="211">
        <f t="shared" si="3"/>
        <v>182</v>
      </c>
      <c r="IW45" s="211">
        <f t="shared" si="3"/>
        <v>182</v>
      </c>
      <c r="IX45" s="211">
        <f t="shared" si="3"/>
        <v>182</v>
      </c>
      <c r="IY45" s="233">
        <f>SUM(IT45:IX45)</f>
        <v>910</v>
      </c>
      <c r="IZ45" s="211">
        <f t="shared" si="3"/>
        <v>245</v>
      </c>
      <c r="JA45" s="211">
        <f t="shared" si="3"/>
        <v>210</v>
      </c>
      <c r="JB45" s="211">
        <f t="shared" si="3"/>
        <v>210</v>
      </c>
      <c r="JC45" s="211">
        <f t="shared" si="3"/>
        <v>210</v>
      </c>
      <c r="JD45" s="211">
        <f t="shared" si="3"/>
        <v>210</v>
      </c>
      <c r="JE45" s="211">
        <f t="shared" si="3"/>
        <v>210</v>
      </c>
      <c r="JF45" s="233">
        <f>SUM(JA45:JE45)</f>
        <v>1050</v>
      </c>
      <c r="JG45" s="211">
        <f t="shared" si="3"/>
        <v>245</v>
      </c>
      <c r="JH45" s="211">
        <f t="shared" si="3"/>
        <v>224</v>
      </c>
      <c r="JI45" s="211">
        <f t="shared" si="3"/>
        <v>224</v>
      </c>
      <c r="JJ45" s="211">
        <f t="shared" si="3"/>
        <v>224</v>
      </c>
      <c r="JK45" s="211">
        <f t="shared" si="3"/>
        <v>224</v>
      </c>
      <c r="JL45" s="211">
        <f t="shared" ref="JL45:LW45" si="4">JL43*7</f>
        <v>224</v>
      </c>
      <c r="JM45" s="233">
        <f>SUM(JH45:JL45)</f>
        <v>1120</v>
      </c>
      <c r="JN45" s="211">
        <f t="shared" si="4"/>
        <v>245</v>
      </c>
      <c r="JO45" s="211">
        <f t="shared" si="4"/>
        <v>238</v>
      </c>
      <c r="JP45" s="211">
        <f t="shared" si="4"/>
        <v>238</v>
      </c>
      <c r="JQ45" s="211">
        <f t="shared" si="4"/>
        <v>238</v>
      </c>
      <c r="JR45" s="211">
        <f t="shared" si="4"/>
        <v>238</v>
      </c>
      <c r="JS45" s="211">
        <f t="shared" si="4"/>
        <v>238</v>
      </c>
      <c r="JT45" s="233">
        <f>SUM(JO45:JS45)</f>
        <v>1190</v>
      </c>
      <c r="JU45" s="211">
        <f t="shared" si="4"/>
        <v>245</v>
      </c>
      <c r="JV45" s="211">
        <f t="shared" si="4"/>
        <v>245</v>
      </c>
      <c r="JW45" s="211">
        <f t="shared" si="4"/>
        <v>245</v>
      </c>
      <c r="JX45" s="211">
        <f t="shared" si="4"/>
        <v>245</v>
      </c>
      <c r="JY45" s="211">
        <f t="shared" si="4"/>
        <v>245</v>
      </c>
      <c r="JZ45" s="211">
        <f t="shared" si="4"/>
        <v>245</v>
      </c>
      <c r="KA45" s="233">
        <f>SUM(JV45:JZ45)</f>
        <v>1225</v>
      </c>
      <c r="KB45" s="211">
        <f t="shared" si="4"/>
        <v>245</v>
      </c>
      <c r="KC45" s="211">
        <f t="shared" si="4"/>
        <v>245</v>
      </c>
      <c r="KD45" s="211">
        <f t="shared" si="4"/>
        <v>245</v>
      </c>
      <c r="KE45" s="211">
        <f t="shared" si="4"/>
        <v>245</v>
      </c>
      <c r="KF45" s="211">
        <f t="shared" si="4"/>
        <v>245</v>
      </c>
      <c r="KG45" s="211">
        <f t="shared" si="4"/>
        <v>245</v>
      </c>
      <c r="KH45" s="233">
        <f>SUM(KC45:KG45)</f>
        <v>1225</v>
      </c>
      <c r="KI45" s="211">
        <f t="shared" si="4"/>
        <v>245</v>
      </c>
      <c r="KJ45" s="211">
        <f t="shared" si="4"/>
        <v>245</v>
      </c>
      <c r="KK45" s="211">
        <f t="shared" si="4"/>
        <v>245</v>
      </c>
      <c r="KL45" s="211">
        <f t="shared" si="4"/>
        <v>245</v>
      </c>
      <c r="KM45" s="211">
        <f t="shared" si="4"/>
        <v>245</v>
      </c>
      <c r="KN45" s="211">
        <f t="shared" si="4"/>
        <v>245</v>
      </c>
      <c r="KO45" s="233">
        <f>SUM(KJ45:KN45)</f>
        <v>1225</v>
      </c>
      <c r="KP45" s="211">
        <f t="shared" si="4"/>
        <v>245</v>
      </c>
      <c r="KQ45" s="211">
        <f t="shared" si="4"/>
        <v>245</v>
      </c>
      <c r="KR45" s="211">
        <f t="shared" si="4"/>
        <v>245</v>
      </c>
      <c r="KS45" s="211">
        <f t="shared" si="4"/>
        <v>245</v>
      </c>
      <c r="KT45" s="211">
        <f t="shared" si="4"/>
        <v>245</v>
      </c>
      <c r="KU45" s="211">
        <f t="shared" si="4"/>
        <v>245</v>
      </c>
      <c r="KV45" s="233">
        <f>SUM(KQ45:KU45)</f>
        <v>1225</v>
      </c>
      <c r="KW45" s="211">
        <f t="shared" si="4"/>
        <v>245</v>
      </c>
      <c r="KX45" s="211">
        <f t="shared" si="4"/>
        <v>245</v>
      </c>
      <c r="KY45" s="211">
        <f t="shared" si="4"/>
        <v>245</v>
      </c>
      <c r="KZ45" s="211">
        <f t="shared" si="4"/>
        <v>245</v>
      </c>
      <c r="LA45" s="211">
        <f t="shared" si="4"/>
        <v>245</v>
      </c>
      <c r="LB45" s="211">
        <f t="shared" si="4"/>
        <v>245</v>
      </c>
      <c r="LC45" s="233">
        <f>SUM(KX45:LB45)</f>
        <v>1225</v>
      </c>
      <c r="LD45" s="211">
        <f t="shared" si="4"/>
        <v>245</v>
      </c>
      <c r="LE45" s="211">
        <f t="shared" si="4"/>
        <v>245</v>
      </c>
      <c r="LF45" s="211">
        <f t="shared" si="4"/>
        <v>245</v>
      </c>
      <c r="LG45" s="211">
        <f t="shared" si="4"/>
        <v>245</v>
      </c>
      <c r="LH45" s="211">
        <f t="shared" si="4"/>
        <v>245</v>
      </c>
      <c r="LI45" s="211">
        <f t="shared" si="4"/>
        <v>245</v>
      </c>
      <c r="LJ45" s="233">
        <f>SUM(LE45:LI45)</f>
        <v>1225</v>
      </c>
      <c r="LK45" s="211">
        <f t="shared" si="4"/>
        <v>245</v>
      </c>
      <c r="LL45" s="211">
        <f t="shared" si="4"/>
        <v>245</v>
      </c>
      <c r="LM45" s="211">
        <f t="shared" si="4"/>
        <v>245</v>
      </c>
      <c r="LN45" s="211">
        <f t="shared" si="4"/>
        <v>245</v>
      </c>
      <c r="LO45" s="211">
        <f t="shared" si="4"/>
        <v>245</v>
      </c>
      <c r="LP45" s="211">
        <f t="shared" si="4"/>
        <v>245</v>
      </c>
      <c r="LQ45" s="233">
        <f>SUM(LL45:LP45)</f>
        <v>1225</v>
      </c>
      <c r="LR45" s="211">
        <f t="shared" si="4"/>
        <v>245</v>
      </c>
      <c r="LS45" s="211">
        <f t="shared" si="4"/>
        <v>245</v>
      </c>
      <c r="LT45" s="211">
        <f t="shared" si="4"/>
        <v>245</v>
      </c>
      <c r="LU45" s="211">
        <f t="shared" si="4"/>
        <v>245</v>
      </c>
      <c r="LV45" s="211">
        <f t="shared" si="4"/>
        <v>245</v>
      </c>
      <c r="LW45" s="211">
        <f t="shared" si="4"/>
        <v>245</v>
      </c>
      <c r="LX45" s="233">
        <f>SUM(LS45:LW45)</f>
        <v>1225</v>
      </c>
      <c r="LY45" s="211">
        <f t="shared" ref="LY45:OA45" si="5">LY43*7</f>
        <v>245</v>
      </c>
      <c r="LZ45" s="211">
        <f t="shared" si="5"/>
        <v>245</v>
      </c>
      <c r="MA45" s="211">
        <f t="shared" si="5"/>
        <v>245</v>
      </c>
      <c r="MB45" s="211">
        <f t="shared" si="5"/>
        <v>245</v>
      </c>
      <c r="MC45" s="211">
        <f t="shared" si="5"/>
        <v>245</v>
      </c>
      <c r="MD45" s="211">
        <f t="shared" si="5"/>
        <v>245</v>
      </c>
      <c r="ME45" s="233">
        <f>SUM(LZ45:MD45)</f>
        <v>1225</v>
      </c>
      <c r="MF45" s="211">
        <f t="shared" si="5"/>
        <v>245</v>
      </c>
      <c r="MG45" s="211">
        <f t="shared" si="5"/>
        <v>245</v>
      </c>
      <c r="MH45" s="211">
        <f t="shared" si="5"/>
        <v>245</v>
      </c>
      <c r="MI45" s="211">
        <f t="shared" si="5"/>
        <v>245</v>
      </c>
      <c r="MJ45" s="211">
        <f t="shared" si="5"/>
        <v>245</v>
      </c>
      <c r="MK45" s="211">
        <f t="shared" si="5"/>
        <v>245</v>
      </c>
      <c r="ML45" s="233">
        <f>SUM(MG45:MK45)</f>
        <v>1225</v>
      </c>
      <c r="MM45" s="211">
        <f t="shared" si="5"/>
        <v>245</v>
      </c>
      <c r="MN45" s="211">
        <f t="shared" si="5"/>
        <v>245</v>
      </c>
      <c r="MO45" s="211">
        <f t="shared" si="5"/>
        <v>245</v>
      </c>
      <c r="MP45" s="211">
        <f t="shared" si="5"/>
        <v>245</v>
      </c>
      <c r="MQ45" s="211">
        <f t="shared" si="5"/>
        <v>245</v>
      </c>
      <c r="MR45" s="211">
        <f t="shared" si="5"/>
        <v>245</v>
      </c>
      <c r="MS45" s="233">
        <f>SUM(MN45:MR45)</f>
        <v>1225</v>
      </c>
      <c r="MT45" s="211">
        <f t="shared" si="5"/>
        <v>245</v>
      </c>
      <c r="MU45" s="211">
        <f t="shared" si="5"/>
        <v>245</v>
      </c>
      <c r="MV45" s="211">
        <f t="shared" si="5"/>
        <v>245</v>
      </c>
      <c r="MW45" s="211">
        <f t="shared" si="5"/>
        <v>245</v>
      </c>
      <c r="MX45" s="211">
        <f t="shared" si="5"/>
        <v>245</v>
      </c>
      <c r="MY45" s="211">
        <f t="shared" si="5"/>
        <v>245</v>
      </c>
      <c r="MZ45" s="233">
        <f>SUM(MU45:MY45)</f>
        <v>1225</v>
      </c>
      <c r="NA45" s="211">
        <f t="shared" si="5"/>
        <v>245</v>
      </c>
      <c r="NB45" s="211">
        <f t="shared" si="5"/>
        <v>245</v>
      </c>
      <c r="NC45" s="211">
        <f t="shared" si="5"/>
        <v>245</v>
      </c>
      <c r="ND45" s="211">
        <f t="shared" si="5"/>
        <v>245</v>
      </c>
      <c r="NE45" s="211">
        <f t="shared" si="5"/>
        <v>245</v>
      </c>
      <c r="NF45" s="211">
        <f t="shared" si="5"/>
        <v>245</v>
      </c>
      <c r="NG45" s="233">
        <f>SUM(NB45:NF45)</f>
        <v>1225</v>
      </c>
      <c r="NH45" s="211">
        <f t="shared" si="5"/>
        <v>245</v>
      </c>
      <c r="NI45" s="211">
        <f t="shared" si="5"/>
        <v>245</v>
      </c>
      <c r="NJ45" s="211">
        <f t="shared" si="5"/>
        <v>245</v>
      </c>
      <c r="NK45" s="211">
        <f t="shared" si="5"/>
        <v>245</v>
      </c>
      <c r="NL45" s="211">
        <f t="shared" si="5"/>
        <v>245</v>
      </c>
      <c r="NM45" s="211">
        <f t="shared" si="5"/>
        <v>245</v>
      </c>
      <c r="NN45" s="233">
        <f>SUM(NI45:NM45)</f>
        <v>1225</v>
      </c>
      <c r="NO45" s="211">
        <f t="shared" si="5"/>
        <v>245</v>
      </c>
      <c r="NP45" s="211">
        <f t="shared" si="5"/>
        <v>245</v>
      </c>
      <c r="NQ45" s="211">
        <f t="shared" si="5"/>
        <v>245</v>
      </c>
      <c r="NR45" s="211">
        <f t="shared" si="5"/>
        <v>245</v>
      </c>
      <c r="NS45" s="211">
        <f t="shared" si="5"/>
        <v>245</v>
      </c>
      <c r="NT45" s="211">
        <f t="shared" si="5"/>
        <v>245</v>
      </c>
      <c r="NU45" s="233">
        <f>SUM(NP45:NT45)</f>
        <v>1225</v>
      </c>
      <c r="NV45" s="211">
        <f t="shared" si="5"/>
        <v>245</v>
      </c>
      <c r="NW45" s="211">
        <f t="shared" si="5"/>
        <v>245</v>
      </c>
      <c r="NX45" s="211">
        <f t="shared" si="5"/>
        <v>245</v>
      </c>
      <c r="NY45" s="211">
        <f t="shared" si="5"/>
        <v>245</v>
      </c>
      <c r="NZ45" s="211">
        <f t="shared" si="5"/>
        <v>245</v>
      </c>
      <c r="OA45" s="211">
        <f t="shared" si="5"/>
        <v>245</v>
      </c>
      <c r="OB45" s="233">
        <f>SUM(NW45:OA45)</f>
        <v>1225</v>
      </c>
    </row>
    <row r="47" spans="4:392" x14ac:dyDescent="0.3">
      <c r="I47" s="208"/>
      <c r="P47" s="208"/>
      <c r="W47" s="208"/>
      <c r="AD47" s="208"/>
      <c r="AK47" s="208"/>
      <c r="AR47" s="208"/>
      <c r="AY47" s="208"/>
      <c r="BF47" s="208"/>
      <c r="BM47" s="208"/>
      <c r="BT47" s="208"/>
      <c r="CA47" s="208"/>
      <c r="CH47" s="208"/>
      <c r="CO47" s="208"/>
      <c r="CV47" s="208"/>
      <c r="DC47" s="208"/>
      <c r="DJ47" s="208"/>
      <c r="DQ47" s="208"/>
      <c r="DX47" s="208"/>
      <c r="EE47" s="208"/>
      <c r="EL47" s="208"/>
      <c r="ES47" s="208"/>
      <c r="EZ47" s="208"/>
      <c r="FG47" s="208"/>
      <c r="FN47" s="208"/>
      <c r="FU47" s="208"/>
      <c r="GB47" s="208"/>
      <c r="GI47" s="208"/>
      <c r="GP47" s="208"/>
      <c r="GW47" s="208"/>
      <c r="HD47" s="208"/>
      <c r="HK47" s="208"/>
      <c r="HR47" s="208"/>
      <c r="HY47" s="208"/>
      <c r="IF47" s="208"/>
      <c r="IM47" s="208"/>
      <c r="IT47" s="208"/>
      <c r="JA47" s="208"/>
      <c r="JH47" s="208"/>
      <c r="JO47" s="208"/>
      <c r="JV47" s="208"/>
      <c r="KC47" s="208"/>
      <c r="KJ47" s="208"/>
      <c r="KQ47" s="208"/>
      <c r="KX47" s="208"/>
      <c r="LE47" s="208"/>
      <c r="LL47" s="208"/>
      <c r="LS47" s="208"/>
      <c r="LZ47" s="208"/>
      <c r="MG47" s="208"/>
      <c r="MN47" s="208"/>
      <c r="MU47" s="208"/>
      <c r="NB47" s="208"/>
      <c r="NI47" s="208"/>
      <c r="NP47" s="208"/>
      <c r="NW47" s="208"/>
    </row>
  </sheetData>
  <conditionalFormatting sqref="E5:E39">
    <cfRule type="cellIs" dxfId="848" priority="355" operator="equal">
      <formula>"CDD"</formula>
    </cfRule>
    <cfRule type="containsText" dxfId="847" priority="365" operator="containsText" text="COG">
      <formula>NOT(ISERROR(SEARCH("COG",E5)))</formula>
    </cfRule>
    <cfRule type="containsText" dxfId="846" priority="366" operator="containsText" text="CDI">
      <formula>NOT(ISERROR(SEARCH(("CDI"),(E5))))</formula>
    </cfRule>
  </conditionalFormatting>
  <conditionalFormatting sqref="N26:X26 K25:W25 Q28:AA28 BG19:BQ19 BG26:BQ26 BN13:CE13 BN25:CE25 BU23:CO23 CI24:CS24 P29:AA32 BF20:BQ21 BF8:BQ12 HR8:IC12 HY13:HY18 HS13:HV18 BM13:BQ19 BF13:BJ19 HR13:HR19 HZ14:IC19 IF14:IJ22 IM14:IQ22 W8:AA28 W5:AA5 AD5:AH5 AK5:AO5 W6:AO7 BM5:BQ7 BF5:BJ7 IF5:IJ12 IM5:IQ12 HY5:IC7 HR5:HV7 P5:T28 IT5:IX22 JA5:JE22 P33:T39 W33:AA39 BF22:BJ39 BM22:BQ39 JA25:JE39 HY27:IC39 IF26:IJ39 IM26:IQ39 IT24:IX39 HR27:HV39 AD8:AH39 AK8:AO39 CA5:CE39 I5:M39 AR5:AV39 AY5:BC39 BT5:BX39 CH5:CL39 CO5:CS39 CV5:CZ39 DC5:DG39 DJ5:DN39 DQ5:DU39 EE5:EI39 DW5:EB39 EL5:EP39 ES5:EW39 FG5:FK39 EZ5:FD39 FN5:FR39 MN5:MR39 MU5:MY39 NB5:NF39 LZ5:MD39 MG5:MK39 NI5:NM39 JV5:JZ39 KC5:KG39 KQ5:KU39 KI5:KN39 KX5:LB39 LE5:LI39 LL5:LP39 LS5:LW39 JO5:JS39 JH5:JL39 NP5:NT39 NW5:OA39 FU5:FY39 GB5:GF39 GI5:GM39 GP5:GT39 GW5:HA39 HD5:HH39 HK5:HO39">
    <cfRule type="containsText" dxfId="845" priority="358" operator="containsText" text="FILM">
      <formula>NOT(ISERROR(SEARCH("FILM",I5)))</formula>
    </cfRule>
    <cfRule type="containsText" dxfId="844" priority="359" operator="containsText" text="VRAC">
      <formula>NOT(ISERROR(SEARCH("VRAC",I5)))</formula>
    </cfRule>
    <cfRule type="containsText" dxfId="843" priority="360" operator="containsText" text="ECH">
      <formula>NOT(ISERROR(SEARCH("ECH",I5)))</formula>
    </cfRule>
    <cfRule type="containsText" dxfId="842" priority="361" operator="containsText" text="CAR">
      <formula>NOT(ISERROR(SEARCH("CAR",I5)))</formula>
    </cfRule>
    <cfRule type="containsText" dxfId="841" priority="362" operator="containsText" text="ETIQ">
      <formula>NOT(ISERROR(SEARCH("ETIQ",I5)))</formula>
    </cfRule>
    <cfRule type="containsText" dxfId="840" priority="363" operator="containsText" text="ENCA">
      <formula>NOT(ISERROR(SEARCH("ENCA",I5)))</formula>
    </cfRule>
    <cfRule type="containsText" dxfId="839" priority="364" operator="containsText" text="FERIE">
      <formula>NOT(ISERROR(SEARCH("FERIE",I5)))</formula>
    </cfRule>
  </conditionalFormatting>
  <conditionalFormatting sqref="G5:H39">
    <cfRule type="expression" dxfId="838" priority="354">
      <formula>$D5=PA</formula>
    </cfRule>
  </conditionalFormatting>
  <conditionalFormatting sqref="I5:OB39">
    <cfRule type="expression" dxfId="837" priority="341">
      <formula>OR(LEFT(I$4,1)="s",LEFT(I$4,1)="d")</formula>
    </cfRule>
    <cfRule type="cellIs" dxfId="836" priority="353" operator="equal">
      <formula>"A."</formula>
    </cfRule>
  </conditionalFormatting>
  <conditionalFormatting sqref="D5:D39">
    <cfRule type="cellIs" dxfId="835" priority="349" operator="equal">
      <formula>"PA"</formula>
    </cfRule>
    <cfRule type="cellIs" dxfId="834" priority="350" operator="equal">
      <formula>"EUP"</formula>
    </cfRule>
    <cfRule type="cellIs" dxfId="833" priority="351" operator="equal">
      <formula>"CFP"</formula>
    </cfRule>
    <cfRule type="cellIs" dxfId="832" priority="352" operator="equal">
      <formula>"27O"</formula>
    </cfRule>
  </conditionalFormatting>
  <conditionalFormatting sqref="K25:W25 X5:AA39 EE5:EI39 DX5:EB39 KQ5:KU39 KJ5:KN39">
    <cfRule type="containsText" dxfId="831" priority="342" operator="containsText" text="FILM">
      <formula>NOT(ISERROR(SEARCH("FILM",K5)))</formula>
    </cfRule>
    <cfRule type="containsText" dxfId="830" priority="343" operator="containsText" text="VRAC">
      <formula>NOT(ISERROR(SEARCH("VRAC",K5)))</formula>
    </cfRule>
    <cfRule type="containsText" dxfId="829" priority="344" operator="containsText" text="ECHANT">
      <formula>NOT(ISERROR(SEARCH("ECHANT",K5)))</formula>
    </cfRule>
    <cfRule type="containsText" dxfId="828" priority="345" operator="containsText" text="CAR">
      <formula>NOT(ISERROR(SEARCH("CAR",K5)))</formula>
    </cfRule>
    <cfRule type="containsText" dxfId="827" priority="346" operator="containsText" text="ETIQ">
      <formula>NOT(ISERROR(SEARCH("ETIQ",K5)))</formula>
    </cfRule>
    <cfRule type="containsText" dxfId="826" priority="347" operator="containsText" text="ENCA">
      <formula>NOT(ISERROR(SEARCH("ENCA",K5)))</formula>
    </cfRule>
    <cfRule type="containsText" dxfId="825" priority="348" operator="containsText" text="FERIE">
      <formula>NOT(ISERROR(SEARCH("FERIE",K5)))</formula>
    </cfRule>
  </conditionalFormatting>
  <conditionalFormatting sqref="N26:X26 K25:W25 Q28:AA28 BN13:CE13 BN25:CE25 BU23:CO23 I29:AP32 IF14:IR22 HR14:ID24 HR5:ID12 IF5:IR12 I5:U28 W5:AP28 IT5:JF22 I33:U39 W33:AP39 IF26:IR39 IT24:JF39 HR26:ID39 AR5:BD39 BT5:CF39 BF5:BR39 CH5:CT39 CV5:DH39 DJ5:EC39 EE5:EX39 EZ5:FS39 MG5:MZ39 NB5:OB39 JV5:KO39 KQ5:LJ39 LL5:ME39 JH5:JT39 FU5:GN39 GP5:HP39">
    <cfRule type="containsText" dxfId="824" priority="357" operator="containsText" text="AUTRE">
      <formula>NOT(ISERROR(SEARCH("AUTRE",I5)))</formula>
    </cfRule>
  </conditionalFormatting>
  <conditionalFormatting sqref="I5:OB39">
    <cfRule type="expression" dxfId="823" priority="312">
      <formula>OR(LEFT(I$4,1)="s",LEFT(I$4,1)="d")</formula>
    </cfRule>
  </conditionalFormatting>
  <conditionalFormatting sqref="HS19:IC19 HZ13:IQ13 HZ25:IQ25 HR26:IC26 HY22:HY25 IF23:JE23 IU24:JE24 HR20:IC21 HR22:HV25 HZ22:IC24 IF24:IJ24 IM24:IQ24">
    <cfRule type="containsText" dxfId="822" priority="23" operator="containsText" text="FILM">
      <formula>NOT(ISERROR(SEARCH("FILM",HR13)))</formula>
    </cfRule>
    <cfRule type="containsText" dxfId="821" priority="24" operator="containsText" text="VRAC">
      <formula>NOT(ISERROR(SEARCH("VRAC",HR13)))</formula>
    </cfRule>
    <cfRule type="containsText" dxfId="820" priority="25" operator="containsText" text="ECH">
      <formula>NOT(ISERROR(SEARCH("ECH",HR13)))</formula>
    </cfRule>
    <cfRule type="containsText" dxfId="819" priority="26" operator="containsText" text="CAR">
      <formula>NOT(ISERROR(SEARCH("CAR",HR13)))</formula>
    </cfRule>
    <cfRule type="containsText" dxfId="818" priority="27" operator="containsText" text="ETIQ">
      <formula>NOT(ISERROR(SEARCH("ETIQ",HR13)))</formula>
    </cfRule>
    <cfRule type="containsText" dxfId="817" priority="28" operator="containsText" text="ENCA">
      <formula>NOT(ISERROR(SEARCH("ENCA",HR13)))</formula>
    </cfRule>
    <cfRule type="containsText" dxfId="816" priority="29" operator="containsText" text="FERIE">
      <formula>NOT(ISERROR(SEARCH("FERIE",HR13)))</formula>
    </cfRule>
  </conditionalFormatting>
  <conditionalFormatting sqref="HR13:IR13 HR25:IR25 IF23:JF23 IF24:IR24">
    <cfRule type="containsText" dxfId="815" priority="22" operator="containsText" text="AUTRE">
      <formula>NOT(ISERROR(SEARCH("AUTRE",HR13)))</formula>
    </cfRule>
  </conditionalFormatting>
  <dataValidations count="5">
    <dataValidation type="list" allowBlank="1" showInputMessage="1" showErrorMessage="1" sqref="N26:X26 BY25:CE25 K25:V25 BG26:BQ26 CA24:CE24 BN25:BV25 CI24:CS24 BG22:BJ25 BX23:CN23 BX13:CE13 BM13:BV13 W22:X25 BM22:BM25 BN22:BQ24 Q27:T27 Y22:AA26 W27:AA27 P27:P32 Q28:AA32 BG19:BQ21 BF19:BF26 IK25:IQ25 HS26:IC26 HZ25:IH25 IJ23:IZ23 IJ13:IQ13 HY13:IH13 HY22:HY25 HS22:HV25 HZ22:IC24 IM24:IQ24 IU24:JE24 HR19:HR26 HS19:IC21 BK8:BQ12 HW8:IC12 IJ8:IJ12 IM14:IQ22 HY14:IC18 IF14:IH24 BX14:BX22 BT14:BV24 CA14:CE22 BM14:BQ18 W8:AA21 IJ14:IJ22 JA5:JE23 IT5:IX22 K5:M24 P5:T24 CH5:CL22 CO5:CS23 BF5:BJ18 HR5:HV18 BX5:BX12 W6:AO7 BM5:BQ7 HY5:IC7 II5:IJ7 BT5:BV12 CA5:CE12 IM5:IQ12 IF5:IH12 AD5:AH5 AK5:AO5 W5:AA5 IM26:IQ39 IU25:IX39 IF26:IH39 JA25:JE39 IT24:IT39 HY27:IC39 IJ24:IJ39 HR27:HV39 W33:AA39 CO25:CS39 K26:M39 BF27:BJ39 CH24:CH39 BX24:BX39 BM27:BQ39 BT26:BV39 CI25:CL39 CA26:CE39 AK8:AO39 AD8:AH39 II8:II39 P33:T39 NW5:OA39 HD5:HH39 GW5:HA39 BW5:BW39 GP5:GT39 AY5:BC39 GB5:GF39 CV5:CZ39 FN5:FR39 AR5:AV39 EE5:EI39 DC5:DG39 JO5:JS39 EZ5:FD39 DX5:EB39 DJ5:DN39 I5:J39 ES5:EW39 NP5:NT39 DQ5:DU39 EL5:EP39 FG5:FK39 FU5:FY39 NI5:NM39 NB5:NF39 MN5:MR39 JH5:JL39 KQ5:KU39 MU5:MY39 LZ5:MD39 KJ5:KN39 JV5:JZ39 LE5:LI39 LL5:LP39 MG5:MK39 KC5:KG39 KX5:LB39 GI5:GM39 LS5:LW39 HK5:HO39" xr:uid="{E8C4589D-C1F5-4E63-BD65-B67C71C010B7}">
      <formula1>INDIRECT($F5)</formula1>
    </dataValidation>
    <dataValidation type="list" allowBlank="1" showInputMessage="1" showErrorMessage="1" sqref="BY24:BZ24 BK22:BL25 U27:V27 IK24:IL24 HW22:HX25 IK14:IL22 ID14:IE24 HW13:HX18 BY14:BZ22 BR14:BS24 BK13:BL18 IY5:IZ22 IR5:IS22 CM5:CN22 N5:O24 U5:V24 CF5:CG22 BK5:BL7 HW5:HX7 BY5:BZ12 BR5:BS12 IK5:IL12 ID5:IE12 AI5:AJ5 AB5:AC5 IR24:IS39 HW27:HX39 ID26:IE39 IY25:IZ39 IK26:IL39 N27:O39 CF24:CG39 BK27:BL39 BR26:BS39 CM25:CN39 BY26:BZ39 U33:V39 AB8:AC39 AI8:AJ39 GU5:GV39 GN5:GO39 GG5:GH39 FZ5:GA39 FS5:FT39 FL5:FM39 FE5:FF39 EX5:EY39 EQ5:ER39 EJ5:EK39 EC5:ED39 DV5:DW39 DO5:DP39 DH5:DI39 DA5:DB39 CT5:CU39 AW5:AX39 AP5:AQ39 BD5:BE39 HB5:HC39 NG5:NH39 MZ5:NA39 MS5:MT39 ML5:MM39 ME5:MF39 LX5:LY39 LQ5:LR39 LJ5:LK39 LC5:LD39 KV5:KW39 KO5:KP39 KH5:KI39 KA5:KB39 JT5:JU39 JM5:JN39 JF5:JG39 HI5:HJ39 HP5:HQ39 NN5:NO39 NU5:NV39 OB5:OB39" xr:uid="{D1CE14DD-9432-40DC-8733-02D64D207898}">
      <formula1>INDIRECT($I5)</formula1>
    </dataValidation>
    <dataValidation type="list" allowBlank="1" showInputMessage="1" showErrorMessage="1" sqref="D5:D39" xr:uid="{85DC78EF-5306-419B-9B7E-F2F920236CBB}">
      <formula1>SOCIETE</formula1>
    </dataValidation>
    <dataValidation type="list" allowBlank="1" showInputMessage="1" showErrorMessage="1" sqref="E5:E39" xr:uid="{3E3AC734-4C49-45F0-9A1F-F4C07C35CDF3}">
      <formula1>STATUT</formula1>
    </dataValidation>
    <dataValidation type="list" allowBlank="1" showInputMessage="1" showErrorMessage="1" sqref="F5:F39" xr:uid="{7E343DB8-697C-468D-BC6B-CC6D8BF6E3E1}">
      <formula1>FONCTION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356" operator="beginsWith" id="{9E7A9961-5750-4102-8C90-655C4DDAED93}">
            <xm:f>LEFT(E5,LEN("INT"))="INT"</xm:f>
            <xm:f>"INT"</xm:f>
            <x14:dxf>
              <fill>
                <patternFill>
                  <bgColor theme="9" tint="0.59996337778862885"/>
                </patternFill>
              </fill>
            </x14:dxf>
          </x14:cfRule>
          <xm:sqref>E5:E39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61EA-56DE-449E-BCA9-4AD01F6C06A1}">
  <sheetPr codeName="Feuil7">
    <tabColor theme="5" tint="0.39997558519241921"/>
    <pageSetUpPr fitToPage="1"/>
  </sheetPr>
  <dimension ref="B1:NU46"/>
  <sheetViews>
    <sheetView showGridLines="0" zoomScale="70" zoomScaleNormal="70" workbookViewId="0">
      <pane xSplit="8" topLeftCell="GY1" activePane="topRight" state="frozen"/>
      <selection pane="topRight" activeCell="G39" sqref="G39"/>
    </sheetView>
  </sheetViews>
  <sheetFormatPr baseColWidth="10" defaultRowHeight="14.4" x14ac:dyDescent="0.3"/>
  <cols>
    <col min="1" max="1" width="2.5546875" customWidth="1"/>
    <col min="2" max="2" width="0.109375" hidden="1" customWidth="1"/>
    <col min="3" max="3" width="6.77734375" hidden="1" customWidth="1"/>
    <col min="4" max="4" width="9.33203125" style="64" customWidth="1"/>
    <col min="7" max="8" width="18.77734375" style="140" customWidth="1"/>
    <col min="9" max="14" width="5.77734375" customWidth="1"/>
    <col min="15" max="15" width="5.77734375" hidden="1" customWidth="1"/>
    <col min="16" max="21" width="5.77734375" customWidth="1"/>
    <col min="22" max="22" width="5.77734375" hidden="1" customWidth="1"/>
    <col min="23" max="28" width="5.77734375" customWidth="1"/>
    <col min="29" max="29" width="5.77734375" hidden="1" customWidth="1"/>
    <col min="30" max="35" width="5.77734375" customWidth="1"/>
    <col min="36" max="36" width="5.77734375" hidden="1" customWidth="1"/>
    <col min="37" max="42" width="5.77734375" customWidth="1"/>
    <col min="43" max="43" width="5.77734375" hidden="1" customWidth="1"/>
    <col min="44" max="49" width="5.77734375" customWidth="1"/>
    <col min="50" max="50" width="5.77734375" hidden="1" customWidth="1"/>
    <col min="51" max="56" width="5.77734375" customWidth="1"/>
    <col min="57" max="57" width="5.77734375" hidden="1" customWidth="1"/>
    <col min="58" max="63" width="5.77734375" customWidth="1"/>
    <col min="64" max="64" width="5.77734375" hidden="1" customWidth="1"/>
    <col min="65" max="70" width="5.77734375" customWidth="1"/>
    <col min="71" max="71" width="5.77734375" hidden="1" customWidth="1"/>
    <col min="72" max="77" width="5.77734375" customWidth="1"/>
    <col min="78" max="78" width="5.77734375" hidden="1" customWidth="1"/>
    <col min="79" max="84" width="5.77734375" customWidth="1"/>
    <col min="85" max="85" width="5.77734375" hidden="1" customWidth="1"/>
    <col min="86" max="91" width="5.77734375" customWidth="1"/>
    <col min="92" max="92" width="5.77734375" hidden="1" customWidth="1"/>
    <col min="93" max="98" width="5.77734375" customWidth="1"/>
    <col min="99" max="99" width="5.77734375" hidden="1" customWidth="1"/>
    <col min="100" max="105" width="5.77734375" customWidth="1"/>
    <col min="106" max="106" width="5.77734375" hidden="1" customWidth="1"/>
    <col min="107" max="112" width="5.77734375" customWidth="1"/>
    <col min="113" max="113" width="5.77734375" hidden="1" customWidth="1"/>
    <col min="114" max="119" width="5.77734375" customWidth="1"/>
    <col min="120" max="120" width="5.77734375" hidden="1" customWidth="1"/>
    <col min="121" max="126" width="5.77734375" customWidth="1"/>
    <col min="127" max="127" width="5.77734375" hidden="1" customWidth="1"/>
    <col min="128" max="133" width="5.77734375" customWidth="1"/>
    <col min="134" max="134" width="5.77734375" hidden="1" customWidth="1"/>
    <col min="135" max="140" width="5.77734375" customWidth="1"/>
    <col min="141" max="141" width="5.77734375" hidden="1" customWidth="1"/>
    <col min="142" max="147" width="5.77734375" customWidth="1"/>
    <col min="148" max="148" width="5.77734375" hidden="1" customWidth="1"/>
    <col min="149" max="154" width="5.77734375" customWidth="1"/>
    <col min="155" max="155" width="5.77734375" hidden="1" customWidth="1"/>
    <col min="156" max="161" width="5.77734375" customWidth="1"/>
    <col min="162" max="162" width="5.77734375" hidden="1" customWidth="1"/>
    <col min="163" max="168" width="5.77734375" customWidth="1"/>
    <col min="169" max="169" width="5.77734375" hidden="1" customWidth="1"/>
    <col min="170" max="175" width="5.77734375" customWidth="1"/>
    <col min="176" max="176" width="5.77734375" hidden="1" customWidth="1"/>
    <col min="177" max="182" width="5.77734375" customWidth="1"/>
    <col min="183" max="183" width="5.77734375" hidden="1" customWidth="1"/>
    <col min="184" max="189" width="5.77734375" customWidth="1"/>
    <col min="190" max="190" width="5.77734375" hidden="1" customWidth="1"/>
    <col min="191" max="196" width="5.77734375" customWidth="1"/>
    <col min="197" max="197" width="5.77734375" hidden="1" customWidth="1"/>
    <col min="198" max="203" width="5.77734375" customWidth="1"/>
    <col min="204" max="204" width="5.77734375" hidden="1" customWidth="1"/>
    <col min="205" max="210" width="5.77734375" customWidth="1"/>
    <col min="211" max="211" width="5.77734375" hidden="1" customWidth="1"/>
    <col min="212" max="217" width="5.77734375" customWidth="1"/>
    <col min="218" max="218" width="5.77734375" hidden="1" customWidth="1"/>
    <col min="219" max="224" width="5.77734375" customWidth="1"/>
    <col min="225" max="225" width="5.77734375" hidden="1" customWidth="1"/>
    <col min="226" max="231" width="5.77734375" customWidth="1"/>
    <col min="232" max="232" width="5.77734375" hidden="1" customWidth="1"/>
    <col min="233" max="238" width="5.77734375" customWidth="1"/>
    <col min="239" max="239" width="5.77734375" hidden="1" customWidth="1"/>
    <col min="240" max="245" width="5.77734375" customWidth="1"/>
    <col min="246" max="246" width="5.77734375" hidden="1" customWidth="1"/>
    <col min="247" max="252" width="5.77734375" customWidth="1"/>
    <col min="253" max="253" width="5.77734375" hidden="1" customWidth="1"/>
    <col min="254" max="259" width="5.77734375" customWidth="1"/>
    <col min="260" max="260" width="5.77734375" hidden="1" customWidth="1"/>
    <col min="261" max="266" width="5.77734375" customWidth="1"/>
    <col min="267" max="267" width="5.77734375" hidden="1" customWidth="1"/>
    <col min="268" max="273" width="5.77734375" customWidth="1"/>
    <col min="274" max="274" width="5.77734375" hidden="1" customWidth="1"/>
    <col min="275" max="280" width="5.77734375" customWidth="1"/>
    <col min="281" max="281" width="5.77734375" hidden="1" customWidth="1"/>
    <col min="282" max="287" width="5.77734375" customWidth="1"/>
    <col min="288" max="288" width="5.77734375" hidden="1" customWidth="1"/>
    <col min="289" max="294" width="5.77734375" customWidth="1"/>
    <col min="295" max="295" width="5.77734375" hidden="1" customWidth="1"/>
    <col min="296" max="301" width="5.77734375" customWidth="1"/>
    <col min="302" max="302" width="5.77734375" hidden="1" customWidth="1"/>
    <col min="303" max="308" width="5.77734375" customWidth="1"/>
    <col min="309" max="309" width="5.77734375" hidden="1" customWidth="1"/>
    <col min="310" max="315" width="5.77734375" customWidth="1"/>
    <col min="316" max="316" width="5.77734375" hidden="1" customWidth="1"/>
    <col min="317" max="322" width="5.77734375" customWidth="1"/>
    <col min="323" max="323" width="5.77734375" hidden="1" customWidth="1"/>
    <col min="324" max="329" width="5.77734375" customWidth="1"/>
    <col min="330" max="330" width="5.77734375" hidden="1" customWidth="1"/>
    <col min="331" max="336" width="5.77734375" customWidth="1"/>
    <col min="337" max="337" width="5.77734375" hidden="1" customWidth="1"/>
    <col min="338" max="343" width="5.77734375" customWidth="1"/>
    <col min="344" max="344" width="5.77734375" hidden="1" customWidth="1"/>
    <col min="345" max="350" width="5.77734375" customWidth="1"/>
    <col min="351" max="351" width="5.77734375" hidden="1" customWidth="1"/>
    <col min="352" max="357" width="5.77734375" customWidth="1"/>
    <col min="358" max="358" width="5.77734375" hidden="1" customWidth="1"/>
    <col min="359" max="364" width="5.77734375" customWidth="1"/>
    <col min="365" max="365" width="5.77734375" hidden="1" customWidth="1"/>
    <col min="366" max="371" width="5.77734375" customWidth="1"/>
    <col min="372" max="372" width="5.77734375" hidden="1" customWidth="1"/>
    <col min="373" max="378" width="5.77734375" customWidth="1"/>
    <col min="379" max="379" width="5.77734375" hidden="1" customWidth="1"/>
    <col min="380" max="385" width="5.77734375" customWidth="1"/>
  </cols>
  <sheetData>
    <row r="1" spans="2:385" ht="15" thickBot="1" x14ac:dyDescent="0.35"/>
    <row r="2" spans="2:385" ht="15" thickBot="1" x14ac:dyDescent="0.35">
      <c r="I2" s="226" t="str">
        <f>"S"&amp;WEEKNUM(I3)</f>
        <v>S53</v>
      </c>
      <c r="J2" s="225"/>
      <c r="K2" s="225"/>
      <c r="L2" s="225"/>
      <c r="M2" s="225"/>
      <c r="N2" s="218"/>
      <c r="O2" s="222"/>
      <c r="P2" s="226" t="str">
        <f>"S"&amp;WEEKNUM(P3)</f>
        <v>S2</v>
      </c>
      <c r="Q2" s="225"/>
      <c r="R2" s="225"/>
      <c r="S2" s="225"/>
      <c r="T2" s="225"/>
      <c r="U2" s="218"/>
      <c r="V2" s="226"/>
      <c r="W2" s="226" t="str">
        <f>"S"&amp;WEEKNUM(W3)</f>
        <v>S3</v>
      </c>
      <c r="X2" s="225"/>
      <c r="Y2" s="225"/>
      <c r="Z2" s="225"/>
      <c r="AA2" s="225"/>
      <c r="AB2" s="218"/>
      <c r="AC2" s="222"/>
      <c r="AD2" s="226" t="str">
        <f>"S"&amp;WEEKNUM(AD3)</f>
        <v>S4</v>
      </c>
      <c r="AE2" s="225"/>
      <c r="AF2" s="225"/>
      <c r="AG2" s="225"/>
      <c r="AH2" s="225"/>
      <c r="AI2" s="218"/>
      <c r="AJ2" s="222"/>
      <c r="AK2" s="226" t="str">
        <f>"S"&amp;WEEKNUM(AK3)</f>
        <v>S5</v>
      </c>
      <c r="AL2" s="225"/>
      <c r="AM2" s="225"/>
      <c r="AN2" s="225"/>
      <c r="AO2" s="225"/>
      <c r="AP2" s="218"/>
      <c r="AQ2" s="226"/>
      <c r="AR2" s="226" t="str">
        <f>"S"&amp;WEEKNUM(AR3)</f>
        <v>S6</v>
      </c>
      <c r="AS2" s="225"/>
      <c r="AT2" s="225"/>
      <c r="AU2" s="225"/>
      <c r="AV2" s="225"/>
      <c r="AW2" s="218"/>
      <c r="AX2" s="222"/>
      <c r="AY2" s="226" t="str">
        <f>"S"&amp;WEEKNUM(AY3)</f>
        <v>S7</v>
      </c>
      <c r="AZ2" s="225"/>
      <c r="BA2" s="225"/>
      <c r="BB2" s="225"/>
      <c r="BC2" s="225"/>
      <c r="BD2" s="218"/>
      <c r="BE2" s="226"/>
      <c r="BF2" s="226" t="str">
        <f>"S"&amp;WEEKNUM(BF3)</f>
        <v>S8</v>
      </c>
      <c r="BG2" s="225"/>
      <c r="BH2" s="225"/>
      <c r="BI2" s="225"/>
      <c r="BJ2" s="225"/>
      <c r="BK2" s="218"/>
      <c r="BL2" s="222"/>
      <c r="BM2" s="226" t="str">
        <f>"S"&amp;WEEKNUM(BM3)</f>
        <v>S9</v>
      </c>
      <c r="BN2" s="225"/>
      <c r="BO2" s="225"/>
      <c r="BP2" s="225"/>
      <c r="BQ2" s="225"/>
      <c r="BR2" s="218"/>
      <c r="BS2" s="226"/>
      <c r="BT2" s="226" t="str">
        <f>"S"&amp;WEEKNUM(BT3)</f>
        <v>S10</v>
      </c>
      <c r="BU2" s="225"/>
      <c r="BV2" s="225"/>
      <c r="BW2" s="225"/>
      <c r="BX2" s="225"/>
      <c r="BY2" s="218"/>
      <c r="BZ2" s="222"/>
      <c r="CA2" s="226" t="str">
        <f>"S"&amp;WEEKNUM(CA3)</f>
        <v>S11</v>
      </c>
      <c r="CB2" s="225"/>
      <c r="CC2" s="225"/>
      <c r="CD2" s="225"/>
      <c r="CE2" s="225"/>
      <c r="CF2" s="218"/>
      <c r="CG2" s="226"/>
      <c r="CH2" s="226" t="str">
        <f>"S"&amp;WEEKNUM(CH3)</f>
        <v>S12</v>
      </c>
      <c r="CI2" s="225"/>
      <c r="CJ2" s="225"/>
      <c r="CK2" s="225"/>
      <c r="CL2" s="225"/>
      <c r="CM2" s="218"/>
      <c r="CN2" s="222"/>
      <c r="CO2" s="226" t="str">
        <f>"S"&amp;WEEKNUM(CO3)</f>
        <v>S13</v>
      </c>
      <c r="CP2" s="225"/>
      <c r="CQ2" s="225"/>
      <c r="CR2" s="225"/>
      <c r="CS2" s="225"/>
      <c r="CT2" s="218"/>
      <c r="CU2" s="226"/>
      <c r="CV2" s="226" t="str">
        <f>"S"&amp;WEEKNUM(CV3)</f>
        <v>S14</v>
      </c>
      <c r="CW2" s="225"/>
      <c r="CX2" s="225"/>
      <c r="CY2" s="225"/>
      <c r="CZ2" s="225"/>
      <c r="DA2" s="218"/>
      <c r="DB2" s="222"/>
      <c r="DC2" s="226" t="str">
        <f>"S"&amp;WEEKNUM(DC3)</f>
        <v>S15</v>
      </c>
      <c r="DD2" s="225"/>
      <c r="DE2" s="225"/>
      <c r="DF2" s="225"/>
      <c r="DG2" s="225"/>
      <c r="DH2" s="218"/>
      <c r="DI2" s="226"/>
      <c r="DJ2" s="226" t="str">
        <f>"S"&amp;WEEKNUM(DJ3)</f>
        <v>S16</v>
      </c>
      <c r="DK2" s="225"/>
      <c r="DL2" s="225"/>
      <c r="DM2" s="225"/>
      <c r="DN2" s="225"/>
      <c r="DO2" s="218"/>
      <c r="DP2" s="222"/>
      <c r="DQ2" s="226" t="str">
        <f>"S"&amp;WEEKNUM(DQ3)</f>
        <v>S17</v>
      </c>
      <c r="DR2" s="225"/>
      <c r="DS2" s="225"/>
      <c r="DT2" s="225"/>
      <c r="DU2" s="225"/>
      <c r="DV2" s="218"/>
      <c r="DW2" s="222"/>
      <c r="DX2" s="226" t="str">
        <f>"S"&amp;WEEKNUM(DX3)</f>
        <v>S18</v>
      </c>
      <c r="DY2" s="225"/>
      <c r="DZ2" s="225"/>
      <c r="EA2" s="225"/>
      <c r="EB2" s="225"/>
      <c r="EC2" s="218"/>
      <c r="ED2" s="226"/>
      <c r="EE2" s="226" t="str">
        <f>"S"&amp;WEEKNUM(EE3)</f>
        <v>S19</v>
      </c>
      <c r="EF2" s="225"/>
      <c r="EG2" s="225"/>
      <c r="EH2" s="225"/>
      <c r="EI2" s="225"/>
      <c r="EJ2" s="218"/>
      <c r="EK2" s="222"/>
      <c r="EL2" s="226" t="str">
        <f>"S"&amp;WEEKNUM(EL3)</f>
        <v>S20</v>
      </c>
      <c r="EM2" s="225"/>
      <c r="EN2" s="225"/>
      <c r="EO2" s="225"/>
      <c r="EP2" s="225"/>
      <c r="EQ2" s="218"/>
      <c r="ER2" s="222"/>
      <c r="ES2" s="226" t="str">
        <f>"S"&amp;WEEKNUM(ES3)</f>
        <v>S21</v>
      </c>
      <c r="ET2" s="225"/>
      <c r="EU2" s="225"/>
      <c r="EV2" s="225"/>
      <c r="EW2" s="225"/>
      <c r="EX2" s="218"/>
      <c r="EY2" s="226"/>
      <c r="EZ2" s="226" t="str">
        <f>"S"&amp;WEEKNUM(EZ3)</f>
        <v>S22</v>
      </c>
      <c r="FA2" s="225"/>
      <c r="FB2" s="225"/>
      <c r="FC2" s="225"/>
      <c r="FD2" s="225"/>
      <c r="FE2" s="218"/>
      <c r="FF2" s="222"/>
      <c r="FG2" s="226" t="str">
        <f>"S"&amp;WEEKNUM(FG3)</f>
        <v>S23</v>
      </c>
      <c r="FH2" s="225"/>
      <c r="FI2" s="225"/>
      <c r="FJ2" s="225"/>
      <c r="FK2" s="225"/>
      <c r="FL2" s="218"/>
      <c r="FM2" s="222"/>
      <c r="FN2" s="226" t="str">
        <f>"S"&amp;WEEKNUM(FN3)</f>
        <v>S24</v>
      </c>
      <c r="FO2" s="225"/>
      <c r="FP2" s="225"/>
      <c r="FQ2" s="225"/>
      <c r="FR2" s="225"/>
      <c r="FS2" s="218"/>
      <c r="FT2" s="226"/>
      <c r="FU2" s="226" t="str">
        <f>"S"&amp;WEEKNUM(FU3)</f>
        <v>S25</v>
      </c>
      <c r="FV2" s="225"/>
      <c r="FW2" s="225"/>
      <c r="FX2" s="225"/>
      <c r="FY2" s="225"/>
      <c r="FZ2" s="218"/>
      <c r="GA2" s="222"/>
      <c r="GB2" s="226" t="str">
        <f>"S"&amp;WEEKNUM(GB3)</f>
        <v>S26</v>
      </c>
      <c r="GC2" s="225"/>
      <c r="GD2" s="225"/>
      <c r="GE2" s="225"/>
      <c r="GF2" s="225"/>
      <c r="GG2" s="218"/>
      <c r="GH2" s="222"/>
      <c r="GI2" s="226" t="str">
        <f>"S"&amp;WEEKNUM(GI3)</f>
        <v>S27</v>
      </c>
      <c r="GJ2" s="225"/>
      <c r="GK2" s="225"/>
      <c r="GL2" s="225"/>
      <c r="GM2" s="225"/>
      <c r="GN2" s="218"/>
      <c r="GO2" s="226"/>
      <c r="GP2" s="226" t="str">
        <f>"S"&amp;WEEKNUM(GP3)</f>
        <v>S28</v>
      </c>
      <c r="GQ2" s="225"/>
      <c r="GR2" s="225"/>
      <c r="GS2" s="225"/>
      <c r="GT2" s="225"/>
      <c r="GU2" s="218"/>
      <c r="GV2" s="222"/>
      <c r="GW2" s="226" t="str">
        <f>"S"&amp;WEEKNUM(GW3)</f>
        <v>S29</v>
      </c>
      <c r="GX2" s="225"/>
      <c r="GY2" s="225"/>
      <c r="GZ2" s="225"/>
      <c r="HA2" s="225"/>
      <c r="HB2" s="218"/>
      <c r="HC2" s="222"/>
      <c r="HD2" s="226" t="str">
        <f>"S"&amp;WEEKNUM(HD3)</f>
        <v>S30</v>
      </c>
      <c r="HE2" s="225"/>
      <c r="HF2" s="225"/>
      <c r="HG2" s="225"/>
      <c r="HH2" s="225"/>
      <c r="HI2" s="218"/>
      <c r="HJ2" s="226"/>
      <c r="HK2" s="226" t="str">
        <f>"S"&amp;WEEKNUM(HK3)</f>
        <v>S31</v>
      </c>
      <c r="HL2" s="225"/>
      <c r="HM2" s="225"/>
      <c r="HN2" s="225"/>
      <c r="HO2" s="225"/>
      <c r="HP2" s="218"/>
      <c r="HQ2" s="222"/>
      <c r="HR2" s="226" t="str">
        <f>"S"&amp;WEEKNUM(HR3)</f>
        <v>S32</v>
      </c>
      <c r="HS2" s="225"/>
      <c r="HT2" s="225"/>
      <c r="HU2" s="225"/>
      <c r="HV2" s="225"/>
      <c r="HW2" s="218"/>
      <c r="HX2" s="226"/>
      <c r="HY2" s="226" t="str">
        <f>"S"&amp;WEEKNUM(HY3)</f>
        <v>S33</v>
      </c>
      <c r="HZ2" s="225"/>
      <c r="IA2" s="225"/>
      <c r="IB2" s="225"/>
      <c r="IC2" s="225"/>
      <c r="ID2" s="218"/>
      <c r="IE2" s="222"/>
      <c r="IF2" s="226" t="str">
        <f>"S"&amp;WEEKNUM(IF3)</f>
        <v>S34</v>
      </c>
      <c r="IG2" s="225"/>
      <c r="IH2" s="225"/>
      <c r="II2" s="225"/>
      <c r="IJ2" s="225"/>
      <c r="IK2" s="218"/>
      <c r="IL2" s="226"/>
      <c r="IM2" s="226" t="str">
        <f>"S"&amp;WEEKNUM(IM3)</f>
        <v>S35</v>
      </c>
      <c r="IN2" s="225"/>
      <c r="IO2" s="225"/>
      <c r="IP2" s="225"/>
      <c r="IQ2" s="225"/>
      <c r="IR2" s="218"/>
      <c r="IS2" s="222"/>
      <c r="IT2" s="226" t="str">
        <f>"S"&amp;WEEKNUM(IT3)</f>
        <v>S36</v>
      </c>
      <c r="IU2" s="225"/>
      <c r="IV2" s="225"/>
      <c r="IW2" s="225"/>
      <c r="IX2" s="225"/>
      <c r="IY2" s="218"/>
      <c r="IZ2" s="226"/>
      <c r="JA2" s="226" t="str">
        <f>"S"&amp;WEEKNUM(JA3)</f>
        <v>S37</v>
      </c>
      <c r="JB2" s="225"/>
      <c r="JC2" s="225"/>
      <c r="JD2" s="225"/>
      <c r="JE2" s="225"/>
      <c r="JF2" s="218"/>
      <c r="JG2" s="222"/>
      <c r="JH2" s="226" t="str">
        <f>"S"&amp;WEEKNUM(JH3)</f>
        <v>S38</v>
      </c>
      <c r="JI2" s="225"/>
      <c r="JJ2" s="225"/>
      <c r="JK2" s="225"/>
      <c r="JL2" s="225"/>
      <c r="JM2" s="218"/>
      <c r="JN2" s="226"/>
      <c r="JO2" s="226" t="str">
        <f>"S"&amp;WEEKNUM(JO3)</f>
        <v>S39</v>
      </c>
      <c r="JP2" s="225"/>
      <c r="JQ2" s="225"/>
      <c r="JR2" s="225"/>
      <c r="JS2" s="225"/>
      <c r="JT2" s="218"/>
      <c r="JU2" s="222"/>
      <c r="JV2" s="226" t="str">
        <f>"S"&amp;WEEKNUM(JV3)</f>
        <v>S40</v>
      </c>
      <c r="JW2" s="225"/>
      <c r="JX2" s="225"/>
      <c r="JY2" s="225"/>
      <c r="JZ2" s="225"/>
      <c r="KA2" s="218"/>
      <c r="KB2" s="226"/>
      <c r="KC2" s="226" t="str">
        <f>"S"&amp;WEEKNUM(KC3)</f>
        <v>S41</v>
      </c>
      <c r="KD2" s="225"/>
      <c r="KE2" s="225"/>
      <c r="KF2" s="225"/>
      <c r="KG2" s="225"/>
      <c r="KH2" s="218"/>
      <c r="KI2" s="222"/>
      <c r="KJ2" s="226" t="str">
        <f>"S"&amp;WEEKNUM(KJ3)</f>
        <v>S42</v>
      </c>
      <c r="KK2" s="225"/>
      <c r="KL2" s="225"/>
      <c r="KM2" s="225"/>
      <c r="KN2" s="225"/>
      <c r="KO2" s="218"/>
      <c r="KP2" s="222"/>
      <c r="KQ2" s="226" t="str">
        <f>"S"&amp;WEEKNUM(KQ3)</f>
        <v>S43</v>
      </c>
      <c r="KR2" s="225"/>
      <c r="KS2" s="225"/>
      <c r="KT2" s="225"/>
      <c r="KU2" s="225"/>
      <c r="KV2" s="218"/>
      <c r="KW2" s="226"/>
      <c r="KX2" s="226" t="str">
        <f>"S"&amp;WEEKNUM(KX3)</f>
        <v>S44</v>
      </c>
      <c r="KY2" s="225"/>
      <c r="KZ2" s="225"/>
      <c r="LA2" s="225"/>
      <c r="LB2" s="225"/>
      <c r="LC2" s="218"/>
      <c r="LD2" s="222"/>
      <c r="LE2" s="226" t="str">
        <f>"S"&amp;WEEKNUM(LE3)</f>
        <v>S45</v>
      </c>
      <c r="LF2" s="225"/>
      <c r="LG2" s="225"/>
      <c r="LH2" s="225"/>
      <c r="LI2" s="225"/>
      <c r="LJ2" s="218"/>
      <c r="LK2" s="222"/>
      <c r="LL2" s="226" t="str">
        <f>"S"&amp;WEEKNUM(LL3)</f>
        <v>S46</v>
      </c>
      <c r="LM2" s="225"/>
      <c r="LN2" s="225"/>
      <c r="LO2" s="225"/>
      <c r="LP2" s="225"/>
      <c r="LQ2" s="218"/>
      <c r="LR2" s="226"/>
      <c r="LS2" s="226" t="str">
        <f>"S"&amp;WEEKNUM(LS3)</f>
        <v>S47</v>
      </c>
      <c r="LT2" s="225"/>
      <c r="LU2" s="225"/>
      <c r="LV2" s="225"/>
      <c r="LW2" s="225"/>
      <c r="LX2" s="218"/>
      <c r="LY2" s="222"/>
      <c r="LZ2" s="226" t="str">
        <f>"S"&amp;WEEKNUM(LZ3)</f>
        <v>S48</v>
      </c>
      <c r="MA2" s="225"/>
      <c r="MB2" s="225"/>
      <c r="MC2" s="225"/>
      <c r="MD2" s="225"/>
      <c r="ME2" s="218"/>
      <c r="MF2" s="222"/>
      <c r="MG2" s="226" t="str">
        <f>"S"&amp;WEEKNUM(MG3)</f>
        <v>S49</v>
      </c>
      <c r="MH2" s="225"/>
      <c r="MI2" s="225"/>
      <c r="MJ2" s="225"/>
      <c r="MK2" s="225"/>
      <c r="ML2" s="218"/>
      <c r="MM2" s="226"/>
      <c r="MN2" s="226" t="str">
        <f>"S"&amp;WEEKNUM(MN3)</f>
        <v>S50</v>
      </c>
      <c r="MO2" s="225"/>
      <c r="MP2" s="225"/>
      <c r="MQ2" s="225"/>
      <c r="MR2" s="225"/>
      <c r="MS2" s="218"/>
      <c r="MT2" s="222"/>
      <c r="MU2" s="226" t="str">
        <f>"S"&amp;WEEKNUM(MU3)</f>
        <v>S51</v>
      </c>
      <c r="MV2" s="225"/>
      <c r="MW2" s="225"/>
      <c r="MX2" s="225"/>
      <c r="MY2" s="225"/>
      <c r="MZ2" s="218"/>
      <c r="NA2" s="222"/>
      <c r="NB2" s="226" t="str">
        <f>"S"&amp;WEEKNUM(NB3)</f>
        <v>S52</v>
      </c>
      <c r="NC2" s="225"/>
      <c r="ND2" s="225"/>
      <c r="NE2" s="225"/>
      <c r="NF2" s="225"/>
      <c r="NG2" s="218"/>
      <c r="NH2" s="226"/>
      <c r="NI2" s="226" t="str">
        <f>"S"&amp;WEEKNUM(NI3)</f>
        <v>S53</v>
      </c>
      <c r="NJ2" s="225"/>
      <c r="NK2" s="225"/>
      <c r="NL2" s="225"/>
      <c r="NM2" s="225"/>
      <c r="NN2" s="218"/>
      <c r="NO2" s="222"/>
      <c r="NP2" s="226" t="str">
        <f>"S"&amp;WEEKNUM(NP3)</f>
        <v>S2</v>
      </c>
      <c r="NQ2" s="225"/>
      <c r="NR2" s="225"/>
      <c r="NS2" s="225"/>
      <c r="NT2" s="225"/>
      <c r="NU2" s="218"/>
    </row>
    <row r="3" spans="2:385" ht="15" thickBot="1" x14ac:dyDescent="0.35">
      <c r="I3" s="223">
        <v>46021</v>
      </c>
      <c r="J3" s="223">
        <v>46022</v>
      </c>
      <c r="K3" s="223">
        <v>46023</v>
      </c>
      <c r="L3" s="223">
        <v>46024</v>
      </c>
      <c r="M3" s="223">
        <v>46025</v>
      </c>
      <c r="N3" s="224"/>
      <c r="O3" s="132">
        <v>45459</v>
      </c>
      <c r="P3" s="223">
        <v>45663</v>
      </c>
      <c r="Q3" s="223">
        <v>45664</v>
      </c>
      <c r="R3" s="223">
        <v>45665</v>
      </c>
      <c r="S3" s="223">
        <v>45666</v>
      </c>
      <c r="T3" s="223">
        <v>45667</v>
      </c>
      <c r="U3" s="224"/>
      <c r="V3" s="132">
        <v>45466</v>
      </c>
      <c r="W3" s="223">
        <v>45670</v>
      </c>
      <c r="X3" s="223">
        <v>45671</v>
      </c>
      <c r="Y3" s="223">
        <v>45672</v>
      </c>
      <c r="Z3" s="223">
        <v>45673</v>
      </c>
      <c r="AA3" s="223">
        <v>45674</v>
      </c>
      <c r="AB3" s="224"/>
      <c r="AC3" s="132">
        <v>45473</v>
      </c>
      <c r="AD3" s="223">
        <v>45677</v>
      </c>
      <c r="AE3" s="223">
        <v>45678</v>
      </c>
      <c r="AF3" s="223">
        <v>45679</v>
      </c>
      <c r="AG3" s="223">
        <v>45680</v>
      </c>
      <c r="AH3" s="223">
        <v>45681</v>
      </c>
      <c r="AI3" s="223"/>
      <c r="AJ3" s="132">
        <v>45480</v>
      </c>
      <c r="AK3" s="223">
        <v>45684</v>
      </c>
      <c r="AL3" s="223">
        <v>45685</v>
      </c>
      <c r="AM3" s="223">
        <v>45686</v>
      </c>
      <c r="AN3" s="223">
        <v>45687</v>
      </c>
      <c r="AO3" s="223">
        <v>45688</v>
      </c>
      <c r="AP3" s="223"/>
      <c r="AQ3" s="132">
        <v>45487</v>
      </c>
      <c r="AR3" s="223">
        <v>45691</v>
      </c>
      <c r="AS3" s="223">
        <v>45692</v>
      </c>
      <c r="AT3" s="223">
        <v>45693</v>
      </c>
      <c r="AU3" s="223">
        <v>45694</v>
      </c>
      <c r="AV3" s="223">
        <v>45695</v>
      </c>
      <c r="AW3" s="223"/>
      <c r="AX3" s="132">
        <v>45494</v>
      </c>
      <c r="AY3" s="223">
        <v>45698</v>
      </c>
      <c r="AZ3" s="223">
        <v>45699</v>
      </c>
      <c r="BA3" s="223">
        <v>45700</v>
      </c>
      <c r="BB3" s="223">
        <v>45701</v>
      </c>
      <c r="BC3" s="223">
        <v>45702</v>
      </c>
      <c r="BD3" s="223"/>
      <c r="BE3" s="132">
        <v>45501</v>
      </c>
      <c r="BF3" s="223">
        <v>45705</v>
      </c>
      <c r="BG3" s="223">
        <v>45706</v>
      </c>
      <c r="BH3" s="223">
        <v>45707</v>
      </c>
      <c r="BI3" s="223">
        <v>45708</v>
      </c>
      <c r="BJ3" s="223">
        <v>45709</v>
      </c>
      <c r="BK3" s="223"/>
      <c r="BL3" s="132">
        <v>45508</v>
      </c>
      <c r="BM3" s="223">
        <v>45712</v>
      </c>
      <c r="BN3" s="223">
        <v>45713</v>
      </c>
      <c r="BO3" s="223">
        <v>45714</v>
      </c>
      <c r="BP3" s="223">
        <v>45715</v>
      </c>
      <c r="BQ3" s="223">
        <v>45716</v>
      </c>
      <c r="BR3" s="223"/>
      <c r="BS3" s="132">
        <v>45515</v>
      </c>
      <c r="BT3" s="223">
        <v>45719</v>
      </c>
      <c r="BU3" s="223">
        <v>45720</v>
      </c>
      <c r="BV3" s="223">
        <v>45721</v>
      </c>
      <c r="BW3" s="223">
        <v>45722</v>
      </c>
      <c r="BX3" s="223">
        <v>45723</v>
      </c>
      <c r="BY3" s="223"/>
      <c r="BZ3" s="132">
        <v>45522</v>
      </c>
      <c r="CA3" s="223">
        <v>45726</v>
      </c>
      <c r="CB3" s="223">
        <v>45727</v>
      </c>
      <c r="CC3" s="223">
        <v>45728</v>
      </c>
      <c r="CD3" s="223">
        <v>45729</v>
      </c>
      <c r="CE3" s="223">
        <v>45730</v>
      </c>
      <c r="CF3" s="223"/>
      <c r="CG3" s="132">
        <v>45529</v>
      </c>
      <c r="CH3" s="223">
        <v>45733</v>
      </c>
      <c r="CI3" s="223">
        <v>45734</v>
      </c>
      <c r="CJ3" s="223">
        <v>45735</v>
      </c>
      <c r="CK3" s="223">
        <v>45736</v>
      </c>
      <c r="CL3" s="223">
        <v>45737</v>
      </c>
      <c r="CM3" s="223"/>
      <c r="CN3" s="132">
        <v>45536</v>
      </c>
      <c r="CO3" s="223">
        <v>45741</v>
      </c>
      <c r="CP3" s="223">
        <v>45742</v>
      </c>
      <c r="CQ3" s="223">
        <v>45743</v>
      </c>
      <c r="CR3" s="223">
        <v>45744</v>
      </c>
      <c r="CS3" s="223">
        <v>45745</v>
      </c>
      <c r="CT3" s="223"/>
      <c r="CU3" s="132">
        <v>45543</v>
      </c>
      <c r="CV3" s="223">
        <v>45747</v>
      </c>
      <c r="CW3" s="223">
        <v>45748</v>
      </c>
      <c r="CX3" s="223">
        <v>45749</v>
      </c>
      <c r="CY3" s="223">
        <v>45750</v>
      </c>
      <c r="CZ3" s="223">
        <v>45751</v>
      </c>
      <c r="DA3" s="223"/>
      <c r="DB3" s="132">
        <v>45550</v>
      </c>
      <c r="DC3" s="223">
        <v>45754</v>
      </c>
      <c r="DD3" s="223">
        <v>45755</v>
      </c>
      <c r="DE3" s="223">
        <v>45756</v>
      </c>
      <c r="DF3" s="223">
        <v>45757</v>
      </c>
      <c r="DG3" s="223">
        <v>45758</v>
      </c>
      <c r="DH3" s="223"/>
      <c r="DI3" s="132">
        <v>45557</v>
      </c>
      <c r="DJ3" s="223">
        <v>45761</v>
      </c>
      <c r="DK3" s="223">
        <v>45762</v>
      </c>
      <c r="DL3" s="223">
        <v>45763</v>
      </c>
      <c r="DM3" s="223">
        <v>45764</v>
      </c>
      <c r="DN3" s="223">
        <v>45765</v>
      </c>
      <c r="DO3" s="223"/>
      <c r="DP3" s="132">
        <v>45564</v>
      </c>
      <c r="DQ3" s="223">
        <v>45768</v>
      </c>
      <c r="DR3" s="223">
        <v>45769</v>
      </c>
      <c r="DS3" s="223">
        <v>45770</v>
      </c>
      <c r="DT3" s="223">
        <v>45771</v>
      </c>
      <c r="DU3" s="223">
        <v>45772</v>
      </c>
      <c r="DV3" s="223"/>
      <c r="DW3" s="223">
        <v>45774</v>
      </c>
      <c r="DX3" s="223">
        <v>45775</v>
      </c>
      <c r="DY3" s="223">
        <v>45776</v>
      </c>
      <c r="DZ3" s="223">
        <v>45777</v>
      </c>
      <c r="EA3" s="223">
        <v>45778</v>
      </c>
      <c r="EB3" s="223">
        <v>45779</v>
      </c>
      <c r="EC3" s="223"/>
      <c r="ED3" s="223">
        <v>45781</v>
      </c>
      <c r="EE3" s="223">
        <v>45782</v>
      </c>
      <c r="EF3" s="223">
        <v>45783</v>
      </c>
      <c r="EG3" s="223">
        <v>45784</v>
      </c>
      <c r="EH3" s="223">
        <v>45785</v>
      </c>
      <c r="EI3" s="223">
        <v>45786</v>
      </c>
      <c r="EJ3" s="223"/>
      <c r="EK3" s="132">
        <v>45585</v>
      </c>
      <c r="EL3" s="223">
        <v>45789</v>
      </c>
      <c r="EM3" s="223">
        <v>45790</v>
      </c>
      <c r="EN3" s="223">
        <v>45791</v>
      </c>
      <c r="EO3" s="223">
        <v>45792</v>
      </c>
      <c r="EP3" s="223">
        <v>45793</v>
      </c>
      <c r="EQ3" s="223"/>
      <c r="ER3" s="132">
        <v>45592</v>
      </c>
      <c r="ES3" s="223">
        <v>45796</v>
      </c>
      <c r="ET3" s="223">
        <v>45797</v>
      </c>
      <c r="EU3" s="223">
        <v>45798</v>
      </c>
      <c r="EV3" s="223">
        <v>45799</v>
      </c>
      <c r="EW3" s="223">
        <v>45800</v>
      </c>
      <c r="EX3" s="223"/>
      <c r="EY3" s="132">
        <v>45599</v>
      </c>
      <c r="EZ3" s="223">
        <v>45803</v>
      </c>
      <c r="FA3" s="223">
        <v>45804</v>
      </c>
      <c r="FB3" s="223">
        <v>45805</v>
      </c>
      <c r="FC3" s="223">
        <v>45806</v>
      </c>
      <c r="FD3" s="223">
        <v>45807</v>
      </c>
      <c r="FE3" s="223"/>
      <c r="FF3" s="132">
        <v>45606</v>
      </c>
      <c r="FG3" s="223">
        <v>45810</v>
      </c>
      <c r="FH3" s="223">
        <v>45811</v>
      </c>
      <c r="FI3" s="223">
        <v>45812</v>
      </c>
      <c r="FJ3" s="223">
        <v>45813</v>
      </c>
      <c r="FK3" s="223">
        <v>45814</v>
      </c>
      <c r="FL3" s="223"/>
      <c r="FM3" s="132">
        <v>45613</v>
      </c>
      <c r="FN3" s="223">
        <v>45817</v>
      </c>
      <c r="FO3" s="223">
        <v>45818</v>
      </c>
      <c r="FP3" s="223">
        <v>45819</v>
      </c>
      <c r="FQ3" s="223">
        <v>45820</v>
      </c>
      <c r="FR3" s="223">
        <v>45821</v>
      </c>
      <c r="FS3" s="223"/>
      <c r="FT3" s="132">
        <v>45620</v>
      </c>
      <c r="FU3" s="223">
        <v>45824</v>
      </c>
      <c r="FV3" s="223">
        <v>45825</v>
      </c>
      <c r="FW3" s="223">
        <v>45826</v>
      </c>
      <c r="FX3" s="223">
        <v>45827</v>
      </c>
      <c r="FY3" s="223">
        <v>45828</v>
      </c>
      <c r="FZ3" s="223"/>
      <c r="GA3" s="132">
        <v>45627</v>
      </c>
      <c r="GB3" s="223">
        <v>45831</v>
      </c>
      <c r="GC3" s="223">
        <v>45832</v>
      </c>
      <c r="GD3" s="223">
        <v>45833</v>
      </c>
      <c r="GE3" s="223">
        <v>45834</v>
      </c>
      <c r="GF3" s="223">
        <v>45835</v>
      </c>
      <c r="GG3" s="223"/>
      <c r="GH3" s="132">
        <v>45634</v>
      </c>
      <c r="GI3" s="223">
        <v>45838</v>
      </c>
      <c r="GJ3" s="223">
        <v>45839</v>
      </c>
      <c r="GK3" s="223">
        <v>45840</v>
      </c>
      <c r="GL3" s="223">
        <v>45841</v>
      </c>
      <c r="GM3" s="223">
        <v>45842</v>
      </c>
      <c r="GN3" s="223"/>
      <c r="GO3" s="132">
        <v>45641</v>
      </c>
      <c r="GP3" s="223">
        <v>45845</v>
      </c>
      <c r="GQ3" s="223">
        <v>45846</v>
      </c>
      <c r="GR3" s="223">
        <v>45847</v>
      </c>
      <c r="GS3" s="223">
        <v>45848</v>
      </c>
      <c r="GT3" s="223">
        <v>45849</v>
      </c>
      <c r="GU3" s="223">
        <v>45850</v>
      </c>
      <c r="GV3" s="132">
        <v>45851</v>
      </c>
      <c r="GW3" s="223">
        <v>45852</v>
      </c>
      <c r="GX3" s="223">
        <v>45853</v>
      </c>
      <c r="GY3" s="223">
        <v>45854</v>
      </c>
      <c r="GZ3" s="223">
        <v>45855</v>
      </c>
      <c r="HA3" s="223">
        <v>45856</v>
      </c>
      <c r="HB3" s="223">
        <v>45857</v>
      </c>
      <c r="HC3" s="132">
        <v>45858</v>
      </c>
      <c r="HD3" s="223">
        <v>45859</v>
      </c>
      <c r="HE3" s="223">
        <v>45860</v>
      </c>
      <c r="HF3" s="223">
        <v>45861</v>
      </c>
      <c r="HG3" s="223">
        <v>45862</v>
      </c>
      <c r="HH3" s="223">
        <v>45863</v>
      </c>
      <c r="HI3" s="223">
        <v>45864</v>
      </c>
      <c r="HJ3" s="132">
        <v>45865</v>
      </c>
      <c r="HK3" s="223">
        <v>45866</v>
      </c>
      <c r="HL3" s="223">
        <v>45867</v>
      </c>
      <c r="HM3" s="223">
        <v>45868</v>
      </c>
      <c r="HN3" s="223">
        <v>45869</v>
      </c>
      <c r="HO3" s="223">
        <v>45870</v>
      </c>
      <c r="HP3" s="223">
        <v>45871</v>
      </c>
      <c r="HQ3" s="132">
        <v>45872</v>
      </c>
      <c r="HR3" s="223">
        <v>45873</v>
      </c>
      <c r="HS3" s="223">
        <v>45874</v>
      </c>
      <c r="HT3" s="223">
        <v>45875</v>
      </c>
      <c r="HU3" s="223">
        <v>45876</v>
      </c>
      <c r="HV3" s="223">
        <v>45877</v>
      </c>
      <c r="HW3" s="223">
        <v>45878</v>
      </c>
      <c r="HX3" s="132">
        <v>45879</v>
      </c>
      <c r="HY3" s="223">
        <v>45880</v>
      </c>
      <c r="HZ3" s="223">
        <v>45881</v>
      </c>
      <c r="IA3" s="223">
        <v>45882</v>
      </c>
      <c r="IB3" s="223">
        <v>45883</v>
      </c>
      <c r="IC3" s="223">
        <v>45884</v>
      </c>
      <c r="ID3" s="223">
        <v>45885</v>
      </c>
      <c r="IE3" s="132">
        <v>45886</v>
      </c>
      <c r="IF3" s="223">
        <v>45887</v>
      </c>
      <c r="IG3" s="223">
        <v>45888</v>
      </c>
      <c r="IH3" s="223">
        <v>45889</v>
      </c>
      <c r="II3" s="223">
        <v>45890</v>
      </c>
      <c r="IJ3" s="223">
        <v>45891</v>
      </c>
      <c r="IK3" s="223">
        <v>45892</v>
      </c>
      <c r="IL3" s="132">
        <v>45893</v>
      </c>
      <c r="IM3" s="223">
        <v>45894</v>
      </c>
      <c r="IN3" s="223">
        <v>45895</v>
      </c>
      <c r="IO3" s="223">
        <v>45896</v>
      </c>
      <c r="IP3" s="223">
        <v>45897</v>
      </c>
      <c r="IQ3" s="223">
        <v>45898</v>
      </c>
      <c r="IR3" s="223">
        <v>45899</v>
      </c>
      <c r="IS3" s="132">
        <v>45900</v>
      </c>
      <c r="IT3" s="223">
        <v>45901</v>
      </c>
      <c r="IU3" s="223">
        <v>45902</v>
      </c>
      <c r="IV3" s="223">
        <v>45903</v>
      </c>
      <c r="IW3" s="223">
        <v>45904</v>
      </c>
      <c r="IX3" s="223">
        <v>45905</v>
      </c>
      <c r="IY3" s="223">
        <v>45906</v>
      </c>
      <c r="IZ3" s="132">
        <v>45907</v>
      </c>
      <c r="JA3" s="223">
        <v>45908</v>
      </c>
      <c r="JB3" s="223">
        <v>45909</v>
      </c>
      <c r="JC3" s="223">
        <v>45910</v>
      </c>
      <c r="JD3" s="223">
        <v>45911</v>
      </c>
      <c r="JE3" s="223">
        <v>45912</v>
      </c>
      <c r="JF3" s="223">
        <v>45913</v>
      </c>
      <c r="JG3" s="132">
        <v>45914</v>
      </c>
      <c r="JH3" s="223">
        <v>45915</v>
      </c>
      <c r="JI3" s="223">
        <v>45916</v>
      </c>
      <c r="JJ3" s="223">
        <v>45917</v>
      </c>
      <c r="JK3" s="223">
        <v>45918</v>
      </c>
      <c r="JL3" s="223">
        <v>45919</v>
      </c>
      <c r="JM3" s="223">
        <v>45920</v>
      </c>
      <c r="JN3" s="132">
        <v>45921</v>
      </c>
      <c r="JO3" s="223">
        <v>45922</v>
      </c>
      <c r="JP3" s="223">
        <v>45923</v>
      </c>
      <c r="JQ3" s="223">
        <v>45924</v>
      </c>
      <c r="JR3" s="223">
        <v>45925</v>
      </c>
      <c r="JS3" s="223">
        <v>45926</v>
      </c>
      <c r="JT3" s="223">
        <v>45927</v>
      </c>
      <c r="JU3" s="132">
        <v>45928</v>
      </c>
      <c r="JV3" s="223">
        <v>45929</v>
      </c>
      <c r="JW3" s="223">
        <v>45930</v>
      </c>
      <c r="JX3" s="223">
        <v>45931</v>
      </c>
      <c r="JY3" s="223">
        <v>45932</v>
      </c>
      <c r="JZ3" s="223">
        <v>45933</v>
      </c>
      <c r="KA3" s="223">
        <v>45934</v>
      </c>
      <c r="KB3" s="132">
        <v>45935</v>
      </c>
      <c r="KC3" s="223">
        <v>45936</v>
      </c>
      <c r="KD3" s="223">
        <v>45937</v>
      </c>
      <c r="KE3" s="223">
        <v>45938</v>
      </c>
      <c r="KF3" s="223">
        <v>45939</v>
      </c>
      <c r="KG3" s="223">
        <v>45940</v>
      </c>
      <c r="KH3" s="223">
        <v>45941</v>
      </c>
      <c r="KI3" s="132">
        <v>45942</v>
      </c>
      <c r="KJ3" s="223">
        <v>45943</v>
      </c>
      <c r="KK3" s="223">
        <v>45944</v>
      </c>
      <c r="KL3" s="223">
        <v>45945</v>
      </c>
      <c r="KM3" s="223">
        <v>45946</v>
      </c>
      <c r="KN3" s="223">
        <v>45947</v>
      </c>
      <c r="KO3" s="223">
        <v>45948</v>
      </c>
      <c r="KP3" s="223">
        <v>45949</v>
      </c>
      <c r="KQ3" s="223">
        <v>45950</v>
      </c>
      <c r="KR3" s="223">
        <v>45951</v>
      </c>
      <c r="KS3" s="223">
        <v>45952</v>
      </c>
      <c r="KT3" s="223">
        <v>45953</v>
      </c>
      <c r="KU3" s="223">
        <v>45954</v>
      </c>
      <c r="KV3" s="223">
        <v>45955</v>
      </c>
      <c r="KW3" s="223">
        <v>45956</v>
      </c>
      <c r="KX3" s="223">
        <v>45957</v>
      </c>
      <c r="KY3" s="223">
        <v>45958</v>
      </c>
      <c r="KZ3" s="223">
        <v>45959</v>
      </c>
      <c r="LA3" s="223">
        <v>45960</v>
      </c>
      <c r="LB3" s="223">
        <v>45961</v>
      </c>
      <c r="LC3" s="223">
        <v>45962</v>
      </c>
      <c r="LD3" s="132">
        <v>45963</v>
      </c>
      <c r="LE3" s="223">
        <v>45964</v>
      </c>
      <c r="LF3" s="223">
        <v>45965</v>
      </c>
      <c r="LG3" s="223">
        <v>45966</v>
      </c>
      <c r="LH3" s="223">
        <v>45967</v>
      </c>
      <c r="LI3" s="223">
        <v>45968</v>
      </c>
      <c r="LJ3" s="223">
        <v>45969</v>
      </c>
      <c r="LK3" s="132">
        <v>45970</v>
      </c>
      <c r="LL3" s="223">
        <v>45971</v>
      </c>
      <c r="LM3" s="223">
        <v>45972</v>
      </c>
      <c r="LN3" s="223">
        <v>45973</v>
      </c>
      <c r="LO3" s="223">
        <v>45974</v>
      </c>
      <c r="LP3" s="223">
        <v>45975</v>
      </c>
      <c r="LQ3" s="223">
        <v>45976</v>
      </c>
      <c r="LR3" s="132">
        <v>45977</v>
      </c>
      <c r="LS3" s="223">
        <v>45978</v>
      </c>
      <c r="LT3" s="223">
        <v>45979</v>
      </c>
      <c r="LU3" s="223">
        <v>45980</v>
      </c>
      <c r="LV3" s="223">
        <v>45981</v>
      </c>
      <c r="LW3" s="223">
        <v>45982</v>
      </c>
      <c r="LX3" s="223">
        <v>45983</v>
      </c>
      <c r="LY3" s="132">
        <v>45984</v>
      </c>
      <c r="LZ3" s="223">
        <v>45985</v>
      </c>
      <c r="MA3" s="223">
        <v>45986</v>
      </c>
      <c r="MB3" s="223">
        <v>45987</v>
      </c>
      <c r="MC3" s="223">
        <v>45988</v>
      </c>
      <c r="MD3" s="223">
        <v>45989</v>
      </c>
      <c r="ME3" s="223">
        <v>45990</v>
      </c>
      <c r="MF3" s="132">
        <v>45991</v>
      </c>
      <c r="MG3" s="223">
        <v>45992</v>
      </c>
      <c r="MH3" s="223">
        <v>45993</v>
      </c>
      <c r="MI3" s="223">
        <v>45994</v>
      </c>
      <c r="MJ3" s="223">
        <v>45995</v>
      </c>
      <c r="MK3" s="223">
        <v>45996</v>
      </c>
      <c r="ML3" s="223">
        <v>45997</v>
      </c>
      <c r="MM3" s="132">
        <v>45998</v>
      </c>
      <c r="MN3" s="223">
        <v>45999</v>
      </c>
      <c r="MO3" s="223">
        <v>46000</v>
      </c>
      <c r="MP3" s="223">
        <v>46001</v>
      </c>
      <c r="MQ3" s="223">
        <v>46002</v>
      </c>
      <c r="MR3" s="223">
        <v>46003</v>
      </c>
      <c r="MS3" s="223">
        <v>46004</v>
      </c>
      <c r="MT3" s="132">
        <v>46005</v>
      </c>
      <c r="MU3" s="223">
        <v>46006</v>
      </c>
      <c r="MV3" s="223">
        <v>46007</v>
      </c>
      <c r="MW3" s="223">
        <v>46008</v>
      </c>
      <c r="MX3" s="223">
        <v>46009</v>
      </c>
      <c r="MY3" s="223">
        <v>46010</v>
      </c>
      <c r="MZ3" s="223">
        <v>46011</v>
      </c>
      <c r="NA3" s="132">
        <v>46012</v>
      </c>
      <c r="NB3" s="223">
        <v>46013</v>
      </c>
      <c r="NC3" s="223">
        <v>46014</v>
      </c>
      <c r="ND3" s="223">
        <v>46015</v>
      </c>
      <c r="NE3" s="223">
        <v>46016</v>
      </c>
      <c r="NF3" s="223">
        <v>46017</v>
      </c>
      <c r="NG3" s="223">
        <v>46018</v>
      </c>
      <c r="NH3" s="132">
        <v>46019</v>
      </c>
      <c r="NI3" s="223">
        <v>46020</v>
      </c>
      <c r="NJ3" s="223">
        <v>46021</v>
      </c>
      <c r="NK3" s="223">
        <v>46022</v>
      </c>
      <c r="NL3" s="223">
        <v>46023</v>
      </c>
      <c r="NM3" s="223">
        <v>46024</v>
      </c>
      <c r="NN3" s="223">
        <v>46025</v>
      </c>
      <c r="NO3" s="132">
        <v>46026</v>
      </c>
      <c r="NP3" s="223">
        <v>46027</v>
      </c>
      <c r="NQ3" s="223">
        <v>46028</v>
      </c>
      <c r="NR3" s="223">
        <v>46029</v>
      </c>
      <c r="NS3" s="223">
        <v>46030</v>
      </c>
      <c r="NT3" s="223">
        <v>46031</v>
      </c>
      <c r="NU3" s="223"/>
    </row>
    <row r="4" spans="2:385" ht="15" thickBot="1" x14ac:dyDescent="0.35">
      <c r="B4" s="1"/>
      <c r="C4" s="2" t="s">
        <v>1</v>
      </c>
      <c r="D4" s="205" t="s">
        <v>2</v>
      </c>
      <c r="E4" s="141" t="s">
        <v>3</v>
      </c>
      <c r="F4" s="142" t="s">
        <v>4</v>
      </c>
      <c r="G4" s="361" t="s">
        <v>5</v>
      </c>
      <c r="H4" s="362" t="s">
        <v>6</v>
      </c>
      <c r="I4" s="133" t="s">
        <v>500</v>
      </c>
      <c r="J4" s="134" t="s">
        <v>501</v>
      </c>
      <c r="K4" s="134" t="s">
        <v>502</v>
      </c>
      <c r="L4" s="134" t="s">
        <v>503</v>
      </c>
      <c r="M4" s="134" t="s">
        <v>504</v>
      </c>
      <c r="N4" s="134" t="s">
        <v>900</v>
      </c>
      <c r="O4" s="135" t="s">
        <v>506</v>
      </c>
      <c r="P4" s="133" t="s">
        <v>507</v>
      </c>
      <c r="Q4" s="134" t="s">
        <v>508</v>
      </c>
      <c r="R4" s="134" t="s">
        <v>509</v>
      </c>
      <c r="S4" s="134" t="s">
        <v>510</v>
      </c>
      <c r="T4" s="134" t="s">
        <v>511</v>
      </c>
      <c r="U4" s="134" t="s">
        <v>512</v>
      </c>
      <c r="V4" s="135" t="s">
        <v>513</v>
      </c>
      <c r="W4" s="133" t="s">
        <v>514</v>
      </c>
      <c r="X4" s="134" t="s">
        <v>515</v>
      </c>
      <c r="Y4" s="134" t="s">
        <v>516</v>
      </c>
      <c r="Z4" s="134" t="s">
        <v>517</v>
      </c>
      <c r="AA4" s="134" t="s">
        <v>518</v>
      </c>
      <c r="AB4" s="134" t="s">
        <v>519</v>
      </c>
      <c r="AC4" s="135" t="s">
        <v>520</v>
      </c>
      <c r="AD4" s="133" t="s">
        <v>521</v>
      </c>
      <c r="AE4" s="134" t="s">
        <v>522</v>
      </c>
      <c r="AF4" s="134" t="s">
        <v>523</v>
      </c>
      <c r="AG4" s="134" t="s">
        <v>524</v>
      </c>
      <c r="AH4" s="134" t="s">
        <v>525</v>
      </c>
      <c r="AI4" s="134" t="s">
        <v>526</v>
      </c>
      <c r="AJ4" s="135" t="s">
        <v>527</v>
      </c>
      <c r="AK4" s="133" t="s">
        <v>528</v>
      </c>
      <c r="AL4" s="134" t="s">
        <v>529</v>
      </c>
      <c r="AM4" s="134" t="s">
        <v>530</v>
      </c>
      <c r="AN4" s="134" t="s">
        <v>531</v>
      </c>
      <c r="AO4" s="134" t="s">
        <v>532</v>
      </c>
      <c r="AP4" s="134" t="s">
        <v>533</v>
      </c>
      <c r="AQ4" s="135" t="s">
        <v>534</v>
      </c>
      <c r="AR4" s="133" t="s">
        <v>535</v>
      </c>
      <c r="AS4" s="134" t="s">
        <v>536</v>
      </c>
      <c r="AT4" s="134" t="s">
        <v>537</v>
      </c>
      <c r="AU4" s="134" t="s">
        <v>538</v>
      </c>
      <c r="AV4" s="134" t="s">
        <v>539</v>
      </c>
      <c r="AW4" s="134" t="s">
        <v>540</v>
      </c>
      <c r="AX4" s="135" t="s">
        <v>541</v>
      </c>
      <c r="AY4" s="133" t="s">
        <v>542</v>
      </c>
      <c r="AZ4" s="134" t="s">
        <v>543</v>
      </c>
      <c r="BA4" s="134" t="s">
        <v>544</v>
      </c>
      <c r="BB4" s="134" t="s">
        <v>545</v>
      </c>
      <c r="BC4" s="134" t="s">
        <v>546</v>
      </c>
      <c r="BD4" s="134" t="s">
        <v>547</v>
      </c>
      <c r="BE4" s="135" t="s">
        <v>548</v>
      </c>
      <c r="BF4" s="133" t="s">
        <v>549</v>
      </c>
      <c r="BG4" s="134" t="s">
        <v>550</v>
      </c>
      <c r="BH4" s="134" t="s">
        <v>551</v>
      </c>
      <c r="BI4" s="134" t="s">
        <v>552</v>
      </c>
      <c r="BJ4" s="134" t="s">
        <v>553</v>
      </c>
      <c r="BK4" s="134" t="s">
        <v>554</v>
      </c>
      <c r="BL4" s="135" t="s">
        <v>555</v>
      </c>
      <c r="BM4" s="133" t="s">
        <v>556</v>
      </c>
      <c r="BN4" s="134" t="s">
        <v>557</v>
      </c>
      <c r="BO4" s="134" t="s">
        <v>558</v>
      </c>
      <c r="BP4" s="134" t="s">
        <v>559</v>
      </c>
      <c r="BQ4" s="134" t="s">
        <v>560</v>
      </c>
      <c r="BR4" s="134" t="s">
        <v>561</v>
      </c>
      <c r="BS4" s="135" t="s">
        <v>562</v>
      </c>
      <c r="BT4" s="133" t="s">
        <v>563</v>
      </c>
      <c r="BU4" s="134" t="s">
        <v>564</v>
      </c>
      <c r="BV4" s="134" t="s">
        <v>565</v>
      </c>
      <c r="BW4" s="134" t="s">
        <v>566</v>
      </c>
      <c r="BX4" s="134" t="s">
        <v>567</v>
      </c>
      <c r="BY4" s="134" t="s">
        <v>568</v>
      </c>
      <c r="BZ4" s="135" t="s">
        <v>569</v>
      </c>
      <c r="CA4" s="133" t="s">
        <v>570</v>
      </c>
      <c r="CB4" s="134" t="s">
        <v>571</v>
      </c>
      <c r="CC4" s="134" t="s">
        <v>572</v>
      </c>
      <c r="CD4" s="134" t="s">
        <v>573</v>
      </c>
      <c r="CE4" s="134" t="s">
        <v>574</v>
      </c>
      <c r="CF4" s="134" t="s">
        <v>575</v>
      </c>
      <c r="CG4" s="135" t="s">
        <v>576</v>
      </c>
      <c r="CH4" s="133" t="s">
        <v>577</v>
      </c>
      <c r="CI4" s="134" t="s">
        <v>578</v>
      </c>
      <c r="CJ4" s="134" t="s">
        <v>579</v>
      </c>
      <c r="CK4" s="134" t="s">
        <v>580</v>
      </c>
      <c r="CL4" s="134" t="s">
        <v>581</v>
      </c>
      <c r="CM4" s="134" t="s">
        <v>582</v>
      </c>
      <c r="CN4" s="135" t="s">
        <v>583</v>
      </c>
      <c r="CO4" s="133" t="s">
        <v>584</v>
      </c>
      <c r="CP4" s="134" t="s">
        <v>585</v>
      </c>
      <c r="CQ4" s="134" t="s">
        <v>586</v>
      </c>
      <c r="CR4" s="134" t="s">
        <v>587</v>
      </c>
      <c r="CS4" s="134" t="s">
        <v>588</v>
      </c>
      <c r="CT4" s="134" t="s">
        <v>589</v>
      </c>
      <c r="CU4" s="135" t="s">
        <v>590</v>
      </c>
      <c r="CV4" s="133" t="s">
        <v>591</v>
      </c>
      <c r="CW4" s="134" t="s">
        <v>476</v>
      </c>
      <c r="CX4" s="134" t="s">
        <v>477</v>
      </c>
      <c r="CY4" s="134" t="s">
        <v>478</v>
      </c>
      <c r="CZ4" s="134" t="s">
        <v>479</v>
      </c>
      <c r="DA4" s="134" t="s">
        <v>480</v>
      </c>
      <c r="DB4" s="135" t="s">
        <v>481</v>
      </c>
      <c r="DC4" s="133" t="s">
        <v>482</v>
      </c>
      <c r="DD4" s="134" t="s">
        <v>483</v>
      </c>
      <c r="DE4" s="134" t="s">
        <v>484</v>
      </c>
      <c r="DF4" s="134" t="s">
        <v>485</v>
      </c>
      <c r="DG4" s="134" t="s">
        <v>486</v>
      </c>
      <c r="DH4" s="134" t="s">
        <v>487</v>
      </c>
      <c r="DI4" s="135" t="s">
        <v>488</v>
      </c>
      <c r="DJ4" s="133" t="s">
        <v>489</v>
      </c>
      <c r="DK4" s="134" t="s">
        <v>490</v>
      </c>
      <c r="DL4" s="134" t="s">
        <v>491</v>
      </c>
      <c r="DM4" s="134" t="s">
        <v>492</v>
      </c>
      <c r="DN4" s="134" t="s">
        <v>493</v>
      </c>
      <c r="DO4" s="134" t="s">
        <v>494</v>
      </c>
      <c r="DP4" s="135" t="s">
        <v>495</v>
      </c>
      <c r="DQ4" s="133" t="s">
        <v>496</v>
      </c>
      <c r="DR4" s="134" t="s">
        <v>592</v>
      </c>
      <c r="DS4" s="134" t="s">
        <v>593</v>
      </c>
      <c r="DT4" s="134" t="s">
        <v>594</v>
      </c>
      <c r="DU4" s="134" t="s">
        <v>595</v>
      </c>
      <c r="DV4" s="134" t="s">
        <v>596</v>
      </c>
      <c r="DW4" s="135" t="s">
        <v>597</v>
      </c>
      <c r="DX4" s="133" t="s">
        <v>598</v>
      </c>
      <c r="DY4" s="134" t="s">
        <v>599</v>
      </c>
      <c r="DZ4" s="134" t="s">
        <v>600</v>
      </c>
      <c r="EA4" s="134" t="s">
        <v>601</v>
      </c>
      <c r="EB4" s="134" t="s">
        <v>602</v>
      </c>
      <c r="EC4" s="134" t="s">
        <v>603</v>
      </c>
      <c r="ED4" s="135" t="s">
        <v>604</v>
      </c>
      <c r="EE4" s="133" t="s">
        <v>605</v>
      </c>
      <c r="EF4" s="134" t="s">
        <v>606</v>
      </c>
      <c r="EG4" s="134" t="s">
        <v>607</v>
      </c>
      <c r="EH4" s="134" t="s">
        <v>608</v>
      </c>
      <c r="EI4" s="134" t="s">
        <v>609</v>
      </c>
      <c r="EJ4" s="134" t="s">
        <v>610</v>
      </c>
      <c r="EK4" s="135" t="s">
        <v>611</v>
      </c>
      <c r="EL4" s="133" t="s">
        <v>612</v>
      </c>
      <c r="EM4" s="134" t="s">
        <v>613</v>
      </c>
      <c r="EN4" s="134" t="s">
        <v>614</v>
      </c>
      <c r="EO4" s="134" t="s">
        <v>615</v>
      </c>
      <c r="EP4" s="134" t="s">
        <v>616</v>
      </c>
      <c r="EQ4" s="134" t="s">
        <v>617</v>
      </c>
      <c r="ER4" s="135" t="s">
        <v>618</v>
      </c>
      <c r="ES4" s="133" t="s">
        <v>619</v>
      </c>
      <c r="ET4" s="134" t="s">
        <v>620</v>
      </c>
      <c r="EU4" s="134" t="s">
        <v>621</v>
      </c>
      <c r="EV4" s="134" t="s">
        <v>622</v>
      </c>
      <c r="EW4" s="134" t="s">
        <v>623</v>
      </c>
      <c r="EX4" s="134" t="s">
        <v>624</v>
      </c>
      <c r="EY4" s="135" t="s">
        <v>625</v>
      </c>
      <c r="EZ4" s="133" t="s">
        <v>626</v>
      </c>
      <c r="FA4" s="134" t="s">
        <v>627</v>
      </c>
      <c r="FB4" s="134" t="s">
        <v>628</v>
      </c>
      <c r="FC4" s="134" t="s">
        <v>629</v>
      </c>
      <c r="FD4" s="134" t="s">
        <v>630</v>
      </c>
      <c r="FE4" s="134" t="s">
        <v>631</v>
      </c>
      <c r="FF4" s="135" t="s">
        <v>632</v>
      </c>
      <c r="FG4" s="133" t="s">
        <v>633</v>
      </c>
      <c r="FH4" s="134" t="s">
        <v>634</v>
      </c>
      <c r="FI4" s="134" t="s">
        <v>635</v>
      </c>
      <c r="FJ4" s="134" t="s">
        <v>636</v>
      </c>
      <c r="FK4" s="134" t="s">
        <v>637</v>
      </c>
      <c r="FL4" s="134" t="s">
        <v>638</v>
      </c>
      <c r="FM4" s="135" t="s">
        <v>639</v>
      </c>
      <c r="FN4" s="133" t="s">
        <v>640</v>
      </c>
      <c r="FO4" s="134" t="s">
        <v>641</v>
      </c>
      <c r="FP4" s="134" t="s">
        <v>642</v>
      </c>
      <c r="FQ4" s="134" t="s">
        <v>643</v>
      </c>
      <c r="FR4" s="134" t="s">
        <v>644</v>
      </c>
      <c r="FS4" s="134" t="s">
        <v>645</v>
      </c>
      <c r="FT4" s="135" t="s">
        <v>646</v>
      </c>
      <c r="FU4" s="133" t="s">
        <v>647</v>
      </c>
      <c r="FV4" s="134" t="s">
        <v>648</v>
      </c>
      <c r="FW4" s="134" t="s">
        <v>649</v>
      </c>
      <c r="FX4" s="134" t="s">
        <v>650</v>
      </c>
      <c r="FY4" s="134" t="s">
        <v>651</v>
      </c>
      <c r="FZ4" s="134" t="s">
        <v>652</v>
      </c>
      <c r="GA4" s="135" t="s">
        <v>653</v>
      </c>
      <c r="GB4" s="133" t="s">
        <v>654</v>
      </c>
      <c r="GC4" s="134" t="s">
        <v>655</v>
      </c>
      <c r="GD4" s="134" t="s">
        <v>656</v>
      </c>
      <c r="GE4" s="134" t="s">
        <v>657</v>
      </c>
      <c r="GF4" s="134" t="s">
        <v>658</v>
      </c>
      <c r="GG4" s="134" t="s">
        <v>659</v>
      </c>
      <c r="GH4" s="135" t="s">
        <v>660</v>
      </c>
      <c r="GI4" s="133" t="s">
        <v>661</v>
      </c>
      <c r="GJ4" s="134" t="s">
        <v>662</v>
      </c>
      <c r="GK4" s="134" t="s">
        <v>663</v>
      </c>
      <c r="GL4" s="134" t="s">
        <v>664</v>
      </c>
      <c r="GM4" s="134" t="s">
        <v>665</v>
      </c>
      <c r="GN4" s="134" t="s">
        <v>666</v>
      </c>
      <c r="GO4" s="135" t="s">
        <v>667</v>
      </c>
      <c r="GP4" s="133" t="s">
        <v>668</v>
      </c>
      <c r="GQ4" s="134" t="s">
        <v>669</v>
      </c>
      <c r="GR4" s="134" t="s">
        <v>670</v>
      </c>
      <c r="GS4" s="134" t="s">
        <v>671</v>
      </c>
      <c r="GT4" s="134" t="s">
        <v>672</v>
      </c>
      <c r="GU4" s="134" t="s">
        <v>673</v>
      </c>
      <c r="GV4" s="135" t="s">
        <v>674</v>
      </c>
      <c r="GW4" s="133" t="s">
        <v>675</v>
      </c>
      <c r="GX4" s="134" t="s">
        <v>676</v>
      </c>
      <c r="GY4" s="134" t="s">
        <v>677</v>
      </c>
      <c r="GZ4" s="134" t="s">
        <v>678</v>
      </c>
      <c r="HA4" s="134" t="s">
        <v>679</v>
      </c>
      <c r="HB4" s="134" t="s">
        <v>680</v>
      </c>
      <c r="HC4" s="135" t="s">
        <v>681</v>
      </c>
      <c r="HD4" s="376" t="s">
        <v>1108</v>
      </c>
      <c r="HE4" s="376" t="s">
        <v>1109</v>
      </c>
      <c r="HF4" s="376" t="s">
        <v>1110</v>
      </c>
      <c r="HG4" s="376" t="s">
        <v>1111</v>
      </c>
      <c r="HH4" s="376" t="s">
        <v>1112</v>
      </c>
      <c r="HI4" s="376" t="s">
        <v>1113</v>
      </c>
      <c r="HJ4" s="376" t="s">
        <v>1114</v>
      </c>
      <c r="HK4" s="376" t="s">
        <v>1115</v>
      </c>
      <c r="HL4" s="376" t="s">
        <v>1116</v>
      </c>
      <c r="HM4" s="376" t="s">
        <v>1117</v>
      </c>
      <c r="HN4" s="376" t="s">
        <v>1118</v>
      </c>
      <c r="HO4" s="376" t="s">
        <v>1119</v>
      </c>
      <c r="HP4" s="376" t="s">
        <v>1120</v>
      </c>
      <c r="HQ4" s="376" t="s">
        <v>1121</v>
      </c>
      <c r="HR4" s="376" t="s">
        <v>1122</v>
      </c>
      <c r="HS4" s="376" t="s">
        <v>1123</v>
      </c>
      <c r="HT4" s="376" t="s">
        <v>1124</v>
      </c>
      <c r="HU4" s="376" t="s">
        <v>1125</v>
      </c>
      <c r="HV4" s="376" t="s">
        <v>1126</v>
      </c>
      <c r="HW4" s="376" t="s">
        <v>1127</v>
      </c>
      <c r="HX4" s="376" t="s">
        <v>1128</v>
      </c>
      <c r="HY4" s="376" t="s">
        <v>1129</v>
      </c>
      <c r="HZ4" s="376" t="s">
        <v>1130</v>
      </c>
      <c r="IA4" s="376" t="s">
        <v>1131</v>
      </c>
      <c r="IB4" s="376" t="s">
        <v>1132</v>
      </c>
      <c r="IC4" s="376" t="s">
        <v>1133</v>
      </c>
      <c r="ID4" s="376" t="s">
        <v>1134</v>
      </c>
      <c r="IE4" s="376" t="s">
        <v>1135</v>
      </c>
      <c r="IF4" s="376" t="s">
        <v>1136</v>
      </c>
      <c r="IG4" s="376" t="s">
        <v>1137</v>
      </c>
      <c r="IH4" s="376" t="s">
        <v>1138</v>
      </c>
      <c r="II4" s="376" t="s">
        <v>1139</v>
      </c>
      <c r="IJ4" s="376" t="s">
        <v>1140</v>
      </c>
      <c r="IK4" s="376" t="s">
        <v>1141</v>
      </c>
      <c r="IL4" s="376" t="s">
        <v>1142</v>
      </c>
      <c r="IM4" s="376" t="s">
        <v>1143</v>
      </c>
      <c r="IN4" s="376" t="s">
        <v>1144</v>
      </c>
      <c r="IO4" s="376" t="s">
        <v>1145</v>
      </c>
      <c r="IP4" s="376" t="s">
        <v>1146</v>
      </c>
      <c r="IQ4" s="376" t="s">
        <v>1147</v>
      </c>
      <c r="IR4" s="376" t="s">
        <v>1148</v>
      </c>
      <c r="IS4" s="376" t="s">
        <v>1149</v>
      </c>
      <c r="IT4" s="376" t="s">
        <v>1150</v>
      </c>
      <c r="IU4" s="376" t="s">
        <v>1151</v>
      </c>
      <c r="IV4" s="376" t="s">
        <v>1152</v>
      </c>
      <c r="IW4" s="376" t="s">
        <v>1153</v>
      </c>
      <c r="IX4" s="376" t="s">
        <v>1154</v>
      </c>
      <c r="IY4" s="376" t="s">
        <v>1155</v>
      </c>
      <c r="IZ4" s="376" t="s">
        <v>1156</v>
      </c>
      <c r="JA4" s="376" t="s">
        <v>1157</v>
      </c>
      <c r="JB4" s="376" t="s">
        <v>1158</v>
      </c>
      <c r="JC4" s="376" t="s">
        <v>1159</v>
      </c>
      <c r="JD4" s="376" t="s">
        <v>1160</v>
      </c>
      <c r="JE4" s="376" t="s">
        <v>1161</v>
      </c>
      <c r="JF4" s="376" t="s">
        <v>1162</v>
      </c>
      <c r="JG4" s="376" t="s">
        <v>1163</v>
      </c>
      <c r="JH4" s="376" t="s">
        <v>1164</v>
      </c>
      <c r="JI4" s="376" t="s">
        <v>1165</v>
      </c>
      <c r="JJ4" s="376" t="s">
        <v>1166</v>
      </c>
      <c r="JK4" s="376" t="s">
        <v>1167</v>
      </c>
      <c r="JL4" s="376" t="s">
        <v>1168</v>
      </c>
      <c r="JM4" s="376" t="s">
        <v>1169</v>
      </c>
      <c r="JN4" s="376" t="s">
        <v>1170</v>
      </c>
      <c r="JO4" s="376" t="s">
        <v>1171</v>
      </c>
      <c r="JP4" s="376" t="s">
        <v>1172</v>
      </c>
      <c r="JQ4" s="376" t="s">
        <v>1173</v>
      </c>
      <c r="JR4" s="376" t="s">
        <v>1174</v>
      </c>
      <c r="JS4" s="376" t="s">
        <v>1175</v>
      </c>
      <c r="JT4" s="376" t="s">
        <v>1176</v>
      </c>
      <c r="JU4" s="376" t="s">
        <v>1177</v>
      </c>
      <c r="JV4" s="376" t="s">
        <v>1178</v>
      </c>
      <c r="JW4" s="376" t="s">
        <v>1179</v>
      </c>
      <c r="JX4" s="376" t="s">
        <v>1180</v>
      </c>
      <c r="JY4" s="376" t="s">
        <v>1181</v>
      </c>
      <c r="JZ4" s="376" t="s">
        <v>1182</v>
      </c>
      <c r="KA4" s="376" t="s">
        <v>1183</v>
      </c>
      <c r="KB4" s="376" t="s">
        <v>1184</v>
      </c>
      <c r="KC4" s="376" t="s">
        <v>1185</v>
      </c>
      <c r="KD4" s="376" t="s">
        <v>1186</v>
      </c>
      <c r="KE4" s="376" t="s">
        <v>1187</v>
      </c>
      <c r="KF4" s="376" t="s">
        <v>1188</v>
      </c>
      <c r="KG4" s="376" t="s">
        <v>1189</v>
      </c>
      <c r="KH4" s="376" t="s">
        <v>1190</v>
      </c>
      <c r="KI4" s="376" t="s">
        <v>1191</v>
      </c>
      <c r="KJ4" s="376" t="s">
        <v>1192</v>
      </c>
      <c r="KK4" s="376" t="s">
        <v>1193</v>
      </c>
      <c r="KL4" s="376" t="s">
        <v>1194</v>
      </c>
      <c r="KM4" s="376" t="s">
        <v>1195</v>
      </c>
      <c r="KN4" s="376" t="s">
        <v>1196</v>
      </c>
      <c r="KO4" s="376" t="s">
        <v>1197</v>
      </c>
      <c r="KP4" s="376" t="s">
        <v>1198</v>
      </c>
      <c r="KQ4" s="376" t="s">
        <v>1199</v>
      </c>
      <c r="KR4" s="376" t="s">
        <v>1200</v>
      </c>
      <c r="KS4" s="376" t="s">
        <v>1201</v>
      </c>
      <c r="KT4" s="376" t="s">
        <v>1202</v>
      </c>
      <c r="KU4" s="376" t="s">
        <v>1203</v>
      </c>
      <c r="KV4" s="376" t="s">
        <v>1204</v>
      </c>
      <c r="KW4" s="376" t="s">
        <v>1205</v>
      </c>
      <c r="KX4" s="376" t="s">
        <v>1206</v>
      </c>
      <c r="KY4" s="376" t="s">
        <v>1207</v>
      </c>
      <c r="KZ4" s="376" t="s">
        <v>1208</v>
      </c>
      <c r="LA4" s="376" t="s">
        <v>1209</v>
      </c>
      <c r="LB4" s="376" t="s">
        <v>1210</v>
      </c>
      <c r="LC4" s="376" t="s">
        <v>1211</v>
      </c>
      <c r="LD4" s="376" t="s">
        <v>1212</v>
      </c>
      <c r="LE4" s="376" t="s">
        <v>1213</v>
      </c>
      <c r="LF4" s="376" t="s">
        <v>1214</v>
      </c>
      <c r="LG4" s="376" t="s">
        <v>1215</v>
      </c>
      <c r="LH4" s="376" t="s">
        <v>1216</v>
      </c>
      <c r="LI4" s="376" t="s">
        <v>1217</v>
      </c>
      <c r="LJ4" s="376" t="s">
        <v>1218</v>
      </c>
      <c r="LK4" s="376" t="s">
        <v>1219</v>
      </c>
      <c r="LL4" s="376" t="s">
        <v>1220</v>
      </c>
      <c r="LM4" s="376" t="s">
        <v>1221</v>
      </c>
      <c r="LN4" s="376" t="s">
        <v>1222</v>
      </c>
      <c r="LO4" s="376" t="s">
        <v>1223</v>
      </c>
      <c r="LP4" s="376" t="s">
        <v>1224</v>
      </c>
      <c r="LQ4" s="376" t="s">
        <v>1225</v>
      </c>
      <c r="LR4" s="376" t="s">
        <v>1226</v>
      </c>
      <c r="LS4" s="376" t="s">
        <v>1227</v>
      </c>
      <c r="LT4" s="376" t="s">
        <v>1228</v>
      </c>
      <c r="LU4" s="376" t="s">
        <v>1229</v>
      </c>
      <c r="LV4" s="376" t="s">
        <v>1230</v>
      </c>
      <c r="LW4" s="376" t="s">
        <v>1231</v>
      </c>
      <c r="LX4" s="376" t="s">
        <v>1232</v>
      </c>
      <c r="LY4" s="376" t="s">
        <v>1233</v>
      </c>
      <c r="LZ4" s="376" t="s">
        <v>1234</v>
      </c>
      <c r="MA4" s="376" t="s">
        <v>1235</v>
      </c>
      <c r="MB4" s="376" t="s">
        <v>1236</v>
      </c>
      <c r="MC4" s="376" t="s">
        <v>1237</v>
      </c>
      <c r="MD4" s="376" t="s">
        <v>1238</v>
      </c>
      <c r="ME4" s="376" t="s">
        <v>1239</v>
      </c>
      <c r="MF4" s="376" t="s">
        <v>1240</v>
      </c>
      <c r="MG4" s="376" t="s">
        <v>1241</v>
      </c>
      <c r="MH4" s="376" t="s">
        <v>1242</v>
      </c>
      <c r="MI4" s="376" t="s">
        <v>1243</v>
      </c>
      <c r="MJ4" s="376" t="s">
        <v>1244</v>
      </c>
      <c r="MK4" s="376" t="s">
        <v>1245</v>
      </c>
      <c r="ML4" s="376" t="s">
        <v>1246</v>
      </c>
      <c r="MM4" s="376" t="s">
        <v>1247</v>
      </c>
      <c r="MN4" s="376" t="s">
        <v>1248</v>
      </c>
      <c r="MO4" s="376" t="s">
        <v>1249</v>
      </c>
      <c r="MP4" s="376" t="s">
        <v>1250</v>
      </c>
      <c r="MQ4" s="376" t="s">
        <v>1251</v>
      </c>
      <c r="MR4" s="376" t="s">
        <v>1252</v>
      </c>
      <c r="MS4" s="376" t="s">
        <v>1253</v>
      </c>
      <c r="MT4" s="376" t="s">
        <v>1254</v>
      </c>
      <c r="MU4" s="376" t="s">
        <v>1255</v>
      </c>
      <c r="MV4" s="376" t="s">
        <v>1256</v>
      </c>
      <c r="MW4" s="376" t="s">
        <v>1257</v>
      </c>
      <c r="MX4" s="376" t="s">
        <v>1258</v>
      </c>
      <c r="MY4" s="376" t="s">
        <v>1259</v>
      </c>
      <c r="MZ4" s="376" t="s">
        <v>1260</v>
      </c>
      <c r="NA4" s="376" t="s">
        <v>1261</v>
      </c>
      <c r="NB4" s="376" t="s">
        <v>1262</v>
      </c>
      <c r="NC4" s="376" t="s">
        <v>1263</v>
      </c>
      <c r="ND4" s="376" t="s">
        <v>1264</v>
      </c>
      <c r="NE4" s="376" t="s">
        <v>1265</v>
      </c>
      <c r="NF4" s="376" t="s">
        <v>1266</v>
      </c>
      <c r="NG4" s="376" t="s">
        <v>1267</v>
      </c>
      <c r="NH4" s="376" t="s">
        <v>1268</v>
      </c>
      <c r="NI4" s="376" t="s">
        <v>1269</v>
      </c>
      <c r="NJ4" s="376" t="s">
        <v>1270</v>
      </c>
      <c r="NK4" s="376" t="s">
        <v>1271</v>
      </c>
      <c r="NL4" s="376" t="s">
        <v>1272</v>
      </c>
      <c r="NM4" s="376" t="s">
        <v>1273</v>
      </c>
      <c r="NN4" s="376" t="s">
        <v>1274</v>
      </c>
      <c r="NO4" s="376" t="s">
        <v>1275</v>
      </c>
      <c r="NP4" s="376" t="s">
        <v>1276</v>
      </c>
      <c r="NQ4" s="376" t="s">
        <v>1277</v>
      </c>
      <c r="NR4" s="376" t="s">
        <v>1278</v>
      </c>
      <c r="NS4" s="376" t="s">
        <v>1279</v>
      </c>
      <c r="NT4" s="376" t="s">
        <v>1280</v>
      </c>
      <c r="NU4" s="376" t="s">
        <v>1281</v>
      </c>
    </row>
    <row r="5" spans="2:385" x14ac:dyDescent="0.3">
      <c r="B5" s="38">
        <v>55906</v>
      </c>
      <c r="C5" s="9">
        <v>35</v>
      </c>
      <c r="D5" s="206" t="s">
        <v>12</v>
      </c>
      <c r="E5" s="187" t="s">
        <v>26</v>
      </c>
      <c r="F5" s="146" t="s">
        <v>9</v>
      </c>
      <c r="G5" s="359" t="s">
        <v>1311</v>
      </c>
      <c r="H5" s="348" t="s">
        <v>1310</v>
      </c>
      <c r="I5" s="360"/>
      <c r="J5" s="139"/>
      <c r="K5" s="139"/>
      <c r="L5" s="139"/>
      <c r="M5" s="139"/>
      <c r="N5" s="229"/>
      <c r="O5" s="229"/>
      <c r="P5" s="139"/>
      <c r="Q5" s="139"/>
      <c r="R5" s="139"/>
      <c r="S5" s="139"/>
      <c r="T5" s="139"/>
      <c r="U5" s="229"/>
      <c r="V5" s="229"/>
      <c r="W5" s="139"/>
      <c r="X5" s="139"/>
      <c r="Y5" s="139"/>
      <c r="Z5" s="139"/>
      <c r="AA5" s="139"/>
      <c r="AB5" s="229"/>
      <c r="AC5" s="229"/>
      <c r="AD5" s="136"/>
      <c r="AE5" s="136"/>
      <c r="AF5" s="136"/>
      <c r="AG5" s="136"/>
      <c r="AH5" s="136"/>
      <c r="AI5" s="229"/>
      <c r="AJ5" s="229"/>
      <c r="AK5" s="139"/>
      <c r="AL5" s="139"/>
      <c r="AM5" s="139"/>
      <c r="AN5" s="139"/>
      <c r="AO5" s="139"/>
      <c r="AP5" s="229"/>
      <c r="AQ5" s="229"/>
      <c r="AR5" s="136"/>
      <c r="AS5" s="139"/>
      <c r="AT5" s="139"/>
      <c r="AU5" s="139"/>
      <c r="AV5" s="139"/>
      <c r="AW5" s="229"/>
      <c r="AX5" s="229"/>
      <c r="AY5" s="139"/>
      <c r="AZ5" s="139"/>
      <c r="BA5" s="139"/>
      <c r="BB5" s="139"/>
      <c r="BC5" s="139"/>
      <c r="BD5" s="229"/>
      <c r="BE5" s="229"/>
      <c r="BF5" s="136"/>
      <c r="BG5" s="139"/>
      <c r="BH5" s="139"/>
      <c r="BI5" s="139"/>
      <c r="BJ5" s="139"/>
      <c r="BK5" s="229"/>
      <c r="BL5" s="229"/>
      <c r="BM5" s="139"/>
      <c r="BN5" s="139"/>
      <c r="BO5" s="139"/>
      <c r="BP5" s="139"/>
      <c r="BQ5" s="139"/>
      <c r="BR5" s="365"/>
      <c r="BS5" s="365"/>
      <c r="BT5" s="136"/>
      <c r="BU5" s="139"/>
      <c r="BV5" s="139"/>
      <c r="BW5" s="139"/>
      <c r="BX5" s="139"/>
      <c r="BY5" s="365"/>
      <c r="BZ5" s="365"/>
      <c r="CA5" s="139"/>
      <c r="CB5" s="139"/>
      <c r="CC5" s="139"/>
      <c r="CD5" s="139"/>
      <c r="CE5" s="139"/>
      <c r="CF5" s="229"/>
      <c r="CG5" s="229"/>
      <c r="CH5" s="136"/>
      <c r="CI5" s="139"/>
      <c r="CJ5" s="139"/>
      <c r="CK5" s="139"/>
      <c r="CL5" s="139"/>
      <c r="CM5" s="229"/>
      <c r="CN5" s="229"/>
      <c r="CO5" s="139"/>
      <c r="CP5" s="139"/>
      <c r="CQ5" s="139"/>
      <c r="CR5" s="139"/>
      <c r="CS5" s="139"/>
      <c r="CT5" s="229"/>
      <c r="CU5" s="229"/>
      <c r="CV5" s="136"/>
      <c r="CW5" s="139"/>
      <c r="CX5" s="139"/>
      <c r="CY5" s="139"/>
      <c r="CZ5" s="139"/>
      <c r="DA5" s="229"/>
      <c r="DB5" s="229"/>
      <c r="DC5" s="139"/>
      <c r="DD5" s="139"/>
      <c r="DE5" s="139"/>
      <c r="DF5" s="139"/>
      <c r="DG5" s="139"/>
      <c r="DH5" s="229"/>
      <c r="DI5" s="229"/>
      <c r="DJ5" s="136"/>
      <c r="DK5" s="136"/>
      <c r="DL5" s="136"/>
      <c r="DM5" s="136"/>
      <c r="DN5" s="136"/>
      <c r="DO5" s="229"/>
      <c r="DP5" s="229"/>
      <c r="DQ5" s="136"/>
      <c r="DR5" s="139"/>
      <c r="DS5" s="139"/>
      <c r="DT5" s="139"/>
      <c r="DU5" s="139"/>
      <c r="DV5" s="229"/>
      <c r="DW5" s="365"/>
      <c r="DX5" s="139"/>
      <c r="DY5" s="139"/>
      <c r="DZ5" s="139"/>
      <c r="EA5" s="139"/>
      <c r="EB5" s="139"/>
      <c r="EC5" s="229"/>
      <c r="ED5" s="229"/>
      <c r="EE5" s="136"/>
      <c r="EF5" s="139"/>
      <c r="EG5" s="139"/>
      <c r="EH5" s="139"/>
      <c r="EI5" s="139"/>
      <c r="EJ5" s="229"/>
      <c r="EK5" s="229"/>
      <c r="EL5" s="136"/>
      <c r="EM5" s="139"/>
      <c r="EN5" s="139"/>
      <c r="EO5" s="139"/>
      <c r="EP5" s="139"/>
      <c r="EQ5" s="229"/>
      <c r="ER5" s="229"/>
      <c r="ES5" s="139"/>
      <c r="ET5" s="139"/>
      <c r="EU5" s="139"/>
      <c r="EV5" s="139"/>
      <c r="EW5" s="139"/>
      <c r="EX5" s="229"/>
      <c r="EY5" s="229"/>
      <c r="EZ5" s="136"/>
      <c r="FA5" s="139"/>
      <c r="FB5" s="139"/>
      <c r="FC5" s="139"/>
      <c r="FD5" s="139"/>
      <c r="FE5" s="229"/>
      <c r="FF5" s="229"/>
      <c r="FG5" s="136"/>
      <c r="FH5" s="139"/>
      <c r="FI5" s="139"/>
      <c r="FJ5" s="139"/>
      <c r="FK5" s="139"/>
      <c r="FL5" s="229"/>
      <c r="FM5" s="229"/>
      <c r="FN5" s="139"/>
      <c r="FO5" s="139"/>
      <c r="FP5" s="139"/>
      <c r="FQ5" s="139"/>
      <c r="FR5" s="139"/>
      <c r="FS5" s="229"/>
      <c r="FT5" s="229"/>
      <c r="FU5" s="136"/>
      <c r="FV5" s="139"/>
      <c r="FW5" s="139"/>
      <c r="FX5" s="139"/>
      <c r="FY5" s="139"/>
      <c r="FZ5" s="229"/>
      <c r="GA5" s="229"/>
      <c r="GB5" s="136"/>
      <c r="GC5" s="139"/>
      <c r="GD5" s="139"/>
      <c r="GE5" s="139"/>
      <c r="GF5" s="139"/>
      <c r="GG5" s="229"/>
      <c r="GH5" s="229"/>
      <c r="GI5" s="139"/>
      <c r="GJ5" s="139"/>
      <c r="GK5" s="139"/>
      <c r="GL5" s="139"/>
      <c r="GM5" s="139"/>
      <c r="GN5" s="229"/>
      <c r="GO5" s="229"/>
      <c r="GP5" s="136"/>
      <c r="GQ5" s="139"/>
      <c r="GR5" s="139"/>
      <c r="GS5" s="139"/>
      <c r="GT5" s="139"/>
      <c r="GU5" s="229"/>
      <c r="GV5" s="229"/>
      <c r="GW5" s="41" t="s">
        <v>460</v>
      </c>
      <c r="GX5" s="41"/>
      <c r="GY5" s="41"/>
      <c r="GZ5" s="41"/>
      <c r="HA5" s="41"/>
      <c r="HB5" s="229"/>
      <c r="HC5" s="229"/>
      <c r="HD5" s="55"/>
      <c r="HE5" s="55"/>
      <c r="HF5" s="55"/>
      <c r="HG5" s="55"/>
      <c r="HH5" s="55"/>
      <c r="HI5" s="373"/>
      <c r="HJ5" s="373"/>
      <c r="HK5" s="55"/>
      <c r="HL5" s="55"/>
      <c r="HM5" s="55"/>
      <c r="HN5" s="55"/>
      <c r="HO5" s="55"/>
      <c r="HP5" s="373"/>
      <c r="HQ5" s="373"/>
      <c r="HR5" s="55" t="s">
        <v>460</v>
      </c>
      <c r="HS5" s="55" t="s">
        <v>460</v>
      </c>
      <c r="HT5" s="55" t="s">
        <v>460</v>
      </c>
      <c r="HU5" s="55" t="s">
        <v>460</v>
      </c>
      <c r="HV5" s="55" t="s">
        <v>460</v>
      </c>
      <c r="HW5" s="373"/>
      <c r="HX5" s="373"/>
      <c r="HY5" s="55" t="s">
        <v>460</v>
      </c>
      <c r="HZ5" s="55" t="s">
        <v>460</v>
      </c>
      <c r="IA5" s="55" t="s">
        <v>460</v>
      </c>
      <c r="IB5" s="55" t="s">
        <v>460</v>
      </c>
      <c r="IC5" s="55" t="s">
        <v>460</v>
      </c>
      <c r="ID5" s="373"/>
      <c r="IE5" s="373"/>
      <c r="IF5" s="55"/>
      <c r="IG5" s="55"/>
      <c r="IH5" s="55"/>
      <c r="II5" s="55"/>
      <c r="IJ5" s="55"/>
      <c r="IK5" s="373"/>
      <c r="IL5" s="373"/>
      <c r="IM5" s="55"/>
      <c r="IN5" s="55"/>
      <c r="IO5" s="55"/>
      <c r="IP5" s="55"/>
      <c r="IQ5" s="55"/>
      <c r="IR5" s="373"/>
      <c r="IS5" s="373"/>
      <c r="IT5" s="55"/>
      <c r="IU5" s="55"/>
      <c r="IV5" s="55"/>
      <c r="IW5" s="55"/>
      <c r="IX5" s="55"/>
      <c r="IY5" s="373"/>
      <c r="IZ5" s="373"/>
      <c r="JA5" s="55"/>
      <c r="JB5" s="55"/>
      <c r="JC5" s="55"/>
      <c r="JD5" s="55"/>
      <c r="JE5" s="55"/>
      <c r="JF5" s="373"/>
      <c r="JG5" s="373"/>
      <c r="JH5" s="55"/>
      <c r="JI5" s="55"/>
      <c r="JJ5" s="55"/>
      <c r="JK5" s="55"/>
      <c r="JL5" s="55"/>
      <c r="JM5" s="373"/>
      <c r="JN5" s="373"/>
      <c r="JO5" s="55"/>
      <c r="JP5" s="55"/>
      <c r="JQ5" s="55"/>
      <c r="JR5" s="55"/>
      <c r="JS5" s="55"/>
      <c r="JT5" s="373"/>
      <c r="JU5" s="373"/>
      <c r="JV5" s="55"/>
      <c r="JW5" s="55"/>
      <c r="JX5" s="55"/>
      <c r="JY5" s="55"/>
      <c r="JZ5" s="55"/>
      <c r="KA5" s="373"/>
      <c r="KB5" s="373"/>
      <c r="KC5" s="55"/>
      <c r="KD5" s="55"/>
      <c r="KE5" s="55"/>
      <c r="KF5" s="55"/>
      <c r="KG5" s="55"/>
      <c r="KH5" s="373"/>
      <c r="KI5" s="373"/>
      <c r="KJ5" s="55"/>
      <c r="KK5" s="55"/>
      <c r="KL5" s="55"/>
      <c r="KM5" s="55"/>
      <c r="KN5" s="55"/>
      <c r="KO5" s="373"/>
      <c r="KP5" s="373"/>
      <c r="KQ5" s="55"/>
      <c r="KR5" s="55"/>
      <c r="KS5" s="55"/>
      <c r="KT5" s="55"/>
      <c r="KU5" s="55"/>
      <c r="KV5" s="373"/>
      <c r="KW5" s="373"/>
      <c r="KX5" s="55"/>
      <c r="KY5" s="55"/>
      <c r="KZ5" s="55"/>
      <c r="LA5" s="55"/>
      <c r="LB5" s="55"/>
      <c r="LC5" s="373"/>
      <c r="LD5" s="373"/>
      <c r="LE5" s="55"/>
      <c r="LF5" s="55"/>
      <c r="LG5" s="55"/>
      <c r="LH5" s="55"/>
      <c r="LI5" s="55"/>
      <c r="LJ5" s="373"/>
      <c r="LK5" s="373"/>
      <c r="LL5" s="55"/>
      <c r="LM5" s="55"/>
      <c r="LN5" s="55"/>
      <c r="LO5" s="55"/>
      <c r="LP5" s="55"/>
      <c r="LQ5" s="373"/>
      <c r="LR5" s="373"/>
      <c r="LS5" s="55"/>
      <c r="LT5" s="55"/>
      <c r="LU5" s="55"/>
      <c r="LV5" s="55"/>
      <c r="LW5" s="55"/>
      <c r="LX5" s="373"/>
      <c r="LY5" s="373"/>
      <c r="LZ5" s="55"/>
      <c r="MA5" s="55"/>
      <c r="MB5" s="55"/>
      <c r="MC5" s="55"/>
      <c r="MD5" s="55"/>
      <c r="ME5" s="373"/>
      <c r="MF5" s="373"/>
      <c r="MG5" s="55"/>
      <c r="MH5" s="55"/>
      <c r="MI5" s="55"/>
      <c r="MJ5" s="55"/>
      <c r="MK5" s="55"/>
      <c r="ML5" s="373"/>
      <c r="MM5" s="373"/>
      <c r="MN5" s="55"/>
      <c r="MO5" s="55"/>
      <c r="MP5" s="55"/>
      <c r="MQ5" s="55"/>
      <c r="MR5" s="55"/>
      <c r="MS5" s="373"/>
      <c r="MT5" s="373"/>
      <c r="MU5" s="55"/>
      <c r="MV5" s="55"/>
      <c r="MW5" s="55"/>
      <c r="MX5" s="55"/>
      <c r="MY5" s="55"/>
      <c r="MZ5" s="373"/>
      <c r="NA5" s="373"/>
      <c r="NB5" s="55"/>
      <c r="NC5" s="55"/>
      <c r="ND5" s="55"/>
      <c r="NE5" s="55"/>
      <c r="NF5" s="55"/>
      <c r="NG5" s="373"/>
      <c r="NH5" s="373"/>
      <c r="NI5" s="55"/>
      <c r="NJ5" s="55"/>
      <c r="NK5" s="55"/>
      <c r="NL5" s="55"/>
      <c r="NM5" s="55"/>
      <c r="NN5" s="373"/>
      <c r="NO5" s="373"/>
      <c r="NP5" s="55"/>
      <c r="NQ5" s="55"/>
      <c r="NR5" s="55"/>
      <c r="NS5" s="55"/>
      <c r="NT5" s="55"/>
      <c r="NU5" s="373"/>
    </row>
    <row r="6" spans="2:385" x14ac:dyDescent="0.3">
      <c r="B6" s="38">
        <v>71616</v>
      </c>
      <c r="C6" s="9">
        <v>35</v>
      </c>
      <c r="D6" s="206" t="s">
        <v>12</v>
      </c>
      <c r="E6" s="187" t="s">
        <v>26</v>
      </c>
      <c r="F6" s="146" t="s">
        <v>9</v>
      </c>
      <c r="G6" s="155" t="s">
        <v>1289</v>
      </c>
      <c r="H6" s="156" t="s">
        <v>1290</v>
      </c>
      <c r="I6" s="125"/>
      <c r="J6" s="41"/>
      <c r="K6" s="41"/>
      <c r="L6" s="41"/>
      <c r="M6" s="41"/>
      <c r="N6" s="230"/>
      <c r="O6" s="230"/>
      <c r="P6" s="41"/>
      <c r="Q6" s="41"/>
      <c r="R6" s="41"/>
      <c r="S6" s="41"/>
      <c r="T6" s="41"/>
      <c r="U6" s="230"/>
      <c r="V6" s="230"/>
      <c r="W6" s="41"/>
      <c r="X6" s="41"/>
      <c r="Y6" s="41"/>
      <c r="Z6" s="41"/>
      <c r="AA6" s="41"/>
      <c r="AB6" s="230"/>
      <c r="AC6" s="230"/>
      <c r="AD6" s="125"/>
      <c r="AE6" s="41"/>
      <c r="AF6" s="41"/>
      <c r="AG6" s="41"/>
      <c r="AH6" s="41"/>
      <c r="AI6" s="230"/>
      <c r="AJ6" s="230"/>
      <c r="AK6" s="41"/>
      <c r="AL6" s="41"/>
      <c r="AM6" s="41"/>
      <c r="AN6" s="41"/>
      <c r="AO6" s="41"/>
      <c r="AP6" s="230"/>
      <c r="AQ6" s="230"/>
      <c r="AR6" s="125"/>
      <c r="AS6" s="41"/>
      <c r="AT6" s="41"/>
      <c r="AU6" s="41"/>
      <c r="AV6" s="41"/>
      <c r="AW6" s="230"/>
      <c r="AX6" s="230"/>
      <c r="AY6" s="41"/>
      <c r="AZ6" s="41"/>
      <c r="BA6" s="41"/>
      <c r="BB6" s="41"/>
      <c r="BC6" s="41"/>
      <c r="BD6" s="230"/>
      <c r="BE6" s="230"/>
      <c r="BF6" s="125"/>
      <c r="BG6" s="41"/>
      <c r="BH6" s="41"/>
      <c r="BI6" s="41"/>
      <c r="BJ6" s="41"/>
      <c r="BK6" s="230"/>
      <c r="BL6" s="230"/>
      <c r="BM6" s="41"/>
      <c r="BN6" s="41"/>
      <c r="BO6" s="41"/>
      <c r="BP6" s="41"/>
      <c r="BQ6" s="41"/>
      <c r="BR6" s="234"/>
      <c r="BS6" s="234"/>
      <c r="BT6" s="125"/>
      <c r="BU6" s="41"/>
      <c r="BV6" s="41"/>
      <c r="BW6" s="41"/>
      <c r="BX6" s="41"/>
      <c r="BY6" s="234"/>
      <c r="BZ6" s="234"/>
      <c r="CA6" s="41"/>
      <c r="CB6" s="41"/>
      <c r="CC6" s="41"/>
      <c r="CD6" s="41"/>
      <c r="CE6" s="41"/>
      <c r="CF6" s="230"/>
      <c r="CG6" s="230"/>
      <c r="CH6" s="125"/>
      <c r="CI6" s="41"/>
      <c r="CJ6" s="41"/>
      <c r="CK6" s="41"/>
      <c r="CL6" s="41"/>
      <c r="CM6" s="230"/>
      <c r="CN6" s="230"/>
      <c r="CO6" s="41"/>
      <c r="CP6" s="41"/>
      <c r="CQ6" s="41"/>
      <c r="CR6" s="41"/>
      <c r="CS6" s="41"/>
      <c r="CT6" s="230"/>
      <c r="CU6" s="230"/>
      <c r="CV6" s="125"/>
      <c r="CW6" s="41"/>
      <c r="CX6" s="41"/>
      <c r="CY6" s="41"/>
      <c r="CZ6" s="41"/>
      <c r="DA6" s="230"/>
      <c r="DB6" s="230"/>
      <c r="DC6" s="41"/>
      <c r="DD6" s="41"/>
      <c r="DE6" s="41"/>
      <c r="DF6" s="41"/>
      <c r="DG6" s="41"/>
      <c r="DH6" s="230"/>
      <c r="DI6" s="230"/>
      <c r="DJ6" s="125"/>
      <c r="DK6" s="41"/>
      <c r="DL6" s="41"/>
      <c r="DM6" s="41"/>
      <c r="DN6" s="41"/>
      <c r="DO6" s="230"/>
      <c r="DP6" s="230"/>
      <c r="DQ6" s="125"/>
      <c r="DR6" s="41"/>
      <c r="DS6" s="41"/>
      <c r="DT6" s="41"/>
      <c r="DU6" s="41"/>
      <c r="DV6" s="230"/>
      <c r="DW6" s="234"/>
      <c r="DX6" s="41"/>
      <c r="DY6" s="41"/>
      <c r="DZ6" s="41"/>
      <c r="EA6" s="41"/>
      <c r="EB6" s="41"/>
      <c r="EC6" s="230"/>
      <c r="ED6" s="230"/>
      <c r="EE6" s="125"/>
      <c r="EF6" s="41"/>
      <c r="EG6" s="41"/>
      <c r="EH6" s="41"/>
      <c r="EI6" s="41"/>
      <c r="EJ6" s="230"/>
      <c r="EK6" s="230"/>
      <c r="EL6" s="125"/>
      <c r="EM6" s="41"/>
      <c r="EN6" s="41"/>
      <c r="EO6" s="41"/>
      <c r="EP6" s="41"/>
      <c r="EQ6" s="230"/>
      <c r="ER6" s="230"/>
      <c r="ES6" s="41"/>
      <c r="ET6" s="41"/>
      <c r="EU6" s="41"/>
      <c r="EV6" s="41"/>
      <c r="EW6" s="41"/>
      <c r="EX6" s="230"/>
      <c r="EY6" s="230"/>
      <c r="EZ6" s="125"/>
      <c r="FA6" s="41"/>
      <c r="FB6" s="41"/>
      <c r="FC6" s="41"/>
      <c r="FD6" s="41"/>
      <c r="FE6" s="230"/>
      <c r="FF6" s="230"/>
      <c r="FG6" s="125"/>
      <c r="FH6" s="41"/>
      <c r="FI6" s="41"/>
      <c r="FJ6" s="41"/>
      <c r="FK6" s="41"/>
      <c r="FL6" s="230"/>
      <c r="FM6" s="230"/>
      <c r="FN6" s="41"/>
      <c r="FO6" s="41"/>
      <c r="FP6" s="41"/>
      <c r="FQ6" s="41"/>
      <c r="FR6" s="41"/>
      <c r="FS6" s="230"/>
      <c r="FT6" s="230"/>
      <c r="FU6" s="125"/>
      <c r="FV6" s="41"/>
      <c r="FW6" s="41"/>
      <c r="FX6" s="41"/>
      <c r="FY6" s="41"/>
      <c r="FZ6" s="230"/>
      <c r="GA6" s="230"/>
      <c r="GB6" s="125"/>
      <c r="GC6" s="41"/>
      <c r="GD6" s="41"/>
      <c r="GE6" s="41"/>
      <c r="GF6" s="41"/>
      <c r="GG6" s="230"/>
      <c r="GH6" s="230"/>
      <c r="GI6" s="41"/>
      <c r="GJ6" s="41"/>
      <c r="GK6" s="41"/>
      <c r="GL6" s="41"/>
      <c r="GM6" s="41"/>
      <c r="GN6" s="230"/>
      <c r="GO6" s="230"/>
      <c r="GP6" s="125"/>
      <c r="GQ6" s="41"/>
      <c r="GR6" s="41"/>
      <c r="GS6" s="41"/>
      <c r="GT6" s="41"/>
      <c r="GU6" s="230"/>
      <c r="GV6" s="230"/>
      <c r="GW6" s="41" t="s">
        <v>460</v>
      </c>
      <c r="GX6" s="41"/>
      <c r="GY6" s="41"/>
      <c r="GZ6" s="41"/>
      <c r="HA6" s="41"/>
      <c r="HB6" s="230"/>
      <c r="HC6" s="230"/>
      <c r="HD6" s="41"/>
      <c r="HE6" s="41"/>
      <c r="HF6" s="41"/>
      <c r="HG6" s="41"/>
      <c r="HH6" s="41"/>
      <c r="HI6" s="234"/>
      <c r="HJ6" s="234"/>
      <c r="HK6" s="41"/>
      <c r="HL6" s="41"/>
      <c r="HM6" s="41"/>
      <c r="HN6" s="41"/>
      <c r="HO6" s="41"/>
      <c r="HP6" s="234"/>
      <c r="HQ6" s="234"/>
      <c r="HR6" s="41"/>
      <c r="HS6" s="41"/>
      <c r="HT6" s="41"/>
      <c r="HU6" s="41"/>
      <c r="HV6" s="41"/>
      <c r="HW6" s="234"/>
      <c r="HX6" s="234"/>
      <c r="HY6" s="41"/>
      <c r="HZ6" s="41"/>
      <c r="IA6" s="41"/>
      <c r="IB6" s="41"/>
      <c r="IC6" s="41"/>
      <c r="ID6" s="234"/>
      <c r="IE6" s="234"/>
      <c r="IF6" s="41"/>
      <c r="IG6" s="41"/>
      <c r="IH6" s="41"/>
      <c r="II6" s="41"/>
      <c r="IJ6" s="41"/>
      <c r="IK6" s="234"/>
      <c r="IL6" s="234"/>
      <c r="IM6" s="41"/>
      <c r="IN6" s="41"/>
      <c r="IO6" s="41"/>
      <c r="IP6" s="41"/>
      <c r="IQ6" s="41"/>
      <c r="IR6" s="234"/>
      <c r="IS6" s="234"/>
      <c r="IT6" s="41"/>
      <c r="IU6" s="41"/>
      <c r="IV6" s="41"/>
      <c r="IW6" s="41"/>
      <c r="IX6" s="41"/>
      <c r="IY6" s="234"/>
      <c r="IZ6" s="234"/>
      <c r="JA6" s="41"/>
      <c r="JB6" s="41"/>
      <c r="JC6" s="41"/>
      <c r="JD6" s="41"/>
      <c r="JE6" s="41"/>
      <c r="JF6" s="234"/>
      <c r="JG6" s="234"/>
      <c r="JH6" s="41"/>
      <c r="JI6" s="41"/>
      <c r="JJ6" s="41"/>
      <c r="JK6" s="41"/>
      <c r="JL6" s="41"/>
      <c r="JM6" s="234"/>
      <c r="JN6" s="234"/>
      <c r="JO6" s="41"/>
      <c r="JP6" s="41"/>
      <c r="JQ6" s="41"/>
      <c r="JR6" s="41"/>
      <c r="JS6" s="41"/>
      <c r="JT6" s="234"/>
      <c r="JU6" s="234"/>
      <c r="JV6" s="41"/>
      <c r="JW6" s="41"/>
      <c r="JX6" s="41"/>
      <c r="JY6" s="41"/>
      <c r="JZ6" s="41"/>
      <c r="KA6" s="234"/>
      <c r="KB6" s="234"/>
      <c r="KC6" s="41"/>
      <c r="KD6" s="41"/>
      <c r="KE6" s="41"/>
      <c r="KF6" s="41"/>
      <c r="KG6" s="41"/>
      <c r="KH6" s="234"/>
      <c r="KI6" s="234"/>
      <c r="KJ6" s="41"/>
      <c r="KK6" s="41"/>
      <c r="KL6" s="41"/>
      <c r="KM6" s="41"/>
      <c r="KN6" s="41"/>
      <c r="KO6" s="234"/>
      <c r="KP6" s="234"/>
      <c r="KQ6" s="41"/>
      <c r="KR6" s="41"/>
      <c r="KS6" s="41"/>
      <c r="KT6" s="41"/>
      <c r="KU6" s="41"/>
      <c r="KV6" s="234"/>
      <c r="KW6" s="234"/>
      <c r="KX6" s="41"/>
      <c r="KY6" s="41"/>
      <c r="KZ6" s="41"/>
      <c r="LA6" s="41"/>
      <c r="LB6" s="41"/>
      <c r="LC6" s="234"/>
      <c r="LD6" s="234"/>
      <c r="LE6" s="41"/>
      <c r="LF6" s="41"/>
      <c r="LG6" s="41"/>
      <c r="LH6" s="41"/>
      <c r="LI6" s="41"/>
      <c r="LJ6" s="234"/>
      <c r="LK6" s="234"/>
      <c r="LL6" s="41"/>
      <c r="LM6" s="41"/>
      <c r="LN6" s="41"/>
      <c r="LO6" s="41"/>
      <c r="LP6" s="41"/>
      <c r="LQ6" s="234"/>
      <c r="LR6" s="234"/>
      <c r="LS6" s="41"/>
      <c r="LT6" s="41"/>
      <c r="LU6" s="41"/>
      <c r="LV6" s="41"/>
      <c r="LW6" s="41"/>
      <c r="LX6" s="234"/>
      <c r="LY6" s="234"/>
      <c r="LZ6" s="41"/>
      <c r="MA6" s="41"/>
      <c r="MB6" s="41"/>
      <c r="MC6" s="41"/>
      <c r="MD6" s="41"/>
      <c r="ME6" s="234"/>
      <c r="MF6" s="234"/>
      <c r="MG6" s="41"/>
      <c r="MH6" s="41"/>
      <c r="MI6" s="41"/>
      <c r="MJ6" s="41"/>
      <c r="MK6" s="41"/>
      <c r="ML6" s="234"/>
      <c r="MM6" s="234"/>
      <c r="MN6" s="41"/>
      <c r="MO6" s="41"/>
      <c r="MP6" s="41"/>
      <c r="MQ6" s="41"/>
      <c r="MR6" s="41"/>
      <c r="MS6" s="234"/>
      <c r="MT6" s="234"/>
      <c r="MU6" s="41"/>
      <c r="MV6" s="41"/>
      <c r="MW6" s="41"/>
      <c r="MX6" s="41"/>
      <c r="MY6" s="41"/>
      <c r="MZ6" s="234"/>
      <c r="NA6" s="234"/>
      <c r="NB6" s="41"/>
      <c r="NC6" s="41"/>
      <c r="ND6" s="41"/>
      <c r="NE6" s="41"/>
      <c r="NF6" s="41"/>
      <c r="NG6" s="234"/>
      <c r="NH6" s="234"/>
      <c r="NI6" s="41"/>
      <c r="NJ6" s="41"/>
      <c r="NK6" s="41"/>
      <c r="NL6" s="41"/>
      <c r="NM6" s="41"/>
      <c r="NN6" s="234"/>
      <c r="NO6" s="234"/>
      <c r="NP6" s="41"/>
      <c r="NQ6" s="41"/>
      <c r="NR6" s="41"/>
      <c r="NS6" s="41"/>
      <c r="NT6" s="41"/>
      <c r="NU6" s="234"/>
    </row>
    <row r="7" spans="2:385" x14ac:dyDescent="0.3">
      <c r="B7" s="8">
        <v>43211</v>
      </c>
      <c r="C7" s="9">
        <v>35</v>
      </c>
      <c r="D7" s="206" t="s">
        <v>12</v>
      </c>
      <c r="E7" s="187" t="s">
        <v>26</v>
      </c>
      <c r="F7" s="146" t="s">
        <v>9</v>
      </c>
      <c r="G7" s="155" t="s">
        <v>1291</v>
      </c>
      <c r="H7" s="156" t="s">
        <v>1292</v>
      </c>
      <c r="I7" s="125"/>
      <c r="J7" s="41"/>
      <c r="K7" s="41"/>
      <c r="L7" s="41"/>
      <c r="M7" s="41"/>
      <c r="N7" s="230"/>
      <c r="O7" s="230"/>
      <c r="P7" s="41"/>
      <c r="Q7" s="41"/>
      <c r="R7" s="41"/>
      <c r="S7" s="41"/>
      <c r="T7" s="41"/>
      <c r="U7" s="230"/>
      <c r="V7" s="230"/>
      <c r="W7" s="41"/>
      <c r="X7" s="41"/>
      <c r="Y7" s="41"/>
      <c r="Z7" s="41"/>
      <c r="AA7" s="41"/>
      <c r="AB7" s="230"/>
      <c r="AC7" s="230"/>
      <c r="AD7" s="125"/>
      <c r="AE7" s="41"/>
      <c r="AF7" s="41"/>
      <c r="AG7" s="41"/>
      <c r="AH7" s="41"/>
      <c r="AI7" s="230"/>
      <c r="AJ7" s="230"/>
      <c r="AK7" s="41"/>
      <c r="AL7" s="41"/>
      <c r="AM7" s="41"/>
      <c r="AN7" s="41"/>
      <c r="AO7" s="41"/>
      <c r="AP7" s="230"/>
      <c r="AQ7" s="230"/>
      <c r="AR7" s="125"/>
      <c r="AS7" s="41"/>
      <c r="AT7" s="41"/>
      <c r="AU7" s="41"/>
      <c r="AV7" s="41"/>
      <c r="AW7" s="230"/>
      <c r="AX7" s="230"/>
      <c r="AY7" s="41"/>
      <c r="AZ7" s="41"/>
      <c r="BA7" s="41"/>
      <c r="BB7" s="41"/>
      <c r="BC7" s="41"/>
      <c r="BD7" s="230"/>
      <c r="BE7" s="230"/>
      <c r="BF7" s="125"/>
      <c r="BG7" s="41"/>
      <c r="BH7" s="41"/>
      <c r="BI7" s="41"/>
      <c r="BJ7" s="41"/>
      <c r="BK7" s="230"/>
      <c r="BL7" s="230"/>
      <c r="BM7" s="41"/>
      <c r="BN7" s="41"/>
      <c r="BO7" s="41"/>
      <c r="BP7" s="41"/>
      <c r="BQ7" s="41"/>
      <c r="BR7" s="234"/>
      <c r="BS7" s="234"/>
      <c r="BT7" s="125"/>
      <c r="BU7" s="41"/>
      <c r="BV7" s="41"/>
      <c r="BW7" s="41"/>
      <c r="BX7" s="41"/>
      <c r="BY7" s="234"/>
      <c r="BZ7" s="234"/>
      <c r="CA7" s="41"/>
      <c r="CB7" s="41"/>
      <c r="CC7" s="41"/>
      <c r="CD7" s="41"/>
      <c r="CE7" s="41"/>
      <c r="CF7" s="230"/>
      <c r="CG7" s="230"/>
      <c r="CH7" s="125"/>
      <c r="CI7" s="41"/>
      <c r="CJ7" s="41"/>
      <c r="CK7" s="41"/>
      <c r="CL7" s="41"/>
      <c r="CM7" s="230"/>
      <c r="CN7" s="230"/>
      <c r="CO7" s="41"/>
      <c r="CP7" s="41"/>
      <c r="CQ7" s="41"/>
      <c r="CR7" s="41"/>
      <c r="CS7" s="41"/>
      <c r="CT7" s="230"/>
      <c r="CU7" s="230"/>
      <c r="CV7" s="125"/>
      <c r="CW7" s="41"/>
      <c r="CX7" s="41"/>
      <c r="CY7" s="41"/>
      <c r="CZ7" s="41"/>
      <c r="DA7" s="230"/>
      <c r="DB7" s="230"/>
      <c r="DC7" s="41"/>
      <c r="DD7" s="41"/>
      <c r="DE7" s="41"/>
      <c r="DF7" s="41"/>
      <c r="DG7" s="41"/>
      <c r="DH7" s="230"/>
      <c r="DI7" s="230"/>
      <c r="DJ7" s="125"/>
      <c r="DK7" s="41"/>
      <c r="DL7" s="41"/>
      <c r="DM7" s="41"/>
      <c r="DN7" s="41"/>
      <c r="DO7" s="230"/>
      <c r="DP7" s="230"/>
      <c r="DQ7" s="125"/>
      <c r="DR7" s="41"/>
      <c r="DS7" s="41"/>
      <c r="DT7" s="41"/>
      <c r="DU7" s="41"/>
      <c r="DV7" s="230"/>
      <c r="DW7" s="234"/>
      <c r="DX7" s="41"/>
      <c r="DY7" s="41"/>
      <c r="DZ7" s="41"/>
      <c r="EA7" s="41"/>
      <c r="EB7" s="41"/>
      <c r="EC7" s="230"/>
      <c r="ED7" s="230"/>
      <c r="EE7" s="125"/>
      <c r="EF7" s="41"/>
      <c r="EG7" s="41"/>
      <c r="EH7" s="41"/>
      <c r="EI7" s="41"/>
      <c r="EJ7" s="230"/>
      <c r="EK7" s="230"/>
      <c r="EL7" s="125"/>
      <c r="EM7" s="41"/>
      <c r="EN7" s="41"/>
      <c r="EO7" s="41"/>
      <c r="EP7" s="41"/>
      <c r="EQ7" s="230"/>
      <c r="ER7" s="230"/>
      <c r="ES7" s="41"/>
      <c r="ET7" s="41"/>
      <c r="EU7" s="41"/>
      <c r="EV7" s="41"/>
      <c r="EW7" s="41"/>
      <c r="EX7" s="230"/>
      <c r="EY7" s="230"/>
      <c r="EZ7" s="125"/>
      <c r="FA7" s="41"/>
      <c r="FB7" s="41"/>
      <c r="FC7" s="41"/>
      <c r="FD7" s="41"/>
      <c r="FE7" s="230"/>
      <c r="FF7" s="230"/>
      <c r="FG7" s="125"/>
      <c r="FH7" s="41"/>
      <c r="FI7" s="41"/>
      <c r="FJ7" s="41"/>
      <c r="FK7" s="41"/>
      <c r="FL7" s="230"/>
      <c r="FM7" s="230"/>
      <c r="FN7" s="41"/>
      <c r="FO7" s="41"/>
      <c r="FP7" s="41"/>
      <c r="FQ7" s="41"/>
      <c r="FR7" s="41"/>
      <c r="FS7" s="230"/>
      <c r="FT7" s="230"/>
      <c r="FU7" s="125"/>
      <c r="FV7" s="41"/>
      <c r="FW7" s="41"/>
      <c r="FX7" s="41"/>
      <c r="FY7" s="41"/>
      <c r="FZ7" s="230"/>
      <c r="GA7" s="230"/>
      <c r="GB7" s="125"/>
      <c r="GC7" s="41"/>
      <c r="GD7" s="41"/>
      <c r="GE7" s="41"/>
      <c r="GF7" s="41"/>
      <c r="GG7" s="230"/>
      <c r="GH7" s="230"/>
      <c r="GI7" s="41"/>
      <c r="GJ7" s="41"/>
      <c r="GK7" s="41"/>
      <c r="GL7" s="41"/>
      <c r="GM7" s="41"/>
      <c r="GN7" s="230"/>
      <c r="GO7" s="230"/>
      <c r="GP7" s="125"/>
      <c r="GQ7" s="41"/>
      <c r="GR7" s="41"/>
      <c r="GS7" s="41"/>
      <c r="GT7" s="41"/>
      <c r="GU7" s="230"/>
      <c r="GV7" s="230"/>
      <c r="GW7" s="125" t="s">
        <v>460</v>
      </c>
      <c r="GX7" s="41"/>
      <c r="GY7" s="41"/>
      <c r="GZ7" s="41"/>
      <c r="HA7" s="41"/>
      <c r="HB7" s="230"/>
      <c r="HC7" s="230"/>
      <c r="HD7" s="41"/>
      <c r="HE7" s="41"/>
      <c r="HF7" s="41"/>
      <c r="HG7" s="41"/>
      <c r="HH7" s="41"/>
      <c r="HI7" s="234"/>
      <c r="HJ7" s="234"/>
      <c r="HK7" s="41"/>
      <c r="HL7" s="41"/>
      <c r="HM7" s="41"/>
      <c r="HN7" s="41"/>
      <c r="HO7" s="41"/>
      <c r="HP7" s="234"/>
      <c r="HQ7" s="234"/>
      <c r="HR7" s="41"/>
      <c r="HS7" s="41"/>
      <c r="HT7" s="41"/>
      <c r="HU7" s="41"/>
      <c r="HV7" s="41"/>
      <c r="HW7" s="234"/>
      <c r="HX7" s="234"/>
      <c r="HY7" s="41"/>
      <c r="HZ7" s="41"/>
      <c r="IA7" s="41"/>
      <c r="IB7" s="41"/>
      <c r="IC7" s="41"/>
      <c r="ID7" s="234"/>
      <c r="IE7" s="234"/>
      <c r="IF7" s="41"/>
      <c r="IG7" s="41"/>
      <c r="IH7" s="41"/>
      <c r="II7" s="41"/>
      <c r="IJ7" s="41"/>
      <c r="IK7" s="234"/>
      <c r="IL7" s="234"/>
      <c r="IM7" s="41"/>
      <c r="IN7" s="41"/>
      <c r="IO7" s="41"/>
      <c r="IP7" s="41"/>
      <c r="IQ7" s="41"/>
      <c r="IR7" s="234"/>
      <c r="IS7" s="234"/>
      <c r="IT7" s="41"/>
      <c r="IU7" s="41"/>
      <c r="IV7" s="41"/>
      <c r="IW7" s="41"/>
      <c r="IX7" s="41"/>
      <c r="IY7" s="234"/>
      <c r="IZ7" s="234"/>
      <c r="JA7" s="41"/>
      <c r="JB7" s="41"/>
      <c r="JC7" s="41"/>
      <c r="JD7" s="41"/>
      <c r="JE7" s="41"/>
      <c r="JF7" s="234"/>
      <c r="JG7" s="234"/>
      <c r="JH7" s="41"/>
      <c r="JI7" s="41"/>
      <c r="JJ7" s="41"/>
      <c r="JK7" s="41"/>
      <c r="JL7" s="41"/>
      <c r="JM7" s="234"/>
      <c r="JN7" s="234"/>
      <c r="JO7" s="41"/>
      <c r="JP7" s="41"/>
      <c r="JQ7" s="41"/>
      <c r="JR7" s="41"/>
      <c r="JS7" s="41"/>
      <c r="JT7" s="234"/>
      <c r="JU7" s="234"/>
      <c r="JV7" s="41"/>
      <c r="JW7" s="41"/>
      <c r="JX7" s="41"/>
      <c r="JY7" s="41"/>
      <c r="JZ7" s="41"/>
      <c r="KA7" s="234"/>
      <c r="KB7" s="234"/>
      <c r="KC7" s="41"/>
      <c r="KD7" s="41"/>
      <c r="KE7" s="41"/>
      <c r="KF7" s="41"/>
      <c r="KG7" s="41"/>
      <c r="KH7" s="234"/>
      <c r="KI7" s="234"/>
      <c r="KJ7" s="41"/>
      <c r="KK7" s="41"/>
      <c r="KL7" s="41"/>
      <c r="KM7" s="41"/>
      <c r="KN7" s="41"/>
      <c r="KO7" s="234"/>
      <c r="KP7" s="234"/>
      <c r="KQ7" s="41"/>
      <c r="KR7" s="41"/>
      <c r="KS7" s="41"/>
      <c r="KT7" s="41"/>
      <c r="KU7" s="41"/>
      <c r="KV7" s="234"/>
      <c r="KW7" s="234"/>
      <c r="KX7" s="41"/>
      <c r="KY7" s="41"/>
      <c r="KZ7" s="41"/>
      <c r="LA7" s="41"/>
      <c r="LB7" s="41"/>
      <c r="LC7" s="234"/>
      <c r="LD7" s="234"/>
      <c r="LE7" s="41"/>
      <c r="LF7" s="41"/>
      <c r="LG7" s="41"/>
      <c r="LH7" s="41"/>
      <c r="LI7" s="41"/>
      <c r="LJ7" s="234"/>
      <c r="LK7" s="234"/>
      <c r="LL7" s="41"/>
      <c r="LM7" s="41"/>
      <c r="LN7" s="41"/>
      <c r="LO7" s="41"/>
      <c r="LP7" s="41"/>
      <c r="LQ7" s="234"/>
      <c r="LR7" s="234"/>
      <c r="LS7" s="41"/>
      <c r="LT7" s="41"/>
      <c r="LU7" s="41"/>
      <c r="LV7" s="41"/>
      <c r="LW7" s="41"/>
      <c r="LX7" s="234"/>
      <c r="LY7" s="234"/>
      <c r="LZ7" s="41"/>
      <c r="MA7" s="41"/>
      <c r="MB7" s="41"/>
      <c r="MC7" s="41"/>
      <c r="MD7" s="41"/>
      <c r="ME7" s="234"/>
      <c r="MF7" s="234"/>
      <c r="MG7" s="41"/>
      <c r="MH7" s="41"/>
      <c r="MI7" s="41"/>
      <c r="MJ7" s="41"/>
      <c r="MK7" s="41"/>
      <c r="ML7" s="234"/>
      <c r="MM7" s="234"/>
      <c r="MN7" s="41"/>
      <c r="MO7" s="41"/>
      <c r="MP7" s="41"/>
      <c r="MQ7" s="41"/>
      <c r="MR7" s="41"/>
      <c r="MS7" s="234"/>
      <c r="MT7" s="234"/>
      <c r="MU7" s="41"/>
      <c r="MV7" s="41"/>
      <c r="MW7" s="41"/>
      <c r="MX7" s="41"/>
      <c r="MY7" s="41"/>
      <c r="MZ7" s="234"/>
      <c r="NA7" s="234"/>
      <c r="NB7" s="41"/>
      <c r="NC7" s="41"/>
      <c r="ND7" s="41"/>
      <c r="NE7" s="41"/>
      <c r="NF7" s="41"/>
      <c r="NG7" s="234"/>
      <c r="NH7" s="234"/>
      <c r="NI7" s="41"/>
      <c r="NJ7" s="41"/>
      <c r="NK7" s="41"/>
      <c r="NL7" s="41"/>
      <c r="NM7" s="41"/>
      <c r="NN7" s="234"/>
      <c r="NO7" s="234"/>
      <c r="NP7" s="41"/>
      <c r="NQ7" s="41"/>
      <c r="NR7" s="41"/>
      <c r="NS7" s="41"/>
      <c r="NT7" s="41"/>
      <c r="NU7" s="234"/>
    </row>
    <row r="8" spans="2:385" ht="15" thickBot="1" x14ac:dyDescent="0.35">
      <c r="B8" s="38">
        <v>16882</v>
      </c>
      <c r="C8" s="9">
        <v>35</v>
      </c>
      <c r="D8" s="206" t="s">
        <v>12</v>
      </c>
      <c r="E8" s="187" t="s">
        <v>26</v>
      </c>
      <c r="F8" s="146" t="s">
        <v>9</v>
      </c>
      <c r="G8" s="155" t="s">
        <v>1298</v>
      </c>
      <c r="H8" s="156" t="s">
        <v>1297</v>
      </c>
      <c r="I8" s="125"/>
      <c r="J8" s="41"/>
      <c r="K8" s="41"/>
      <c r="L8" s="41"/>
      <c r="M8" s="41"/>
      <c r="N8" s="230"/>
      <c r="O8" s="230"/>
      <c r="P8" s="41"/>
      <c r="Q8" s="41"/>
      <c r="R8" s="41"/>
      <c r="S8" s="41"/>
      <c r="T8" s="41"/>
      <c r="U8" s="230"/>
      <c r="V8" s="230"/>
      <c r="W8" s="41"/>
      <c r="X8" s="41"/>
      <c r="Y8" s="41"/>
      <c r="Z8" s="41"/>
      <c r="AA8" s="41"/>
      <c r="AB8" s="230"/>
      <c r="AC8" s="230"/>
      <c r="AD8" s="125"/>
      <c r="AE8" s="41"/>
      <c r="AF8" s="41"/>
      <c r="AG8" s="41"/>
      <c r="AH8" s="41"/>
      <c r="AI8" s="230"/>
      <c r="AJ8" s="230"/>
      <c r="AK8" s="41"/>
      <c r="AL8" s="41"/>
      <c r="AM8" s="41"/>
      <c r="AN8" s="41"/>
      <c r="AO8" s="41"/>
      <c r="AP8" s="230"/>
      <c r="AQ8" s="230"/>
      <c r="AR8" s="125"/>
      <c r="AS8" s="41"/>
      <c r="AT8" s="41"/>
      <c r="AU8" s="41"/>
      <c r="AV8" s="41"/>
      <c r="AW8" s="230"/>
      <c r="AX8" s="230"/>
      <c r="AY8" s="41"/>
      <c r="AZ8" s="41"/>
      <c r="BA8" s="41"/>
      <c r="BB8" s="41"/>
      <c r="BC8" s="41"/>
      <c r="BD8" s="230"/>
      <c r="BE8" s="230"/>
      <c r="BF8" s="125"/>
      <c r="BG8" s="41"/>
      <c r="BH8" s="41"/>
      <c r="BI8" s="41"/>
      <c r="BJ8" s="41"/>
      <c r="BK8" s="230"/>
      <c r="BL8" s="230"/>
      <c r="BM8" s="41"/>
      <c r="BN8" s="41"/>
      <c r="BO8" s="41"/>
      <c r="BP8" s="41"/>
      <c r="BQ8" s="41"/>
      <c r="BR8" s="234"/>
      <c r="BS8" s="234"/>
      <c r="BT8" s="125"/>
      <c r="BU8" s="41"/>
      <c r="BV8" s="41"/>
      <c r="BW8" s="41"/>
      <c r="BX8" s="41"/>
      <c r="BY8" s="230"/>
      <c r="BZ8" s="230"/>
      <c r="CA8" s="41"/>
      <c r="CB8" s="41"/>
      <c r="CC8" s="41"/>
      <c r="CD8" s="41"/>
      <c r="CE8" s="41"/>
      <c r="CF8" s="230"/>
      <c r="CG8" s="230"/>
      <c r="CH8" s="125"/>
      <c r="CI8" s="41"/>
      <c r="CJ8" s="41"/>
      <c r="CK8" s="41"/>
      <c r="CL8" s="41"/>
      <c r="CM8" s="230"/>
      <c r="CN8" s="230"/>
      <c r="CO8" s="41"/>
      <c r="CP8" s="41"/>
      <c r="CQ8" s="41"/>
      <c r="CR8" s="41"/>
      <c r="CS8" s="41"/>
      <c r="CT8" s="230"/>
      <c r="CU8" s="230"/>
      <c r="CV8" s="125"/>
      <c r="CW8" s="41"/>
      <c r="CX8" s="41"/>
      <c r="CY8" s="41"/>
      <c r="CZ8" s="41"/>
      <c r="DA8" s="230"/>
      <c r="DB8" s="230"/>
      <c r="DC8" s="41"/>
      <c r="DD8" s="41"/>
      <c r="DE8" s="41"/>
      <c r="DF8" s="41"/>
      <c r="DG8" s="41"/>
      <c r="DH8" s="230"/>
      <c r="DI8" s="230"/>
      <c r="DJ8" s="125"/>
      <c r="DK8" s="41"/>
      <c r="DL8" s="41"/>
      <c r="DM8" s="41"/>
      <c r="DN8" s="41"/>
      <c r="DO8" s="230"/>
      <c r="DP8" s="230"/>
      <c r="DQ8" s="125"/>
      <c r="DR8" s="41"/>
      <c r="DS8" s="41"/>
      <c r="DT8" s="41"/>
      <c r="DU8" s="41"/>
      <c r="DV8" s="230"/>
      <c r="DW8" s="234"/>
      <c r="DX8" s="41"/>
      <c r="DY8" s="41"/>
      <c r="DZ8" s="41"/>
      <c r="EA8" s="41"/>
      <c r="EB8" s="41"/>
      <c r="EC8" s="230"/>
      <c r="ED8" s="230"/>
      <c r="EE8" s="125"/>
      <c r="EF8" s="41"/>
      <c r="EG8" s="41"/>
      <c r="EH8" s="41"/>
      <c r="EI8" s="41"/>
      <c r="EJ8" s="230"/>
      <c r="EK8" s="230"/>
      <c r="EL8" s="125"/>
      <c r="EM8" s="41"/>
      <c r="EN8" s="41"/>
      <c r="EO8" s="41"/>
      <c r="EP8" s="41"/>
      <c r="EQ8" s="230"/>
      <c r="ER8" s="230"/>
      <c r="ES8" s="41"/>
      <c r="ET8" s="41"/>
      <c r="EU8" s="41"/>
      <c r="EV8" s="41"/>
      <c r="EW8" s="41"/>
      <c r="EX8" s="230"/>
      <c r="EY8" s="230"/>
      <c r="EZ8" s="125"/>
      <c r="FA8" s="41"/>
      <c r="FB8" s="41"/>
      <c r="FC8" s="41"/>
      <c r="FD8" s="41"/>
      <c r="FE8" s="230"/>
      <c r="FF8" s="230"/>
      <c r="FG8" s="125"/>
      <c r="FH8" s="41"/>
      <c r="FI8" s="41"/>
      <c r="FJ8" s="41"/>
      <c r="FK8" s="41"/>
      <c r="FL8" s="230"/>
      <c r="FM8" s="230"/>
      <c r="FN8" s="41"/>
      <c r="FO8" s="41"/>
      <c r="FP8" s="41"/>
      <c r="FQ8" s="41"/>
      <c r="FR8" s="41"/>
      <c r="FS8" s="230"/>
      <c r="FT8" s="230"/>
      <c r="FU8" s="125"/>
      <c r="FV8" s="41"/>
      <c r="FW8" s="41"/>
      <c r="FX8" s="41"/>
      <c r="FY8" s="41"/>
      <c r="FZ8" s="230"/>
      <c r="GA8" s="230"/>
      <c r="GB8" s="125"/>
      <c r="GC8" s="41"/>
      <c r="GD8" s="41"/>
      <c r="GE8" s="41"/>
      <c r="GF8" s="41"/>
      <c r="GG8" s="230"/>
      <c r="GH8" s="230"/>
      <c r="GI8" s="41"/>
      <c r="GJ8" s="41"/>
      <c r="GK8" s="41"/>
      <c r="GL8" s="41"/>
      <c r="GM8" s="41"/>
      <c r="GN8" s="230"/>
      <c r="GO8" s="230"/>
      <c r="GP8" s="125"/>
      <c r="GQ8" s="41"/>
      <c r="GR8" s="41"/>
      <c r="GS8" s="41"/>
      <c r="GT8" s="41"/>
      <c r="GU8" s="230"/>
      <c r="GV8" s="230"/>
      <c r="GW8" s="41" t="s">
        <v>460</v>
      </c>
      <c r="GX8" s="41"/>
      <c r="GY8" s="41"/>
      <c r="GZ8" s="41"/>
      <c r="HA8" s="41"/>
      <c r="HB8" s="230"/>
      <c r="HC8" s="230"/>
      <c r="HD8" s="41"/>
      <c r="HE8" s="41"/>
      <c r="HF8" s="41"/>
      <c r="HG8" s="41"/>
      <c r="HH8" s="41"/>
      <c r="HI8" s="234"/>
      <c r="HJ8" s="234"/>
      <c r="HK8" s="41"/>
      <c r="HL8" s="41"/>
      <c r="HM8" s="41"/>
      <c r="HN8" s="41"/>
      <c r="HO8" s="41"/>
      <c r="HP8" s="234"/>
      <c r="HQ8" s="234"/>
      <c r="HR8" s="41"/>
      <c r="HS8" s="41"/>
      <c r="HT8" s="41"/>
      <c r="HU8" s="41"/>
      <c r="HV8" s="41"/>
      <c r="HW8" s="234"/>
      <c r="HX8" s="234"/>
      <c r="HY8" s="41"/>
      <c r="HZ8" s="41"/>
      <c r="IA8" s="41"/>
      <c r="IB8" s="41"/>
      <c r="IC8" s="41"/>
      <c r="ID8" s="234"/>
      <c r="IE8" s="234"/>
      <c r="IF8" s="41"/>
      <c r="IG8" s="41"/>
      <c r="IH8" s="41"/>
      <c r="II8" s="41"/>
      <c r="IJ8" s="41"/>
      <c r="IK8" s="234"/>
      <c r="IL8" s="234"/>
      <c r="IM8" s="41"/>
      <c r="IN8" s="41"/>
      <c r="IO8" s="41"/>
      <c r="IP8" s="41"/>
      <c r="IQ8" s="41"/>
      <c r="IR8" s="234"/>
      <c r="IS8" s="234"/>
      <c r="IT8" s="41"/>
      <c r="IU8" s="41"/>
      <c r="IV8" s="41"/>
      <c r="IW8" s="41"/>
      <c r="IX8" s="41"/>
      <c r="IY8" s="234"/>
      <c r="IZ8" s="234"/>
      <c r="JA8" s="41"/>
      <c r="JB8" s="41"/>
      <c r="JC8" s="41"/>
      <c r="JD8" s="41"/>
      <c r="JE8" s="41"/>
      <c r="JF8" s="234"/>
      <c r="JG8" s="234"/>
      <c r="JH8" s="41"/>
      <c r="JI8" s="41"/>
      <c r="JJ8" s="41"/>
      <c r="JK8" s="41"/>
      <c r="JL8" s="41"/>
      <c r="JM8" s="234"/>
      <c r="JN8" s="234"/>
      <c r="JO8" s="41"/>
      <c r="JP8" s="41"/>
      <c r="JQ8" s="41"/>
      <c r="JR8" s="41"/>
      <c r="JS8" s="41"/>
      <c r="JT8" s="234"/>
      <c r="JU8" s="234"/>
      <c r="JV8" s="41"/>
      <c r="JW8" s="41"/>
      <c r="JX8" s="41"/>
      <c r="JY8" s="41"/>
      <c r="JZ8" s="41"/>
      <c r="KA8" s="234"/>
      <c r="KB8" s="234"/>
      <c r="KC8" s="41"/>
      <c r="KD8" s="41"/>
      <c r="KE8" s="41"/>
      <c r="KF8" s="41"/>
      <c r="KG8" s="41"/>
      <c r="KH8" s="234"/>
      <c r="KI8" s="234"/>
      <c r="KJ8" s="41"/>
      <c r="KK8" s="41"/>
      <c r="KL8" s="41"/>
      <c r="KM8" s="41"/>
      <c r="KN8" s="41"/>
      <c r="KO8" s="234"/>
      <c r="KP8" s="234"/>
      <c r="KQ8" s="41"/>
      <c r="KR8" s="41"/>
      <c r="KS8" s="41"/>
      <c r="KT8" s="41"/>
      <c r="KU8" s="41"/>
      <c r="KV8" s="234"/>
      <c r="KW8" s="234"/>
      <c r="KX8" s="41"/>
      <c r="KY8" s="41"/>
      <c r="KZ8" s="41"/>
      <c r="LA8" s="41"/>
      <c r="LB8" s="41"/>
      <c r="LC8" s="234"/>
      <c r="LD8" s="234"/>
      <c r="LE8" s="41"/>
      <c r="LF8" s="41"/>
      <c r="LG8" s="41"/>
      <c r="LH8" s="41"/>
      <c r="LI8" s="41"/>
      <c r="LJ8" s="234"/>
      <c r="LK8" s="234"/>
      <c r="LL8" s="41"/>
      <c r="LM8" s="41"/>
      <c r="LN8" s="41"/>
      <c r="LO8" s="41"/>
      <c r="LP8" s="41"/>
      <c r="LQ8" s="234"/>
      <c r="LR8" s="234"/>
      <c r="LS8" s="41"/>
      <c r="LT8" s="41"/>
      <c r="LU8" s="41"/>
      <c r="LV8" s="41"/>
      <c r="LW8" s="41"/>
      <c r="LX8" s="234"/>
      <c r="LY8" s="234"/>
      <c r="LZ8" s="41"/>
      <c r="MA8" s="41"/>
      <c r="MB8" s="41"/>
      <c r="MC8" s="41"/>
      <c r="MD8" s="41"/>
      <c r="ME8" s="234"/>
      <c r="MF8" s="234"/>
      <c r="MG8" s="41"/>
      <c r="MH8" s="41"/>
      <c r="MI8" s="41"/>
      <c r="MJ8" s="41"/>
      <c r="MK8" s="41"/>
      <c r="ML8" s="234"/>
      <c r="MM8" s="234"/>
      <c r="MN8" s="41"/>
      <c r="MO8" s="41"/>
      <c r="MP8" s="41"/>
      <c r="MQ8" s="41"/>
      <c r="MR8" s="41"/>
      <c r="MS8" s="234"/>
      <c r="MT8" s="234"/>
      <c r="MU8" s="41"/>
      <c r="MV8" s="41"/>
      <c r="MW8" s="41"/>
      <c r="MX8" s="41"/>
      <c r="MY8" s="41"/>
      <c r="MZ8" s="234"/>
      <c r="NA8" s="234"/>
      <c r="NB8" s="41"/>
      <c r="NC8" s="41"/>
      <c r="ND8" s="41"/>
      <c r="NE8" s="41"/>
      <c r="NF8" s="41"/>
      <c r="NG8" s="234"/>
      <c r="NH8" s="234"/>
      <c r="NI8" s="41"/>
      <c r="NJ8" s="41"/>
      <c r="NK8" s="41"/>
      <c r="NL8" s="41"/>
      <c r="NM8" s="41"/>
      <c r="NN8" s="234"/>
      <c r="NO8" s="234"/>
      <c r="NP8" s="41"/>
      <c r="NQ8" s="41"/>
      <c r="NR8" s="41"/>
      <c r="NS8" s="41"/>
      <c r="NT8" s="41"/>
      <c r="NU8" s="234"/>
    </row>
    <row r="9" spans="2:385" ht="15" thickBot="1" x14ac:dyDescent="0.35">
      <c r="B9" s="8">
        <v>48567</v>
      </c>
      <c r="C9" s="9">
        <v>35</v>
      </c>
      <c r="D9" s="207" t="s">
        <v>12</v>
      </c>
      <c r="E9" s="378" t="s">
        <v>8</v>
      </c>
      <c r="F9" s="165" t="s">
        <v>9</v>
      </c>
      <c r="G9" s="155" t="s">
        <v>13</v>
      </c>
      <c r="H9" s="156" t="s">
        <v>14</v>
      </c>
      <c r="I9" s="239"/>
      <c r="J9" s="41"/>
      <c r="K9" s="41"/>
      <c r="L9" s="41"/>
      <c r="M9" s="41"/>
      <c r="N9" s="230"/>
      <c r="O9" s="230"/>
      <c r="P9" s="41"/>
      <c r="Q9" s="41"/>
      <c r="R9" s="41"/>
      <c r="S9" s="41"/>
      <c r="T9" s="41"/>
      <c r="U9" s="230"/>
      <c r="V9" s="230"/>
      <c r="W9" s="41"/>
      <c r="X9" s="41"/>
      <c r="Y9" s="41"/>
      <c r="Z9" s="41"/>
      <c r="AA9" s="41"/>
      <c r="AB9" s="230"/>
      <c r="AC9" s="230"/>
      <c r="AD9" s="125"/>
      <c r="AE9" s="41"/>
      <c r="AF9" s="41"/>
      <c r="AG9" s="41"/>
      <c r="AH9" s="41"/>
      <c r="AI9" s="230"/>
      <c r="AJ9" s="230"/>
      <c r="AK9" s="41"/>
      <c r="AL9" s="41"/>
      <c r="AM9" s="41"/>
      <c r="AN9" s="41"/>
      <c r="AO9" s="41"/>
      <c r="AP9" s="230"/>
      <c r="AQ9" s="230"/>
      <c r="AR9" s="125"/>
      <c r="AS9" s="41"/>
      <c r="AT9" s="41"/>
      <c r="AU9" s="41"/>
      <c r="AV9" s="41"/>
      <c r="AW9" s="230"/>
      <c r="AX9" s="230"/>
      <c r="AY9" s="41"/>
      <c r="AZ9" s="41"/>
      <c r="BA9" s="41"/>
      <c r="BB9" s="41"/>
      <c r="BC9" s="41"/>
      <c r="BD9" s="230"/>
      <c r="BE9" s="230"/>
      <c r="BF9" s="125" t="s">
        <v>460</v>
      </c>
      <c r="BG9" s="125" t="s">
        <v>460</v>
      </c>
      <c r="BH9" s="125" t="s">
        <v>460</v>
      </c>
      <c r="BI9" s="125" t="s">
        <v>460</v>
      </c>
      <c r="BJ9" s="125" t="s">
        <v>460</v>
      </c>
      <c r="BK9" s="230"/>
      <c r="BL9" s="230"/>
      <c r="BM9" s="41"/>
      <c r="BN9" s="41"/>
      <c r="BO9" s="41"/>
      <c r="BP9" s="41"/>
      <c r="BQ9" s="41"/>
      <c r="BR9" s="230"/>
      <c r="BS9" s="230"/>
      <c r="BT9" s="125"/>
      <c r="BU9" s="41"/>
      <c r="BV9" s="41"/>
      <c r="BW9" s="41"/>
      <c r="BX9" s="41"/>
      <c r="BY9" s="230"/>
      <c r="BZ9" s="230"/>
      <c r="CA9" s="41"/>
      <c r="CB9" s="41"/>
      <c r="CC9" s="41"/>
      <c r="CD9" s="41"/>
      <c r="CE9" s="41"/>
      <c r="CF9" s="230"/>
      <c r="CG9" s="230"/>
      <c r="CH9" s="125"/>
      <c r="CI9" s="41"/>
      <c r="CJ9" s="41"/>
      <c r="CK9" s="41"/>
      <c r="CL9" s="41"/>
      <c r="CM9" s="230"/>
      <c r="CN9" s="230"/>
      <c r="CO9" s="41"/>
      <c r="CP9" s="41"/>
      <c r="CQ9" s="41"/>
      <c r="CR9" s="41"/>
      <c r="CS9" s="41"/>
      <c r="CT9" s="230"/>
      <c r="CU9" s="230"/>
      <c r="CV9" s="125"/>
      <c r="CW9" s="41"/>
      <c r="CX9" s="41"/>
      <c r="CY9" s="41"/>
      <c r="CZ9" s="41"/>
      <c r="DA9" s="230"/>
      <c r="DB9" s="230"/>
      <c r="DC9" s="41"/>
      <c r="DD9" s="41"/>
      <c r="DE9" s="41"/>
      <c r="DF9" s="41"/>
      <c r="DG9" s="41"/>
      <c r="DH9" s="230"/>
      <c r="DI9" s="230"/>
      <c r="DJ9" s="125" t="s">
        <v>460</v>
      </c>
      <c r="DK9" s="41" t="s">
        <v>460</v>
      </c>
      <c r="DL9" s="41" t="s">
        <v>460</v>
      </c>
      <c r="DM9" s="41" t="s">
        <v>460</v>
      </c>
      <c r="DN9" s="41" t="s">
        <v>460</v>
      </c>
      <c r="DO9" s="230"/>
      <c r="DP9" s="230"/>
      <c r="DQ9" s="136" t="s">
        <v>460</v>
      </c>
      <c r="DR9" s="41"/>
      <c r="DS9" s="41"/>
      <c r="DT9" s="41"/>
      <c r="DU9" s="41"/>
      <c r="DV9" s="230"/>
      <c r="DW9" s="230"/>
      <c r="DX9" s="41"/>
      <c r="DY9" s="41"/>
      <c r="DZ9" s="41"/>
      <c r="EA9" s="139" t="s">
        <v>460</v>
      </c>
      <c r="EB9" s="41"/>
      <c r="EC9" s="230"/>
      <c r="ED9" s="230"/>
      <c r="EE9" s="125"/>
      <c r="EF9" s="125"/>
      <c r="EG9" s="125"/>
      <c r="EH9" s="125"/>
      <c r="EI9" s="125"/>
      <c r="EJ9" s="230"/>
      <c r="EK9" s="230"/>
      <c r="EL9" s="125"/>
      <c r="EM9" s="41"/>
      <c r="EN9" s="41"/>
      <c r="EO9" s="41"/>
      <c r="EP9" s="41"/>
      <c r="EQ9" s="230"/>
      <c r="ER9" s="230"/>
      <c r="ES9" s="41"/>
      <c r="ET9" s="41"/>
      <c r="EU9" s="41"/>
      <c r="EV9" s="41"/>
      <c r="EW9" s="41"/>
      <c r="EX9" s="230"/>
      <c r="EY9" s="230"/>
      <c r="EZ9" s="125"/>
      <c r="FA9" s="125"/>
      <c r="FB9" s="125"/>
      <c r="FC9" s="125"/>
      <c r="FD9" s="125"/>
      <c r="FE9" s="230"/>
      <c r="FF9" s="230"/>
      <c r="FG9" s="136"/>
      <c r="FH9" s="41"/>
      <c r="FI9" s="41"/>
      <c r="FJ9" s="41"/>
      <c r="FK9" s="41"/>
      <c r="FL9" s="230"/>
      <c r="FM9" s="230"/>
      <c r="FN9" s="139" t="s">
        <v>460</v>
      </c>
      <c r="FO9" s="41"/>
      <c r="FP9" s="41"/>
      <c r="FQ9" s="41"/>
      <c r="FR9" s="41"/>
      <c r="FS9" s="230"/>
      <c r="FT9" s="230"/>
      <c r="FU9" s="125"/>
      <c r="FV9" s="41"/>
      <c r="FW9" s="41"/>
      <c r="FX9" s="41"/>
      <c r="FY9" s="41"/>
      <c r="FZ9" s="230"/>
      <c r="GA9" s="230"/>
      <c r="GB9" s="125"/>
      <c r="GC9" s="125"/>
      <c r="GD9" s="125"/>
      <c r="GE9" s="125"/>
      <c r="GF9" s="125"/>
      <c r="GG9" s="230"/>
      <c r="GH9" s="230"/>
      <c r="GI9" s="41"/>
      <c r="GJ9" s="41"/>
      <c r="GK9" s="41"/>
      <c r="GL9" s="41"/>
      <c r="GM9" s="41"/>
      <c r="GN9" s="230"/>
      <c r="GO9" s="230"/>
      <c r="GP9" s="125"/>
      <c r="GQ9" s="125"/>
      <c r="GR9" s="125"/>
      <c r="GS9" s="125"/>
      <c r="GT9" s="125"/>
      <c r="GU9" s="230"/>
      <c r="GV9" s="230"/>
      <c r="GW9" s="41" t="s">
        <v>460</v>
      </c>
      <c r="GX9" s="41"/>
      <c r="GY9" s="41"/>
      <c r="GZ9" s="41"/>
      <c r="HA9" s="41"/>
      <c r="HB9" s="230"/>
      <c r="HC9" s="230"/>
      <c r="HD9" s="41"/>
      <c r="HE9" s="41"/>
      <c r="HF9" s="41"/>
      <c r="HG9" s="41"/>
      <c r="HH9" s="41"/>
      <c r="HI9" s="234"/>
      <c r="HJ9" s="234"/>
      <c r="HK9" s="41" t="s">
        <v>460</v>
      </c>
      <c r="HL9" s="41" t="s">
        <v>460</v>
      </c>
      <c r="HM9" s="41" t="s">
        <v>460</v>
      </c>
      <c r="HN9" s="41" t="s">
        <v>460</v>
      </c>
      <c r="HO9" s="41" t="s">
        <v>460</v>
      </c>
      <c r="HP9" s="234"/>
      <c r="HQ9" s="234"/>
      <c r="HR9" s="41" t="s">
        <v>460</v>
      </c>
      <c r="HS9" s="41" t="s">
        <v>460</v>
      </c>
      <c r="HT9" s="41" t="s">
        <v>460</v>
      </c>
      <c r="HU9" s="41" t="s">
        <v>460</v>
      </c>
      <c r="HV9" s="41" t="s">
        <v>460</v>
      </c>
      <c r="HW9" s="234"/>
      <c r="HX9" s="234"/>
      <c r="HY9" s="41" t="s">
        <v>460</v>
      </c>
      <c r="HZ9" s="41" t="s">
        <v>460</v>
      </c>
      <c r="IA9" s="41" t="s">
        <v>460</v>
      </c>
      <c r="IB9" s="41" t="s">
        <v>460</v>
      </c>
      <c r="IC9" s="41" t="s">
        <v>460</v>
      </c>
      <c r="ID9" s="234"/>
      <c r="IE9" s="234"/>
      <c r="IF9" s="41"/>
      <c r="IG9" s="41"/>
      <c r="IH9" s="41"/>
      <c r="II9" s="41"/>
      <c r="IJ9" s="41"/>
      <c r="IK9" s="234"/>
      <c r="IL9" s="234"/>
      <c r="IM9" s="41"/>
      <c r="IN9" s="41"/>
      <c r="IO9" s="41"/>
      <c r="IP9" s="41"/>
      <c r="IQ9" s="41"/>
      <c r="IR9" s="234"/>
      <c r="IS9" s="234"/>
      <c r="IT9" s="41"/>
      <c r="IU9" s="41"/>
      <c r="IV9" s="41"/>
      <c r="IW9" s="41"/>
      <c r="IX9" s="41"/>
      <c r="IY9" s="234"/>
      <c r="IZ9" s="234"/>
      <c r="JA9" s="41"/>
      <c r="JB9" s="41"/>
      <c r="JC9" s="41"/>
      <c r="JD9" s="41"/>
      <c r="JE9" s="41"/>
      <c r="JF9" s="234"/>
      <c r="JG9" s="234"/>
      <c r="JH9" s="41"/>
      <c r="JI9" s="41"/>
      <c r="JJ9" s="41"/>
      <c r="JK9" s="41"/>
      <c r="JL9" s="41"/>
      <c r="JM9" s="234"/>
      <c r="JN9" s="234"/>
      <c r="JO9" s="41"/>
      <c r="JP9" s="41"/>
      <c r="JQ9" s="41"/>
      <c r="JR9" s="41"/>
      <c r="JS9" s="41"/>
      <c r="JT9" s="234"/>
      <c r="JU9" s="234"/>
      <c r="JV9" s="41"/>
      <c r="JW9" s="41"/>
      <c r="JX9" s="41"/>
      <c r="JY9" s="41"/>
      <c r="JZ9" s="41"/>
      <c r="KA9" s="234"/>
      <c r="KB9" s="234"/>
      <c r="KC9" s="41"/>
      <c r="KD9" s="41"/>
      <c r="KE9" s="41"/>
      <c r="KF9" s="41"/>
      <c r="KG9" s="41"/>
      <c r="KH9" s="234"/>
      <c r="KI9" s="234"/>
      <c r="KJ9" s="41"/>
      <c r="KK9" s="41"/>
      <c r="KL9" s="41"/>
      <c r="KM9" s="41"/>
      <c r="KN9" s="41"/>
      <c r="KO9" s="234"/>
      <c r="KP9" s="234"/>
      <c r="KQ9" s="41"/>
      <c r="KR9" s="41"/>
      <c r="KS9" s="41"/>
      <c r="KT9" s="41"/>
      <c r="KU9" s="41"/>
      <c r="KV9" s="234"/>
      <c r="KW9" s="234"/>
      <c r="KX9" s="41"/>
      <c r="KY9" s="41"/>
      <c r="KZ9" s="41"/>
      <c r="LA9" s="41"/>
      <c r="LB9" s="41"/>
      <c r="LC9" s="234"/>
      <c r="LD9" s="234"/>
      <c r="LE9" s="41"/>
      <c r="LF9" s="41"/>
      <c r="LG9" s="41"/>
      <c r="LH9" s="41"/>
      <c r="LI9" s="41"/>
      <c r="LJ9" s="234"/>
      <c r="LK9" s="234"/>
      <c r="LL9" s="41"/>
      <c r="LM9" s="41"/>
      <c r="LN9" s="41"/>
      <c r="LO9" s="41"/>
      <c r="LP9" s="41"/>
      <c r="LQ9" s="234"/>
      <c r="LR9" s="234"/>
      <c r="LS9" s="41"/>
      <c r="LT9" s="41"/>
      <c r="LU9" s="41"/>
      <c r="LV9" s="41"/>
      <c r="LW9" s="41"/>
      <c r="LX9" s="234"/>
      <c r="LY9" s="234"/>
      <c r="LZ9" s="41"/>
      <c r="MA9" s="41"/>
      <c r="MB9" s="41"/>
      <c r="MC9" s="41"/>
      <c r="MD9" s="41"/>
      <c r="ME9" s="234"/>
      <c r="MF9" s="234"/>
      <c r="MG9" s="41"/>
      <c r="MH9" s="41"/>
      <c r="MI9" s="41"/>
      <c r="MJ9" s="41"/>
      <c r="MK9" s="41"/>
      <c r="ML9" s="234"/>
      <c r="MM9" s="234"/>
      <c r="MN9" s="41"/>
      <c r="MO9" s="41"/>
      <c r="MP9" s="41"/>
      <c r="MQ9" s="41"/>
      <c r="MR9" s="41"/>
      <c r="MS9" s="234"/>
      <c r="MT9" s="234"/>
      <c r="MU9" s="41"/>
      <c r="MV9" s="41"/>
      <c r="MW9" s="41"/>
      <c r="MX9" s="41"/>
      <c r="MY9" s="41"/>
      <c r="MZ9" s="234"/>
      <c r="NA9" s="234"/>
      <c r="NB9" s="41"/>
      <c r="NC9" s="41"/>
      <c r="ND9" s="41"/>
      <c r="NE9" s="41"/>
      <c r="NF9" s="41"/>
      <c r="NG9" s="234"/>
      <c r="NH9" s="234"/>
      <c r="NI9" s="41"/>
      <c r="NJ9" s="41"/>
      <c r="NK9" s="41"/>
      <c r="NL9" s="41"/>
      <c r="NM9" s="41"/>
      <c r="NN9" s="234"/>
      <c r="NO9" s="234"/>
      <c r="NP9" s="41"/>
      <c r="NQ9" s="41"/>
      <c r="NR9" s="41"/>
      <c r="NS9" s="41"/>
      <c r="NT9" s="41"/>
      <c r="NU9" s="234"/>
    </row>
    <row r="10" spans="2:385" ht="15" thickBot="1" x14ac:dyDescent="0.35">
      <c r="B10" s="8">
        <v>54903</v>
      </c>
      <c r="C10" s="9">
        <v>35</v>
      </c>
      <c r="D10" s="206" t="s">
        <v>12</v>
      </c>
      <c r="E10" s="183" t="s">
        <v>8</v>
      </c>
      <c r="F10" s="146" t="s">
        <v>113</v>
      </c>
      <c r="G10" s="159" t="s">
        <v>27</v>
      </c>
      <c r="H10" s="160" t="s">
        <v>28</v>
      </c>
      <c r="I10" s="239"/>
      <c r="J10" s="41"/>
      <c r="K10" s="41"/>
      <c r="L10" s="41"/>
      <c r="M10" s="41"/>
      <c r="N10" s="238"/>
      <c r="O10" s="230"/>
      <c r="P10" s="41"/>
      <c r="Q10" s="41"/>
      <c r="R10" s="41"/>
      <c r="S10" s="41"/>
      <c r="T10" s="41"/>
      <c r="U10" s="238"/>
      <c r="V10" s="230"/>
      <c r="W10" s="41" t="s">
        <v>458</v>
      </c>
      <c r="X10" s="41" t="s">
        <v>458</v>
      </c>
      <c r="Y10" s="41" t="s">
        <v>458</v>
      </c>
      <c r="Z10" s="41" t="s">
        <v>458</v>
      </c>
      <c r="AA10" s="41" t="s">
        <v>458</v>
      </c>
      <c r="AB10" s="238"/>
      <c r="AC10" s="230"/>
      <c r="AD10" s="125" t="s">
        <v>458</v>
      </c>
      <c r="AE10" s="41" t="s">
        <v>458</v>
      </c>
      <c r="AF10" s="41" t="s">
        <v>458</v>
      </c>
      <c r="AG10" s="41" t="s">
        <v>458</v>
      </c>
      <c r="AH10" s="41" t="s">
        <v>458</v>
      </c>
      <c r="AI10" s="238"/>
      <c r="AJ10" s="230"/>
      <c r="AK10" s="41" t="s">
        <v>458</v>
      </c>
      <c r="AL10" s="41" t="s">
        <v>458</v>
      </c>
      <c r="AM10" s="41" t="s">
        <v>458</v>
      </c>
      <c r="AN10" s="41" t="s">
        <v>458</v>
      </c>
      <c r="AO10" s="41" t="s">
        <v>458</v>
      </c>
      <c r="AP10" s="238"/>
      <c r="AQ10" s="230"/>
      <c r="AR10" s="41" t="s">
        <v>458</v>
      </c>
      <c r="AS10" s="41" t="s">
        <v>458</v>
      </c>
      <c r="AT10" s="41" t="s">
        <v>458</v>
      </c>
      <c r="AU10" s="41" t="s">
        <v>458</v>
      </c>
      <c r="AV10" s="41" t="s">
        <v>458</v>
      </c>
      <c r="AW10" s="238"/>
      <c r="AX10" s="230"/>
      <c r="AY10" s="41" t="s">
        <v>458</v>
      </c>
      <c r="AZ10" s="41" t="s">
        <v>458</v>
      </c>
      <c r="BA10" s="41" t="s">
        <v>458</v>
      </c>
      <c r="BB10" s="41" t="s">
        <v>458</v>
      </c>
      <c r="BC10" s="41" t="s">
        <v>458</v>
      </c>
      <c r="BD10" s="238"/>
      <c r="BE10" s="230"/>
      <c r="BF10" s="125" t="s">
        <v>460</v>
      </c>
      <c r="BG10" s="41" t="s">
        <v>460</v>
      </c>
      <c r="BH10" s="41" t="s">
        <v>460</v>
      </c>
      <c r="BI10" s="41" t="s">
        <v>460</v>
      </c>
      <c r="BJ10" s="41" t="s">
        <v>460</v>
      </c>
      <c r="BK10" s="238"/>
      <c r="BL10" s="230"/>
      <c r="BM10" s="41" t="s">
        <v>458</v>
      </c>
      <c r="BN10" s="41" t="s">
        <v>458</v>
      </c>
      <c r="BO10" s="41" t="s">
        <v>458</v>
      </c>
      <c r="BP10" s="41" t="s">
        <v>458</v>
      </c>
      <c r="BQ10" s="41" t="s">
        <v>458</v>
      </c>
      <c r="BR10" s="238"/>
      <c r="BS10" s="230"/>
      <c r="BT10" s="125" t="s">
        <v>458</v>
      </c>
      <c r="BU10" s="41" t="s">
        <v>458</v>
      </c>
      <c r="BV10" s="41" t="s">
        <v>458</v>
      </c>
      <c r="BW10" s="41" t="s">
        <v>458</v>
      </c>
      <c r="BX10" s="41" t="s">
        <v>458</v>
      </c>
      <c r="BY10" s="238"/>
      <c r="BZ10" s="230"/>
      <c r="CA10" s="41" t="s">
        <v>458</v>
      </c>
      <c r="CB10" s="41" t="s">
        <v>458</v>
      </c>
      <c r="CC10" s="41" t="s">
        <v>458</v>
      </c>
      <c r="CD10" s="41" t="s">
        <v>458</v>
      </c>
      <c r="CE10" s="41" t="s">
        <v>458</v>
      </c>
      <c r="CF10" s="238"/>
      <c r="CG10" s="230"/>
      <c r="CH10" s="125" t="s">
        <v>458</v>
      </c>
      <c r="CI10" s="125" t="s">
        <v>458</v>
      </c>
      <c r="CJ10" s="125" t="s">
        <v>458</v>
      </c>
      <c r="CK10" s="125" t="s">
        <v>458</v>
      </c>
      <c r="CL10" s="125" t="s">
        <v>458</v>
      </c>
      <c r="CM10" s="238"/>
      <c r="CN10" s="230"/>
      <c r="CO10" s="41" t="s">
        <v>458</v>
      </c>
      <c r="CP10" s="41" t="s">
        <v>458</v>
      </c>
      <c r="CQ10" s="41" t="s">
        <v>458</v>
      </c>
      <c r="CR10" s="41" t="s">
        <v>458</v>
      </c>
      <c r="CS10" s="41" t="s">
        <v>458</v>
      </c>
      <c r="CT10" s="238"/>
      <c r="CU10" s="230"/>
      <c r="CV10" s="125" t="s">
        <v>458</v>
      </c>
      <c r="CW10" s="41" t="s">
        <v>458</v>
      </c>
      <c r="CX10" s="41" t="s">
        <v>458</v>
      </c>
      <c r="CY10" s="41" t="s">
        <v>458</v>
      </c>
      <c r="CZ10" s="41" t="s">
        <v>458</v>
      </c>
      <c r="DA10" s="238"/>
      <c r="DB10" s="230"/>
      <c r="DC10" s="41" t="s">
        <v>458</v>
      </c>
      <c r="DD10" s="41" t="s">
        <v>458</v>
      </c>
      <c r="DE10" s="41" t="s">
        <v>458</v>
      </c>
      <c r="DF10" s="41" t="s">
        <v>458</v>
      </c>
      <c r="DG10" s="41" t="s">
        <v>458</v>
      </c>
      <c r="DH10" s="238"/>
      <c r="DI10" s="230"/>
      <c r="DJ10" s="125" t="s">
        <v>458</v>
      </c>
      <c r="DK10" s="125" t="s">
        <v>458</v>
      </c>
      <c r="DL10" s="125" t="s">
        <v>458</v>
      </c>
      <c r="DM10" s="125" t="s">
        <v>458</v>
      </c>
      <c r="DN10" s="125" t="s">
        <v>458</v>
      </c>
      <c r="DO10" s="238"/>
      <c r="DP10" s="230"/>
      <c r="DQ10" s="136" t="s">
        <v>460</v>
      </c>
      <c r="DR10" s="41" t="s">
        <v>458</v>
      </c>
      <c r="DS10" s="41" t="s">
        <v>458</v>
      </c>
      <c r="DT10" s="41" t="s">
        <v>458</v>
      </c>
      <c r="DU10" s="41" t="s">
        <v>458</v>
      </c>
      <c r="DV10" s="238"/>
      <c r="DW10" s="230"/>
      <c r="DX10" s="41" t="s">
        <v>458</v>
      </c>
      <c r="DY10" s="41" t="s">
        <v>458</v>
      </c>
      <c r="DZ10" s="41" t="s">
        <v>458</v>
      </c>
      <c r="EA10" s="139" t="s">
        <v>460</v>
      </c>
      <c r="EB10" s="41" t="s">
        <v>458</v>
      </c>
      <c r="EC10" s="238"/>
      <c r="ED10" s="230"/>
      <c r="EE10" s="125" t="s">
        <v>458</v>
      </c>
      <c r="EF10" s="41" t="s">
        <v>458</v>
      </c>
      <c r="EG10" s="41" t="s">
        <v>458</v>
      </c>
      <c r="EH10" s="41" t="s">
        <v>458</v>
      </c>
      <c r="EI10" s="41" t="s">
        <v>458</v>
      </c>
      <c r="EJ10" s="238"/>
      <c r="EK10" s="230"/>
      <c r="EL10" s="125" t="s">
        <v>458</v>
      </c>
      <c r="EM10" s="41" t="s">
        <v>458</v>
      </c>
      <c r="EN10" s="41" t="s">
        <v>458</v>
      </c>
      <c r="EO10" s="41" t="s">
        <v>458</v>
      </c>
      <c r="EP10" s="41" t="s">
        <v>458</v>
      </c>
      <c r="EQ10" s="238"/>
      <c r="ER10" s="230"/>
      <c r="ES10" s="41" t="s">
        <v>458</v>
      </c>
      <c r="ET10" s="41" t="s">
        <v>458</v>
      </c>
      <c r="EU10" s="41" t="s">
        <v>458</v>
      </c>
      <c r="EV10" s="41" t="s">
        <v>458</v>
      </c>
      <c r="EW10" s="41" t="s">
        <v>458</v>
      </c>
      <c r="EX10" s="238"/>
      <c r="EY10" s="230"/>
      <c r="EZ10" s="125" t="s">
        <v>458</v>
      </c>
      <c r="FA10" s="41" t="s">
        <v>458</v>
      </c>
      <c r="FB10" s="41" t="s">
        <v>458</v>
      </c>
      <c r="FC10" s="41" t="s">
        <v>458</v>
      </c>
      <c r="FD10" s="41" t="s">
        <v>458</v>
      </c>
      <c r="FE10" s="238"/>
      <c r="FF10" s="230"/>
      <c r="FG10" s="136" t="s">
        <v>460</v>
      </c>
      <c r="FH10" s="41" t="s">
        <v>460</v>
      </c>
      <c r="FI10" s="41" t="s">
        <v>460</v>
      </c>
      <c r="FJ10" s="41" t="s">
        <v>460</v>
      </c>
      <c r="FK10" s="41" t="s">
        <v>460</v>
      </c>
      <c r="FL10" s="238"/>
      <c r="FM10" s="230"/>
      <c r="FN10" s="139" t="s">
        <v>460</v>
      </c>
      <c r="FO10" s="41" t="s">
        <v>458</v>
      </c>
      <c r="FP10" s="41" t="s">
        <v>458</v>
      </c>
      <c r="FQ10" s="41" t="s">
        <v>458</v>
      </c>
      <c r="FR10" s="41" t="s">
        <v>458</v>
      </c>
      <c r="FS10" s="238"/>
      <c r="FT10" s="230"/>
      <c r="FU10" s="125" t="s">
        <v>458</v>
      </c>
      <c r="FV10" s="41" t="s">
        <v>458</v>
      </c>
      <c r="FW10" s="41" t="s">
        <v>458</v>
      </c>
      <c r="FX10" s="41" t="s">
        <v>458</v>
      </c>
      <c r="FY10" s="41" t="s">
        <v>458</v>
      </c>
      <c r="FZ10" s="238"/>
      <c r="GA10" s="230"/>
      <c r="GB10" s="125" t="s">
        <v>458</v>
      </c>
      <c r="GC10" s="41" t="s">
        <v>458</v>
      </c>
      <c r="GD10" s="41" t="s">
        <v>458</v>
      </c>
      <c r="GE10" s="41" t="s">
        <v>458</v>
      </c>
      <c r="GF10" s="41" t="s">
        <v>458</v>
      </c>
      <c r="GG10" s="238"/>
      <c r="GH10" s="230"/>
      <c r="GI10" s="41" t="s">
        <v>458</v>
      </c>
      <c r="GJ10" s="41" t="s">
        <v>458</v>
      </c>
      <c r="GK10" s="41" t="s">
        <v>458</v>
      </c>
      <c r="GL10" s="41" t="s">
        <v>458</v>
      </c>
      <c r="GM10" s="41" t="s">
        <v>458</v>
      </c>
      <c r="GN10" s="238"/>
      <c r="GO10" s="230"/>
      <c r="GP10" s="125" t="s">
        <v>458</v>
      </c>
      <c r="GQ10" s="41" t="s">
        <v>458</v>
      </c>
      <c r="GR10" s="41" t="s">
        <v>458</v>
      </c>
      <c r="GS10" s="41" t="s">
        <v>458</v>
      </c>
      <c r="GT10" s="41" t="s">
        <v>458</v>
      </c>
      <c r="GU10" s="238"/>
      <c r="GV10" s="230"/>
      <c r="GW10" s="41" t="s">
        <v>460</v>
      </c>
      <c r="GX10" s="41" t="s">
        <v>458</v>
      </c>
      <c r="GY10" s="41" t="s">
        <v>458</v>
      </c>
      <c r="GZ10" s="41" t="s">
        <v>458</v>
      </c>
      <c r="HA10" s="41" t="s">
        <v>458</v>
      </c>
      <c r="HB10" s="238"/>
      <c r="HC10" s="230"/>
      <c r="HD10" s="41" t="s">
        <v>458</v>
      </c>
      <c r="HE10" s="41" t="s">
        <v>458</v>
      </c>
      <c r="HF10" s="41" t="s">
        <v>458</v>
      </c>
      <c r="HG10" s="41" t="s">
        <v>458</v>
      </c>
      <c r="HH10" s="41" t="s">
        <v>458</v>
      </c>
      <c r="HI10" s="372"/>
      <c r="HJ10" s="234"/>
      <c r="HK10" s="41" t="s">
        <v>458</v>
      </c>
      <c r="HL10" s="41" t="s">
        <v>458</v>
      </c>
      <c r="HM10" s="41" t="s">
        <v>458</v>
      </c>
      <c r="HN10" s="41" t="s">
        <v>458</v>
      </c>
      <c r="HO10" s="41" t="s">
        <v>458</v>
      </c>
      <c r="HP10" s="372"/>
      <c r="HQ10" s="234"/>
      <c r="HR10" s="41" t="s">
        <v>460</v>
      </c>
      <c r="HS10" s="41" t="s">
        <v>460</v>
      </c>
      <c r="HT10" s="41" t="s">
        <v>460</v>
      </c>
      <c r="HU10" s="41" t="s">
        <v>460</v>
      </c>
      <c r="HV10" s="41" t="s">
        <v>460</v>
      </c>
      <c r="HW10" s="372"/>
      <c r="HX10" s="234"/>
      <c r="HY10" s="41" t="s">
        <v>460</v>
      </c>
      <c r="HZ10" s="41" t="s">
        <v>460</v>
      </c>
      <c r="IA10" s="41" t="s">
        <v>460</v>
      </c>
      <c r="IB10" s="41" t="s">
        <v>460</v>
      </c>
      <c r="IC10" s="41" t="s">
        <v>460</v>
      </c>
      <c r="ID10" s="372"/>
      <c r="IE10" s="234"/>
      <c r="IF10" s="41" t="s">
        <v>458</v>
      </c>
      <c r="IG10" s="41" t="s">
        <v>458</v>
      </c>
      <c r="IH10" s="41" t="s">
        <v>458</v>
      </c>
      <c r="II10" s="41" t="s">
        <v>458</v>
      </c>
      <c r="IJ10" s="41" t="s">
        <v>458</v>
      </c>
      <c r="IK10" s="372"/>
      <c r="IL10" s="234"/>
      <c r="IM10" s="41" t="s">
        <v>458</v>
      </c>
      <c r="IN10" s="41" t="s">
        <v>458</v>
      </c>
      <c r="IO10" s="41" t="s">
        <v>458</v>
      </c>
      <c r="IP10" s="41" t="s">
        <v>458</v>
      </c>
      <c r="IQ10" s="41" t="s">
        <v>458</v>
      </c>
      <c r="IR10" s="372"/>
      <c r="IS10" s="234"/>
      <c r="IT10" s="41" t="s">
        <v>458</v>
      </c>
      <c r="IU10" s="41" t="s">
        <v>458</v>
      </c>
      <c r="IV10" s="41" t="s">
        <v>458</v>
      </c>
      <c r="IW10" s="41" t="s">
        <v>458</v>
      </c>
      <c r="IX10" s="41" t="s">
        <v>458</v>
      </c>
      <c r="IY10" s="372"/>
      <c r="IZ10" s="234"/>
      <c r="JA10" s="41" t="s">
        <v>458</v>
      </c>
      <c r="JB10" s="41" t="s">
        <v>458</v>
      </c>
      <c r="JC10" s="41" t="s">
        <v>458</v>
      </c>
      <c r="JD10" s="41" t="s">
        <v>458</v>
      </c>
      <c r="JE10" s="41" t="s">
        <v>458</v>
      </c>
      <c r="JF10" s="372"/>
      <c r="JG10" s="234"/>
      <c r="JH10" s="41"/>
      <c r="JI10" s="41"/>
      <c r="JJ10" s="41"/>
      <c r="JK10" s="41"/>
      <c r="JL10" s="41"/>
      <c r="JM10" s="372"/>
      <c r="JN10" s="234"/>
      <c r="JO10" s="41"/>
      <c r="JP10" s="41"/>
      <c r="JQ10" s="41"/>
      <c r="JR10" s="41"/>
      <c r="JS10" s="41"/>
      <c r="JT10" s="372"/>
      <c r="JU10" s="234"/>
      <c r="JV10" s="41"/>
      <c r="JW10" s="41"/>
      <c r="JX10" s="41"/>
      <c r="JY10" s="41"/>
      <c r="JZ10" s="41"/>
      <c r="KA10" s="372"/>
      <c r="KB10" s="234"/>
      <c r="KC10" s="41"/>
      <c r="KD10" s="41"/>
      <c r="KE10" s="41"/>
      <c r="KF10" s="41"/>
      <c r="KG10" s="41"/>
      <c r="KH10" s="372"/>
      <c r="KI10" s="234"/>
      <c r="KJ10" s="41"/>
      <c r="KK10" s="41"/>
      <c r="KL10" s="41"/>
      <c r="KM10" s="41"/>
      <c r="KN10" s="41"/>
      <c r="KO10" s="372"/>
      <c r="KP10" s="234"/>
      <c r="KQ10" s="41"/>
      <c r="KR10" s="41"/>
      <c r="KS10" s="41"/>
      <c r="KT10" s="41"/>
      <c r="KU10" s="41"/>
      <c r="KV10" s="372"/>
      <c r="KW10" s="234"/>
      <c r="KX10" s="41"/>
      <c r="KY10" s="41"/>
      <c r="KZ10" s="41"/>
      <c r="LA10" s="41"/>
      <c r="LB10" s="41"/>
      <c r="LC10" s="372"/>
      <c r="LD10" s="234"/>
      <c r="LE10" s="41"/>
      <c r="LF10" s="41"/>
      <c r="LG10" s="41"/>
      <c r="LH10" s="41"/>
      <c r="LI10" s="41"/>
      <c r="LJ10" s="372"/>
      <c r="LK10" s="234"/>
      <c r="LL10" s="41"/>
      <c r="LM10" s="41"/>
      <c r="LN10" s="41"/>
      <c r="LO10" s="41"/>
      <c r="LP10" s="41"/>
      <c r="LQ10" s="372"/>
      <c r="LR10" s="234"/>
      <c r="LS10" s="41"/>
      <c r="LT10" s="41"/>
      <c r="LU10" s="41"/>
      <c r="LV10" s="41"/>
      <c r="LW10" s="41"/>
      <c r="LX10" s="372"/>
      <c r="LY10" s="234"/>
      <c r="LZ10" s="41"/>
      <c r="MA10" s="41"/>
      <c r="MB10" s="41"/>
      <c r="MC10" s="41"/>
      <c r="MD10" s="41"/>
      <c r="ME10" s="372"/>
      <c r="MF10" s="234"/>
      <c r="MG10" s="41"/>
      <c r="MH10" s="41"/>
      <c r="MI10" s="41"/>
      <c r="MJ10" s="41"/>
      <c r="MK10" s="41"/>
      <c r="ML10" s="372"/>
      <c r="MM10" s="234"/>
      <c r="MN10" s="41"/>
      <c r="MO10" s="41"/>
      <c r="MP10" s="41"/>
      <c r="MQ10" s="41"/>
      <c r="MR10" s="41"/>
      <c r="MS10" s="372"/>
      <c r="MT10" s="234"/>
      <c r="MU10" s="41"/>
      <c r="MV10" s="41"/>
      <c r="MW10" s="41"/>
      <c r="MX10" s="41"/>
      <c r="MY10" s="41"/>
      <c r="MZ10" s="372"/>
      <c r="NA10" s="234"/>
      <c r="NB10" s="41"/>
      <c r="NC10" s="41"/>
      <c r="ND10" s="41"/>
      <c r="NE10" s="41"/>
      <c r="NF10" s="41"/>
      <c r="NG10" s="372"/>
      <c r="NH10" s="234"/>
      <c r="NI10" s="41"/>
      <c r="NJ10" s="41"/>
      <c r="NK10" s="41"/>
      <c r="NL10" s="41"/>
      <c r="NM10" s="41"/>
      <c r="NN10" s="372"/>
      <c r="NO10" s="234"/>
      <c r="NP10" s="41"/>
      <c r="NQ10" s="41"/>
      <c r="NR10" s="41"/>
      <c r="NS10" s="41"/>
      <c r="NT10" s="41"/>
      <c r="NU10" s="372"/>
    </row>
    <row r="11" spans="2:385" x14ac:dyDescent="0.3">
      <c r="B11" s="38">
        <v>48569</v>
      </c>
      <c r="C11" s="9">
        <v>35</v>
      </c>
      <c r="D11" s="207" t="s">
        <v>12</v>
      </c>
      <c r="E11" s="187" t="s">
        <v>8</v>
      </c>
      <c r="F11" s="146" t="s">
        <v>9</v>
      </c>
      <c r="G11" s="155" t="s">
        <v>920</v>
      </c>
      <c r="H11" s="156" t="s">
        <v>245</v>
      </c>
      <c r="I11" s="239"/>
      <c r="J11" s="41"/>
      <c r="K11" s="41"/>
      <c r="L11" s="41"/>
      <c r="M11" s="41"/>
      <c r="N11" s="230"/>
      <c r="O11" s="230"/>
      <c r="P11" s="41"/>
      <c r="Q11" s="41"/>
      <c r="R11" s="41"/>
      <c r="S11" s="41"/>
      <c r="T11" s="41"/>
      <c r="U11" s="230"/>
      <c r="V11" s="230"/>
      <c r="W11" s="41"/>
      <c r="X11" s="41"/>
      <c r="Y11" s="41"/>
      <c r="Z11" s="41"/>
      <c r="AA11" s="41"/>
      <c r="AB11" s="230"/>
      <c r="AC11" s="230"/>
      <c r="AD11" s="125"/>
      <c r="AE11" s="41"/>
      <c r="AF11" s="41"/>
      <c r="AG11" s="41"/>
      <c r="AH11" s="41"/>
      <c r="AI11" s="230"/>
      <c r="AJ11" s="230"/>
      <c r="AK11" s="41"/>
      <c r="AL11" s="41"/>
      <c r="AM11" s="41"/>
      <c r="AN11" s="41"/>
      <c r="AO11" s="41"/>
      <c r="AP11" s="230"/>
      <c r="AQ11" s="230"/>
      <c r="AR11" s="125"/>
      <c r="AS11" s="41"/>
      <c r="AT11" s="41"/>
      <c r="AU11" s="41"/>
      <c r="AV11" s="41"/>
      <c r="AW11" s="230"/>
      <c r="AX11" s="230"/>
      <c r="AY11" s="41"/>
      <c r="AZ11" s="41"/>
      <c r="BA11" s="41"/>
      <c r="BB11" s="41"/>
      <c r="BC11" s="41"/>
      <c r="BD11" s="230"/>
      <c r="BE11" s="230"/>
      <c r="BF11" s="125"/>
      <c r="BG11" s="41"/>
      <c r="BH11" s="41"/>
      <c r="BI11" s="41"/>
      <c r="BJ11" s="41"/>
      <c r="BK11" s="230"/>
      <c r="BL11" s="230"/>
      <c r="BM11" s="41"/>
      <c r="BN11" s="41"/>
      <c r="BO11" s="41"/>
      <c r="BP11" s="41"/>
      <c r="BQ11" s="41"/>
      <c r="BR11" s="234"/>
      <c r="BS11" s="234"/>
      <c r="BT11" s="125"/>
      <c r="BU11" s="125"/>
      <c r="BV11" s="125"/>
      <c r="BW11" s="125"/>
      <c r="BX11" s="125"/>
      <c r="BY11" s="234"/>
      <c r="BZ11" s="234"/>
      <c r="CA11" s="41"/>
      <c r="CB11" s="41"/>
      <c r="CC11" s="41"/>
      <c r="CD11" s="41"/>
      <c r="CE11" s="41"/>
      <c r="CF11" s="230"/>
      <c r="CG11" s="230"/>
      <c r="CH11" s="125"/>
      <c r="CI11" s="41"/>
      <c r="CJ11" s="41"/>
      <c r="CK11" s="41"/>
      <c r="CL11" s="41"/>
      <c r="CM11" s="230"/>
      <c r="CN11" s="230"/>
      <c r="CO11" s="41"/>
      <c r="CP11" s="41"/>
      <c r="CQ11" s="41"/>
      <c r="CR11" s="41"/>
      <c r="CS11" s="41"/>
      <c r="CT11" s="230"/>
      <c r="CU11" s="230"/>
      <c r="CV11" s="125"/>
      <c r="CW11" s="41"/>
      <c r="CX11" s="41"/>
      <c r="CY11" s="41"/>
      <c r="CZ11" s="41"/>
      <c r="DA11" s="230"/>
      <c r="DB11" s="230"/>
      <c r="DC11" s="41"/>
      <c r="DD11" s="41"/>
      <c r="DE11" s="41"/>
      <c r="DF11" s="41"/>
      <c r="DG11" s="41"/>
      <c r="DH11" s="230"/>
      <c r="DI11" s="230"/>
      <c r="DJ11" s="125"/>
      <c r="DK11" s="41"/>
      <c r="DL11" s="41"/>
      <c r="DM11" s="41"/>
      <c r="DN11" s="41"/>
      <c r="DO11" s="230"/>
      <c r="DP11" s="230"/>
      <c r="DQ11" s="136" t="s">
        <v>460</v>
      </c>
      <c r="DR11" s="41"/>
      <c r="DS11" s="41"/>
      <c r="DT11" s="41"/>
      <c r="DU11" s="41"/>
      <c r="DV11" s="230"/>
      <c r="DW11" s="234"/>
      <c r="DX11" s="41"/>
      <c r="DY11" s="41"/>
      <c r="DZ11" s="41"/>
      <c r="EA11" s="139" t="s">
        <v>460</v>
      </c>
      <c r="EB11" s="41"/>
      <c r="EC11" s="230"/>
      <c r="ED11" s="230"/>
      <c r="EE11" s="125"/>
      <c r="EF11" s="125"/>
      <c r="EG11" s="125"/>
      <c r="EH11" s="125"/>
      <c r="EI11" s="125"/>
      <c r="EJ11" s="230"/>
      <c r="EK11" s="230"/>
      <c r="EL11" s="125"/>
      <c r="EM11" s="41"/>
      <c r="EN11" s="41"/>
      <c r="EO11" s="41"/>
      <c r="EP11" s="41"/>
      <c r="EQ11" s="230"/>
      <c r="ER11" s="230"/>
      <c r="ES11" s="41"/>
      <c r="ET11" s="41"/>
      <c r="EU11" s="41"/>
      <c r="EV11" s="41"/>
      <c r="EW11" s="41"/>
      <c r="EX11" s="230"/>
      <c r="EY11" s="230"/>
      <c r="EZ11" s="125"/>
      <c r="FA11" s="125"/>
      <c r="FB11" s="125"/>
      <c r="FC11" s="125"/>
      <c r="FD11" s="125"/>
      <c r="FE11" s="230"/>
      <c r="FF11" s="230"/>
      <c r="FG11" s="136"/>
      <c r="FH11" s="136"/>
      <c r="FI11" s="136"/>
      <c r="FJ11" s="136"/>
      <c r="FK11" s="136"/>
      <c r="FL11" s="230"/>
      <c r="FM11" s="230"/>
      <c r="FN11" s="139" t="s">
        <v>460</v>
      </c>
      <c r="FO11" s="41"/>
      <c r="FP11" s="41"/>
      <c r="FQ11" s="41"/>
      <c r="FR11" s="41"/>
      <c r="FS11" s="230"/>
      <c r="FT11" s="230"/>
      <c r="FU11" s="125"/>
      <c r="FV11" s="41"/>
      <c r="FW11" s="41"/>
      <c r="FX11" s="41"/>
      <c r="FY11" s="41"/>
      <c r="FZ11" s="230"/>
      <c r="GA11" s="230"/>
      <c r="GB11" s="125"/>
      <c r="GC11" s="41"/>
      <c r="GD11" s="41"/>
      <c r="GE11" s="41"/>
      <c r="GF11" s="41"/>
      <c r="GG11" s="230"/>
      <c r="GH11" s="230"/>
      <c r="GI11" s="41"/>
      <c r="GJ11" s="41"/>
      <c r="GK11" s="41"/>
      <c r="GL11" s="41"/>
      <c r="GM11" s="41"/>
      <c r="GN11" s="230"/>
      <c r="GO11" s="230"/>
      <c r="GP11" s="125"/>
      <c r="GQ11" s="41"/>
      <c r="GR11" s="41"/>
      <c r="GS11" s="41"/>
      <c r="GT11" s="41"/>
      <c r="GU11" s="230"/>
      <c r="GV11" s="230"/>
      <c r="GW11" s="41" t="s">
        <v>460</v>
      </c>
      <c r="GX11" s="41"/>
      <c r="GY11" s="41"/>
      <c r="GZ11" s="41"/>
      <c r="HA11" s="41"/>
      <c r="HB11" s="230"/>
      <c r="HC11" s="230"/>
      <c r="HD11" s="41"/>
      <c r="HE11" s="41"/>
      <c r="HF11" s="41"/>
      <c r="HG11" s="41"/>
      <c r="HH11" s="41"/>
      <c r="HI11" s="234"/>
      <c r="HJ11" s="234"/>
      <c r="HK11" s="41"/>
      <c r="HL11" s="41"/>
      <c r="HM11" s="41"/>
      <c r="HN11" s="41"/>
      <c r="HO11" s="41"/>
      <c r="HP11" s="234"/>
      <c r="HQ11" s="234"/>
      <c r="HR11" s="41"/>
      <c r="HS11" s="41"/>
      <c r="HT11" s="41"/>
      <c r="HU11" s="41"/>
      <c r="HV11" s="41"/>
      <c r="HW11" s="234"/>
      <c r="HX11" s="234"/>
      <c r="HY11" s="41"/>
      <c r="HZ11" s="41"/>
      <c r="IA11" s="41"/>
      <c r="IB11" s="41"/>
      <c r="IC11" s="41"/>
      <c r="ID11" s="234"/>
      <c r="IE11" s="234"/>
      <c r="IF11" s="41"/>
      <c r="IG11" s="41"/>
      <c r="IH11" s="41"/>
      <c r="II11" s="41"/>
      <c r="IJ11" s="41"/>
      <c r="IK11" s="234"/>
      <c r="IL11" s="234"/>
      <c r="IM11" s="41"/>
      <c r="IN11" s="41"/>
      <c r="IO11" s="41"/>
      <c r="IP11" s="41"/>
      <c r="IQ11" s="41"/>
      <c r="IR11" s="234"/>
      <c r="IS11" s="234"/>
      <c r="IT11" s="41"/>
      <c r="IU11" s="41"/>
      <c r="IV11" s="41"/>
      <c r="IW11" s="41"/>
      <c r="IX11" s="41"/>
      <c r="IY11" s="234"/>
      <c r="IZ11" s="234"/>
      <c r="JA11" s="41"/>
      <c r="JB11" s="41"/>
      <c r="JC11" s="41"/>
      <c r="JD11" s="41"/>
      <c r="JE11" s="41"/>
      <c r="JF11" s="234"/>
      <c r="JG11" s="234"/>
      <c r="JH11" s="41"/>
      <c r="JI11" s="41"/>
      <c r="JJ11" s="41"/>
      <c r="JK11" s="41"/>
      <c r="JL11" s="41"/>
      <c r="JM11" s="234"/>
      <c r="JN11" s="234"/>
      <c r="JO11" s="41"/>
      <c r="JP11" s="41"/>
      <c r="JQ11" s="41"/>
      <c r="JR11" s="41"/>
      <c r="JS11" s="41"/>
      <c r="JT11" s="234"/>
      <c r="JU11" s="234"/>
      <c r="JV11" s="41"/>
      <c r="JW11" s="41"/>
      <c r="JX11" s="41"/>
      <c r="JY11" s="41"/>
      <c r="JZ11" s="41"/>
      <c r="KA11" s="234"/>
      <c r="KB11" s="234"/>
      <c r="KC11" s="41"/>
      <c r="KD11" s="41"/>
      <c r="KE11" s="41"/>
      <c r="KF11" s="41"/>
      <c r="KG11" s="41"/>
      <c r="KH11" s="234"/>
      <c r="KI11" s="234"/>
      <c r="KJ11" s="41"/>
      <c r="KK11" s="41"/>
      <c r="KL11" s="41"/>
      <c r="KM11" s="41"/>
      <c r="KN11" s="41"/>
      <c r="KO11" s="234"/>
      <c r="KP11" s="234"/>
      <c r="KQ11" s="41"/>
      <c r="KR11" s="41"/>
      <c r="KS11" s="41"/>
      <c r="KT11" s="41"/>
      <c r="KU11" s="41"/>
      <c r="KV11" s="234"/>
      <c r="KW11" s="234"/>
      <c r="KX11" s="41"/>
      <c r="KY11" s="41"/>
      <c r="KZ11" s="41"/>
      <c r="LA11" s="41"/>
      <c r="LB11" s="41"/>
      <c r="LC11" s="234"/>
      <c r="LD11" s="234"/>
      <c r="LE11" s="41"/>
      <c r="LF11" s="41"/>
      <c r="LG11" s="41"/>
      <c r="LH11" s="41"/>
      <c r="LI11" s="41"/>
      <c r="LJ11" s="234"/>
      <c r="LK11" s="234"/>
      <c r="LL11" s="41"/>
      <c r="LM11" s="41"/>
      <c r="LN11" s="41"/>
      <c r="LO11" s="41"/>
      <c r="LP11" s="41"/>
      <c r="LQ11" s="234"/>
      <c r="LR11" s="234"/>
      <c r="LS11" s="41"/>
      <c r="LT11" s="41"/>
      <c r="LU11" s="41"/>
      <c r="LV11" s="41"/>
      <c r="LW11" s="41"/>
      <c r="LX11" s="234"/>
      <c r="LY11" s="234"/>
      <c r="LZ11" s="41"/>
      <c r="MA11" s="41"/>
      <c r="MB11" s="41"/>
      <c r="MC11" s="41"/>
      <c r="MD11" s="41"/>
      <c r="ME11" s="234"/>
      <c r="MF11" s="234"/>
      <c r="MG11" s="41"/>
      <c r="MH11" s="41"/>
      <c r="MI11" s="41"/>
      <c r="MJ11" s="41"/>
      <c r="MK11" s="41"/>
      <c r="ML11" s="234"/>
      <c r="MM11" s="234"/>
      <c r="MN11" s="41"/>
      <c r="MO11" s="41"/>
      <c r="MP11" s="41"/>
      <c r="MQ11" s="41"/>
      <c r="MR11" s="41"/>
      <c r="MS11" s="234"/>
      <c r="MT11" s="234"/>
      <c r="MU11" s="41"/>
      <c r="MV11" s="41"/>
      <c r="MW11" s="41"/>
      <c r="MX11" s="41"/>
      <c r="MY11" s="41"/>
      <c r="MZ11" s="234"/>
      <c r="NA11" s="234"/>
      <c r="NB11" s="41"/>
      <c r="NC11" s="41"/>
      <c r="ND11" s="41"/>
      <c r="NE11" s="41"/>
      <c r="NF11" s="41"/>
      <c r="NG11" s="234"/>
      <c r="NH11" s="234"/>
      <c r="NI11" s="41"/>
      <c r="NJ11" s="41"/>
      <c r="NK11" s="41"/>
      <c r="NL11" s="41"/>
      <c r="NM11" s="41"/>
      <c r="NN11" s="234"/>
      <c r="NO11" s="234"/>
      <c r="NP11" s="41"/>
      <c r="NQ11" s="41"/>
      <c r="NR11" s="41"/>
      <c r="NS11" s="41"/>
      <c r="NT11" s="41"/>
      <c r="NU11" s="234"/>
    </row>
    <row r="12" spans="2:385" x14ac:dyDescent="0.3">
      <c r="B12" s="8">
        <v>101354</v>
      </c>
      <c r="C12" s="9">
        <v>35</v>
      </c>
      <c r="D12" s="206" t="s">
        <v>12</v>
      </c>
      <c r="E12" s="184" t="s">
        <v>8</v>
      </c>
      <c r="F12" s="146" t="s">
        <v>9</v>
      </c>
      <c r="G12" s="153" t="s">
        <v>48</v>
      </c>
      <c r="H12" s="154" t="s">
        <v>50</v>
      </c>
      <c r="I12" s="125"/>
      <c r="J12" s="41"/>
      <c r="K12" s="41"/>
      <c r="L12" s="41"/>
      <c r="M12" s="41"/>
      <c r="N12" s="230"/>
      <c r="O12" s="230"/>
      <c r="P12" s="41"/>
      <c r="Q12" s="41"/>
      <c r="R12" s="41"/>
      <c r="S12" s="41"/>
      <c r="T12" s="41"/>
      <c r="U12" s="230"/>
      <c r="V12" s="230"/>
      <c r="W12" s="41"/>
      <c r="X12" s="41"/>
      <c r="Y12" s="41"/>
      <c r="Z12" s="41"/>
      <c r="AA12" s="41"/>
      <c r="AB12" s="230"/>
      <c r="AC12" s="230"/>
      <c r="AD12" s="125"/>
      <c r="AE12" s="41"/>
      <c r="AF12" s="41"/>
      <c r="AG12" s="41"/>
      <c r="AH12" s="41"/>
      <c r="AI12" s="230"/>
      <c r="AJ12" s="230"/>
      <c r="AK12" s="41"/>
      <c r="AL12" s="41"/>
      <c r="AM12" s="41"/>
      <c r="AN12" s="41"/>
      <c r="AO12" s="41"/>
      <c r="AP12" s="230"/>
      <c r="AQ12" s="230"/>
      <c r="AR12" s="125" t="s">
        <v>460</v>
      </c>
      <c r="AS12" s="41" t="s">
        <v>460</v>
      </c>
      <c r="AT12" s="41" t="s">
        <v>460</v>
      </c>
      <c r="AU12" s="41" t="s">
        <v>460</v>
      </c>
      <c r="AV12" s="41" t="s">
        <v>460</v>
      </c>
      <c r="AW12" s="230"/>
      <c r="AX12" s="230"/>
      <c r="AY12" s="41"/>
      <c r="AZ12" s="41"/>
      <c r="BA12" s="41"/>
      <c r="BB12" s="41"/>
      <c r="BC12" s="41"/>
      <c r="BD12" s="41" t="s">
        <v>460</v>
      </c>
      <c r="BE12" s="41" t="s">
        <v>460</v>
      </c>
      <c r="BF12" s="125"/>
      <c r="BG12" s="41"/>
      <c r="BH12" s="41"/>
      <c r="BI12" s="41"/>
      <c r="BJ12" s="41"/>
      <c r="BK12" s="41" t="s">
        <v>460</v>
      </c>
      <c r="BL12" s="41" t="s">
        <v>460</v>
      </c>
      <c r="BM12" s="41"/>
      <c r="BN12" s="41"/>
      <c r="BO12" s="41"/>
      <c r="BP12" s="41"/>
      <c r="BQ12" s="41"/>
      <c r="BR12" s="230"/>
      <c r="BS12" s="230"/>
      <c r="BT12" s="125"/>
      <c r="BU12" s="41"/>
      <c r="BV12" s="41"/>
      <c r="BW12" s="41"/>
      <c r="BX12" s="41"/>
      <c r="BY12" s="230"/>
      <c r="BZ12" s="230"/>
      <c r="CA12" s="41" t="s">
        <v>460</v>
      </c>
      <c r="CB12" s="41" t="s">
        <v>460</v>
      </c>
      <c r="CC12" s="41" t="s">
        <v>460</v>
      </c>
      <c r="CD12" s="41" t="s">
        <v>460</v>
      </c>
      <c r="CE12" s="41" t="s">
        <v>460</v>
      </c>
      <c r="CF12" s="230"/>
      <c r="CG12" s="230"/>
      <c r="CH12" s="125" t="s">
        <v>460</v>
      </c>
      <c r="CI12" s="41" t="s">
        <v>460</v>
      </c>
      <c r="CJ12" s="41" t="s">
        <v>460</v>
      </c>
      <c r="CK12" s="41" t="s">
        <v>460</v>
      </c>
      <c r="CL12" s="41" t="s">
        <v>460</v>
      </c>
      <c r="CM12" s="230"/>
      <c r="CN12" s="230"/>
      <c r="CO12" s="41"/>
      <c r="CP12" s="41"/>
      <c r="CQ12" s="41"/>
      <c r="CR12" s="41"/>
      <c r="CS12" s="41"/>
      <c r="CT12" s="230"/>
      <c r="CU12" s="230"/>
      <c r="CV12" s="125"/>
      <c r="CW12" s="41"/>
      <c r="CX12" s="41"/>
      <c r="CY12" s="41"/>
      <c r="CZ12" s="41"/>
      <c r="DA12" s="230"/>
      <c r="DB12" s="230"/>
      <c r="DC12" s="41"/>
      <c r="DD12" s="41"/>
      <c r="DE12" s="41"/>
      <c r="DF12" s="41"/>
      <c r="DG12" s="41"/>
      <c r="DH12" s="230"/>
      <c r="DI12" s="230"/>
      <c r="DJ12" s="125"/>
      <c r="DK12" s="41"/>
      <c r="DL12" s="41"/>
      <c r="DM12" s="41"/>
      <c r="DN12" s="41"/>
      <c r="DO12" s="230"/>
      <c r="DP12" s="230"/>
      <c r="DQ12" s="125" t="s">
        <v>460</v>
      </c>
      <c r="DR12" s="41"/>
      <c r="DS12" s="41"/>
      <c r="DT12" s="41"/>
      <c r="DU12" s="41"/>
      <c r="DV12" s="230"/>
      <c r="DW12" s="230"/>
      <c r="DX12" s="41"/>
      <c r="DY12" s="41"/>
      <c r="DZ12" s="41"/>
      <c r="EA12" s="41" t="s">
        <v>460</v>
      </c>
      <c r="EB12" s="41"/>
      <c r="EC12" s="230"/>
      <c r="ED12" s="230"/>
      <c r="EE12" s="125" t="s">
        <v>460</v>
      </c>
      <c r="EF12" s="41" t="s">
        <v>460</v>
      </c>
      <c r="EG12" s="41" t="s">
        <v>460</v>
      </c>
      <c r="EH12" s="41" t="s">
        <v>460</v>
      </c>
      <c r="EI12" s="41" t="s">
        <v>460</v>
      </c>
      <c r="EJ12" s="230"/>
      <c r="EK12" s="230"/>
      <c r="EL12" s="125"/>
      <c r="EM12" s="41"/>
      <c r="EN12" s="41"/>
      <c r="EO12" s="41"/>
      <c r="EP12" s="41"/>
      <c r="EQ12" s="230"/>
      <c r="ER12" s="230"/>
      <c r="ES12" s="41"/>
      <c r="ET12" s="41"/>
      <c r="EU12" s="41"/>
      <c r="EV12" s="41"/>
      <c r="EW12" s="41"/>
      <c r="EX12" s="230"/>
      <c r="EY12" s="230"/>
      <c r="EZ12" s="125"/>
      <c r="FA12" s="41"/>
      <c r="FB12" s="41"/>
      <c r="FC12" s="41"/>
      <c r="FD12" s="41"/>
      <c r="FE12" s="230"/>
      <c r="FF12" s="230"/>
      <c r="FG12" s="125"/>
      <c r="FH12" s="41"/>
      <c r="FI12" s="41"/>
      <c r="FJ12" s="41"/>
      <c r="FK12" s="41"/>
      <c r="FL12" s="230"/>
      <c r="FM12" s="230"/>
      <c r="FN12" s="41" t="s">
        <v>460</v>
      </c>
      <c r="FO12" s="41"/>
      <c r="FP12" s="41"/>
      <c r="FQ12" s="41"/>
      <c r="FR12" s="41"/>
      <c r="FS12" s="230"/>
      <c r="FT12" s="230"/>
      <c r="FU12" s="125"/>
      <c r="FV12" s="41"/>
      <c r="FW12" s="41"/>
      <c r="FX12" s="41"/>
      <c r="FY12" s="41"/>
      <c r="FZ12" s="230"/>
      <c r="GA12" s="230"/>
      <c r="GB12" s="125"/>
      <c r="GC12" s="41"/>
      <c r="GD12" s="41"/>
      <c r="GE12" s="41"/>
      <c r="GF12" s="41"/>
      <c r="GG12" s="230"/>
      <c r="GH12" s="230"/>
      <c r="GI12" s="41"/>
      <c r="GJ12" s="41"/>
      <c r="GK12" s="41"/>
      <c r="GL12" s="41"/>
      <c r="GM12" s="41"/>
      <c r="GN12" s="230"/>
      <c r="GO12" s="230"/>
      <c r="GP12" s="125"/>
      <c r="GQ12" s="41"/>
      <c r="GR12" s="41"/>
      <c r="GS12" s="41"/>
      <c r="GT12" s="41"/>
      <c r="GU12" s="230"/>
      <c r="GV12" s="230"/>
      <c r="GW12" s="125" t="s">
        <v>460</v>
      </c>
      <c r="GX12" s="41"/>
      <c r="GY12" s="41"/>
      <c r="GZ12" s="41"/>
      <c r="HA12" s="41"/>
      <c r="HB12" s="230"/>
      <c r="HC12" s="230"/>
      <c r="HD12" s="41"/>
      <c r="HE12" s="41"/>
      <c r="HF12" s="41"/>
      <c r="HG12" s="41"/>
      <c r="HH12" s="41"/>
      <c r="HI12" s="234"/>
      <c r="HJ12" s="234"/>
      <c r="HK12" s="41"/>
      <c r="HL12" s="41"/>
      <c r="HM12" s="41"/>
      <c r="HN12" s="41"/>
      <c r="HO12" s="41"/>
      <c r="HP12" s="234"/>
      <c r="HQ12" s="234"/>
      <c r="HR12" s="41" t="s">
        <v>460</v>
      </c>
      <c r="HS12" s="41" t="s">
        <v>460</v>
      </c>
      <c r="HT12" s="41" t="s">
        <v>460</v>
      </c>
      <c r="HU12" s="41" t="s">
        <v>460</v>
      </c>
      <c r="HV12" s="41" t="s">
        <v>460</v>
      </c>
      <c r="HW12" s="234"/>
      <c r="HX12" s="234"/>
      <c r="HY12" s="41" t="s">
        <v>460</v>
      </c>
      <c r="HZ12" s="41" t="s">
        <v>460</v>
      </c>
      <c r="IA12" s="41" t="s">
        <v>460</v>
      </c>
      <c r="IB12" s="41" t="s">
        <v>460</v>
      </c>
      <c r="IC12" s="41" t="s">
        <v>460</v>
      </c>
      <c r="ID12" s="234"/>
      <c r="IE12" s="234"/>
      <c r="IF12" s="41" t="s">
        <v>460</v>
      </c>
      <c r="IG12" s="41" t="s">
        <v>460</v>
      </c>
      <c r="IH12" s="41" t="s">
        <v>460</v>
      </c>
      <c r="II12" s="41" t="s">
        <v>460</v>
      </c>
      <c r="IJ12" s="41" t="s">
        <v>460</v>
      </c>
      <c r="IK12" s="234"/>
      <c r="IL12" s="234"/>
      <c r="IM12" s="41"/>
      <c r="IN12" s="41"/>
      <c r="IO12" s="41"/>
      <c r="IP12" s="41"/>
      <c r="IQ12" s="41"/>
      <c r="IR12" s="234"/>
      <c r="IS12" s="234"/>
      <c r="IT12" s="41"/>
      <c r="IU12" s="41"/>
      <c r="IV12" s="41"/>
      <c r="IW12" s="41"/>
      <c r="IX12" s="41"/>
      <c r="IY12" s="234"/>
      <c r="IZ12" s="234"/>
      <c r="JA12" s="41"/>
      <c r="JB12" s="41"/>
      <c r="JC12" s="41"/>
      <c r="JD12" s="41"/>
      <c r="JE12" s="41"/>
      <c r="JF12" s="234"/>
      <c r="JG12" s="234"/>
      <c r="JH12" s="41"/>
      <c r="JI12" s="41"/>
      <c r="JJ12" s="41"/>
      <c r="JK12" s="41"/>
      <c r="JL12" s="41"/>
      <c r="JM12" s="234"/>
      <c r="JN12" s="234"/>
      <c r="JO12" s="41"/>
      <c r="JP12" s="41"/>
      <c r="JQ12" s="41"/>
      <c r="JR12" s="41"/>
      <c r="JS12" s="41"/>
      <c r="JT12" s="234"/>
      <c r="JU12" s="234"/>
      <c r="JV12" s="41"/>
      <c r="JW12" s="41"/>
      <c r="JX12" s="41"/>
      <c r="JY12" s="41"/>
      <c r="JZ12" s="41"/>
      <c r="KA12" s="234"/>
      <c r="KB12" s="234"/>
      <c r="KC12" s="41"/>
      <c r="KD12" s="41"/>
      <c r="KE12" s="41"/>
      <c r="KF12" s="41"/>
      <c r="KG12" s="41"/>
      <c r="KH12" s="234"/>
      <c r="KI12" s="234"/>
      <c r="KJ12" s="41"/>
      <c r="KK12" s="41"/>
      <c r="KL12" s="41"/>
      <c r="KM12" s="41"/>
      <c r="KN12" s="41"/>
      <c r="KO12" s="234"/>
      <c r="KP12" s="234"/>
      <c r="KQ12" s="41"/>
      <c r="KR12" s="41"/>
      <c r="KS12" s="41"/>
      <c r="KT12" s="41"/>
      <c r="KU12" s="41"/>
      <c r="KV12" s="234"/>
      <c r="KW12" s="234"/>
      <c r="KX12" s="41"/>
      <c r="KY12" s="41"/>
      <c r="KZ12" s="41"/>
      <c r="LA12" s="41"/>
      <c r="LB12" s="41"/>
      <c r="LC12" s="234"/>
      <c r="LD12" s="234"/>
      <c r="LE12" s="41"/>
      <c r="LF12" s="41"/>
      <c r="LG12" s="41"/>
      <c r="LH12" s="41"/>
      <c r="LI12" s="41"/>
      <c r="LJ12" s="234"/>
      <c r="LK12" s="234"/>
      <c r="LL12" s="41"/>
      <c r="LM12" s="41"/>
      <c r="LN12" s="41"/>
      <c r="LO12" s="41"/>
      <c r="LP12" s="41"/>
      <c r="LQ12" s="234"/>
      <c r="LR12" s="234"/>
      <c r="LS12" s="41"/>
      <c r="LT12" s="41"/>
      <c r="LU12" s="41"/>
      <c r="LV12" s="41"/>
      <c r="LW12" s="41"/>
      <c r="LX12" s="234"/>
      <c r="LY12" s="234"/>
      <c r="LZ12" s="41"/>
      <c r="MA12" s="41"/>
      <c r="MB12" s="41"/>
      <c r="MC12" s="41"/>
      <c r="MD12" s="41"/>
      <c r="ME12" s="234"/>
      <c r="MF12" s="234"/>
      <c r="MG12" s="41"/>
      <c r="MH12" s="41"/>
      <c r="MI12" s="41"/>
      <c r="MJ12" s="41"/>
      <c r="MK12" s="41"/>
      <c r="ML12" s="234"/>
      <c r="MM12" s="234"/>
      <c r="MN12" s="41"/>
      <c r="MO12" s="41"/>
      <c r="MP12" s="41"/>
      <c r="MQ12" s="41"/>
      <c r="MR12" s="41"/>
      <c r="MS12" s="234"/>
      <c r="MT12" s="234"/>
      <c r="MU12" s="41"/>
      <c r="MV12" s="41"/>
      <c r="MW12" s="41"/>
      <c r="MX12" s="41"/>
      <c r="MY12" s="41"/>
      <c r="MZ12" s="234"/>
      <c r="NA12" s="234"/>
      <c r="NB12" s="41"/>
      <c r="NC12" s="41"/>
      <c r="ND12" s="41"/>
      <c r="NE12" s="41"/>
      <c r="NF12" s="41"/>
      <c r="NG12" s="234"/>
      <c r="NH12" s="234"/>
      <c r="NI12" s="41"/>
      <c r="NJ12" s="41"/>
      <c r="NK12" s="41"/>
      <c r="NL12" s="41"/>
      <c r="NM12" s="41"/>
      <c r="NN12" s="234"/>
      <c r="NO12" s="234"/>
      <c r="NP12" s="41"/>
      <c r="NQ12" s="41"/>
      <c r="NR12" s="41"/>
      <c r="NS12" s="41"/>
      <c r="NT12" s="41"/>
      <c r="NU12" s="234"/>
    </row>
    <row r="13" spans="2:385" ht="15" thickBot="1" x14ac:dyDescent="0.35">
      <c r="B13" s="71">
        <v>107007</v>
      </c>
      <c r="C13" s="9">
        <v>35</v>
      </c>
      <c r="D13" s="206" t="s">
        <v>12</v>
      </c>
      <c r="E13" s="183" t="s">
        <v>8</v>
      </c>
      <c r="F13" s="146" t="s">
        <v>9</v>
      </c>
      <c r="G13" s="155" t="s">
        <v>54</v>
      </c>
      <c r="H13" s="156" t="s">
        <v>55</v>
      </c>
      <c r="I13" s="125"/>
      <c r="J13" s="41"/>
      <c r="K13" s="41"/>
      <c r="L13" s="41"/>
      <c r="M13" s="41"/>
      <c r="N13" s="230"/>
      <c r="O13" s="230"/>
      <c r="P13" s="41"/>
      <c r="Q13" s="41"/>
      <c r="R13" s="41"/>
      <c r="S13" s="41"/>
      <c r="T13" s="41"/>
      <c r="U13" s="230"/>
      <c r="V13" s="230"/>
      <c r="W13" s="41"/>
      <c r="X13" s="41"/>
      <c r="Y13" s="41"/>
      <c r="Z13" s="41"/>
      <c r="AA13" s="41"/>
      <c r="AB13" s="230"/>
      <c r="AC13" s="230"/>
      <c r="AD13" s="125"/>
      <c r="AE13" s="41"/>
      <c r="AF13" s="41"/>
      <c r="AG13" s="41"/>
      <c r="AH13" s="41"/>
      <c r="AI13" s="230"/>
      <c r="AJ13" s="230"/>
      <c r="AK13" s="41"/>
      <c r="AL13" s="41"/>
      <c r="AM13" s="41"/>
      <c r="AN13" s="41"/>
      <c r="AO13" s="41"/>
      <c r="AP13" s="230"/>
      <c r="AQ13" s="230"/>
      <c r="AR13" s="125"/>
      <c r="AS13" s="41"/>
      <c r="AT13" s="41"/>
      <c r="AU13" s="41"/>
      <c r="AV13" s="41"/>
      <c r="AW13" s="230"/>
      <c r="AX13" s="230"/>
      <c r="AY13" s="41"/>
      <c r="AZ13" s="41"/>
      <c r="BA13" s="41"/>
      <c r="BB13" s="41"/>
      <c r="BC13" s="41"/>
      <c r="BD13" s="230"/>
      <c r="BE13" s="230"/>
      <c r="BF13" s="125"/>
      <c r="BG13" s="41"/>
      <c r="BH13" s="41"/>
      <c r="BI13" s="41"/>
      <c r="BJ13" s="41"/>
      <c r="BK13" s="230"/>
      <c r="BL13" s="230"/>
      <c r="BM13" s="41"/>
      <c r="BN13" s="41"/>
      <c r="BO13" s="41"/>
      <c r="BP13" s="41"/>
      <c r="BQ13" s="41"/>
      <c r="BR13" s="230"/>
      <c r="BS13" s="230"/>
      <c r="BT13" s="125"/>
      <c r="BU13" s="41"/>
      <c r="BV13" s="41"/>
      <c r="BW13" s="41"/>
      <c r="BX13" s="41"/>
      <c r="BY13" s="230"/>
      <c r="BZ13" s="230"/>
      <c r="CA13" s="41"/>
      <c r="CB13" s="41"/>
      <c r="CC13" s="41"/>
      <c r="CD13" s="41"/>
      <c r="CE13" s="41"/>
      <c r="CF13" s="41" t="s">
        <v>460</v>
      </c>
      <c r="CG13" s="41" t="s">
        <v>460</v>
      </c>
      <c r="CH13" s="125"/>
      <c r="CI13" s="41"/>
      <c r="CJ13" s="41"/>
      <c r="CK13" s="41"/>
      <c r="CL13" s="41"/>
      <c r="CM13" s="230"/>
      <c r="CN13" s="230"/>
      <c r="CO13" s="41"/>
      <c r="CP13" s="41"/>
      <c r="CQ13" s="41"/>
      <c r="CR13" s="41"/>
      <c r="CS13" s="41"/>
      <c r="CT13" s="230"/>
      <c r="CU13" s="230"/>
      <c r="CV13" s="125"/>
      <c r="CW13" s="41"/>
      <c r="CX13" s="41"/>
      <c r="CY13" s="41"/>
      <c r="CZ13" s="41"/>
      <c r="DA13" s="230"/>
      <c r="DB13" s="230"/>
      <c r="DC13" s="41"/>
      <c r="DD13" s="41"/>
      <c r="DE13" s="41"/>
      <c r="DF13" s="41"/>
      <c r="DG13" s="41"/>
      <c r="DH13" s="230"/>
      <c r="DI13" s="230"/>
      <c r="DJ13" s="125" t="s">
        <v>460</v>
      </c>
      <c r="DK13" s="41" t="s">
        <v>460</v>
      </c>
      <c r="DL13" s="41" t="s">
        <v>460</v>
      </c>
      <c r="DM13" s="41" t="s">
        <v>460</v>
      </c>
      <c r="DN13" s="41" t="s">
        <v>460</v>
      </c>
      <c r="DO13" s="230"/>
      <c r="DP13" s="230"/>
      <c r="DQ13" s="125" t="s">
        <v>460</v>
      </c>
      <c r="DR13" s="41"/>
      <c r="DS13" s="41"/>
      <c r="DT13" s="41"/>
      <c r="DU13" s="41"/>
      <c r="DV13" s="230"/>
      <c r="DW13" s="230"/>
      <c r="DX13" s="41"/>
      <c r="DY13" s="41"/>
      <c r="DZ13" s="41"/>
      <c r="EA13" s="41" t="s">
        <v>460</v>
      </c>
      <c r="EB13" s="41"/>
      <c r="EC13" s="230"/>
      <c r="ED13" s="230"/>
      <c r="EE13" s="125"/>
      <c r="EF13" s="41"/>
      <c r="EG13" s="41"/>
      <c r="EH13" s="41"/>
      <c r="EI13" s="41"/>
      <c r="EJ13" s="230"/>
      <c r="EK13" s="230"/>
      <c r="EL13" s="125"/>
      <c r="EM13" s="41"/>
      <c r="EN13" s="41"/>
      <c r="EO13" s="41"/>
      <c r="EP13" s="41"/>
      <c r="EQ13" s="230"/>
      <c r="ER13" s="230"/>
      <c r="ES13" s="41"/>
      <c r="ET13" s="41"/>
      <c r="EU13" s="41"/>
      <c r="EV13" s="41"/>
      <c r="EW13" s="41"/>
      <c r="EX13" s="230"/>
      <c r="EY13" s="230"/>
      <c r="EZ13" s="125" t="s">
        <v>460</v>
      </c>
      <c r="FA13" s="41" t="s">
        <v>460</v>
      </c>
      <c r="FB13" s="41" t="s">
        <v>460</v>
      </c>
      <c r="FC13" s="41" t="s">
        <v>460</v>
      </c>
      <c r="FD13" s="41" t="s">
        <v>460</v>
      </c>
      <c r="FE13" s="230"/>
      <c r="FF13" s="230"/>
      <c r="FG13" s="125"/>
      <c r="FH13" s="41"/>
      <c r="FI13" s="41"/>
      <c r="FJ13" s="41"/>
      <c r="FK13" s="41"/>
      <c r="FL13" s="230"/>
      <c r="FM13" s="230"/>
      <c r="FN13" s="41" t="s">
        <v>460</v>
      </c>
      <c r="FO13" s="41"/>
      <c r="FP13" s="41"/>
      <c r="FQ13" s="41"/>
      <c r="FR13" s="41"/>
      <c r="FS13" s="230"/>
      <c r="FT13" s="230"/>
      <c r="FU13" s="125"/>
      <c r="FV13" s="41"/>
      <c r="FW13" s="41"/>
      <c r="FX13" s="41"/>
      <c r="FY13" s="41"/>
      <c r="FZ13" s="230"/>
      <c r="GA13" s="230"/>
      <c r="GB13" s="125"/>
      <c r="GC13" s="41"/>
      <c r="GD13" s="41"/>
      <c r="GE13" s="41"/>
      <c r="GF13" s="41"/>
      <c r="GG13" s="230"/>
      <c r="GH13" s="230"/>
      <c r="GI13" s="41"/>
      <c r="GJ13" s="41"/>
      <c r="GK13" s="41"/>
      <c r="GL13" s="41"/>
      <c r="GM13" s="41"/>
      <c r="GN13" s="230"/>
      <c r="GO13" s="230"/>
      <c r="GP13" s="125"/>
      <c r="GQ13" s="41"/>
      <c r="GR13" s="41"/>
      <c r="GS13" s="41"/>
      <c r="GT13" s="41"/>
      <c r="GU13" s="230"/>
      <c r="GV13" s="230"/>
      <c r="GW13" s="125" t="s">
        <v>460</v>
      </c>
      <c r="GX13" s="41"/>
      <c r="GY13" s="41"/>
      <c r="GZ13" s="41"/>
      <c r="HA13" s="41"/>
      <c r="HB13" s="230"/>
      <c r="HC13" s="230"/>
      <c r="HD13" s="41"/>
      <c r="HE13" s="41"/>
      <c r="HF13" s="41"/>
      <c r="HG13" s="41"/>
      <c r="HH13" s="41"/>
      <c r="HI13" s="234"/>
      <c r="HJ13" s="234"/>
      <c r="HK13" s="41"/>
      <c r="HL13" s="41"/>
      <c r="HM13" s="41"/>
      <c r="HN13" s="41"/>
      <c r="HO13" s="41"/>
      <c r="HP13" s="234"/>
      <c r="HQ13" s="234"/>
      <c r="HR13" s="41"/>
      <c r="HS13" s="41"/>
      <c r="HT13" s="41"/>
      <c r="HU13" s="41"/>
      <c r="HV13" s="41"/>
      <c r="HW13" s="234"/>
      <c r="HX13" s="234"/>
      <c r="HY13" s="41" t="s">
        <v>460</v>
      </c>
      <c r="HZ13" s="41" t="s">
        <v>460</v>
      </c>
      <c r="IA13" s="41" t="s">
        <v>460</v>
      </c>
      <c r="IB13" s="41" t="s">
        <v>460</v>
      </c>
      <c r="IC13" s="41" t="s">
        <v>460</v>
      </c>
      <c r="ID13" s="234"/>
      <c r="IE13" s="234"/>
      <c r="IF13" s="41" t="s">
        <v>460</v>
      </c>
      <c r="IG13" s="41" t="s">
        <v>460</v>
      </c>
      <c r="IH13" s="41" t="s">
        <v>460</v>
      </c>
      <c r="II13" s="41" t="s">
        <v>460</v>
      </c>
      <c r="IJ13" s="41" t="s">
        <v>460</v>
      </c>
      <c r="IK13" s="234"/>
      <c r="IL13" s="234"/>
      <c r="IM13" s="41"/>
      <c r="IN13" s="41"/>
      <c r="IO13" s="41"/>
      <c r="IP13" s="41"/>
      <c r="IQ13" s="41"/>
      <c r="IR13" s="234"/>
      <c r="IS13" s="234"/>
      <c r="IT13" s="41"/>
      <c r="IU13" s="41"/>
      <c r="IV13" s="41"/>
      <c r="IW13" s="41"/>
      <c r="IX13" s="41"/>
      <c r="IY13" s="234"/>
      <c r="IZ13" s="234"/>
      <c r="JA13" s="41"/>
      <c r="JB13" s="41"/>
      <c r="JC13" s="41"/>
      <c r="JD13" s="41"/>
      <c r="JE13" s="41"/>
      <c r="JF13" s="234"/>
      <c r="JG13" s="234"/>
      <c r="JH13" s="41"/>
      <c r="JI13" s="41"/>
      <c r="JJ13" s="41"/>
      <c r="JK13" s="41"/>
      <c r="JL13" s="41"/>
      <c r="JM13" s="234"/>
      <c r="JN13" s="234"/>
      <c r="JO13" s="41"/>
      <c r="JP13" s="41"/>
      <c r="JQ13" s="41"/>
      <c r="JR13" s="41"/>
      <c r="JS13" s="41"/>
      <c r="JT13" s="234"/>
      <c r="JU13" s="234"/>
      <c r="JV13" s="41"/>
      <c r="JW13" s="41"/>
      <c r="JX13" s="41"/>
      <c r="JY13" s="41"/>
      <c r="JZ13" s="41"/>
      <c r="KA13" s="234"/>
      <c r="KB13" s="234"/>
      <c r="KC13" s="41"/>
      <c r="KD13" s="41"/>
      <c r="KE13" s="41"/>
      <c r="KF13" s="41"/>
      <c r="KG13" s="41"/>
      <c r="KH13" s="234"/>
      <c r="KI13" s="234"/>
      <c r="KJ13" s="41"/>
      <c r="KK13" s="41"/>
      <c r="KL13" s="41"/>
      <c r="KM13" s="41"/>
      <c r="KN13" s="41"/>
      <c r="KO13" s="234"/>
      <c r="KP13" s="234"/>
      <c r="KQ13" s="41"/>
      <c r="KR13" s="41"/>
      <c r="KS13" s="41"/>
      <c r="KT13" s="41"/>
      <c r="KU13" s="41"/>
      <c r="KV13" s="234"/>
      <c r="KW13" s="234"/>
      <c r="KX13" s="41"/>
      <c r="KY13" s="41"/>
      <c r="KZ13" s="41"/>
      <c r="LA13" s="41"/>
      <c r="LB13" s="41"/>
      <c r="LC13" s="234"/>
      <c r="LD13" s="234"/>
      <c r="LE13" s="41"/>
      <c r="LF13" s="41"/>
      <c r="LG13" s="41"/>
      <c r="LH13" s="41"/>
      <c r="LI13" s="41"/>
      <c r="LJ13" s="234"/>
      <c r="LK13" s="234"/>
      <c r="LL13" s="41"/>
      <c r="LM13" s="41"/>
      <c r="LN13" s="41"/>
      <c r="LO13" s="41"/>
      <c r="LP13" s="41"/>
      <c r="LQ13" s="234"/>
      <c r="LR13" s="234"/>
      <c r="LS13" s="41"/>
      <c r="LT13" s="41"/>
      <c r="LU13" s="41"/>
      <c r="LV13" s="41"/>
      <c r="LW13" s="41"/>
      <c r="LX13" s="234"/>
      <c r="LY13" s="234"/>
      <c r="LZ13" s="41"/>
      <c r="MA13" s="41"/>
      <c r="MB13" s="41"/>
      <c r="MC13" s="41"/>
      <c r="MD13" s="41"/>
      <c r="ME13" s="234"/>
      <c r="MF13" s="234"/>
      <c r="MG13" s="41"/>
      <c r="MH13" s="41"/>
      <c r="MI13" s="41"/>
      <c r="MJ13" s="41"/>
      <c r="MK13" s="41"/>
      <c r="ML13" s="234"/>
      <c r="MM13" s="234"/>
      <c r="MN13" s="41"/>
      <c r="MO13" s="41"/>
      <c r="MP13" s="41"/>
      <c r="MQ13" s="41"/>
      <c r="MR13" s="41"/>
      <c r="MS13" s="234"/>
      <c r="MT13" s="234"/>
      <c r="MU13" s="41"/>
      <c r="MV13" s="41"/>
      <c r="MW13" s="41"/>
      <c r="MX13" s="41"/>
      <c r="MY13" s="41"/>
      <c r="MZ13" s="234"/>
      <c r="NA13" s="234"/>
      <c r="NB13" s="41"/>
      <c r="NC13" s="41"/>
      <c r="ND13" s="41"/>
      <c r="NE13" s="41"/>
      <c r="NF13" s="41"/>
      <c r="NG13" s="234"/>
      <c r="NH13" s="234"/>
      <c r="NI13" s="41"/>
      <c r="NJ13" s="41"/>
      <c r="NK13" s="41"/>
      <c r="NL13" s="41"/>
      <c r="NM13" s="41"/>
      <c r="NN13" s="234"/>
      <c r="NO13" s="234"/>
      <c r="NP13" s="41"/>
      <c r="NQ13" s="41"/>
      <c r="NR13" s="41"/>
      <c r="NS13" s="41"/>
      <c r="NT13" s="41"/>
      <c r="NU13" s="234"/>
    </row>
    <row r="14" spans="2:385" ht="15" thickBot="1" x14ac:dyDescent="0.35">
      <c r="B14" s="38">
        <v>44176</v>
      </c>
      <c r="C14" s="9">
        <v>35</v>
      </c>
      <c r="D14" s="207" t="s">
        <v>12</v>
      </c>
      <c r="E14" s="183" t="s">
        <v>8</v>
      </c>
      <c r="F14" s="146" t="s">
        <v>9</v>
      </c>
      <c r="G14" s="155" t="s">
        <v>70</v>
      </c>
      <c r="H14" s="156" t="s">
        <v>71</v>
      </c>
      <c r="I14" s="239"/>
      <c r="J14" s="41"/>
      <c r="K14" s="41"/>
      <c r="L14" s="41"/>
      <c r="M14" s="41"/>
      <c r="N14" s="230"/>
      <c r="O14" s="230"/>
      <c r="P14" s="41"/>
      <c r="Q14" s="41"/>
      <c r="R14" s="41"/>
      <c r="S14" s="41"/>
      <c r="T14" s="41"/>
      <c r="U14" s="230"/>
      <c r="V14" s="230"/>
      <c r="W14" s="41"/>
      <c r="X14" s="41"/>
      <c r="Y14" s="41"/>
      <c r="Z14" s="41"/>
      <c r="AA14" s="41"/>
      <c r="AB14" s="230"/>
      <c r="AC14" s="230"/>
      <c r="AD14" s="125"/>
      <c r="AE14" s="41"/>
      <c r="AF14" s="41"/>
      <c r="AG14" s="41"/>
      <c r="AH14" s="41"/>
      <c r="AI14" s="230"/>
      <c r="AJ14" s="230"/>
      <c r="AK14" s="41"/>
      <c r="AL14" s="41"/>
      <c r="AM14" s="41"/>
      <c r="AN14" s="41"/>
      <c r="AO14" s="41"/>
      <c r="AP14" s="230"/>
      <c r="AQ14" s="230"/>
      <c r="AR14" s="125"/>
      <c r="AS14" s="41"/>
      <c r="AT14" s="41"/>
      <c r="AU14" s="41"/>
      <c r="AV14" s="41"/>
      <c r="AW14" s="230"/>
      <c r="AX14" s="230"/>
      <c r="AY14" s="41"/>
      <c r="AZ14" s="41"/>
      <c r="BA14" s="41"/>
      <c r="BB14" s="41"/>
      <c r="BC14" s="41"/>
      <c r="BD14" s="230"/>
      <c r="BE14" s="230"/>
      <c r="BF14" s="125"/>
      <c r="BG14" s="125"/>
      <c r="BH14" s="125"/>
      <c r="BI14" s="125"/>
      <c r="BJ14" s="125"/>
      <c r="BK14" s="230"/>
      <c r="BL14" s="230"/>
      <c r="BM14" s="41"/>
      <c r="BN14" s="41"/>
      <c r="BO14" s="41"/>
      <c r="BP14" s="41"/>
      <c r="BQ14" s="41"/>
      <c r="BR14" s="230"/>
      <c r="BS14" s="230"/>
      <c r="BT14" s="125"/>
      <c r="BU14" s="41"/>
      <c r="BV14" s="41"/>
      <c r="BW14" s="41"/>
      <c r="BX14" s="41"/>
      <c r="BY14" s="230"/>
      <c r="BZ14" s="230"/>
      <c r="CA14" s="41"/>
      <c r="CB14" s="41"/>
      <c r="CC14" s="41"/>
      <c r="CD14" s="41"/>
      <c r="CE14" s="41"/>
      <c r="CF14" s="230"/>
      <c r="CG14" s="230"/>
      <c r="CH14" s="125"/>
      <c r="CI14" s="41"/>
      <c r="CJ14" s="41"/>
      <c r="CK14" s="41"/>
      <c r="CL14" s="41"/>
      <c r="CM14" s="230"/>
      <c r="CN14" s="230"/>
      <c r="CO14" s="41"/>
      <c r="CP14" s="41"/>
      <c r="CQ14" s="41"/>
      <c r="CR14" s="41"/>
      <c r="CS14" s="41"/>
      <c r="CT14" s="230"/>
      <c r="CU14" s="230"/>
      <c r="CV14" s="125"/>
      <c r="CW14" s="41"/>
      <c r="CX14" s="41"/>
      <c r="CY14" s="41"/>
      <c r="CZ14" s="41"/>
      <c r="DA14" s="230"/>
      <c r="DB14" s="230"/>
      <c r="DC14" s="41"/>
      <c r="DD14" s="41"/>
      <c r="DE14" s="41"/>
      <c r="DF14" s="41"/>
      <c r="DG14" s="41"/>
      <c r="DH14" s="230"/>
      <c r="DI14" s="230"/>
      <c r="DJ14" s="125"/>
      <c r="DK14" s="41"/>
      <c r="DL14" s="41"/>
      <c r="DM14" s="41"/>
      <c r="DN14" s="41"/>
      <c r="DO14" s="230"/>
      <c r="DP14" s="230"/>
      <c r="DQ14" s="136" t="s">
        <v>460</v>
      </c>
      <c r="DR14" s="41"/>
      <c r="DS14" s="41"/>
      <c r="DT14" s="41"/>
      <c r="DU14" s="41"/>
      <c r="DV14" s="230"/>
      <c r="DW14" s="230"/>
      <c r="DX14" s="41"/>
      <c r="DY14" s="41"/>
      <c r="DZ14" s="41"/>
      <c r="EA14" s="139" t="s">
        <v>460</v>
      </c>
      <c r="EB14" s="41"/>
      <c r="EC14" s="230"/>
      <c r="ED14" s="230"/>
      <c r="EE14" s="125"/>
      <c r="EF14" s="41"/>
      <c r="EG14" s="41"/>
      <c r="EH14" s="41"/>
      <c r="EI14" s="41"/>
      <c r="EJ14" s="230"/>
      <c r="EK14" s="230"/>
      <c r="EL14" s="125"/>
      <c r="EM14" s="41"/>
      <c r="EN14" s="41"/>
      <c r="EO14" s="41"/>
      <c r="EP14" s="41"/>
      <c r="EQ14" s="230"/>
      <c r="ER14" s="230"/>
      <c r="ES14" s="41"/>
      <c r="ET14" s="41"/>
      <c r="EU14" s="41"/>
      <c r="EV14" s="41"/>
      <c r="EW14" s="41"/>
      <c r="EX14" s="230"/>
      <c r="EY14" s="230"/>
      <c r="EZ14" s="125"/>
      <c r="FA14" s="41"/>
      <c r="FB14" s="41"/>
      <c r="FC14" s="41"/>
      <c r="FD14" s="41"/>
      <c r="FE14" s="230"/>
      <c r="FF14" s="230"/>
      <c r="FG14" s="136"/>
      <c r="FH14" s="41"/>
      <c r="FI14" s="41"/>
      <c r="FJ14" s="41"/>
      <c r="FK14" s="41"/>
      <c r="FL14" s="230"/>
      <c r="FM14" s="230"/>
      <c r="FN14" s="139" t="s">
        <v>460</v>
      </c>
      <c r="FO14" s="41"/>
      <c r="FP14" s="41"/>
      <c r="FQ14" s="41"/>
      <c r="FR14" s="41"/>
      <c r="FS14" s="230"/>
      <c r="FT14" s="230"/>
      <c r="FU14" s="125"/>
      <c r="FV14" s="41"/>
      <c r="FW14" s="41"/>
      <c r="FX14" s="41"/>
      <c r="FY14" s="41"/>
      <c r="FZ14" s="230"/>
      <c r="GA14" s="230"/>
      <c r="GB14" s="125"/>
      <c r="GC14" s="41"/>
      <c r="GD14" s="41"/>
      <c r="GE14" s="41"/>
      <c r="GF14" s="41"/>
      <c r="GG14" s="230"/>
      <c r="GH14" s="230"/>
      <c r="GI14" s="41"/>
      <c r="GJ14" s="41"/>
      <c r="GK14" s="41"/>
      <c r="GL14" s="41"/>
      <c r="GM14" s="41"/>
      <c r="GN14" s="230"/>
      <c r="GO14" s="230"/>
      <c r="GP14" s="125"/>
      <c r="GQ14" s="41"/>
      <c r="GR14" s="41"/>
      <c r="GS14" s="41"/>
      <c r="GT14" s="41"/>
      <c r="GU14" s="230"/>
      <c r="GV14" s="230"/>
      <c r="GW14" s="125" t="s">
        <v>460</v>
      </c>
      <c r="GX14" s="41"/>
      <c r="GY14" s="41"/>
      <c r="GZ14" s="41"/>
      <c r="HA14" s="41"/>
      <c r="HB14" s="230"/>
      <c r="HC14" s="230"/>
      <c r="HD14" s="41"/>
      <c r="HE14" s="41"/>
      <c r="HF14" s="41"/>
      <c r="HG14" s="41"/>
      <c r="HH14" s="41"/>
      <c r="HI14" s="234"/>
      <c r="HJ14" s="234"/>
      <c r="HK14" s="41"/>
      <c r="HL14" s="41"/>
      <c r="HM14" s="41"/>
      <c r="HN14" s="41"/>
      <c r="HO14" s="41"/>
      <c r="HP14" s="234"/>
      <c r="HQ14" s="234"/>
      <c r="HR14" s="41"/>
      <c r="HS14" s="41"/>
      <c r="HT14" s="41"/>
      <c r="HU14" s="41"/>
      <c r="HV14" s="41"/>
      <c r="HW14" s="234"/>
      <c r="HX14" s="234"/>
      <c r="HY14" s="41" t="s">
        <v>460</v>
      </c>
      <c r="HZ14" s="41" t="s">
        <v>460</v>
      </c>
      <c r="IA14" s="41" t="s">
        <v>460</v>
      </c>
      <c r="IB14" s="41" t="s">
        <v>460</v>
      </c>
      <c r="IC14" s="41" t="s">
        <v>460</v>
      </c>
      <c r="ID14" s="234"/>
      <c r="IE14" s="234"/>
      <c r="IF14" s="41" t="s">
        <v>460</v>
      </c>
      <c r="IG14" s="41" t="s">
        <v>460</v>
      </c>
      <c r="IH14" s="41" t="s">
        <v>460</v>
      </c>
      <c r="II14" s="41" t="s">
        <v>460</v>
      </c>
      <c r="IJ14" s="41" t="s">
        <v>460</v>
      </c>
      <c r="IK14" s="234"/>
      <c r="IL14" s="234"/>
      <c r="IM14" s="41"/>
      <c r="IN14" s="41"/>
      <c r="IO14" s="41"/>
      <c r="IP14" s="41"/>
      <c r="IQ14" s="41"/>
      <c r="IR14" s="234"/>
      <c r="IS14" s="234"/>
      <c r="IT14" s="41"/>
      <c r="IU14" s="41"/>
      <c r="IV14" s="41"/>
      <c r="IW14" s="41"/>
      <c r="IX14" s="41"/>
      <c r="IY14" s="234"/>
      <c r="IZ14" s="234"/>
      <c r="JA14" s="41"/>
      <c r="JB14" s="41"/>
      <c r="JC14" s="41"/>
      <c r="JD14" s="41"/>
      <c r="JE14" s="41"/>
      <c r="JF14" s="234"/>
      <c r="JG14" s="234"/>
      <c r="JH14" s="41"/>
      <c r="JI14" s="41"/>
      <c r="JJ14" s="41"/>
      <c r="JK14" s="41"/>
      <c r="JL14" s="41"/>
      <c r="JM14" s="234"/>
      <c r="JN14" s="234"/>
      <c r="JO14" s="41"/>
      <c r="JP14" s="41"/>
      <c r="JQ14" s="41"/>
      <c r="JR14" s="41"/>
      <c r="JS14" s="41"/>
      <c r="JT14" s="234"/>
      <c r="JU14" s="234"/>
      <c r="JV14" s="41"/>
      <c r="JW14" s="41"/>
      <c r="JX14" s="41"/>
      <c r="JY14" s="41"/>
      <c r="JZ14" s="41"/>
      <c r="KA14" s="234"/>
      <c r="KB14" s="234"/>
      <c r="KC14" s="41"/>
      <c r="KD14" s="41"/>
      <c r="KE14" s="41"/>
      <c r="KF14" s="41"/>
      <c r="KG14" s="41"/>
      <c r="KH14" s="234"/>
      <c r="KI14" s="234"/>
      <c r="KJ14" s="41"/>
      <c r="KK14" s="41"/>
      <c r="KL14" s="41"/>
      <c r="KM14" s="41"/>
      <c r="KN14" s="41"/>
      <c r="KO14" s="234"/>
      <c r="KP14" s="234"/>
      <c r="KQ14" s="41"/>
      <c r="KR14" s="41"/>
      <c r="KS14" s="41"/>
      <c r="KT14" s="41"/>
      <c r="KU14" s="41"/>
      <c r="KV14" s="234"/>
      <c r="KW14" s="234"/>
      <c r="KX14" s="41"/>
      <c r="KY14" s="41"/>
      <c r="KZ14" s="41"/>
      <c r="LA14" s="41"/>
      <c r="LB14" s="41"/>
      <c r="LC14" s="234"/>
      <c r="LD14" s="234"/>
      <c r="LE14" s="41"/>
      <c r="LF14" s="41"/>
      <c r="LG14" s="41"/>
      <c r="LH14" s="41"/>
      <c r="LI14" s="41"/>
      <c r="LJ14" s="234"/>
      <c r="LK14" s="234"/>
      <c r="LL14" s="41"/>
      <c r="LM14" s="41"/>
      <c r="LN14" s="41"/>
      <c r="LO14" s="41"/>
      <c r="LP14" s="41"/>
      <c r="LQ14" s="234"/>
      <c r="LR14" s="234"/>
      <c r="LS14" s="41"/>
      <c r="LT14" s="41"/>
      <c r="LU14" s="41"/>
      <c r="LV14" s="41"/>
      <c r="LW14" s="41"/>
      <c r="LX14" s="234"/>
      <c r="LY14" s="234"/>
      <c r="LZ14" s="41"/>
      <c r="MA14" s="41"/>
      <c r="MB14" s="41"/>
      <c r="MC14" s="41"/>
      <c r="MD14" s="41"/>
      <c r="ME14" s="234"/>
      <c r="MF14" s="234"/>
      <c r="MG14" s="41"/>
      <c r="MH14" s="41"/>
      <c r="MI14" s="41"/>
      <c r="MJ14" s="41"/>
      <c r="MK14" s="41"/>
      <c r="ML14" s="234"/>
      <c r="MM14" s="234"/>
      <c r="MN14" s="41"/>
      <c r="MO14" s="41"/>
      <c r="MP14" s="41"/>
      <c r="MQ14" s="41"/>
      <c r="MR14" s="41"/>
      <c r="MS14" s="234"/>
      <c r="MT14" s="234"/>
      <c r="MU14" s="41"/>
      <c r="MV14" s="41"/>
      <c r="MW14" s="41"/>
      <c r="MX14" s="41"/>
      <c r="MY14" s="41"/>
      <c r="MZ14" s="234"/>
      <c r="NA14" s="234"/>
      <c r="NB14" s="41"/>
      <c r="NC14" s="41"/>
      <c r="ND14" s="41"/>
      <c r="NE14" s="41"/>
      <c r="NF14" s="41"/>
      <c r="NG14" s="234"/>
      <c r="NH14" s="234"/>
      <c r="NI14" s="41"/>
      <c r="NJ14" s="41"/>
      <c r="NK14" s="41"/>
      <c r="NL14" s="41"/>
      <c r="NM14" s="41"/>
      <c r="NN14" s="234"/>
      <c r="NO14" s="234"/>
      <c r="NP14" s="41"/>
      <c r="NQ14" s="41"/>
      <c r="NR14" s="41"/>
      <c r="NS14" s="41"/>
      <c r="NT14" s="41"/>
      <c r="NU14" s="234"/>
    </row>
    <row r="15" spans="2:385" ht="15" thickBot="1" x14ac:dyDescent="0.35">
      <c r="B15" s="49">
        <v>17098</v>
      </c>
      <c r="C15" s="50">
        <v>35</v>
      </c>
      <c r="D15" s="207" t="s">
        <v>12</v>
      </c>
      <c r="E15" s="183" t="s">
        <v>8</v>
      </c>
      <c r="F15" s="146" t="s">
        <v>9</v>
      </c>
      <c r="G15" s="155" t="s">
        <v>149</v>
      </c>
      <c r="H15" s="156" t="s">
        <v>150</v>
      </c>
      <c r="I15" s="239"/>
      <c r="J15" s="41"/>
      <c r="K15" s="41"/>
      <c r="L15" s="41"/>
      <c r="M15" s="41"/>
      <c r="N15" s="230"/>
      <c r="O15" s="230"/>
      <c r="P15" s="41"/>
      <c r="Q15" s="41"/>
      <c r="R15" s="41"/>
      <c r="S15" s="41"/>
      <c r="T15" s="41"/>
      <c r="U15" s="230"/>
      <c r="V15" s="230"/>
      <c r="W15" s="41"/>
      <c r="X15" s="41"/>
      <c r="Y15" s="41"/>
      <c r="Z15" s="41"/>
      <c r="AA15" s="41"/>
      <c r="AB15" s="230"/>
      <c r="AC15" s="230"/>
      <c r="AD15" s="125" t="s">
        <v>460</v>
      </c>
      <c r="AE15" s="41" t="s">
        <v>460</v>
      </c>
      <c r="AF15" s="41" t="s">
        <v>460</v>
      </c>
      <c r="AG15" s="41" t="s">
        <v>460</v>
      </c>
      <c r="AH15" s="41" t="s">
        <v>460</v>
      </c>
      <c r="AI15" s="230"/>
      <c r="AJ15" s="230"/>
      <c r="AK15" s="41" t="s">
        <v>460</v>
      </c>
      <c r="AL15" s="41" t="s">
        <v>460</v>
      </c>
      <c r="AM15" s="41" t="s">
        <v>460</v>
      </c>
      <c r="AN15" s="41" t="s">
        <v>460</v>
      </c>
      <c r="AO15" s="41" t="s">
        <v>460</v>
      </c>
      <c r="AP15" s="230"/>
      <c r="AQ15" s="230"/>
      <c r="AR15" s="125"/>
      <c r="AS15" s="41"/>
      <c r="AT15" s="41"/>
      <c r="AU15" s="41"/>
      <c r="AV15" s="41"/>
      <c r="AW15" s="230"/>
      <c r="AX15" s="230"/>
      <c r="AY15" s="41"/>
      <c r="AZ15" s="41"/>
      <c r="BA15" s="41"/>
      <c r="BB15" s="41"/>
      <c r="BC15" s="41"/>
      <c r="BD15" s="230"/>
      <c r="BE15" s="230"/>
      <c r="BF15" s="125" t="s">
        <v>460</v>
      </c>
      <c r="BG15" s="41" t="s">
        <v>460</v>
      </c>
      <c r="BH15" s="41" t="s">
        <v>460</v>
      </c>
      <c r="BI15" s="41" t="s">
        <v>460</v>
      </c>
      <c r="BJ15" s="41" t="s">
        <v>460</v>
      </c>
      <c r="BK15" s="41" t="s">
        <v>460</v>
      </c>
      <c r="BL15" s="41" t="s">
        <v>460</v>
      </c>
      <c r="BM15" s="41"/>
      <c r="BN15" s="41"/>
      <c r="BO15" s="41"/>
      <c r="BP15" s="41"/>
      <c r="BQ15" s="41"/>
      <c r="BR15" s="230"/>
      <c r="BS15" s="230"/>
      <c r="BT15" s="125"/>
      <c r="BU15" s="125"/>
      <c r="BV15" s="125"/>
      <c r="BW15" s="125"/>
      <c r="BX15" s="125"/>
      <c r="BY15" s="230"/>
      <c r="BZ15" s="230"/>
      <c r="CA15" s="41"/>
      <c r="CB15" s="41"/>
      <c r="CC15" s="41"/>
      <c r="CD15" s="41"/>
      <c r="CE15" s="41"/>
      <c r="CF15" s="230"/>
      <c r="CG15" s="230"/>
      <c r="CH15" s="41"/>
      <c r="CI15" s="41"/>
      <c r="CJ15" s="41"/>
      <c r="CK15" s="41"/>
      <c r="CL15" s="41"/>
      <c r="CM15" s="230"/>
      <c r="CN15" s="230"/>
      <c r="CO15" s="41"/>
      <c r="CP15" s="41"/>
      <c r="CQ15" s="41"/>
      <c r="CR15" s="41"/>
      <c r="CS15" s="41"/>
      <c r="CT15" s="230"/>
      <c r="CU15" s="230"/>
      <c r="CV15" s="125"/>
      <c r="CW15" s="41"/>
      <c r="CX15" s="41"/>
      <c r="CY15" s="41"/>
      <c r="CZ15" s="41"/>
      <c r="DA15" s="230"/>
      <c r="DB15" s="230"/>
      <c r="DC15" s="41"/>
      <c r="DD15" s="41"/>
      <c r="DE15" s="41"/>
      <c r="DF15" s="41"/>
      <c r="DG15" s="41"/>
      <c r="DH15" s="230"/>
      <c r="DI15" s="230"/>
      <c r="DJ15" s="125"/>
      <c r="DK15" s="41"/>
      <c r="DL15" s="41"/>
      <c r="DM15" s="41"/>
      <c r="DN15" s="41"/>
      <c r="DO15" s="230"/>
      <c r="DP15" s="230"/>
      <c r="DQ15" s="136" t="s">
        <v>460</v>
      </c>
      <c r="DR15" s="41"/>
      <c r="DS15" s="41"/>
      <c r="DT15" s="41"/>
      <c r="DU15" s="41"/>
      <c r="DV15" s="230"/>
      <c r="DW15" s="230"/>
      <c r="DX15" s="41"/>
      <c r="DY15" s="41"/>
      <c r="DZ15" s="41"/>
      <c r="EA15" s="139" t="s">
        <v>460</v>
      </c>
      <c r="EB15" s="41"/>
      <c r="EC15" s="230"/>
      <c r="ED15" s="230"/>
      <c r="EE15" s="125"/>
      <c r="EF15" s="41"/>
      <c r="EG15" s="41"/>
      <c r="EH15" s="41"/>
      <c r="EI15" s="41"/>
      <c r="EJ15" s="230"/>
      <c r="EK15" s="230"/>
      <c r="EL15" s="125"/>
      <c r="EM15" s="41"/>
      <c r="EN15" s="41"/>
      <c r="EO15" s="41"/>
      <c r="EP15" s="41"/>
      <c r="EQ15" s="230"/>
      <c r="ER15" s="230"/>
      <c r="ES15" s="41"/>
      <c r="ET15" s="41"/>
      <c r="EU15" s="41"/>
      <c r="EV15" s="41"/>
      <c r="EW15" s="41"/>
      <c r="EX15" s="230"/>
      <c r="EY15" s="230"/>
      <c r="EZ15" s="125"/>
      <c r="FA15" s="41"/>
      <c r="FB15" s="41"/>
      <c r="FC15" s="41"/>
      <c r="FD15" s="41"/>
      <c r="FE15" s="230"/>
      <c r="FF15" s="230"/>
      <c r="FG15" s="136"/>
      <c r="FH15" s="41"/>
      <c r="FI15" s="41"/>
      <c r="FJ15" s="41"/>
      <c r="FK15" s="41"/>
      <c r="FL15" s="230"/>
      <c r="FM15" s="230"/>
      <c r="FN15" s="139" t="s">
        <v>460</v>
      </c>
      <c r="FO15" s="41"/>
      <c r="FP15" s="41"/>
      <c r="FQ15" s="41"/>
      <c r="FR15" s="41"/>
      <c r="FS15" s="230"/>
      <c r="FT15" s="230"/>
      <c r="FU15" s="125"/>
      <c r="FV15" s="41"/>
      <c r="FW15" s="41"/>
      <c r="FX15" s="41"/>
      <c r="FY15" s="41"/>
      <c r="FZ15" s="230"/>
      <c r="GA15" s="230"/>
      <c r="GB15" s="125"/>
      <c r="GC15" s="41"/>
      <c r="GD15" s="41"/>
      <c r="GE15" s="41"/>
      <c r="GF15" s="41"/>
      <c r="GG15" s="230"/>
      <c r="GH15" s="230"/>
      <c r="GI15" s="41"/>
      <c r="GJ15" s="41"/>
      <c r="GK15" s="41"/>
      <c r="GL15" s="41"/>
      <c r="GM15" s="41"/>
      <c r="GN15" s="230"/>
      <c r="GO15" s="230"/>
      <c r="GP15" s="125"/>
      <c r="GQ15" s="41"/>
      <c r="GR15" s="41"/>
      <c r="GS15" s="41"/>
      <c r="GT15" s="41"/>
      <c r="GU15" s="230"/>
      <c r="GV15" s="230"/>
      <c r="GW15" s="125" t="s">
        <v>460</v>
      </c>
      <c r="GX15" s="41"/>
      <c r="GY15" s="41"/>
      <c r="GZ15" s="41"/>
      <c r="HA15" s="41"/>
      <c r="HB15" s="230"/>
      <c r="HC15" s="230"/>
      <c r="HD15" s="41"/>
      <c r="HE15" s="41"/>
      <c r="HF15" s="41"/>
      <c r="HG15" s="41"/>
      <c r="HH15" s="41"/>
      <c r="HI15" s="234"/>
      <c r="HJ15" s="234"/>
      <c r="HK15" s="41" t="s">
        <v>460</v>
      </c>
      <c r="HL15" s="41" t="s">
        <v>460</v>
      </c>
      <c r="HM15" s="41" t="s">
        <v>460</v>
      </c>
      <c r="HN15" s="41" t="s">
        <v>460</v>
      </c>
      <c r="HO15" s="41" t="s">
        <v>460</v>
      </c>
      <c r="HP15" s="234"/>
      <c r="HQ15" s="234"/>
      <c r="HR15" s="41" t="s">
        <v>460</v>
      </c>
      <c r="HS15" s="41" t="s">
        <v>460</v>
      </c>
      <c r="HT15" s="41" t="s">
        <v>460</v>
      </c>
      <c r="HU15" s="41" t="s">
        <v>460</v>
      </c>
      <c r="HV15" s="41" t="s">
        <v>460</v>
      </c>
      <c r="HW15" s="234"/>
      <c r="HX15" s="234"/>
      <c r="HY15" s="41" t="s">
        <v>460</v>
      </c>
      <c r="HZ15" s="41" t="s">
        <v>460</v>
      </c>
      <c r="IA15" s="41" t="s">
        <v>460</v>
      </c>
      <c r="IB15" s="41" t="s">
        <v>460</v>
      </c>
      <c r="IC15" s="41" t="s">
        <v>460</v>
      </c>
      <c r="ID15" s="234"/>
      <c r="IE15" s="234"/>
      <c r="IF15" s="41"/>
      <c r="IG15" s="41"/>
      <c r="IH15" s="41"/>
      <c r="II15" s="41"/>
      <c r="IJ15" s="41"/>
      <c r="IK15" s="234"/>
      <c r="IL15" s="234"/>
      <c r="IM15" s="41"/>
      <c r="IN15" s="41"/>
      <c r="IO15" s="41"/>
      <c r="IP15" s="41"/>
      <c r="IQ15" s="41"/>
      <c r="IR15" s="234"/>
      <c r="IS15" s="234"/>
      <c r="IT15" s="41"/>
      <c r="IU15" s="41"/>
      <c r="IV15" s="41"/>
      <c r="IW15" s="41"/>
      <c r="IX15" s="41"/>
      <c r="IY15" s="234"/>
      <c r="IZ15" s="234"/>
      <c r="JA15" s="41"/>
      <c r="JB15" s="41"/>
      <c r="JC15" s="41"/>
      <c r="JD15" s="41"/>
      <c r="JE15" s="41"/>
      <c r="JF15" s="234"/>
      <c r="JG15" s="234"/>
      <c r="JH15" s="41"/>
      <c r="JI15" s="41"/>
      <c r="JJ15" s="41"/>
      <c r="JK15" s="41"/>
      <c r="JL15" s="41"/>
      <c r="JM15" s="234"/>
      <c r="JN15" s="234"/>
      <c r="JO15" s="41"/>
      <c r="JP15" s="41"/>
      <c r="JQ15" s="41"/>
      <c r="JR15" s="41"/>
      <c r="JS15" s="41"/>
      <c r="JT15" s="234"/>
      <c r="JU15" s="234"/>
      <c r="JV15" s="41"/>
      <c r="JW15" s="41"/>
      <c r="JX15" s="41"/>
      <c r="JY15" s="41"/>
      <c r="JZ15" s="41"/>
      <c r="KA15" s="234"/>
      <c r="KB15" s="234"/>
      <c r="KC15" s="41"/>
      <c r="KD15" s="41"/>
      <c r="KE15" s="41"/>
      <c r="KF15" s="41"/>
      <c r="KG15" s="41"/>
      <c r="KH15" s="234"/>
      <c r="KI15" s="234"/>
      <c r="KJ15" s="41"/>
      <c r="KK15" s="41"/>
      <c r="KL15" s="41"/>
      <c r="KM15" s="41"/>
      <c r="KN15" s="41"/>
      <c r="KO15" s="234"/>
      <c r="KP15" s="234"/>
      <c r="KQ15" s="41"/>
      <c r="KR15" s="41"/>
      <c r="KS15" s="41"/>
      <c r="KT15" s="41"/>
      <c r="KU15" s="41"/>
      <c r="KV15" s="234"/>
      <c r="KW15" s="234"/>
      <c r="KX15" s="41"/>
      <c r="KY15" s="41"/>
      <c r="KZ15" s="41"/>
      <c r="LA15" s="41"/>
      <c r="LB15" s="41"/>
      <c r="LC15" s="234"/>
      <c r="LD15" s="234"/>
      <c r="LE15" s="41"/>
      <c r="LF15" s="41"/>
      <c r="LG15" s="41"/>
      <c r="LH15" s="41"/>
      <c r="LI15" s="41"/>
      <c r="LJ15" s="234"/>
      <c r="LK15" s="234"/>
      <c r="LL15" s="41"/>
      <c r="LM15" s="41"/>
      <c r="LN15" s="41"/>
      <c r="LO15" s="41"/>
      <c r="LP15" s="41"/>
      <c r="LQ15" s="234"/>
      <c r="LR15" s="234"/>
      <c r="LS15" s="41"/>
      <c r="LT15" s="41"/>
      <c r="LU15" s="41"/>
      <c r="LV15" s="41"/>
      <c r="LW15" s="41"/>
      <c r="LX15" s="234"/>
      <c r="LY15" s="234"/>
      <c r="LZ15" s="41"/>
      <c r="MA15" s="41"/>
      <c r="MB15" s="41"/>
      <c r="MC15" s="41"/>
      <c r="MD15" s="41"/>
      <c r="ME15" s="234"/>
      <c r="MF15" s="234"/>
      <c r="MG15" s="41"/>
      <c r="MH15" s="41"/>
      <c r="MI15" s="41"/>
      <c r="MJ15" s="41"/>
      <c r="MK15" s="41"/>
      <c r="ML15" s="234"/>
      <c r="MM15" s="234"/>
      <c r="MN15" s="41"/>
      <c r="MO15" s="41"/>
      <c r="MP15" s="41"/>
      <c r="MQ15" s="41"/>
      <c r="MR15" s="41"/>
      <c r="MS15" s="234"/>
      <c r="MT15" s="234"/>
      <c r="MU15" s="41"/>
      <c r="MV15" s="41"/>
      <c r="MW15" s="41"/>
      <c r="MX15" s="41"/>
      <c r="MY15" s="41"/>
      <c r="MZ15" s="234"/>
      <c r="NA15" s="234"/>
      <c r="NB15" s="41"/>
      <c r="NC15" s="41"/>
      <c r="ND15" s="41"/>
      <c r="NE15" s="41"/>
      <c r="NF15" s="41"/>
      <c r="NG15" s="234"/>
      <c r="NH15" s="234"/>
      <c r="NI15" s="41"/>
      <c r="NJ15" s="41"/>
      <c r="NK15" s="41"/>
      <c r="NL15" s="41"/>
      <c r="NM15" s="41"/>
      <c r="NN15" s="234"/>
      <c r="NO15" s="234"/>
      <c r="NP15" s="41"/>
      <c r="NQ15" s="41"/>
      <c r="NR15" s="41"/>
      <c r="NS15" s="41"/>
      <c r="NT15" s="41"/>
      <c r="NU15" s="234"/>
    </row>
    <row r="16" spans="2:385" ht="15" thickBot="1" x14ac:dyDescent="0.35">
      <c r="B16" s="67">
        <v>105558</v>
      </c>
      <c r="C16" s="9">
        <v>35</v>
      </c>
      <c r="D16" s="206" t="s">
        <v>12</v>
      </c>
      <c r="E16" s="184" t="s">
        <v>8</v>
      </c>
      <c r="F16" s="146" t="s">
        <v>9</v>
      </c>
      <c r="G16" s="153" t="s">
        <v>151</v>
      </c>
      <c r="H16" s="154" t="s">
        <v>152</v>
      </c>
      <c r="I16" s="239"/>
      <c r="J16" s="41"/>
      <c r="K16" s="41"/>
      <c r="L16" s="41"/>
      <c r="M16" s="41"/>
      <c r="N16" s="230"/>
      <c r="O16" s="230"/>
      <c r="P16" s="41"/>
      <c r="Q16" s="41"/>
      <c r="R16" s="41"/>
      <c r="S16" s="41"/>
      <c r="T16" s="41"/>
      <c r="U16" s="230"/>
      <c r="V16" s="230"/>
      <c r="W16" s="41"/>
      <c r="X16" s="41"/>
      <c r="Y16" s="41"/>
      <c r="Z16" s="41"/>
      <c r="AA16" s="41"/>
      <c r="AB16" s="230"/>
      <c r="AC16" s="230"/>
      <c r="AD16" s="125"/>
      <c r="AE16" s="41"/>
      <c r="AF16" s="41"/>
      <c r="AG16" s="41"/>
      <c r="AH16" s="41"/>
      <c r="AI16" s="230"/>
      <c r="AJ16" s="230"/>
      <c r="AK16" s="41"/>
      <c r="AL16" s="41"/>
      <c r="AM16" s="41"/>
      <c r="AN16" s="41"/>
      <c r="AO16" s="41"/>
      <c r="AP16" s="230"/>
      <c r="AQ16" s="230"/>
      <c r="AR16" s="125"/>
      <c r="AS16" s="41"/>
      <c r="AT16" s="41"/>
      <c r="AU16" s="41"/>
      <c r="AV16" s="41"/>
      <c r="AW16" s="230"/>
      <c r="AX16" s="230"/>
      <c r="AY16" s="41"/>
      <c r="AZ16" s="41"/>
      <c r="BA16" s="41"/>
      <c r="BB16" s="41"/>
      <c r="BC16" s="41"/>
      <c r="BD16" s="230"/>
      <c r="BE16" s="230"/>
      <c r="BF16" s="125"/>
      <c r="BG16" s="41"/>
      <c r="BH16" s="41"/>
      <c r="BI16" s="41"/>
      <c r="BJ16" s="41"/>
      <c r="BK16" s="230"/>
      <c r="BL16" s="230"/>
      <c r="BM16" s="41"/>
      <c r="BN16" s="41"/>
      <c r="BO16" s="41"/>
      <c r="BP16" s="41"/>
      <c r="BQ16" s="41"/>
      <c r="BR16" s="230"/>
      <c r="BS16" s="230"/>
      <c r="BT16" s="125"/>
      <c r="BU16" s="41"/>
      <c r="BV16" s="41"/>
      <c r="BW16" s="41"/>
      <c r="BX16" s="41"/>
      <c r="BY16" s="230"/>
      <c r="BZ16" s="230"/>
      <c r="CA16" s="41"/>
      <c r="CB16" s="41"/>
      <c r="CC16" s="41"/>
      <c r="CD16" s="41"/>
      <c r="CE16" s="41"/>
      <c r="CF16" s="230"/>
      <c r="CG16" s="230"/>
      <c r="CH16" s="125" t="s">
        <v>460</v>
      </c>
      <c r="CI16" s="125" t="s">
        <v>460</v>
      </c>
      <c r="CJ16" s="125" t="s">
        <v>460</v>
      </c>
      <c r="CK16" s="125" t="s">
        <v>460</v>
      </c>
      <c r="CL16" s="125" t="s">
        <v>460</v>
      </c>
      <c r="CM16" s="230"/>
      <c r="CN16" s="230"/>
      <c r="CO16" s="41"/>
      <c r="CP16" s="41"/>
      <c r="CQ16" s="41"/>
      <c r="CR16" s="41"/>
      <c r="CS16" s="41"/>
      <c r="CT16" s="230"/>
      <c r="CU16" s="230"/>
      <c r="CV16" s="125"/>
      <c r="CW16" s="41"/>
      <c r="CX16" s="41"/>
      <c r="CY16" s="41"/>
      <c r="CZ16" s="41"/>
      <c r="DA16" s="230"/>
      <c r="DB16" s="230"/>
      <c r="DC16" s="41"/>
      <c r="DD16" s="41"/>
      <c r="DE16" s="41"/>
      <c r="DF16" s="41"/>
      <c r="DG16" s="41"/>
      <c r="DH16" s="230"/>
      <c r="DI16" s="230"/>
      <c r="DJ16" s="125" t="s">
        <v>460</v>
      </c>
      <c r="DK16" s="125" t="s">
        <v>460</v>
      </c>
      <c r="DL16" s="125" t="s">
        <v>460</v>
      </c>
      <c r="DM16" s="125" t="s">
        <v>460</v>
      </c>
      <c r="DN16" s="125" t="s">
        <v>460</v>
      </c>
      <c r="DO16" s="230"/>
      <c r="DP16" s="230"/>
      <c r="DQ16" s="136" t="s">
        <v>460</v>
      </c>
      <c r="DR16" s="125"/>
      <c r="DS16" s="125"/>
      <c r="DT16" s="125"/>
      <c r="DU16" s="125"/>
      <c r="DV16" s="230"/>
      <c r="DW16" s="230"/>
      <c r="DX16" s="41"/>
      <c r="DY16" s="41"/>
      <c r="DZ16" s="41"/>
      <c r="EA16" s="139" t="s">
        <v>460</v>
      </c>
      <c r="EB16" s="41"/>
      <c r="EC16" s="230"/>
      <c r="ED16" s="230"/>
      <c r="EE16" s="125"/>
      <c r="EF16" s="41"/>
      <c r="EG16" s="41"/>
      <c r="EH16" s="41"/>
      <c r="EI16" s="41"/>
      <c r="EJ16" s="230"/>
      <c r="EK16" s="230"/>
      <c r="EL16" s="125"/>
      <c r="EM16" s="41"/>
      <c r="EN16" s="41"/>
      <c r="EO16" s="41"/>
      <c r="EP16" s="41"/>
      <c r="EQ16" s="230"/>
      <c r="ER16" s="230"/>
      <c r="ES16" s="41"/>
      <c r="ET16" s="41"/>
      <c r="EU16" s="41"/>
      <c r="EV16" s="41"/>
      <c r="EW16" s="41"/>
      <c r="EX16" s="230"/>
      <c r="EY16" s="230"/>
      <c r="EZ16" s="125"/>
      <c r="FA16" s="125"/>
      <c r="FB16" s="125"/>
      <c r="FC16" s="125"/>
      <c r="FD16" s="125"/>
      <c r="FE16" s="230"/>
      <c r="FF16" s="230"/>
      <c r="FG16" s="136"/>
      <c r="FH16" s="41"/>
      <c r="FI16" s="41"/>
      <c r="FJ16" s="41"/>
      <c r="FK16" s="41"/>
      <c r="FL16" s="230"/>
      <c r="FM16" s="230"/>
      <c r="FN16" s="139" t="s">
        <v>460</v>
      </c>
      <c r="FO16" s="41"/>
      <c r="FP16" s="41"/>
      <c r="FQ16" s="41"/>
      <c r="FR16" s="41"/>
      <c r="FS16" s="230"/>
      <c r="FT16" s="230"/>
      <c r="FU16" s="125"/>
      <c r="FV16" s="41"/>
      <c r="FW16" s="41"/>
      <c r="FX16" s="41"/>
      <c r="FY16" s="41"/>
      <c r="FZ16" s="230"/>
      <c r="GA16" s="230"/>
      <c r="GB16" s="125"/>
      <c r="GC16" s="41"/>
      <c r="GD16" s="41"/>
      <c r="GE16" s="41"/>
      <c r="GF16" s="41"/>
      <c r="GG16" s="230"/>
      <c r="GH16" s="230"/>
      <c r="GI16" s="41"/>
      <c r="GJ16" s="41"/>
      <c r="GK16" s="41"/>
      <c r="GL16" s="41"/>
      <c r="GM16" s="41"/>
      <c r="GN16" s="230"/>
      <c r="GO16" s="230"/>
      <c r="GP16" s="125"/>
      <c r="GQ16" s="41"/>
      <c r="GR16" s="41"/>
      <c r="GS16" s="41"/>
      <c r="GT16" s="41"/>
      <c r="GU16" s="230"/>
      <c r="GV16" s="230"/>
      <c r="GW16" s="125" t="s">
        <v>460</v>
      </c>
      <c r="GX16" s="41"/>
      <c r="GY16" s="41"/>
      <c r="GZ16" s="41"/>
      <c r="HA16" s="41"/>
      <c r="HB16" s="230"/>
      <c r="HC16" s="230"/>
      <c r="HD16" s="41"/>
      <c r="HE16" s="41"/>
      <c r="HF16" s="41"/>
      <c r="HG16" s="41"/>
      <c r="HH16" s="41"/>
      <c r="HI16" s="234"/>
      <c r="HJ16" s="234"/>
      <c r="HK16" s="41" t="s">
        <v>460</v>
      </c>
      <c r="HL16" s="41" t="s">
        <v>460</v>
      </c>
      <c r="HM16" s="41" t="s">
        <v>460</v>
      </c>
      <c r="HN16" s="41" t="s">
        <v>460</v>
      </c>
      <c r="HO16" s="41" t="s">
        <v>460</v>
      </c>
      <c r="HP16" s="234"/>
      <c r="HQ16" s="234"/>
      <c r="HR16" s="41" t="s">
        <v>460</v>
      </c>
      <c r="HS16" s="41" t="s">
        <v>460</v>
      </c>
      <c r="HT16" s="41" t="s">
        <v>460</v>
      </c>
      <c r="HU16" s="41" t="s">
        <v>460</v>
      </c>
      <c r="HV16" s="41" t="s">
        <v>460</v>
      </c>
      <c r="HW16" s="234"/>
      <c r="HX16" s="234"/>
      <c r="HY16" s="41"/>
      <c r="HZ16" s="41"/>
      <c r="IA16" s="41"/>
      <c r="IB16" s="41"/>
      <c r="IC16" s="41"/>
      <c r="ID16" s="234"/>
      <c r="IE16" s="234"/>
      <c r="IF16" s="41"/>
      <c r="IG16" s="41"/>
      <c r="IH16" s="41"/>
      <c r="II16" s="41"/>
      <c r="IJ16" s="41"/>
      <c r="IK16" s="234"/>
      <c r="IL16" s="234"/>
      <c r="IM16" s="41"/>
      <c r="IN16" s="41"/>
      <c r="IO16" s="41"/>
      <c r="IP16" s="41"/>
      <c r="IQ16" s="41"/>
      <c r="IR16" s="234"/>
      <c r="IS16" s="234"/>
      <c r="IT16" s="41"/>
      <c r="IU16" s="41"/>
      <c r="IV16" s="41"/>
      <c r="IW16" s="41"/>
      <c r="IX16" s="41"/>
      <c r="IY16" s="234"/>
      <c r="IZ16" s="234"/>
      <c r="JA16" s="41"/>
      <c r="JB16" s="41"/>
      <c r="JC16" s="41"/>
      <c r="JD16" s="41"/>
      <c r="JE16" s="41"/>
      <c r="JF16" s="234"/>
      <c r="JG16" s="234"/>
      <c r="JH16" s="41"/>
      <c r="JI16" s="41"/>
      <c r="JJ16" s="41"/>
      <c r="JK16" s="41"/>
      <c r="JL16" s="41"/>
      <c r="JM16" s="234"/>
      <c r="JN16" s="234"/>
      <c r="JO16" s="41"/>
      <c r="JP16" s="41"/>
      <c r="JQ16" s="41"/>
      <c r="JR16" s="41"/>
      <c r="JS16" s="41"/>
      <c r="JT16" s="234"/>
      <c r="JU16" s="234"/>
      <c r="JV16" s="41"/>
      <c r="JW16" s="41"/>
      <c r="JX16" s="41"/>
      <c r="JY16" s="41"/>
      <c r="JZ16" s="41"/>
      <c r="KA16" s="234"/>
      <c r="KB16" s="234"/>
      <c r="KC16" s="41"/>
      <c r="KD16" s="41"/>
      <c r="KE16" s="41"/>
      <c r="KF16" s="41"/>
      <c r="KG16" s="41"/>
      <c r="KH16" s="234"/>
      <c r="KI16" s="234"/>
      <c r="KJ16" s="41"/>
      <c r="KK16" s="41"/>
      <c r="KL16" s="41"/>
      <c r="KM16" s="41"/>
      <c r="KN16" s="41"/>
      <c r="KO16" s="234"/>
      <c r="KP16" s="234"/>
      <c r="KQ16" s="41"/>
      <c r="KR16" s="41"/>
      <c r="KS16" s="41"/>
      <c r="KT16" s="41"/>
      <c r="KU16" s="41"/>
      <c r="KV16" s="234"/>
      <c r="KW16" s="234"/>
      <c r="KX16" s="41"/>
      <c r="KY16" s="41"/>
      <c r="KZ16" s="41"/>
      <c r="LA16" s="41"/>
      <c r="LB16" s="41"/>
      <c r="LC16" s="234"/>
      <c r="LD16" s="234"/>
      <c r="LE16" s="41"/>
      <c r="LF16" s="41"/>
      <c r="LG16" s="41"/>
      <c r="LH16" s="41"/>
      <c r="LI16" s="41"/>
      <c r="LJ16" s="234"/>
      <c r="LK16" s="234"/>
      <c r="LL16" s="41"/>
      <c r="LM16" s="41"/>
      <c r="LN16" s="41"/>
      <c r="LO16" s="41"/>
      <c r="LP16" s="41"/>
      <c r="LQ16" s="234"/>
      <c r="LR16" s="234"/>
      <c r="LS16" s="41"/>
      <c r="LT16" s="41"/>
      <c r="LU16" s="41"/>
      <c r="LV16" s="41"/>
      <c r="LW16" s="41"/>
      <c r="LX16" s="234"/>
      <c r="LY16" s="234"/>
      <c r="LZ16" s="41"/>
      <c r="MA16" s="41"/>
      <c r="MB16" s="41"/>
      <c r="MC16" s="41"/>
      <c r="MD16" s="41"/>
      <c r="ME16" s="234"/>
      <c r="MF16" s="234"/>
      <c r="MG16" s="41"/>
      <c r="MH16" s="41"/>
      <c r="MI16" s="41"/>
      <c r="MJ16" s="41"/>
      <c r="MK16" s="41"/>
      <c r="ML16" s="234"/>
      <c r="MM16" s="234"/>
      <c r="MN16" s="41"/>
      <c r="MO16" s="41"/>
      <c r="MP16" s="41"/>
      <c r="MQ16" s="41"/>
      <c r="MR16" s="41"/>
      <c r="MS16" s="234"/>
      <c r="MT16" s="234"/>
      <c r="MU16" s="41"/>
      <c r="MV16" s="41"/>
      <c r="MW16" s="41"/>
      <c r="MX16" s="41"/>
      <c r="MY16" s="41"/>
      <c r="MZ16" s="234"/>
      <c r="NA16" s="234"/>
      <c r="NB16" s="41"/>
      <c r="NC16" s="41"/>
      <c r="ND16" s="41"/>
      <c r="NE16" s="41"/>
      <c r="NF16" s="41"/>
      <c r="NG16" s="234"/>
      <c r="NH16" s="234"/>
      <c r="NI16" s="41"/>
      <c r="NJ16" s="41"/>
      <c r="NK16" s="41"/>
      <c r="NL16" s="41"/>
      <c r="NM16" s="41"/>
      <c r="NN16" s="234"/>
      <c r="NO16" s="234"/>
      <c r="NP16" s="41"/>
      <c r="NQ16" s="41"/>
      <c r="NR16" s="41"/>
      <c r="NS16" s="41"/>
      <c r="NT16" s="41"/>
      <c r="NU16" s="234"/>
    </row>
    <row r="17" spans="2:385" ht="15" thickBot="1" x14ac:dyDescent="0.35">
      <c r="B17" s="38">
        <v>53018</v>
      </c>
      <c r="C17" s="9">
        <v>35</v>
      </c>
      <c r="D17" s="207" t="s">
        <v>12</v>
      </c>
      <c r="E17" s="184" t="s">
        <v>8</v>
      </c>
      <c r="F17" s="146" t="s">
        <v>9</v>
      </c>
      <c r="G17" s="153" t="s">
        <v>159</v>
      </c>
      <c r="H17" s="154" t="s">
        <v>160</v>
      </c>
      <c r="I17" s="239"/>
      <c r="J17" s="41"/>
      <c r="K17" s="41"/>
      <c r="L17" s="41"/>
      <c r="M17" s="41"/>
      <c r="N17" s="230"/>
      <c r="O17" s="230"/>
      <c r="P17" s="41"/>
      <c r="Q17" s="41"/>
      <c r="R17" s="41"/>
      <c r="S17" s="41"/>
      <c r="T17" s="41"/>
      <c r="U17" s="230"/>
      <c r="V17" s="230"/>
      <c r="W17" s="41"/>
      <c r="X17" s="41"/>
      <c r="Y17" s="41"/>
      <c r="Z17" s="41"/>
      <c r="AA17" s="41"/>
      <c r="AB17" s="230"/>
      <c r="AC17" s="230"/>
      <c r="AD17" s="125"/>
      <c r="AE17" s="41"/>
      <c r="AF17" s="41"/>
      <c r="AG17" s="41"/>
      <c r="AH17" s="41"/>
      <c r="AI17" s="230"/>
      <c r="AJ17" s="230"/>
      <c r="AK17" s="41"/>
      <c r="AL17" s="41"/>
      <c r="AM17" s="41"/>
      <c r="AN17" s="41"/>
      <c r="AO17" s="41"/>
      <c r="AP17" s="41" t="s">
        <v>460</v>
      </c>
      <c r="AQ17" s="41" t="s">
        <v>460</v>
      </c>
      <c r="AR17" s="125"/>
      <c r="AS17" s="41"/>
      <c r="AT17" s="41"/>
      <c r="AU17" s="41"/>
      <c r="AV17" s="41"/>
      <c r="AW17" s="230"/>
      <c r="AX17" s="230"/>
      <c r="AY17" s="41" t="s">
        <v>460</v>
      </c>
      <c r="AZ17" s="41" t="s">
        <v>460</v>
      </c>
      <c r="BA17" s="41" t="s">
        <v>460</v>
      </c>
      <c r="BB17" s="41" t="s">
        <v>460</v>
      </c>
      <c r="BC17" s="41" t="s">
        <v>460</v>
      </c>
      <c r="BD17" s="230"/>
      <c r="BE17" s="230"/>
      <c r="BF17" s="125"/>
      <c r="BG17" s="41"/>
      <c r="BH17" s="41"/>
      <c r="BI17" s="41"/>
      <c r="BJ17" s="41"/>
      <c r="BK17" s="230"/>
      <c r="BL17" s="230"/>
      <c r="BM17" s="41"/>
      <c r="BN17" s="41"/>
      <c r="BO17" s="41"/>
      <c r="BP17" s="41"/>
      <c r="BQ17" s="41"/>
      <c r="BR17" s="230"/>
      <c r="BS17" s="230"/>
      <c r="BT17" s="125"/>
      <c r="BU17" s="41"/>
      <c r="BV17" s="41"/>
      <c r="BW17" s="41"/>
      <c r="BX17" s="41"/>
      <c r="BY17" s="230"/>
      <c r="BZ17" s="230"/>
      <c r="CA17" s="41"/>
      <c r="CB17" s="41"/>
      <c r="CC17" s="41"/>
      <c r="CD17" s="41"/>
      <c r="CE17" s="41"/>
      <c r="CF17" s="230"/>
      <c r="CG17" s="230"/>
      <c r="CH17" s="125"/>
      <c r="CI17" s="41"/>
      <c r="CJ17" s="41"/>
      <c r="CK17" s="41"/>
      <c r="CL17" s="41"/>
      <c r="CM17" s="230"/>
      <c r="CN17" s="230"/>
      <c r="CO17" s="41"/>
      <c r="CP17" s="41"/>
      <c r="CQ17" s="41"/>
      <c r="CR17" s="41"/>
      <c r="CS17" s="41"/>
      <c r="CT17" s="230"/>
      <c r="CU17" s="230"/>
      <c r="CV17" s="41"/>
      <c r="CW17" s="41"/>
      <c r="CX17" s="41"/>
      <c r="CY17" s="41"/>
      <c r="CZ17" s="41"/>
      <c r="DA17" s="230"/>
      <c r="DB17" s="230"/>
      <c r="DC17" s="41"/>
      <c r="DD17" s="41"/>
      <c r="DE17" s="41"/>
      <c r="DF17" s="41"/>
      <c r="DG17" s="41"/>
      <c r="DH17" s="230"/>
      <c r="DI17" s="230"/>
      <c r="DJ17" s="125" t="s">
        <v>460</v>
      </c>
      <c r="DK17" s="125" t="s">
        <v>460</v>
      </c>
      <c r="DL17" s="125" t="s">
        <v>460</v>
      </c>
      <c r="DM17" s="125" t="s">
        <v>460</v>
      </c>
      <c r="DN17" s="125" t="s">
        <v>460</v>
      </c>
      <c r="DO17" s="230"/>
      <c r="DP17" s="230"/>
      <c r="DQ17" s="136" t="s">
        <v>460</v>
      </c>
      <c r="DR17" s="41"/>
      <c r="DS17" s="41"/>
      <c r="DT17" s="41"/>
      <c r="DU17" s="41"/>
      <c r="DV17" s="230"/>
      <c r="DW17" s="230"/>
      <c r="DX17" s="41"/>
      <c r="DY17" s="41"/>
      <c r="DZ17" s="41"/>
      <c r="EA17" s="139" t="s">
        <v>460</v>
      </c>
      <c r="EB17" s="41"/>
      <c r="EC17" s="230"/>
      <c r="ED17" s="230"/>
      <c r="EE17" s="125"/>
      <c r="EF17" s="41"/>
      <c r="EG17" s="41"/>
      <c r="EH17" s="41"/>
      <c r="EI17" s="41"/>
      <c r="EJ17" s="230"/>
      <c r="EK17" s="230"/>
      <c r="EL17" s="125"/>
      <c r="EM17" s="41"/>
      <c r="EN17" s="41"/>
      <c r="EO17" s="41"/>
      <c r="EP17" s="41"/>
      <c r="EQ17" s="230"/>
      <c r="ER17" s="230"/>
      <c r="ES17" s="41"/>
      <c r="ET17" s="41"/>
      <c r="EU17" s="41"/>
      <c r="EV17" s="41"/>
      <c r="EW17" s="41"/>
      <c r="EX17" s="230"/>
      <c r="EY17" s="230"/>
      <c r="EZ17" s="125"/>
      <c r="FA17" s="41"/>
      <c r="FB17" s="41"/>
      <c r="FC17" s="41"/>
      <c r="FD17" s="41"/>
      <c r="FE17" s="230"/>
      <c r="FF17" s="230"/>
      <c r="FG17" s="136"/>
      <c r="FH17" s="41"/>
      <c r="FI17" s="41"/>
      <c r="FJ17" s="41"/>
      <c r="FK17" s="41"/>
      <c r="FL17" s="230"/>
      <c r="FM17" s="230"/>
      <c r="FN17" s="139" t="s">
        <v>460</v>
      </c>
      <c r="FO17" s="41"/>
      <c r="FP17" s="41"/>
      <c r="FQ17" s="41"/>
      <c r="FR17" s="41"/>
      <c r="FS17" s="230"/>
      <c r="FT17" s="230"/>
      <c r="FU17" s="125"/>
      <c r="FV17" s="41"/>
      <c r="FW17" s="41"/>
      <c r="FX17" s="41"/>
      <c r="FY17" s="41"/>
      <c r="FZ17" s="230"/>
      <c r="GA17" s="230"/>
      <c r="GB17" s="125"/>
      <c r="GC17" s="41"/>
      <c r="GD17" s="41"/>
      <c r="GE17" s="41"/>
      <c r="GF17" s="41"/>
      <c r="GG17" s="230"/>
      <c r="GH17" s="230"/>
      <c r="GI17" s="41"/>
      <c r="GJ17" s="41"/>
      <c r="GK17" s="41"/>
      <c r="GL17" s="41"/>
      <c r="GM17" s="41"/>
      <c r="GN17" s="230"/>
      <c r="GO17" s="230"/>
      <c r="GP17" s="125"/>
      <c r="GQ17" s="41"/>
      <c r="GR17" s="41"/>
      <c r="GS17" s="41"/>
      <c r="GT17" s="41"/>
      <c r="GU17" s="230"/>
      <c r="GV17" s="230"/>
      <c r="GW17" s="125" t="s">
        <v>460</v>
      </c>
      <c r="GX17" s="41"/>
      <c r="GY17" s="41"/>
      <c r="GZ17" s="41"/>
      <c r="HA17" s="41"/>
      <c r="HB17" s="230"/>
      <c r="HC17" s="230"/>
      <c r="HD17" s="41"/>
      <c r="HE17" s="41"/>
      <c r="HF17" s="41"/>
      <c r="HG17" s="41"/>
      <c r="HH17" s="41"/>
      <c r="HI17" s="234"/>
      <c r="HJ17" s="234"/>
      <c r="HK17" s="41"/>
      <c r="HL17" s="41"/>
      <c r="HM17" s="41"/>
      <c r="HN17" s="41"/>
      <c r="HO17" s="41"/>
      <c r="HP17" s="234"/>
      <c r="HQ17" s="234"/>
      <c r="HR17" s="41"/>
      <c r="HS17" s="41"/>
      <c r="HT17" s="41"/>
      <c r="HU17" s="41"/>
      <c r="HV17" s="41"/>
      <c r="HW17" s="234"/>
      <c r="HX17" s="234"/>
      <c r="HY17" s="41"/>
      <c r="HZ17" s="41"/>
      <c r="IA17" s="41"/>
      <c r="IB17" s="41"/>
      <c r="IC17" s="41"/>
      <c r="ID17" s="234"/>
      <c r="IE17" s="234"/>
      <c r="IF17" s="41" t="s">
        <v>460</v>
      </c>
      <c r="IG17" s="41" t="s">
        <v>460</v>
      </c>
      <c r="IH17" s="41" t="s">
        <v>460</v>
      </c>
      <c r="II17" s="41" t="s">
        <v>460</v>
      </c>
      <c r="IJ17" s="41" t="s">
        <v>460</v>
      </c>
      <c r="IK17" s="234"/>
      <c r="IL17" s="234"/>
      <c r="IM17" s="41" t="s">
        <v>460</v>
      </c>
      <c r="IN17" s="41" t="s">
        <v>460</v>
      </c>
      <c r="IO17" s="41" t="s">
        <v>460</v>
      </c>
      <c r="IP17" s="41" t="s">
        <v>460</v>
      </c>
      <c r="IQ17" s="41" t="s">
        <v>460</v>
      </c>
      <c r="IR17" s="234"/>
      <c r="IS17" s="234"/>
      <c r="IT17" s="41"/>
      <c r="IU17" s="41"/>
      <c r="IV17" s="41"/>
      <c r="IW17" s="41"/>
      <c r="IX17" s="41"/>
      <c r="IY17" s="234"/>
      <c r="IZ17" s="234"/>
      <c r="JA17" s="41"/>
      <c r="JB17" s="41"/>
      <c r="JC17" s="41"/>
      <c r="JD17" s="41"/>
      <c r="JE17" s="41"/>
      <c r="JF17" s="234"/>
      <c r="JG17" s="234"/>
      <c r="JH17" s="41"/>
      <c r="JI17" s="41"/>
      <c r="JJ17" s="41"/>
      <c r="JK17" s="41"/>
      <c r="JL17" s="41"/>
      <c r="JM17" s="234"/>
      <c r="JN17" s="234"/>
      <c r="JO17" s="41"/>
      <c r="JP17" s="41"/>
      <c r="JQ17" s="41"/>
      <c r="JR17" s="41"/>
      <c r="JS17" s="41"/>
      <c r="JT17" s="234"/>
      <c r="JU17" s="234"/>
      <c r="JV17" s="41"/>
      <c r="JW17" s="41"/>
      <c r="JX17" s="41"/>
      <c r="JY17" s="41"/>
      <c r="JZ17" s="41"/>
      <c r="KA17" s="234"/>
      <c r="KB17" s="234"/>
      <c r="KC17" s="41"/>
      <c r="KD17" s="41"/>
      <c r="KE17" s="41"/>
      <c r="KF17" s="41"/>
      <c r="KG17" s="41"/>
      <c r="KH17" s="234"/>
      <c r="KI17" s="234"/>
      <c r="KJ17" s="41"/>
      <c r="KK17" s="41"/>
      <c r="KL17" s="41"/>
      <c r="KM17" s="41"/>
      <c r="KN17" s="41"/>
      <c r="KO17" s="234"/>
      <c r="KP17" s="234"/>
      <c r="KQ17" s="41"/>
      <c r="KR17" s="41"/>
      <c r="KS17" s="41"/>
      <c r="KT17" s="41"/>
      <c r="KU17" s="41"/>
      <c r="KV17" s="234"/>
      <c r="KW17" s="234"/>
      <c r="KX17" s="41"/>
      <c r="KY17" s="41"/>
      <c r="KZ17" s="41"/>
      <c r="LA17" s="41"/>
      <c r="LB17" s="41"/>
      <c r="LC17" s="234"/>
      <c r="LD17" s="234"/>
      <c r="LE17" s="41"/>
      <c r="LF17" s="41"/>
      <c r="LG17" s="41"/>
      <c r="LH17" s="41"/>
      <c r="LI17" s="41"/>
      <c r="LJ17" s="234"/>
      <c r="LK17" s="234"/>
      <c r="LL17" s="41"/>
      <c r="LM17" s="41"/>
      <c r="LN17" s="41"/>
      <c r="LO17" s="41"/>
      <c r="LP17" s="41"/>
      <c r="LQ17" s="234"/>
      <c r="LR17" s="234"/>
      <c r="LS17" s="41"/>
      <c r="LT17" s="41"/>
      <c r="LU17" s="41"/>
      <c r="LV17" s="41"/>
      <c r="LW17" s="41"/>
      <c r="LX17" s="234"/>
      <c r="LY17" s="234"/>
      <c r="LZ17" s="41"/>
      <c r="MA17" s="41"/>
      <c r="MB17" s="41"/>
      <c r="MC17" s="41"/>
      <c r="MD17" s="41"/>
      <c r="ME17" s="234"/>
      <c r="MF17" s="234"/>
      <c r="MG17" s="41"/>
      <c r="MH17" s="41"/>
      <c r="MI17" s="41"/>
      <c r="MJ17" s="41"/>
      <c r="MK17" s="41"/>
      <c r="ML17" s="234"/>
      <c r="MM17" s="234"/>
      <c r="MN17" s="41"/>
      <c r="MO17" s="41"/>
      <c r="MP17" s="41"/>
      <c r="MQ17" s="41"/>
      <c r="MR17" s="41"/>
      <c r="MS17" s="234"/>
      <c r="MT17" s="234"/>
      <c r="MU17" s="41"/>
      <c r="MV17" s="41"/>
      <c r="MW17" s="41"/>
      <c r="MX17" s="41"/>
      <c r="MY17" s="41"/>
      <c r="MZ17" s="234"/>
      <c r="NA17" s="234"/>
      <c r="NB17" s="41"/>
      <c r="NC17" s="41"/>
      <c r="ND17" s="41"/>
      <c r="NE17" s="41"/>
      <c r="NF17" s="41"/>
      <c r="NG17" s="234"/>
      <c r="NH17" s="234"/>
      <c r="NI17" s="41"/>
      <c r="NJ17" s="41"/>
      <c r="NK17" s="41"/>
      <c r="NL17" s="41"/>
      <c r="NM17" s="41"/>
      <c r="NN17" s="234"/>
      <c r="NO17" s="234"/>
      <c r="NP17" s="41"/>
      <c r="NQ17" s="41"/>
      <c r="NR17" s="41"/>
      <c r="NS17" s="41"/>
      <c r="NT17" s="41"/>
      <c r="NU17" s="234"/>
    </row>
    <row r="18" spans="2:385" x14ac:dyDescent="0.3">
      <c r="B18" s="54">
        <v>105861</v>
      </c>
      <c r="C18" s="55">
        <v>35</v>
      </c>
      <c r="D18" s="206" t="s">
        <v>12</v>
      </c>
      <c r="E18" s="183" t="s">
        <v>8</v>
      </c>
      <c r="F18" s="146" t="s">
        <v>113</v>
      </c>
      <c r="G18" s="155" t="s">
        <v>171</v>
      </c>
      <c r="H18" s="156" t="s">
        <v>172</v>
      </c>
      <c r="I18" s="239"/>
      <c r="J18" s="41"/>
      <c r="K18" s="41"/>
      <c r="L18" s="41"/>
      <c r="M18" s="41"/>
      <c r="N18" s="230"/>
      <c r="O18" s="230"/>
      <c r="P18" s="41"/>
      <c r="Q18" s="41"/>
      <c r="R18" s="41"/>
      <c r="S18" s="41"/>
      <c r="T18" s="41"/>
      <c r="U18" s="230"/>
      <c r="V18" s="230"/>
      <c r="W18" s="41"/>
      <c r="X18" s="41"/>
      <c r="Y18" s="41"/>
      <c r="Z18" s="41"/>
      <c r="AA18" s="41"/>
      <c r="AB18" s="230"/>
      <c r="AC18" s="230"/>
      <c r="AD18" s="125"/>
      <c r="AE18" s="41"/>
      <c r="AF18" s="41"/>
      <c r="AG18" s="41"/>
      <c r="AH18" s="41"/>
      <c r="AI18" s="230"/>
      <c r="AJ18" s="230"/>
      <c r="AK18" s="41"/>
      <c r="AL18" s="41"/>
      <c r="AM18" s="41"/>
      <c r="AN18" s="41"/>
      <c r="AO18" s="41"/>
      <c r="AP18" s="230"/>
      <c r="AQ18" s="230"/>
      <c r="AR18" s="125"/>
      <c r="AS18" s="125"/>
      <c r="AT18" s="125"/>
      <c r="AU18" s="125"/>
      <c r="AV18" s="125"/>
      <c r="AW18" s="230"/>
      <c r="AX18" s="230"/>
      <c r="AY18" s="41" t="s">
        <v>460</v>
      </c>
      <c r="AZ18" s="41" t="s">
        <v>460</v>
      </c>
      <c r="BA18" s="41" t="s">
        <v>460</v>
      </c>
      <c r="BB18" s="41" t="s">
        <v>460</v>
      </c>
      <c r="BC18" s="41" t="s">
        <v>460</v>
      </c>
      <c r="BD18" s="230"/>
      <c r="BE18" s="230"/>
      <c r="BF18" s="125"/>
      <c r="BG18" s="41"/>
      <c r="BH18" s="41"/>
      <c r="BI18" s="41"/>
      <c r="BJ18" s="41"/>
      <c r="BK18" s="230"/>
      <c r="BL18" s="230"/>
      <c r="BM18" s="41"/>
      <c r="BN18" s="41"/>
      <c r="BO18" s="41"/>
      <c r="BP18" s="41"/>
      <c r="BQ18" s="41"/>
      <c r="BR18" s="230"/>
      <c r="BS18" s="230"/>
      <c r="BT18" s="125"/>
      <c r="BU18" s="41"/>
      <c r="BV18" s="41"/>
      <c r="BW18" s="41"/>
      <c r="BX18" s="41"/>
      <c r="BY18" s="230"/>
      <c r="BZ18" s="230"/>
      <c r="CA18" s="41"/>
      <c r="CB18" s="41"/>
      <c r="CC18" s="41"/>
      <c r="CD18" s="41"/>
      <c r="CE18" s="41"/>
      <c r="CF18" s="230"/>
      <c r="CG18" s="230"/>
      <c r="CH18" s="125" t="s">
        <v>458</v>
      </c>
      <c r="CI18" s="125" t="s">
        <v>458</v>
      </c>
      <c r="CJ18" s="125" t="s">
        <v>458</v>
      </c>
      <c r="CK18" s="125" t="s">
        <v>458</v>
      </c>
      <c r="CL18" s="125" t="s">
        <v>458</v>
      </c>
      <c r="CM18" s="230"/>
      <c r="CN18" s="230"/>
      <c r="CO18" s="41"/>
      <c r="CP18" s="41"/>
      <c r="CQ18" s="41"/>
      <c r="CR18" s="41"/>
      <c r="CS18" s="41"/>
      <c r="CT18" s="230"/>
      <c r="CU18" s="230"/>
      <c r="CV18" s="125"/>
      <c r="CW18" s="125"/>
      <c r="CX18" s="125"/>
      <c r="CY18" s="125"/>
      <c r="CZ18" s="125"/>
      <c r="DA18" s="230"/>
      <c r="DB18" s="230"/>
      <c r="DC18" s="41" t="s">
        <v>460</v>
      </c>
      <c r="DD18" s="41" t="s">
        <v>460</v>
      </c>
      <c r="DE18" s="41" t="s">
        <v>460</v>
      </c>
      <c r="DF18" s="41" t="s">
        <v>460</v>
      </c>
      <c r="DG18" s="41" t="s">
        <v>460</v>
      </c>
      <c r="DH18" s="230"/>
      <c r="DI18" s="230"/>
      <c r="DJ18" s="125" t="s">
        <v>458</v>
      </c>
      <c r="DK18" s="125" t="s">
        <v>458</v>
      </c>
      <c r="DL18" s="125" t="s">
        <v>458</v>
      </c>
      <c r="DM18" s="125" t="s">
        <v>458</v>
      </c>
      <c r="DN18" s="125" t="s">
        <v>458</v>
      </c>
      <c r="DO18" s="230"/>
      <c r="DP18" s="230"/>
      <c r="DQ18" s="136" t="s">
        <v>460</v>
      </c>
      <c r="DR18" s="125" t="s">
        <v>458</v>
      </c>
      <c r="DS18" s="125" t="s">
        <v>458</v>
      </c>
      <c r="DT18" s="125" t="s">
        <v>458</v>
      </c>
      <c r="DU18" s="125" t="s">
        <v>458</v>
      </c>
      <c r="DV18" s="230"/>
      <c r="DW18" s="230"/>
      <c r="DX18" s="41"/>
      <c r="DY18" s="41"/>
      <c r="DZ18" s="41"/>
      <c r="EA18" s="139" t="s">
        <v>460</v>
      </c>
      <c r="EB18" s="41"/>
      <c r="EC18" s="230"/>
      <c r="ED18" s="230"/>
      <c r="EE18" s="125" t="s">
        <v>460</v>
      </c>
      <c r="EF18" s="125" t="s">
        <v>460</v>
      </c>
      <c r="EG18" s="125" t="s">
        <v>460</v>
      </c>
      <c r="EH18" s="125" t="s">
        <v>460</v>
      </c>
      <c r="EI18" s="125" t="s">
        <v>460</v>
      </c>
      <c r="EJ18" s="230"/>
      <c r="EK18" s="230"/>
      <c r="EL18" s="125" t="s">
        <v>458</v>
      </c>
      <c r="EM18" s="125" t="s">
        <v>458</v>
      </c>
      <c r="EN18" s="125" t="s">
        <v>458</v>
      </c>
      <c r="EO18" s="125" t="s">
        <v>458</v>
      </c>
      <c r="EP18" s="125" t="s">
        <v>458</v>
      </c>
      <c r="EQ18" s="230"/>
      <c r="ER18" s="230"/>
      <c r="ES18" s="41"/>
      <c r="ET18" s="41"/>
      <c r="EU18" s="41"/>
      <c r="EV18" s="41"/>
      <c r="EW18" s="41"/>
      <c r="EX18" s="230"/>
      <c r="EY18" s="230"/>
      <c r="EZ18" s="125"/>
      <c r="FA18" s="125"/>
      <c r="FB18" s="125"/>
      <c r="FC18" s="125"/>
      <c r="FD18" s="125"/>
      <c r="FE18" s="230"/>
      <c r="FF18" s="230"/>
      <c r="FG18" s="125"/>
      <c r="FH18" s="41"/>
      <c r="FI18" s="41"/>
      <c r="FJ18" s="41"/>
      <c r="FK18" s="41"/>
      <c r="FL18" s="230"/>
      <c r="FM18" s="230"/>
      <c r="FN18" s="139" t="s">
        <v>460</v>
      </c>
      <c r="FO18" s="41"/>
      <c r="FP18" s="41"/>
      <c r="FQ18" s="41"/>
      <c r="FR18" s="41"/>
      <c r="FS18" s="230"/>
      <c r="FT18" s="230"/>
      <c r="FU18" s="125"/>
      <c r="FV18" s="41"/>
      <c r="FW18" s="41"/>
      <c r="FX18" s="41"/>
      <c r="FY18" s="41"/>
      <c r="FZ18" s="230"/>
      <c r="GA18" s="230"/>
      <c r="GB18" s="125"/>
      <c r="GC18" s="41"/>
      <c r="GD18" s="41"/>
      <c r="GE18" s="41"/>
      <c r="GF18" s="41"/>
      <c r="GG18" s="230"/>
      <c r="GH18" s="230"/>
      <c r="GI18" s="41"/>
      <c r="GJ18" s="41"/>
      <c r="GK18" s="41"/>
      <c r="GL18" s="41"/>
      <c r="GM18" s="41"/>
      <c r="GN18" s="230"/>
      <c r="GO18" s="230"/>
      <c r="GP18" s="125"/>
      <c r="GQ18" s="41"/>
      <c r="GR18" s="41"/>
      <c r="GS18" s="41"/>
      <c r="GT18" s="41"/>
      <c r="GU18" s="230"/>
      <c r="GV18" s="230"/>
      <c r="GW18" s="125" t="s">
        <v>460</v>
      </c>
      <c r="GX18" s="41" t="s">
        <v>460</v>
      </c>
      <c r="GY18" s="41" t="s">
        <v>460</v>
      </c>
      <c r="GZ18" s="41" t="s">
        <v>460</v>
      </c>
      <c r="HA18" s="41" t="s">
        <v>460</v>
      </c>
      <c r="HB18" s="230"/>
      <c r="HC18" s="230"/>
      <c r="HD18" s="41" t="s">
        <v>460</v>
      </c>
      <c r="HE18" s="41" t="s">
        <v>460</v>
      </c>
      <c r="HF18" s="41" t="s">
        <v>460</v>
      </c>
      <c r="HG18" s="41" t="s">
        <v>460</v>
      </c>
      <c r="HH18" s="41" t="s">
        <v>460</v>
      </c>
      <c r="HI18" s="234"/>
      <c r="HJ18" s="234"/>
      <c r="HK18" s="41"/>
      <c r="HL18" s="41"/>
      <c r="HM18" s="41"/>
      <c r="HN18" s="41"/>
      <c r="HO18" s="41"/>
      <c r="HP18" s="234"/>
      <c r="HQ18" s="234"/>
      <c r="HR18" s="41"/>
      <c r="HS18" s="41"/>
      <c r="HT18" s="41"/>
      <c r="HU18" s="41"/>
      <c r="HV18" s="41"/>
      <c r="HW18" s="234"/>
      <c r="HX18" s="234"/>
      <c r="HY18" s="41" t="s">
        <v>458</v>
      </c>
      <c r="HZ18" s="41" t="s">
        <v>458</v>
      </c>
      <c r="IA18" s="41" t="s">
        <v>458</v>
      </c>
      <c r="IB18" s="41" t="s">
        <v>458</v>
      </c>
      <c r="IC18" s="41" t="s">
        <v>458</v>
      </c>
      <c r="ID18" s="234"/>
      <c r="IE18" s="234"/>
      <c r="IF18" s="41" t="s">
        <v>458</v>
      </c>
      <c r="IG18" s="41" t="s">
        <v>458</v>
      </c>
      <c r="IH18" s="41" t="s">
        <v>458</v>
      </c>
      <c r="II18" s="41" t="s">
        <v>458</v>
      </c>
      <c r="IJ18" s="41" t="s">
        <v>458</v>
      </c>
      <c r="IK18" s="234"/>
      <c r="IL18" s="234"/>
      <c r="IM18" s="41" t="s">
        <v>458</v>
      </c>
      <c r="IN18" s="41" t="s">
        <v>458</v>
      </c>
      <c r="IO18" s="41" t="s">
        <v>458</v>
      </c>
      <c r="IP18" s="41" t="s">
        <v>458</v>
      </c>
      <c r="IQ18" s="41" t="s">
        <v>458</v>
      </c>
      <c r="IR18" s="234"/>
      <c r="IS18" s="234"/>
      <c r="IT18" s="41"/>
      <c r="IU18" s="41"/>
      <c r="IV18" s="41"/>
      <c r="IW18" s="41"/>
      <c r="IX18" s="41"/>
      <c r="IY18" s="234"/>
      <c r="IZ18" s="234"/>
      <c r="JA18" s="41"/>
      <c r="JB18" s="41"/>
      <c r="JC18" s="41"/>
      <c r="JD18" s="41"/>
      <c r="JE18" s="41"/>
      <c r="JF18" s="234"/>
      <c r="JG18" s="234"/>
      <c r="JH18" s="41"/>
      <c r="JI18" s="41"/>
      <c r="JJ18" s="41"/>
      <c r="JK18" s="41"/>
      <c r="JL18" s="41"/>
      <c r="JM18" s="234"/>
      <c r="JN18" s="234"/>
      <c r="JO18" s="41"/>
      <c r="JP18" s="41"/>
      <c r="JQ18" s="41"/>
      <c r="JR18" s="41"/>
      <c r="JS18" s="41"/>
      <c r="JT18" s="234"/>
      <c r="JU18" s="234"/>
      <c r="JV18" s="41"/>
      <c r="JW18" s="41"/>
      <c r="JX18" s="41"/>
      <c r="JY18" s="41"/>
      <c r="JZ18" s="41"/>
      <c r="KA18" s="234"/>
      <c r="KB18" s="234"/>
      <c r="KC18" s="41"/>
      <c r="KD18" s="41"/>
      <c r="KE18" s="41"/>
      <c r="KF18" s="41"/>
      <c r="KG18" s="41"/>
      <c r="KH18" s="234"/>
      <c r="KI18" s="234"/>
      <c r="KJ18" s="41"/>
      <c r="KK18" s="41"/>
      <c r="KL18" s="41"/>
      <c r="KM18" s="41"/>
      <c r="KN18" s="41"/>
      <c r="KO18" s="234"/>
      <c r="KP18" s="234"/>
      <c r="KQ18" s="41"/>
      <c r="KR18" s="41"/>
      <c r="KS18" s="41"/>
      <c r="KT18" s="41"/>
      <c r="KU18" s="41"/>
      <c r="KV18" s="234"/>
      <c r="KW18" s="234"/>
      <c r="KX18" s="41"/>
      <c r="KY18" s="41"/>
      <c r="KZ18" s="41"/>
      <c r="LA18" s="41"/>
      <c r="LB18" s="41"/>
      <c r="LC18" s="234"/>
      <c r="LD18" s="234"/>
      <c r="LE18" s="41"/>
      <c r="LF18" s="41"/>
      <c r="LG18" s="41"/>
      <c r="LH18" s="41"/>
      <c r="LI18" s="41"/>
      <c r="LJ18" s="234"/>
      <c r="LK18" s="234"/>
      <c r="LL18" s="41"/>
      <c r="LM18" s="41"/>
      <c r="LN18" s="41"/>
      <c r="LO18" s="41"/>
      <c r="LP18" s="41"/>
      <c r="LQ18" s="234"/>
      <c r="LR18" s="234"/>
      <c r="LS18" s="41"/>
      <c r="LT18" s="41"/>
      <c r="LU18" s="41"/>
      <c r="LV18" s="41"/>
      <c r="LW18" s="41"/>
      <c r="LX18" s="234"/>
      <c r="LY18" s="234"/>
      <c r="LZ18" s="41"/>
      <c r="MA18" s="41"/>
      <c r="MB18" s="41"/>
      <c r="MC18" s="41"/>
      <c r="MD18" s="41"/>
      <c r="ME18" s="234"/>
      <c r="MF18" s="234"/>
      <c r="MG18" s="41"/>
      <c r="MH18" s="41"/>
      <c r="MI18" s="41"/>
      <c r="MJ18" s="41"/>
      <c r="MK18" s="41"/>
      <c r="ML18" s="234"/>
      <c r="MM18" s="234"/>
      <c r="MN18" s="41"/>
      <c r="MO18" s="41"/>
      <c r="MP18" s="41"/>
      <c r="MQ18" s="41"/>
      <c r="MR18" s="41"/>
      <c r="MS18" s="234"/>
      <c r="MT18" s="234"/>
      <c r="MU18" s="41"/>
      <c r="MV18" s="41"/>
      <c r="MW18" s="41"/>
      <c r="MX18" s="41"/>
      <c r="MY18" s="41"/>
      <c r="MZ18" s="234"/>
      <c r="NA18" s="234"/>
      <c r="NB18" s="41"/>
      <c r="NC18" s="41"/>
      <c r="ND18" s="41"/>
      <c r="NE18" s="41"/>
      <c r="NF18" s="41"/>
      <c r="NG18" s="234"/>
      <c r="NH18" s="234"/>
      <c r="NI18" s="41"/>
      <c r="NJ18" s="41"/>
      <c r="NK18" s="41"/>
      <c r="NL18" s="41"/>
      <c r="NM18" s="41"/>
      <c r="NN18" s="234"/>
      <c r="NO18" s="234"/>
      <c r="NP18" s="41"/>
      <c r="NQ18" s="41"/>
      <c r="NR18" s="41"/>
      <c r="NS18" s="41"/>
      <c r="NT18" s="41"/>
      <c r="NU18" s="234"/>
    </row>
    <row r="19" spans="2:385" ht="15" thickBot="1" x14ac:dyDescent="0.35">
      <c r="B19" s="8">
        <v>103711</v>
      </c>
      <c r="C19" s="9">
        <v>35</v>
      </c>
      <c r="D19" s="206" t="s">
        <v>12</v>
      </c>
      <c r="E19" s="187" t="s">
        <v>8</v>
      </c>
      <c r="F19" s="146" t="s">
        <v>9</v>
      </c>
      <c r="G19" s="155" t="s">
        <v>181</v>
      </c>
      <c r="H19" s="156" t="s">
        <v>160</v>
      </c>
      <c r="I19" s="125"/>
      <c r="J19" s="41"/>
      <c r="K19" s="41"/>
      <c r="L19" s="41"/>
      <c r="M19" s="41"/>
      <c r="N19" s="230"/>
      <c r="O19" s="230"/>
      <c r="P19" s="41"/>
      <c r="Q19" s="41"/>
      <c r="R19" s="41"/>
      <c r="S19" s="41"/>
      <c r="T19" s="41"/>
      <c r="U19" s="230"/>
      <c r="V19" s="230"/>
      <c r="W19" s="41"/>
      <c r="X19" s="41"/>
      <c r="Y19" s="41"/>
      <c r="Z19" s="41"/>
      <c r="AA19" s="41"/>
      <c r="AB19" s="230"/>
      <c r="AC19" s="230"/>
      <c r="AD19" s="125" t="s">
        <v>460</v>
      </c>
      <c r="AE19" s="41" t="s">
        <v>460</v>
      </c>
      <c r="AF19" s="41" t="s">
        <v>460</v>
      </c>
      <c r="AG19" s="41" t="s">
        <v>460</v>
      </c>
      <c r="AH19" s="41" t="s">
        <v>460</v>
      </c>
      <c r="AI19" s="230"/>
      <c r="AJ19" s="230"/>
      <c r="AK19" s="41" t="s">
        <v>460</v>
      </c>
      <c r="AL19" s="41" t="s">
        <v>460</v>
      </c>
      <c r="AM19" s="41" t="s">
        <v>460</v>
      </c>
      <c r="AN19" s="41" t="s">
        <v>460</v>
      </c>
      <c r="AO19" s="41" t="s">
        <v>460</v>
      </c>
      <c r="AP19" s="230"/>
      <c r="AQ19" s="230"/>
      <c r="AR19" s="125"/>
      <c r="AS19" s="41"/>
      <c r="AT19" s="41"/>
      <c r="AU19" s="41"/>
      <c r="AV19" s="41"/>
      <c r="AW19" s="230"/>
      <c r="AX19" s="230"/>
      <c r="AY19" s="41"/>
      <c r="AZ19" s="41"/>
      <c r="BA19" s="41"/>
      <c r="BB19" s="41"/>
      <c r="BC19" s="41"/>
      <c r="BD19" s="230"/>
      <c r="BE19" s="230"/>
      <c r="BF19" s="125"/>
      <c r="BG19" s="41"/>
      <c r="BH19" s="41"/>
      <c r="BI19" s="41"/>
      <c r="BJ19" s="41"/>
      <c r="BK19" s="230"/>
      <c r="BL19" s="230"/>
      <c r="BM19" s="41"/>
      <c r="BN19" s="41"/>
      <c r="BO19" s="41"/>
      <c r="BP19" s="41"/>
      <c r="BQ19" s="41"/>
      <c r="BR19" s="230"/>
      <c r="BS19" s="230"/>
      <c r="BT19" s="125"/>
      <c r="BU19" s="41"/>
      <c r="BV19" s="41"/>
      <c r="BW19" s="41"/>
      <c r="BX19" s="41"/>
      <c r="BY19" s="230"/>
      <c r="BZ19" s="230"/>
      <c r="CA19" s="41"/>
      <c r="CB19" s="41"/>
      <c r="CC19" s="41"/>
      <c r="CD19" s="41"/>
      <c r="CE19" s="41"/>
      <c r="CF19" s="230"/>
      <c r="CG19" s="230"/>
      <c r="CH19" s="125"/>
      <c r="CI19" s="41"/>
      <c r="CJ19" s="41"/>
      <c r="CK19" s="41"/>
      <c r="CL19" s="41"/>
      <c r="CM19" s="230"/>
      <c r="CN19" s="230"/>
      <c r="CO19" s="41"/>
      <c r="CP19" s="41"/>
      <c r="CQ19" s="41"/>
      <c r="CR19" s="41"/>
      <c r="CS19" s="41"/>
      <c r="CT19" s="230"/>
      <c r="CU19" s="230"/>
      <c r="CV19" s="125"/>
      <c r="CW19" s="41"/>
      <c r="CX19" s="41"/>
      <c r="CY19" s="41"/>
      <c r="CZ19" s="41"/>
      <c r="DA19" s="230"/>
      <c r="DB19" s="230"/>
      <c r="DC19" s="41"/>
      <c r="DD19" s="41"/>
      <c r="DE19" s="41"/>
      <c r="DF19" s="41"/>
      <c r="DG19" s="41"/>
      <c r="DH19" s="230"/>
      <c r="DI19" s="230"/>
      <c r="DJ19" s="125"/>
      <c r="DK19" s="41"/>
      <c r="DL19" s="41"/>
      <c r="DM19" s="41"/>
      <c r="DN19" s="41"/>
      <c r="DO19" s="230"/>
      <c r="DP19" s="230"/>
      <c r="DQ19" s="125" t="s">
        <v>460</v>
      </c>
      <c r="DR19" s="41"/>
      <c r="DS19" s="41"/>
      <c r="DT19" s="41"/>
      <c r="DU19" s="41"/>
      <c r="DV19" s="230"/>
      <c r="DW19" s="234"/>
      <c r="DX19" s="41"/>
      <c r="DY19" s="41"/>
      <c r="DZ19" s="41"/>
      <c r="EA19" s="41" t="s">
        <v>460</v>
      </c>
      <c r="EB19" s="41"/>
      <c r="EC19" s="230"/>
      <c r="ED19" s="230"/>
      <c r="EE19" s="125"/>
      <c r="EF19" s="41"/>
      <c r="EG19" s="41"/>
      <c r="EH19" s="41"/>
      <c r="EI19" s="41"/>
      <c r="EJ19" s="230"/>
      <c r="EK19" s="230"/>
      <c r="EL19" s="125"/>
      <c r="EM19" s="41"/>
      <c r="EN19" s="41"/>
      <c r="EO19" s="41"/>
      <c r="EP19" s="41"/>
      <c r="EQ19" s="230"/>
      <c r="ER19" s="230"/>
      <c r="ES19" s="41"/>
      <c r="ET19" s="41"/>
      <c r="EU19" s="41"/>
      <c r="EV19" s="41"/>
      <c r="EW19" s="41"/>
      <c r="EX19" s="230"/>
      <c r="EY19" s="230"/>
      <c r="EZ19" s="125"/>
      <c r="FA19" s="41"/>
      <c r="FB19" s="41"/>
      <c r="FC19" s="41"/>
      <c r="FD19" s="41"/>
      <c r="FE19" s="230"/>
      <c r="FF19" s="230"/>
      <c r="FG19" s="125"/>
      <c r="FH19" s="41"/>
      <c r="FI19" s="41"/>
      <c r="FJ19" s="41"/>
      <c r="FK19" s="41"/>
      <c r="FL19" s="230"/>
      <c r="FM19" s="230"/>
      <c r="FN19" s="41" t="s">
        <v>460</v>
      </c>
      <c r="FO19" s="41"/>
      <c r="FP19" s="41"/>
      <c r="FQ19" s="41"/>
      <c r="FR19" s="41"/>
      <c r="FS19" s="230"/>
      <c r="FT19" s="230"/>
      <c r="FU19" s="125"/>
      <c r="FV19" s="41"/>
      <c r="FW19" s="41"/>
      <c r="FX19" s="41"/>
      <c r="FY19" s="41"/>
      <c r="FZ19" s="230"/>
      <c r="GA19" s="230"/>
      <c r="GB19" s="125"/>
      <c r="GC19" s="41"/>
      <c r="GD19" s="41"/>
      <c r="GE19" s="41"/>
      <c r="GF19" s="41"/>
      <c r="GG19" s="230"/>
      <c r="GH19" s="230"/>
      <c r="GI19" s="41"/>
      <c r="GJ19" s="41"/>
      <c r="GK19" s="41"/>
      <c r="GL19" s="41"/>
      <c r="GM19" s="41"/>
      <c r="GN19" s="230"/>
      <c r="GO19" s="230"/>
      <c r="GP19" s="125"/>
      <c r="GQ19" s="41"/>
      <c r="GR19" s="41"/>
      <c r="GS19" s="41"/>
      <c r="GT19" s="41"/>
      <c r="GU19" s="230"/>
      <c r="GV19" s="230"/>
      <c r="GW19" s="125" t="s">
        <v>460</v>
      </c>
      <c r="GX19" s="41" t="s">
        <v>460</v>
      </c>
      <c r="GY19" s="41" t="s">
        <v>460</v>
      </c>
      <c r="GZ19" s="41" t="s">
        <v>460</v>
      </c>
      <c r="HA19" s="41" t="s">
        <v>460</v>
      </c>
      <c r="HB19" s="230"/>
      <c r="HC19" s="230"/>
      <c r="HD19" s="41" t="s">
        <v>460</v>
      </c>
      <c r="HE19" s="41" t="s">
        <v>460</v>
      </c>
      <c r="HF19" s="41" t="s">
        <v>460</v>
      </c>
      <c r="HG19" s="41" t="s">
        <v>460</v>
      </c>
      <c r="HH19" s="41" t="s">
        <v>460</v>
      </c>
      <c r="HI19" s="234"/>
      <c r="HJ19" s="234"/>
      <c r="HK19" s="41" t="s">
        <v>460</v>
      </c>
      <c r="HL19" s="41" t="s">
        <v>460</v>
      </c>
      <c r="HM19" s="41" t="s">
        <v>460</v>
      </c>
      <c r="HN19" s="41" t="s">
        <v>460</v>
      </c>
      <c r="HO19" s="41" t="s">
        <v>460</v>
      </c>
      <c r="HP19" s="234"/>
      <c r="HQ19" s="234"/>
      <c r="HR19" s="41"/>
      <c r="HS19" s="41"/>
      <c r="HT19" s="41"/>
      <c r="HU19" s="41"/>
      <c r="HV19" s="41"/>
      <c r="HW19" s="234"/>
      <c r="HX19" s="234"/>
      <c r="HY19" s="41"/>
      <c r="HZ19" s="41"/>
      <c r="IA19" s="41"/>
      <c r="IB19" s="41"/>
      <c r="IC19" s="41"/>
      <c r="ID19" s="234"/>
      <c r="IE19" s="234"/>
      <c r="IF19" s="41"/>
      <c r="IG19" s="41"/>
      <c r="IH19" s="41"/>
      <c r="II19" s="41"/>
      <c r="IJ19" s="41"/>
      <c r="IK19" s="234"/>
      <c r="IL19" s="234"/>
      <c r="IM19" s="41"/>
      <c r="IN19" s="41"/>
      <c r="IO19" s="41"/>
      <c r="IP19" s="41"/>
      <c r="IQ19" s="41"/>
      <c r="IR19" s="234"/>
      <c r="IS19" s="234"/>
      <c r="IT19" s="41"/>
      <c r="IU19" s="41"/>
      <c r="IV19" s="41"/>
      <c r="IW19" s="41"/>
      <c r="IX19" s="41"/>
      <c r="IY19" s="234"/>
      <c r="IZ19" s="234"/>
      <c r="JA19" s="41"/>
      <c r="JB19" s="41"/>
      <c r="JC19" s="41"/>
      <c r="JD19" s="41"/>
      <c r="JE19" s="41"/>
      <c r="JF19" s="234"/>
      <c r="JG19" s="234"/>
      <c r="JH19" s="41"/>
      <c r="JI19" s="41"/>
      <c r="JJ19" s="41"/>
      <c r="JK19" s="41"/>
      <c r="JL19" s="41"/>
      <c r="JM19" s="234"/>
      <c r="JN19" s="234"/>
      <c r="JO19" s="41"/>
      <c r="JP19" s="41"/>
      <c r="JQ19" s="41"/>
      <c r="JR19" s="41"/>
      <c r="JS19" s="41"/>
      <c r="JT19" s="234"/>
      <c r="JU19" s="234"/>
      <c r="JV19" s="41"/>
      <c r="JW19" s="41"/>
      <c r="JX19" s="41"/>
      <c r="JY19" s="41"/>
      <c r="JZ19" s="41"/>
      <c r="KA19" s="234"/>
      <c r="KB19" s="234"/>
      <c r="KC19" s="41"/>
      <c r="KD19" s="41"/>
      <c r="KE19" s="41"/>
      <c r="KF19" s="41"/>
      <c r="KG19" s="41"/>
      <c r="KH19" s="234"/>
      <c r="KI19" s="234"/>
      <c r="KJ19" s="41"/>
      <c r="KK19" s="41"/>
      <c r="KL19" s="41"/>
      <c r="KM19" s="41"/>
      <c r="KN19" s="41"/>
      <c r="KO19" s="234"/>
      <c r="KP19" s="234"/>
      <c r="KQ19" s="41"/>
      <c r="KR19" s="41"/>
      <c r="KS19" s="41"/>
      <c r="KT19" s="41"/>
      <c r="KU19" s="41"/>
      <c r="KV19" s="234"/>
      <c r="KW19" s="234"/>
      <c r="KX19" s="41"/>
      <c r="KY19" s="41"/>
      <c r="KZ19" s="41"/>
      <c r="LA19" s="41"/>
      <c r="LB19" s="41"/>
      <c r="LC19" s="234"/>
      <c r="LD19" s="234"/>
      <c r="LE19" s="41"/>
      <c r="LF19" s="41"/>
      <c r="LG19" s="41"/>
      <c r="LH19" s="41"/>
      <c r="LI19" s="41"/>
      <c r="LJ19" s="234"/>
      <c r="LK19" s="234"/>
      <c r="LL19" s="41"/>
      <c r="LM19" s="41"/>
      <c r="LN19" s="41"/>
      <c r="LO19" s="41"/>
      <c r="LP19" s="41"/>
      <c r="LQ19" s="234"/>
      <c r="LR19" s="234"/>
      <c r="LS19" s="41"/>
      <c r="LT19" s="41"/>
      <c r="LU19" s="41"/>
      <c r="LV19" s="41"/>
      <c r="LW19" s="41"/>
      <c r="LX19" s="234"/>
      <c r="LY19" s="234"/>
      <c r="LZ19" s="41"/>
      <c r="MA19" s="41"/>
      <c r="MB19" s="41"/>
      <c r="MC19" s="41"/>
      <c r="MD19" s="41"/>
      <c r="ME19" s="234"/>
      <c r="MF19" s="234"/>
      <c r="MG19" s="41"/>
      <c r="MH19" s="41"/>
      <c r="MI19" s="41"/>
      <c r="MJ19" s="41"/>
      <c r="MK19" s="41"/>
      <c r="ML19" s="234"/>
      <c r="MM19" s="234"/>
      <c r="MN19" s="41"/>
      <c r="MO19" s="41"/>
      <c r="MP19" s="41"/>
      <c r="MQ19" s="41"/>
      <c r="MR19" s="41"/>
      <c r="MS19" s="234"/>
      <c r="MT19" s="234"/>
      <c r="MU19" s="41"/>
      <c r="MV19" s="41"/>
      <c r="MW19" s="41"/>
      <c r="MX19" s="41"/>
      <c r="MY19" s="41"/>
      <c r="MZ19" s="234"/>
      <c r="NA19" s="234"/>
      <c r="NB19" s="41"/>
      <c r="NC19" s="41"/>
      <c r="ND19" s="41"/>
      <c r="NE19" s="41"/>
      <c r="NF19" s="41"/>
      <c r="NG19" s="234"/>
      <c r="NH19" s="234"/>
      <c r="NI19" s="41"/>
      <c r="NJ19" s="41"/>
      <c r="NK19" s="41"/>
      <c r="NL19" s="41"/>
      <c r="NM19" s="41"/>
      <c r="NN19" s="234"/>
      <c r="NO19" s="234"/>
      <c r="NP19" s="41"/>
      <c r="NQ19" s="41"/>
      <c r="NR19" s="41"/>
      <c r="NS19" s="41"/>
      <c r="NT19" s="41"/>
      <c r="NU19" s="234"/>
    </row>
    <row r="20" spans="2:385" x14ac:dyDescent="0.3">
      <c r="B20" s="65" t="s">
        <v>18</v>
      </c>
      <c r="C20" s="25">
        <v>35</v>
      </c>
      <c r="D20" s="206" t="s">
        <v>12</v>
      </c>
      <c r="E20" s="187" t="s">
        <v>8</v>
      </c>
      <c r="F20" s="146" t="s">
        <v>9</v>
      </c>
      <c r="G20" s="155" t="s">
        <v>182</v>
      </c>
      <c r="H20" s="156" t="s">
        <v>183</v>
      </c>
      <c r="I20" s="239"/>
      <c r="J20" s="41"/>
      <c r="K20" s="41"/>
      <c r="L20" s="41"/>
      <c r="M20" s="41"/>
      <c r="N20" s="230"/>
      <c r="O20" s="230"/>
      <c r="P20" s="41"/>
      <c r="Q20" s="41"/>
      <c r="R20" s="41"/>
      <c r="S20" s="41"/>
      <c r="T20" s="41"/>
      <c r="U20" s="230"/>
      <c r="V20" s="230"/>
      <c r="W20" s="41"/>
      <c r="X20" s="41"/>
      <c r="Y20" s="41"/>
      <c r="Z20" s="41"/>
      <c r="AA20" s="41"/>
      <c r="AB20" s="230"/>
      <c r="AC20" s="230"/>
      <c r="AD20" s="125"/>
      <c r="AE20" s="125"/>
      <c r="AF20" s="125"/>
      <c r="AG20" s="125"/>
      <c r="AH20" s="125"/>
      <c r="AI20" s="230"/>
      <c r="AJ20" s="230"/>
      <c r="AK20" s="41"/>
      <c r="AL20" s="41"/>
      <c r="AM20" s="41"/>
      <c r="AN20" s="41"/>
      <c r="AO20" s="41"/>
      <c r="AP20" s="230"/>
      <c r="AQ20" s="230"/>
      <c r="AR20" s="125"/>
      <c r="AS20" s="125"/>
      <c r="AT20" s="125"/>
      <c r="AU20" s="41"/>
      <c r="AV20" s="41"/>
      <c r="AW20" s="230"/>
      <c r="AX20" s="230"/>
      <c r="AY20" s="41"/>
      <c r="AZ20" s="41"/>
      <c r="BA20" s="41"/>
      <c r="BB20" s="41"/>
      <c r="BC20" s="41"/>
      <c r="BD20" s="230"/>
      <c r="BE20" s="230"/>
      <c r="BF20" s="125"/>
      <c r="BG20" s="41"/>
      <c r="BH20" s="41"/>
      <c r="BI20" s="41"/>
      <c r="BJ20" s="41"/>
      <c r="BK20" s="230"/>
      <c r="BL20" s="230"/>
      <c r="BM20" s="41"/>
      <c r="BN20" s="41"/>
      <c r="BO20" s="41"/>
      <c r="BP20" s="41"/>
      <c r="BQ20" s="41"/>
      <c r="BR20" s="230"/>
      <c r="BS20" s="230"/>
      <c r="BT20" s="125"/>
      <c r="BU20" s="41"/>
      <c r="BV20" s="41"/>
      <c r="BW20" s="41"/>
      <c r="BX20" s="41"/>
      <c r="BY20" s="230"/>
      <c r="BZ20" s="230"/>
      <c r="CA20" s="41"/>
      <c r="CB20" s="41"/>
      <c r="CC20" s="41"/>
      <c r="CD20" s="41"/>
      <c r="CE20" s="41"/>
      <c r="CF20" s="41" t="s">
        <v>460</v>
      </c>
      <c r="CG20" s="41" t="s">
        <v>460</v>
      </c>
      <c r="CH20" s="125"/>
      <c r="CI20" s="41"/>
      <c r="CJ20" s="41"/>
      <c r="CK20" s="41"/>
      <c r="CL20" s="41"/>
      <c r="CM20" s="230"/>
      <c r="CN20" s="230"/>
      <c r="CO20" s="41"/>
      <c r="CP20" s="41"/>
      <c r="CQ20" s="41"/>
      <c r="CR20" s="41"/>
      <c r="CS20" s="41"/>
      <c r="CT20" s="230"/>
      <c r="CU20" s="230"/>
      <c r="CV20" s="125"/>
      <c r="CW20" s="125"/>
      <c r="CX20" s="125"/>
      <c r="CY20" s="125"/>
      <c r="CZ20" s="125"/>
      <c r="DA20" s="230"/>
      <c r="DB20" s="230"/>
      <c r="DC20" s="41" t="s">
        <v>460</v>
      </c>
      <c r="DD20" s="41" t="s">
        <v>460</v>
      </c>
      <c r="DE20" s="41" t="s">
        <v>460</v>
      </c>
      <c r="DF20" s="41" t="s">
        <v>460</v>
      </c>
      <c r="DG20" s="41" t="s">
        <v>460</v>
      </c>
      <c r="DH20" s="230"/>
      <c r="DI20" s="230"/>
      <c r="DJ20" s="125" t="s">
        <v>460</v>
      </c>
      <c r="DK20" s="125" t="s">
        <v>460</v>
      </c>
      <c r="DL20" s="125" t="s">
        <v>460</v>
      </c>
      <c r="DM20" s="125" t="s">
        <v>460</v>
      </c>
      <c r="DN20" s="125" t="s">
        <v>460</v>
      </c>
      <c r="DO20" s="230"/>
      <c r="DP20" s="230"/>
      <c r="DQ20" s="136" t="s">
        <v>460</v>
      </c>
      <c r="DR20" s="125"/>
      <c r="DS20" s="125"/>
      <c r="DT20" s="125"/>
      <c r="DU20" s="125"/>
      <c r="DV20" s="230"/>
      <c r="DW20" s="234"/>
      <c r="DX20" s="41" t="s">
        <v>460</v>
      </c>
      <c r="DY20" s="41" t="s">
        <v>460</v>
      </c>
      <c r="DZ20" s="41" t="s">
        <v>460</v>
      </c>
      <c r="EA20" s="139" t="s">
        <v>460</v>
      </c>
      <c r="EB20" s="41" t="s">
        <v>460</v>
      </c>
      <c r="EC20" s="230"/>
      <c r="ED20" s="230"/>
      <c r="EE20" s="125"/>
      <c r="EF20" s="125"/>
      <c r="EG20" s="125"/>
      <c r="EH20" s="125"/>
      <c r="EI20" s="125"/>
      <c r="EJ20" s="230"/>
      <c r="EK20" s="230"/>
      <c r="EL20" s="125"/>
      <c r="EM20" s="125"/>
      <c r="EN20" s="125"/>
      <c r="EO20" s="125"/>
      <c r="EP20" s="125"/>
      <c r="EQ20" s="230"/>
      <c r="ER20" s="230"/>
      <c r="ES20" s="41"/>
      <c r="ET20" s="41"/>
      <c r="EU20" s="41"/>
      <c r="EV20" s="41"/>
      <c r="EW20" s="41"/>
      <c r="EX20" s="230"/>
      <c r="EY20" s="230"/>
      <c r="EZ20" s="125"/>
      <c r="FA20" s="125"/>
      <c r="FB20" s="125"/>
      <c r="FC20" s="125"/>
      <c r="FD20" s="125"/>
      <c r="FE20" s="230"/>
      <c r="FF20" s="230"/>
      <c r="FG20" s="136"/>
      <c r="FH20" s="41"/>
      <c r="FI20" s="41"/>
      <c r="FJ20" s="41"/>
      <c r="FK20" s="41"/>
      <c r="FL20" s="230"/>
      <c r="FM20" s="230"/>
      <c r="FN20" s="139" t="s">
        <v>460</v>
      </c>
      <c r="FO20" s="41"/>
      <c r="FP20" s="41"/>
      <c r="FQ20" s="41"/>
      <c r="FR20" s="41"/>
      <c r="FS20" s="230"/>
      <c r="FT20" s="230"/>
      <c r="FU20" s="125"/>
      <c r="FV20" s="125"/>
      <c r="FW20" s="125"/>
      <c r="FX20" s="125"/>
      <c r="FY20" s="125"/>
      <c r="FZ20" s="230"/>
      <c r="GA20" s="230"/>
      <c r="GB20" s="125"/>
      <c r="GC20" s="125"/>
      <c r="GD20" s="125"/>
      <c r="GE20" s="125"/>
      <c r="GF20" s="125"/>
      <c r="GG20" s="230"/>
      <c r="GH20" s="230"/>
      <c r="GI20" s="41" t="s">
        <v>460</v>
      </c>
      <c r="GJ20" s="41" t="s">
        <v>460</v>
      </c>
      <c r="GK20" s="41" t="s">
        <v>460</v>
      </c>
      <c r="GL20" s="41" t="s">
        <v>460</v>
      </c>
      <c r="GM20" s="41" t="s">
        <v>460</v>
      </c>
      <c r="GN20" s="230"/>
      <c r="GO20" s="230"/>
      <c r="GP20" s="125" t="s">
        <v>460</v>
      </c>
      <c r="GQ20" s="125" t="s">
        <v>460</v>
      </c>
      <c r="GR20" s="125" t="s">
        <v>460</v>
      </c>
      <c r="GS20" s="125" t="s">
        <v>460</v>
      </c>
      <c r="GT20" s="125" t="s">
        <v>460</v>
      </c>
      <c r="GU20" s="230"/>
      <c r="GV20" s="230"/>
      <c r="GW20" s="125" t="s">
        <v>460</v>
      </c>
      <c r="GX20" s="41"/>
      <c r="GY20" s="41"/>
      <c r="GZ20" s="41"/>
      <c r="HA20" s="41"/>
      <c r="HB20" s="230"/>
      <c r="HC20" s="230"/>
      <c r="HD20" s="41" t="s">
        <v>460</v>
      </c>
      <c r="HE20" s="41" t="s">
        <v>460</v>
      </c>
      <c r="HF20" s="41" t="s">
        <v>460</v>
      </c>
      <c r="HG20" s="41" t="s">
        <v>460</v>
      </c>
      <c r="HH20" s="41" t="s">
        <v>460</v>
      </c>
      <c r="HI20" s="234"/>
      <c r="HJ20" s="234"/>
      <c r="HK20" s="41"/>
      <c r="HL20" s="41"/>
      <c r="HM20" s="41"/>
      <c r="HN20" s="41"/>
      <c r="HO20" s="41"/>
      <c r="HP20" s="234"/>
      <c r="HQ20" s="234"/>
      <c r="HR20" s="41"/>
      <c r="HS20" s="41"/>
      <c r="HT20" s="41"/>
      <c r="HU20" s="41"/>
      <c r="HV20" s="41"/>
      <c r="HW20" s="234"/>
      <c r="HX20" s="234"/>
      <c r="HY20" s="41"/>
      <c r="HZ20" s="41"/>
      <c r="IA20" s="41"/>
      <c r="IB20" s="41"/>
      <c r="IC20" s="41"/>
      <c r="ID20" s="234"/>
      <c r="IE20" s="234"/>
      <c r="IF20" s="41"/>
      <c r="IG20" s="41"/>
      <c r="IH20" s="41"/>
      <c r="II20" s="41"/>
      <c r="IJ20" s="41"/>
      <c r="IK20" s="234"/>
      <c r="IL20" s="234"/>
      <c r="IM20" s="41"/>
      <c r="IN20" s="41"/>
      <c r="IO20" s="41"/>
      <c r="IP20" s="41"/>
      <c r="IQ20" s="41"/>
      <c r="IR20" s="234"/>
      <c r="IS20" s="234"/>
      <c r="IT20" s="41" t="s">
        <v>460</v>
      </c>
      <c r="IU20" s="41" t="s">
        <v>460</v>
      </c>
      <c r="IV20" s="41" t="s">
        <v>460</v>
      </c>
      <c r="IW20" s="41" t="s">
        <v>460</v>
      </c>
      <c r="IX20" s="41" t="s">
        <v>460</v>
      </c>
      <c r="IY20" s="234"/>
      <c r="IZ20" s="234"/>
      <c r="JA20" s="41" t="s">
        <v>460</v>
      </c>
      <c r="JB20" s="41" t="s">
        <v>460</v>
      </c>
      <c r="JC20" s="41" t="s">
        <v>460</v>
      </c>
      <c r="JD20" s="41" t="s">
        <v>460</v>
      </c>
      <c r="JE20" s="41" t="s">
        <v>460</v>
      </c>
      <c r="JF20" s="234"/>
      <c r="JG20" s="234"/>
      <c r="JH20" s="41"/>
      <c r="JI20" s="41"/>
      <c r="JJ20" s="41"/>
      <c r="JK20" s="41"/>
      <c r="JL20" s="41"/>
      <c r="JM20" s="234"/>
      <c r="JN20" s="234"/>
      <c r="JO20" s="41"/>
      <c r="JP20" s="41"/>
      <c r="JQ20" s="41"/>
      <c r="JR20" s="41"/>
      <c r="JS20" s="41"/>
      <c r="JT20" s="234"/>
      <c r="JU20" s="234"/>
      <c r="JV20" s="41"/>
      <c r="JW20" s="41"/>
      <c r="JX20" s="41"/>
      <c r="JY20" s="41"/>
      <c r="JZ20" s="41"/>
      <c r="KA20" s="234"/>
      <c r="KB20" s="234"/>
      <c r="KC20" s="41"/>
      <c r="KD20" s="41"/>
      <c r="KE20" s="41"/>
      <c r="KF20" s="41"/>
      <c r="KG20" s="41"/>
      <c r="KH20" s="234"/>
      <c r="KI20" s="234"/>
      <c r="KJ20" s="41"/>
      <c r="KK20" s="41"/>
      <c r="KL20" s="41"/>
      <c r="KM20" s="41"/>
      <c r="KN20" s="41"/>
      <c r="KO20" s="234"/>
      <c r="KP20" s="234"/>
      <c r="KQ20" s="41"/>
      <c r="KR20" s="41"/>
      <c r="KS20" s="41"/>
      <c r="KT20" s="41"/>
      <c r="KU20" s="41"/>
      <c r="KV20" s="234"/>
      <c r="KW20" s="234"/>
      <c r="KX20" s="41"/>
      <c r="KY20" s="41"/>
      <c r="KZ20" s="41"/>
      <c r="LA20" s="41"/>
      <c r="LB20" s="41"/>
      <c r="LC20" s="234"/>
      <c r="LD20" s="234"/>
      <c r="LE20" s="41"/>
      <c r="LF20" s="41"/>
      <c r="LG20" s="41"/>
      <c r="LH20" s="41"/>
      <c r="LI20" s="41"/>
      <c r="LJ20" s="234"/>
      <c r="LK20" s="234"/>
      <c r="LL20" s="41"/>
      <c r="LM20" s="41"/>
      <c r="LN20" s="41"/>
      <c r="LO20" s="41"/>
      <c r="LP20" s="41"/>
      <c r="LQ20" s="234"/>
      <c r="LR20" s="234"/>
      <c r="LS20" s="41"/>
      <c r="LT20" s="41"/>
      <c r="LU20" s="41"/>
      <c r="LV20" s="41"/>
      <c r="LW20" s="41"/>
      <c r="LX20" s="234"/>
      <c r="LY20" s="234"/>
      <c r="LZ20" s="41"/>
      <c r="MA20" s="41"/>
      <c r="MB20" s="41"/>
      <c r="MC20" s="41"/>
      <c r="MD20" s="41"/>
      <c r="ME20" s="234"/>
      <c r="MF20" s="234"/>
      <c r="MG20" s="41"/>
      <c r="MH20" s="41"/>
      <c r="MI20" s="41"/>
      <c r="MJ20" s="41"/>
      <c r="MK20" s="41"/>
      <c r="ML20" s="234"/>
      <c r="MM20" s="234"/>
      <c r="MN20" s="41"/>
      <c r="MO20" s="41"/>
      <c r="MP20" s="41"/>
      <c r="MQ20" s="41"/>
      <c r="MR20" s="41"/>
      <c r="MS20" s="234"/>
      <c r="MT20" s="234"/>
      <c r="MU20" s="41"/>
      <c r="MV20" s="41"/>
      <c r="MW20" s="41"/>
      <c r="MX20" s="41"/>
      <c r="MY20" s="41"/>
      <c r="MZ20" s="234"/>
      <c r="NA20" s="234"/>
      <c r="NB20" s="41"/>
      <c r="NC20" s="41"/>
      <c r="ND20" s="41"/>
      <c r="NE20" s="41"/>
      <c r="NF20" s="41"/>
      <c r="NG20" s="234"/>
      <c r="NH20" s="234"/>
      <c r="NI20" s="41"/>
      <c r="NJ20" s="41"/>
      <c r="NK20" s="41"/>
      <c r="NL20" s="41"/>
      <c r="NM20" s="41"/>
      <c r="NN20" s="234"/>
      <c r="NO20" s="234"/>
      <c r="NP20" s="41"/>
      <c r="NQ20" s="41"/>
      <c r="NR20" s="41"/>
      <c r="NS20" s="41"/>
      <c r="NT20" s="41"/>
      <c r="NU20" s="234"/>
    </row>
    <row r="21" spans="2:385" ht="15" thickBot="1" x14ac:dyDescent="0.35">
      <c r="B21" s="24" t="s">
        <v>18</v>
      </c>
      <c r="C21" s="25">
        <v>35</v>
      </c>
      <c r="D21" s="206" t="s">
        <v>12</v>
      </c>
      <c r="E21" s="187" t="s">
        <v>8</v>
      </c>
      <c r="F21" s="146" t="s">
        <v>9</v>
      </c>
      <c r="G21" s="155" t="s">
        <v>199</v>
      </c>
      <c r="H21" s="156" t="s">
        <v>200</v>
      </c>
      <c r="I21" s="125"/>
      <c r="J21" s="41"/>
      <c r="K21" s="41"/>
      <c r="L21" s="41"/>
      <c r="M21" s="41"/>
      <c r="N21" s="230"/>
      <c r="O21" s="230"/>
      <c r="P21" s="41"/>
      <c r="Q21" s="41"/>
      <c r="R21" s="41"/>
      <c r="S21" s="41"/>
      <c r="T21" s="41"/>
      <c r="U21" s="230"/>
      <c r="V21" s="230"/>
      <c r="W21" s="41"/>
      <c r="X21" s="41"/>
      <c r="Y21" s="41"/>
      <c r="Z21" s="41"/>
      <c r="AA21" s="41"/>
      <c r="AB21" s="230"/>
      <c r="AC21" s="230"/>
      <c r="AD21" s="125"/>
      <c r="AE21" s="41"/>
      <c r="AF21" s="41"/>
      <c r="AG21" s="41"/>
      <c r="AH21" s="41"/>
      <c r="AI21" s="230"/>
      <c r="AJ21" s="230"/>
      <c r="AK21" s="41"/>
      <c r="AL21" s="41"/>
      <c r="AM21" s="41"/>
      <c r="AN21" s="41"/>
      <c r="AO21" s="41"/>
      <c r="AP21" s="230"/>
      <c r="AQ21" s="230"/>
      <c r="AR21" s="125"/>
      <c r="AS21" s="41"/>
      <c r="AT21" s="41"/>
      <c r="AU21" s="41"/>
      <c r="AV21" s="41"/>
      <c r="AW21" s="230"/>
      <c r="AX21" s="230"/>
      <c r="AY21" s="41"/>
      <c r="AZ21" s="41"/>
      <c r="BA21" s="41"/>
      <c r="BB21" s="41"/>
      <c r="BC21" s="41"/>
      <c r="BD21" s="230"/>
      <c r="BE21" s="230"/>
      <c r="BF21" s="125"/>
      <c r="BG21" s="41"/>
      <c r="BH21" s="41"/>
      <c r="BI21" s="41"/>
      <c r="BJ21" s="41"/>
      <c r="BK21" s="230"/>
      <c r="BL21" s="230"/>
      <c r="BM21" s="41"/>
      <c r="BN21" s="41"/>
      <c r="BO21" s="41"/>
      <c r="BP21" s="41"/>
      <c r="BQ21" s="41"/>
      <c r="BR21" s="230"/>
      <c r="BS21" s="230"/>
      <c r="BT21" s="125"/>
      <c r="BU21" s="41"/>
      <c r="BV21" s="41"/>
      <c r="BW21" s="41"/>
      <c r="BX21" s="41"/>
      <c r="BY21" s="230"/>
      <c r="BZ21" s="230"/>
      <c r="CA21" s="41"/>
      <c r="CB21" s="41"/>
      <c r="CC21" s="41"/>
      <c r="CD21" s="41"/>
      <c r="CE21" s="41"/>
      <c r="CF21" s="230"/>
      <c r="CG21" s="230"/>
      <c r="CH21" s="125"/>
      <c r="CI21" s="41"/>
      <c r="CJ21" s="41"/>
      <c r="CK21" s="41"/>
      <c r="CL21" s="41"/>
      <c r="CM21" s="230"/>
      <c r="CN21" s="230"/>
      <c r="CO21" s="41"/>
      <c r="CP21" s="41"/>
      <c r="CQ21" s="41"/>
      <c r="CR21" s="41"/>
      <c r="CS21" s="41"/>
      <c r="CT21" s="41" t="s">
        <v>460</v>
      </c>
      <c r="CU21" s="41" t="s">
        <v>460</v>
      </c>
      <c r="CV21" s="125"/>
      <c r="CW21" s="41"/>
      <c r="CX21" s="41"/>
      <c r="CY21" s="41"/>
      <c r="CZ21" s="41"/>
      <c r="DA21" s="230"/>
      <c r="DB21" s="230"/>
      <c r="DC21" s="41"/>
      <c r="DD21" s="41"/>
      <c r="DE21" s="41"/>
      <c r="DF21" s="41"/>
      <c r="DG21" s="41"/>
      <c r="DH21" s="230"/>
      <c r="DI21" s="230"/>
      <c r="DJ21" s="125"/>
      <c r="DK21" s="41"/>
      <c r="DL21" s="41"/>
      <c r="DM21" s="41"/>
      <c r="DN21" s="41"/>
      <c r="DO21" s="230"/>
      <c r="DP21" s="230"/>
      <c r="DQ21" s="125" t="s">
        <v>460</v>
      </c>
      <c r="DR21" s="41"/>
      <c r="DS21" s="41"/>
      <c r="DT21" s="41"/>
      <c r="DU21" s="41"/>
      <c r="DV21" s="230"/>
      <c r="DW21" s="234"/>
      <c r="DX21" s="41"/>
      <c r="DY21" s="41"/>
      <c r="DZ21" s="41"/>
      <c r="EA21" s="41" t="s">
        <v>460</v>
      </c>
      <c r="EB21" s="41"/>
      <c r="EC21" s="230"/>
      <c r="ED21" s="230"/>
      <c r="EE21" s="125"/>
      <c r="EF21" s="41"/>
      <c r="EG21" s="41"/>
      <c r="EH21" s="41"/>
      <c r="EI21" s="41"/>
      <c r="EJ21" s="230"/>
      <c r="EK21" s="230"/>
      <c r="EL21" s="125"/>
      <c r="EM21" s="41"/>
      <c r="EN21" s="41"/>
      <c r="EO21" s="41"/>
      <c r="EP21" s="41"/>
      <c r="EQ21" s="230"/>
      <c r="ER21" s="230"/>
      <c r="ES21" s="41"/>
      <c r="ET21" s="41"/>
      <c r="EU21" s="41"/>
      <c r="EV21" s="41"/>
      <c r="EW21" s="41"/>
      <c r="EX21" s="230"/>
      <c r="EY21" s="230"/>
      <c r="EZ21" s="125"/>
      <c r="FA21" s="41"/>
      <c r="FB21" s="41"/>
      <c r="FC21" s="41"/>
      <c r="FD21" s="41"/>
      <c r="FE21" s="230"/>
      <c r="FF21" s="230"/>
      <c r="FG21" s="125"/>
      <c r="FH21" s="41"/>
      <c r="FI21" s="41"/>
      <c r="FJ21" s="41"/>
      <c r="FK21" s="41"/>
      <c r="FL21" s="230"/>
      <c r="FM21" s="230"/>
      <c r="FN21" s="41" t="s">
        <v>460</v>
      </c>
      <c r="FO21" s="41"/>
      <c r="FP21" s="41"/>
      <c r="FQ21" s="41"/>
      <c r="FR21" s="41"/>
      <c r="FS21" s="230"/>
      <c r="FT21" s="230"/>
      <c r="FU21" s="125"/>
      <c r="FV21" s="41"/>
      <c r="FW21" s="41"/>
      <c r="FX21" s="41"/>
      <c r="FY21" s="41"/>
      <c r="FZ21" s="230"/>
      <c r="GA21" s="230"/>
      <c r="GB21" s="125"/>
      <c r="GC21" s="41"/>
      <c r="GD21" s="41"/>
      <c r="GE21" s="41"/>
      <c r="GF21" s="41"/>
      <c r="GG21" s="230"/>
      <c r="GH21" s="230"/>
      <c r="GI21" s="41"/>
      <c r="GJ21" s="41"/>
      <c r="GK21" s="41"/>
      <c r="GL21" s="41"/>
      <c r="GM21" s="41"/>
      <c r="GN21" s="230"/>
      <c r="GO21" s="230"/>
      <c r="GP21" s="125"/>
      <c r="GQ21" s="41"/>
      <c r="GR21" s="41"/>
      <c r="GS21" s="41"/>
      <c r="GT21" s="41"/>
      <c r="GU21" s="230"/>
      <c r="GV21" s="230"/>
      <c r="GW21" s="125" t="s">
        <v>460</v>
      </c>
      <c r="GX21" s="41"/>
      <c r="GY21" s="41"/>
      <c r="GZ21" s="41"/>
      <c r="HA21" s="41"/>
      <c r="HB21" s="230"/>
      <c r="HC21" s="230"/>
      <c r="HD21" s="41"/>
      <c r="HE21" s="41"/>
      <c r="HF21" s="41"/>
      <c r="HG21" s="41"/>
      <c r="HH21" s="41"/>
      <c r="HI21" s="234"/>
      <c r="HJ21" s="234"/>
      <c r="HK21" s="41"/>
      <c r="HL21" s="41"/>
      <c r="HM21" s="41"/>
      <c r="HN21" s="41"/>
      <c r="HO21" s="41"/>
      <c r="HP21" s="234"/>
      <c r="HQ21" s="234"/>
      <c r="HR21" s="41"/>
      <c r="HS21" s="41"/>
      <c r="HT21" s="41"/>
      <c r="HU21" s="41"/>
      <c r="HV21" s="41"/>
      <c r="HW21" s="234"/>
      <c r="HX21" s="234"/>
      <c r="HY21" s="41"/>
      <c r="HZ21" s="41"/>
      <c r="IA21" s="41"/>
      <c r="IB21" s="41"/>
      <c r="IC21" s="41"/>
      <c r="ID21" s="234"/>
      <c r="IE21" s="234"/>
      <c r="IF21" s="41"/>
      <c r="IG21" s="41"/>
      <c r="IH21" s="41"/>
      <c r="II21" s="41"/>
      <c r="IJ21" s="41"/>
      <c r="IK21" s="234"/>
      <c r="IL21" s="234"/>
      <c r="IM21" s="41"/>
      <c r="IN21" s="41"/>
      <c r="IO21" s="41"/>
      <c r="IP21" s="41"/>
      <c r="IQ21" s="41"/>
      <c r="IR21" s="234"/>
      <c r="IS21" s="234"/>
      <c r="IT21" s="41"/>
      <c r="IU21" s="41"/>
      <c r="IV21" s="41"/>
      <c r="IW21" s="41"/>
      <c r="IX21" s="41"/>
      <c r="IY21" s="234"/>
      <c r="IZ21" s="234"/>
      <c r="JA21" s="41" t="s">
        <v>460</v>
      </c>
      <c r="JB21" s="41" t="s">
        <v>460</v>
      </c>
      <c r="JC21" s="41" t="s">
        <v>460</v>
      </c>
      <c r="JD21" s="41" t="s">
        <v>460</v>
      </c>
      <c r="JE21" s="41" t="s">
        <v>460</v>
      </c>
      <c r="JF21" s="234"/>
      <c r="JG21" s="234"/>
      <c r="JH21" s="41" t="s">
        <v>460</v>
      </c>
      <c r="JI21" s="41" t="s">
        <v>460</v>
      </c>
      <c r="JJ21" s="41" t="s">
        <v>460</v>
      </c>
      <c r="JK21" s="41" t="s">
        <v>460</v>
      </c>
      <c r="JL21" s="41" t="s">
        <v>460</v>
      </c>
      <c r="JM21" s="234"/>
      <c r="JN21" s="234"/>
      <c r="JO21" s="41" t="s">
        <v>460</v>
      </c>
      <c r="JP21" s="41" t="s">
        <v>460</v>
      </c>
      <c r="JQ21" s="41" t="s">
        <v>460</v>
      </c>
      <c r="JR21" s="41" t="s">
        <v>460</v>
      </c>
      <c r="JS21" s="41" t="s">
        <v>460</v>
      </c>
      <c r="JT21" s="234"/>
      <c r="JU21" s="234"/>
      <c r="JV21" s="41"/>
      <c r="JW21" s="41"/>
      <c r="JX21" s="41"/>
      <c r="JY21" s="41"/>
      <c r="JZ21" s="41"/>
      <c r="KA21" s="234"/>
      <c r="KB21" s="234"/>
      <c r="KC21" s="41"/>
      <c r="KD21" s="41"/>
      <c r="KE21" s="41"/>
      <c r="KF21" s="41"/>
      <c r="KG21" s="41"/>
      <c r="KH21" s="234"/>
      <c r="KI21" s="234"/>
      <c r="KJ21" s="41"/>
      <c r="KK21" s="41"/>
      <c r="KL21" s="41"/>
      <c r="KM21" s="41"/>
      <c r="KN21" s="41"/>
      <c r="KO21" s="234"/>
      <c r="KP21" s="234"/>
      <c r="KQ21" s="41"/>
      <c r="KR21" s="41"/>
      <c r="KS21" s="41"/>
      <c r="KT21" s="41"/>
      <c r="KU21" s="41"/>
      <c r="KV21" s="234"/>
      <c r="KW21" s="234"/>
      <c r="KX21" s="41"/>
      <c r="KY21" s="41"/>
      <c r="KZ21" s="41"/>
      <c r="LA21" s="41"/>
      <c r="LB21" s="41"/>
      <c r="LC21" s="234"/>
      <c r="LD21" s="234"/>
      <c r="LE21" s="41"/>
      <c r="LF21" s="41"/>
      <c r="LG21" s="41"/>
      <c r="LH21" s="41"/>
      <c r="LI21" s="41"/>
      <c r="LJ21" s="234"/>
      <c r="LK21" s="234"/>
      <c r="LL21" s="41"/>
      <c r="LM21" s="41"/>
      <c r="LN21" s="41"/>
      <c r="LO21" s="41"/>
      <c r="LP21" s="41"/>
      <c r="LQ21" s="234"/>
      <c r="LR21" s="234"/>
      <c r="LS21" s="41"/>
      <c r="LT21" s="41"/>
      <c r="LU21" s="41"/>
      <c r="LV21" s="41"/>
      <c r="LW21" s="41"/>
      <c r="LX21" s="234"/>
      <c r="LY21" s="234"/>
      <c r="LZ21" s="41"/>
      <c r="MA21" s="41"/>
      <c r="MB21" s="41"/>
      <c r="MC21" s="41"/>
      <c r="MD21" s="41"/>
      <c r="ME21" s="234"/>
      <c r="MF21" s="234"/>
      <c r="MG21" s="41"/>
      <c r="MH21" s="41"/>
      <c r="MI21" s="41"/>
      <c r="MJ21" s="41"/>
      <c r="MK21" s="41"/>
      <c r="ML21" s="234"/>
      <c r="MM21" s="234"/>
      <c r="MN21" s="41"/>
      <c r="MO21" s="41"/>
      <c r="MP21" s="41"/>
      <c r="MQ21" s="41"/>
      <c r="MR21" s="41"/>
      <c r="MS21" s="234"/>
      <c r="MT21" s="234"/>
      <c r="MU21" s="41"/>
      <c r="MV21" s="41"/>
      <c r="MW21" s="41"/>
      <c r="MX21" s="41"/>
      <c r="MY21" s="41"/>
      <c r="MZ21" s="234"/>
      <c r="NA21" s="234"/>
      <c r="NB21" s="41"/>
      <c r="NC21" s="41"/>
      <c r="ND21" s="41"/>
      <c r="NE21" s="41"/>
      <c r="NF21" s="41"/>
      <c r="NG21" s="234"/>
      <c r="NH21" s="234"/>
      <c r="NI21" s="41"/>
      <c r="NJ21" s="41"/>
      <c r="NK21" s="41"/>
      <c r="NL21" s="41"/>
      <c r="NM21" s="41"/>
      <c r="NN21" s="234"/>
      <c r="NO21" s="234"/>
      <c r="NP21" s="41"/>
      <c r="NQ21" s="41"/>
      <c r="NR21" s="41"/>
      <c r="NS21" s="41"/>
      <c r="NT21" s="41"/>
      <c r="NU21" s="234"/>
    </row>
    <row r="22" spans="2:385" ht="15" thickBot="1" x14ac:dyDescent="0.35">
      <c r="B22" s="66" t="s">
        <v>18</v>
      </c>
      <c r="C22" s="25">
        <v>35</v>
      </c>
      <c r="D22" s="206" t="s">
        <v>12</v>
      </c>
      <c r="E22" s="187" t="s">
        <v>8</v>
      </c>
      <c r="F22" s="146" t="s">
        <v>9</v>
      </c>
      <c r="G22" s="155" t="s">
        <v>708</v>
      </c>
      <c r="H22" s="156" t="s">
        <v>709</v>
      </c>
      <c r="I22" s="239"/>
      <c r="J22" s="41"/>
      <c r="K22" s="41"/>
      <c r="L22" s="41"/>
      <c r="M22" s="41"/>
      <c r="N22" s="230"/>
      <c r="O22" s="230"/>
      <c r="P22" s="41"/>
      <c r="Q22" s="41"/>
      <c r="R22" s="41"/>
      <c r="S22" s="41"/>
      <c r="T22" s="41"/>
      <c r="U22" s="230"/>
      <c r="V22" s="230"/>
      <c r="W22" s="41"/>
      <c r="X22" s="41"/>
      <c r="Y22" s="41"/>
      <c r="Z22" s="41"/>
      <c r="AA22" s="41"/>
      <c r="AB22" s="230"/>
      <c r="AC22" s="230"/>
      <c r="AD22" s="125"/>
      <c r="AE22" s="41"/>
      <c r="AF22" s="41"/>
      <c r="AG22" s="41"/>
      <c r="AH22" s="41"/>
      <c r="AI22" s="230"/>
      <c r="AJ22" s="230"/>
      <c r="AK22" s="41"/>
      <c r="AL22" s="41"/>
      <c r="AM22" s="41"/>
      <c r="AN22" s="41"/>
      <c r="AO22" s="41"/>
      <c r="AP22" s="230"/>
      <c r="AQ22" s="230"/>
      <c r="AR22" s="125"/>
      <c r="AS22" s="41"/>
      <c r="AT22" s="41"/>
      <c r="AU22" s="41"/>
      <c r="AV22" s="41"/>
      <c r="AW22" s="230"/>
      <c r="AX22" s="230"/>
      <c r="AY22" s="41"/>
      <c r="AZ22" s="41"/>
      <c r="BA22" s="41"/>
      <c r="BB22" s="41"/>
      <c r="BC22" s="41"/>
      <c r="BD22" s="230"/>
      <c r="BE22" s="230"/>
      <c r="BF22" s="125"/>
      <c r="BG22" s="41"/>
      <c r="BH22" s="41"/>
      <c r="BI22" s="41"/>
      <c r="BJ22" s="41"/>
      <c r="BK22" s="234"/>
      <c r="BL22" s="234"/>
      <c r="BM22" s="41"/>
      <c r="BN22" s="41"/>
      <c r="BO22" s="41"/>
      <c r="BP22" s="41"/>
      <c r="BQ22" s="41"/>
      <c r="BR22" s="230"/>
      <c r="BS22" s="230"/>
      <c r="BT22" s="125"/>
      <c r="BU22" s="41"/>
      <c r="BV22" s="41"/>
      <c r="BW22" s="41"/>
      <c r="BX22" s="41"/>
      <c r="BY22" s="230"/>
      <c r="BZ22" s="230"/>
      <c r="CA22" s="41"/>
      <c r="CB22" s="41"/>
      <c r="CC22" s="41"/>
      <c r="CD22" s="41"/>
      <c r="CE22" s="41"/>
      <c r="CF22" s="230"/>
      <c r="CG22" s="230"/>
      <c r="CH22" s="125"/>
      <c r="CI22" s="41"/>
      <c r="CJ22" s="41"/>
      <c r="CK22" s="41"/>
      <c r="CL22" s="41"/>
      <c r="CM22" s="230"/>
      <c r="CN22" s="230"/>
      <c r="CO22" s="41"/>
      <c r="CP22" s="41"/>
      <c r="CQ22" s="41"/>
      <c r="CR22" s="41"/>
      <c r="CS22" s="41"/>
      <c r="CT22" s="230"/>
      <c r="CU22" s="230"/>
      <c r="CV22" s="125"/>
      <c r="CW22" s="41"/>
      <c r="CX22" s="41"/>
      <c r="CY22" s="41"/>
      <c r="CZ22" s="41"/>
      <c r="DA22" s="230"/>
      <c r="DB22" s="230"/>
      <c r="DC22" s="41"/>
      <c r="DD22" s="41"/>
      <c r="DE22" s="41"/>
      <c r="DF22" s="41"/>
      <c r="DG22" s="41"/>
      <c r="DH22" s="230"/>
      <c r="DI22" s="230"/>
      <c r="DJ22" s="125"/>
      <c r="DK22" s="41"/>
      <c r="DL22" s="41"/>
      <c r="DM22" s="41"/>
      <c r="DN22" s="41"/>
      <c r="DO22" s="230"/>
      <c r="DP22" s="230"/>
      <c r="DQ22" s="136"/>
      <c r="DR22" s="41"/>
      <c r="DS22" s="41"/>
      <c r="DT22" s="41"/>
      <c r="DU22" s="41"/>
      <c r="DV22" s="230"/>
      <c r="DW22" s="234"/>
      <c r="DX22" s="41"/>
      <c r="DY22" s="41"/>
      <c r="DZ22" s="41"/>
      <c r="EA22" s="139"/>
      <c r="EB22" s="41"/>
      <c r="EC22" s="230"/>
      <c r="ED22" s="230"/>
      <c r="EE22" s="125"/>
      <c r="EF22" s="41"/>
      <c r="EG22" s="41"/>
      <c r="EH22" s="41"/>
      <c r="EI22" s="41"/>
      <c r="EJ22" s="230"/>
      <c r="EK22" s="230"/>
      <c r="EL22" s="125"/>
      <c r="EM22" s="41"/>
      <c r="EN22" s="41"/>
      <c r="EO22" s="41"/>
      <c r="EP22" s="41"/>
      <c r="EQ22" s="230"/>
      <c r="ER22" s="230"/>
      <c r="ES22" s="41"/>
      <c r="ET22" s="41"/>
      <c r="EU22" s="41"/>
      <c r="EV22" s="41"/>
      <c r="EW22" s="41"/>
      <c r="EX22" s="230"/>
      <c r="EY22" s="230"/>
      <c r="EZ22" s="125"/>
      <c r="FA22" s="41"/>
      <c r="FB22" s="41"/>
      <c r="FC22" s="41"/>
      <c r="FD22" s="41"/>
      <c r="FE22" s="230"/>
      <c r="FF22" s="230"/>
      <c r="FG22" s="136"/>
      <c r="FH22" s="41"/>
      <c r="FI22" s="41"/>
      <c r="FJ22" s="41"/>
      <c r="FK22" s="41"/>
      <c r="FL22" s="230"/>
      <c r="FM22" s="230"/>
      <c r="FN22" s="139"/>
      <c r="FO22" s="41"/>
      <c r="FP22" s="41"/>
      <c r="FQ22" s="41"/>
      <c r="FR22" s="41"/>
      <c r="FS22" s="230"/>
      <c r="FT22" s="230"/>
      <c r="FU22" s="125"/>
      <c r="FV22" s="41"/>
      <c r="FW22" s="41"/>
      <c r="FX22" s="41"/>
      <c r="FY22" s="41"/>
      <c r="FZ22" s="230"/>
      <c r="GA22" s="230"/>
      <c r="GB22" s="125"/>
      <c r="GC22" s="41"/>
      <c r="GD22" s="41"/>
      <c r="GE22" s="41"/>
      <c r="GF22" s="41"/>
      <c r="GG22" s="230"/>
      <c r="GH22" s="230"/>
      <c r="GI22" s="41"/>
      <c r="GJ22" s="41"/>
      <c r="GK22" s="41"/>
      <c r="GL22" s="41"/>
      <c r="GM22" s="41"/>
      <c r="GN22" s="230"/>
      <c r="GO22" s="230"/>
      <c r="GP22" s="125" t="s">
        <v>460</v>
      </c>
      <c r="GQ22" s="41" t="s">
        <v>460</v>
      </c>
      <c r="GR22" s="41" t="s">
        <v>460</v>
      </c>
      <c r="GS22" s="41" t="s">
        <v>460</v>
      </c>
      <c r="GT22" s="41" t="s">
        <v>460</v>
      </c>
      <c r="GU22" s="230"/>
      <c r="GV22" s="230"/>
      <c r="GW22" s="125" t="s">
        <v>460</v>
      </c>
      <c r="GX22" s="41" t="s">
        <v>460</v>
      </c>
      <c r="GY22" s="41" t="s">
        <v>460</v>
      </c>
      <c r="GZ22" s="41" t="s">
        <v>460</v>
      </c>
      <c r="HA22" s="41" t="s">
        <v>460</v>
      </c>
      <c r="HB22" s="230"/>
      <c r="HC22" s="230"/>
      <c r="HD22" s="41" t="s">
        <v>460</v>
      </c>
      <c r="HE22" s="41" t="s">
        <v>460</v>
      </c>
      <c r="HF22" s="41" t="s">
        <v>460</v>
      </c>
      <c r="HG22" s="41" t="s">
        <v>460</v>
      </c>
      <c r="HH22" s="41" t="s">
        <v>460</v>
      </c>
      <c r="HI22" s="234"/>
      <c r="HJ22" s="234"/>
      <c r="HK22" s="41"/>
      <c r="HL22" s="41"/>
      <c r="HM22" s="41"/>
      <c r="HN22" s="41"/>
      <c r="HO22" s="41"/>
      <c r="HP22" s="234"/>
      <c r="HQ22" s="234"/>
      <c r="HR22" s="41"/>
      <c r="HS22" s="41"/>
      <c r="HT22" s="41"/>
      <c r="HU22" s="41"/>
      <c r="HV22" s="41"/>
      <c r="HW22" s="234"/>
      <c r="HX22" s="234"/>
      <c r="HY22" s="41"/>
      <c r="HZ22" s="41"/>
      <c r="IA22" s="41"/>
      <c r="IB22" s="41"/>
      <c r="IC22" s="41"/>
      <c r="ID22" s="234"/>
      <c r="IE22" s="234"/>
      <c r="IF22" s="41"/>
      <c r="IG22" s="41"/>
      <c r="IH22" s="41"/>
      <c r="II22" s="41"/>
      <c r="IJ22" s="41"/>
      <c r="IK22" s="234"/>
      <c r="IL22" s="234"/>
      <c r="IM22" s="41"/>
      <c r="IN22" s="41"/>
      <c r="IO22" s="41"/>
      <c r="IP22" s="41"/>
      <c r="IQ22" s="41"/>
      <c r="IR22" s="234"/>
      <c r="IS22" s="234"/>
      <c r="IT22" s="41"/>
      <c r="IU22" s="41"/>
      <c r="IV22" s="41"/>
      <c r="IW22" s="41"/>
      <c r="IX22" s="41"/>
      <c r="IY22" s="234"/>
      <c r="IZ22" s="234"/>
      <c r="JA22" s="41"/>
      <c r="JB22" s="41"/>
      <c r="JC22" s="41"/>
      <c r="JD22" s="41"/>
      <c r="JE22" s="41"/>
      <c r="JF22" s="234"/>
      <c r="JG22" s="234"/>
      <c r="JH22" s="41"/>
      <c r="JI22" s="41"/>
      <c r="JJ22" s="41"/>
      <c r="JK22" s="41"/>
      <c r="JL22" s="41"/>
      <c r="JM22" s="234"/>
      <c r="JN22" s="234"/>
      <c r="JO22" s="41"/>
      <c r="JP22" s="41"/>
      <c r="JQ22" s="41"/>
      <c r="JR22" s="41"/>
      <c r="JS22" s="41"/>
      <c r="JT22" s="234"/>
      <c r="JU22" s="234"/>
      <c r="JV22" s="41"/>
      <c r="JW22" s="41"/>
      <c r="JX22" s="41"/>
      <c r="JY22" s="41"/>
      <c r="JZ22" s="41"/>
      <c r="KA22" s="234"/>
      <c r="KB22" s="234"/>
      <c r="KC22" s="41"/>
      <c r="KD22" s="41"/>
      <c r="KE22" s="41"/>
      <c r="KF22" s="41"/>
      <c r="KG22" s="41"/>
      <c r="KH22" s="234"/>
      <c r="KI22" s="234"/>
      <c r="KJ22" s="41"/>
      <c r="KK22" s="41"/>
      <c r="KL22" s="41"/>
      <c r="KM22" s="41"/>
      <c r="KN22" s="41"/>
      <c r="KO22" s="234"/>
      <c r="KP22" s="234"/>
      <c r="KQ22" s="41"/>
      <c r="KR22" s="41"/>
      <c r="KS22" s="41"/>
      <c r="KT22" s="41"/>
      <c r="KU22" s="41"/>
      <c r="KV22" s="234"/>
      <c r="KW22" s="234"/>
      <c r="KX22" s="41"/>
      <c r="KY22" s="41"/>
      <c r="KZ22" s="41"/>
      <c r="LA22" s="41"/>
      <c r="LB22" s="41"/>
      <c r="LC22" s="234"/>
      <c r="LD22" s="234"/>
      <c r="LE22" s="41"/>
      <c r="LF22" s="41"/>
      <c r="LG22" s="41"/>
      <c r="LH22" s="41"/>
      <c r="LI22" s="41"/>
      <c r="LJ22" s="234"/>
      <c r="LK22" s="234"/>
      <c r="LL22" s="41"/>
      <c r="LM22" s="41"/>
      <c r="LN22" s="41"/>
      <c r="LO22" s="41"/>
      <c r="LP22" s="41"/>
      <c r="LQ22" s="234"/>
      <c r="LR22" s="234"/>
      <c r="LS22" s="41"/>
      <c r="LT22" s="41"/>
      <c r="LU22" s="41"/>
      <c r="LV22" s="41"/>
      <c r="LW22" s="41"/>
      <c r="LX22" s="234"/>
      <c r="LY22" s="234"/>
      <c r="LZ22" s="41"/>
      <c r="MA22" s="41"/>
      <c r="MB22" s="41"/>
      <c r="MC22" s="41"/>
      <c r="MD22" s="41"/>
      <c r="ME22" s="234"/>
      <c r="MF22" s="234"/>
      <c r="MG22" s="41"/>
      <c r="MH22" s="41"/>
      <c r="MI22" s="41"/>
      <c r="MJ22" s="41"/>
      <c r="MK22" s="41"/>
      <c r="ML22" s="234"/>
      <c r="MM22" s="234"/>
      <c r="MN22" s="41"/>
      <c r="MO22" s="41"/>
      <c r="MP22" s="41"/>
      <c r="MQ22" s="41"/>
      <c r="MR22" s="41"/>
      <c r="MS22" s="234"/>
      <c r="MT22" s="234"/>
      <c r="MU22" s="41"/>
      <c r="MV22" s="41"/>
      <c r="MW22" s="41"/>
      <c r="MX22" s="41"/>
      <c r="MY22" s="41"/>
      <c r="MZ22" s="234"/>
      <c r="NA22" s="234"/>
      <c r="NB22" s="41"/>
      <c r="NC22" s="41"/>
      <c r="ND22" s="41"/>
      <c r="NE22" s="41"/>
      <c r="NF22" s="41"/>
      <c r="NG22" s="234"/>
      <c r="NH22" s="234"/>
      <c r="NI22" s="41"/>
      <c r="NJ22" s="41"/>
      <c r="NK22" s="41"/>
      <c r="NL22" s="41"/>
      <c r="NM22" s="41"/>
      <c r="NN22" s="234"/>
      <c r="NO22" s="234"/>
      <c r="NP22" s="41"/>
      <c r="NQ22" s="41"/>
      <c r="NR22" s="41"/>
      <c r="NS22" s="41"/>
      <c r="NT22" s="41"/>
      <c r="NU22" s="234"/>
    </row>
    <row r="23" spans="2:385" ht="15" thickBot="1" x14ac:dyDescent="0.35">
      <c r="B23" s="24" t="s">
        <v>18</v>
      </c>
      <c r="C23" s="25">
        <v>35</v>
      </c>
      <c r="D23" s="206" t="s">
        <v>12</v>
      </c>
      <c r="E23" s="187" t="s">
        <v>8</v>
      </c>
      <c r="F23" s="146" t="s">
        <v>9</v>
      </c>
      <c r="G23" s="155" t="s">
        <v>894</v>
      </c>
      <c r="H23" s="156" t="s">
        <v>895</v>
      </c>
      <c r="I23" s="239"/>
      <c r="J23" s="41"/>
      <c r="K23" s="41"/>
      <c r="L23" s="41"/>
      <c r="M23" s="41"/>
      <c r="N23" s="230"/>
      <c r="O23" s="230"/>
      <c r="P23" s="41"/>
      <c r="Q23" s="41"/>
      <c r="R23" s="41"/>
      <c r="S23" s="41"/>
      <c r="T23" s="41"/>
      <c r="U23" s="230"/>
      <c r="V23" s="230"/>
      <c r="W23" s="41"/>
      <c r="X23" s="41"/>
      <c r="Y23" s="41"/>
      <c r="Z23" s="41"/>
      <c r="AA23" s="41"/>
      <c r="AB23" s="230"/>
      <c r="AC23" s="230"/>
      <c r="AD23" s="125"/>
      <c r="AE23" s="41"/>
      <c r="AF23" s="41"/>
      <c r="AG23" s="41"/>
      <c r="AH23" s="41"/>
      <c r="AI23" s="230"/>
      <c r="AJ23" s="230"/>
      <c r="AK23" s="41"/>
      <c r="AL23" s="41"/>
      <c r="AM23" s="41"/>
      <c r="AN23" s="41"/>
      <c r="AO23" s="41"/>
      <c r="AP23" s="230"/>
      <c r="AQ23" s="230"/>
      <c r="AR23" s="125"/>
      <c r="AS23" s="41"/>
      <c r="AT23" s="41"/>
      <c r="AU23" s="41"/>
      <c r="AV23" s="41"/>
      <c r="AW23" s="230"/>
      <c r="AX23" s="230"/>
      <c r="AY23" s="41"/>
      <c r="AZ23" s="41"/>
      <c r="BA23" s="41"/>
      <c r="BB23" s="41"/>
      <c r="BC23" s="41"/>
      <c r="BD23" s="230"/>
      <c r="BE23" s="230"/>
      <c r="BF23" s="125"/>
      <c r="BG23" s="41"/>
      <c r="BH23" s="41"/>
      <c r="BI23" s="41"/>
      <c r="BJ23" s="41"/>
      <c r="BK23" s="230"/>
      <c r="BL23" s="230"/>
      <c r="BM23" s="41"/>
      <c r="BN23" s="41"/>
      <c r="BO23" s="41"/>
      <c r="BP23" s="41"/>
      <c r="BQ23" s="41"/>
      <c r="BR23" s="230"/>
      <c r="BS23" s="230"/>
      <c r="BT23" s="125"/>
      <c r="BU23" s="41"/>
      <c r="BV23" s="41"/>
      <c r="BW23" s="41"/>
      <c r="BX23" s="41"/>
      <c r="BY23" s="230"/>
      <c r="BZ23" s="230"/>
      <c r="CA23" s="41"/>
      <c r="CB23" s="41"/>
      <c r="CC23" s="41"/>
      <c r="CD23" s="41"/>
      <c r="CE23" s="41"/>
      <c r="CF23" s="234"/>
      <c r="CG23" s="234"/>
      <c r="CH23" s="125"/>
      <c r="CI23" s="41"/>
      <c r="CJ23" s="41"/>
      <c r="CK23" s="41"/>
      <c r="CL23" s="41"/>
      <c r="CM23" s="230"/>
      <c r="CN23" s="230"/>
      <c r="CO23" s="41"/>
      <c r="CP23" s="41"/>
      <c r="CQ23" s="41"/>
      <c r="CR23" s="41"/>
      <c r="CS23" s="41"/>
      <c r="CT23" s="230"/>
      <c r="CU23" s="230"/>
      <c r="CV23" s="125"/>
      <c r="CW23" s="41"/>
      <c r="CX23" s="41"/>
      <c r="CY23" s="41"/>
      <c r="CZ23" s="41"/>
      <c r="DA23" s="230"/>
      <c r="DB23" s="230"/>
      <c r="DC23" s="41"/>
      <c r="DD23" s="41"/>
      <c r="DE23" s="41"/>
      <c r="DF23" s="41"/>
      <c r="DG23" s="41"/>
      <c r="DH23" s="230"/>
      <c r="DI23" s="230"/>
      <c r="DJ23" s="125"/>
      <c r="DK23" s="125"/>
      <c r="DL23" s="125"/>
      <c r="DM23" s="125"/>
      <c r="DN23" s="125"/>
      <c r="DO23" s="230"/>
      <c r="DP23" s="230"/>
      <c r="DQ23" s="136" t="s">
        <v>460</v>
      </c>
      <c r="DR23" s="41"/>
      <c r="DS23" s="41"/>
      <c r="DT23" s="41"/>
      <c r="DU23" s="41"/>
      <c r="DV23" s="230"/>
      <c r="DW23" s="234"/>
      <c r="DX23" s="41"/>
      <c r="DY23" s="41"/>
      <c r="DZ23" s="41"/>
      <c r="EA23" s="139" t="s">
        <v>460</v>
      </c>
      <c r="EB23" s="41"/>
      <c r="EC23" s="230"/>
      <c r="ED23" s="230"/>
      <c r="EE23" s="125"/>
      <c r="EF23" s="41"/>
      <c r="EG23" s="41"/>
      <c r="EH23" s="41"/>
      <c r="EI23" s="41"/>
      <c r="EJ23" s="230"/>
      <c r="EK23" s="230"/>
      <c r="EL23" s="125"/>
      <c r="EM23" s="41"/>
      <c r="EN23" s="41"/>
      <c r="EO23" s="41"/>
      <c r="EP23" s="41"/>
      <c r="EQ23" s="230"/>
      <c r="ER23" s="230"/>
      <c r="ES23" s="41"/>
      <c r="ET23" s="41"/>
      <c r="EU23" s="41"/>
      <c r="EV23" s="41"/>
      <c r="EW23" s="41"/>
      <c r="EX23" s="230"/>
      <c r="EY23" s="230"/>
      <c r="EZ23" s="125"/>
      <c r="FA23" s="41"/>
      <c r="FB23" s="41"/>
      <c r="FC23" s="41"/>
      <c r="FD23" s="41"/>
      <c r="FE23" s="230"/>
      <c r="FF23" s="230"/>
      <c r="FG23" s="125"/>
      <c r="FH23" s="41"/>
      <c r="FI23" s="41"/>
      <c r="FJ23" s="41"/>
      <c r="FK23" s="41"/>
      <c r="FL23" s="230"/>
      <c r="FM23" s="230"/>
      <c r="FN23" s="139" t="s">
        <v>460</v>
      </c>
      <c r="FO23" s="41"/>
      <c r="FP23" s="41"/>
      <c r="FQ23" s="41"/>
      <c r="FR23" s="41"/>
      <c r="FS23" s="230"/>
      <c r="FT23" s="230"/>
      <c r="FU23" s="125"/>
      <c r="FV23" s="41"/>
      <c r="FW23" s="41"/>
      <c r="FX23" s="41"/>
      <c r="FY23" s="41"/>
      <c r="FZ23" s="230"/>
      <c r="GA23" s="230"/>
      <c r="GB23" s="125"/>
      <c r="GC23" s="41"/>
      <c r="GD23" s="41"/>
      <c r="GE23" s="41"/>
      <c r="GF23" s="41"/>
      <c r="GG23" s="230"/>
      <c r="GH23" s="230"/>
      <c r="GI23" s="41"/>
      <c r="GJ23" s="41"/>
      <c r="GK23" s="41"/>
      <c r="GL23" s="41"/>
      <c r="GM23" s="41"/>
      <c r="GN23" s="230"/>
      <c r="GO23" s="230"/>
      <c r="GP23" s="125"/>
      <c r="GQ23" s="41"/>
      <c r="GR23" s="41"/>
      <c r="GS23" s="41"/>
      <c r="GT23" s="41"/>
      <c r="GU23" s="230"/>
      <c r="GV23" s="230"/>
      <c r="GW23" s="125" t="s">
        <v>460</v>
      </c>
      <c r="GX23" s="41"/>
      <c r="GY23" s="41"/>
      <c r="GZ23" s="41"/>
      <c r="HA23" s="41"/>
      <c r="HB23" s="230"/>
      <c r="HC23" s="230"/>
      <c r="HD23" s="41"/>
      <c r="HE23" s="41"/>
      <c r="HF23" s="41"/>
      <c r="HG23" s="41"/>
      <c r="HH23" s="41"/>
      <c r="HI23" s="234"/>
      <c r="HJ23" s="234"/>
      <c r="HK23" s="41"/>
      <c r="HL23" s="41"/>
      <c r="HM23" s="41"/>
      <c r="HN23" s="41"/>
      <c r="HO23" s="41"/>
      <c r="HP23" s="234"/>
      <c r="HQ23" s="234"/>
      <c r="HR23" s="41"/>
      <c r="HS23" s="41"/>
      <c r="HT23" s="41"/>
      <c r="HU23" s="41"/>
      <c r="HV23" s="41"/>
      <c r="HW23" s="234"/>
      <c r="HX23" s="234"/>
      <c r="HY23" s="41"/>
      <c r="HZ23" s="41"/>
      <c r="IA23" s="41"/>
      <c r="IB23" s="41"/>
      <c r="IC23" s="41"/>
      <c r="ID23" s="234"/>
      <c r="IE23" s="234"/>
      <c r="IF23" s="41"/>
      <c r="IG23" s="41"/>
      <c r="IH23" s="41"/>
      <c r="II23" s="41"/>
      <c r="IJ23" s="41"/>
      <c r="IK23" s="234"/>
      <c r="IL23" s="234"/>
      <c r="IM23" s="41"/>
      <c r="IN23" s="41"/>
      <c r="IO23" s="41"/>
      <c r="IP23" s="41"/>
      <c r="IQ23" s="41"/>
      <c r="IR23" s="234"/>
      <c r="IS23" s="234"/>
      <c r="IT23" s="41"/>
      <c r="IU23" s="41"/>
      <c r="IV23" s="41"/>
      <c r="IW23" s="41"/>
      <c r="IX23" s="41"/>
      <c r="IY23" s="234"/>
      <c r="IZ23" s="234"/>
      <c r="JA23" s="41"/>
      <c r="JB23" s="41"/>
      <c r="JC23" s="41"/>
      <c r="JD23" s="41"/>
      <c r="JE23" s="41"/>
      <c r="JF23" s="234"/>
      <c r="JG23" s="234"/>
      <c r="JH23" s="41"/>
      <c r="JI23" s="41"/>
      <c r="JJ23" s="41"/>
      <c r="JK23" s="41"/>
      <c r="JL23" s="41"/>
      <c r="JM23" s="234"/>
      <c r="JN23" s="234"/>
      <c r="JO23" s="41"/>
      <c r="JP23" s="41"/>
      <c r="JQ23" s="41"/>
      <c r="JR23" s="41"/>
      <c r="JS23" s="41"/>
      <c r="JT23" s="234"/>
      <c r="JU23" s="234"/>
      <c r="JV23" s="41"/>
      <c r="JW23" s="41"/>
      <c r="JX23" s="41"/>
      <c r="JY23" s="41"/>
      <c r="JZ23" s="41"/>
      <c r="KA23" s="234"/>
      <c r="KB23" s="234"/>
      <c r="KC23" s="41"/>
      <c r="KD23" s="41"/>
      <c r="KE23" s="41"/>
      <c r="KF23" s="41"/>
      <c r="KG23" s="41"/>
      <c r="KH23" s="234"/>
      <c r="KI23" s="234"/>
      <c r="KJ23" s="41"/>
      <c r="KK23" s="41"/>
      <c r="KL23" s="41"/>
      <c r="KM23" s="41"/>
      <c r="KN23" s="41"/>
      <c r="KO23" s="234"/>
      <c r="KP23" s="234"/>
      <c r="KQ23" s="41"/>
      <c r="KR23" s="41"/>
      <c r="KS23" s="41"/>
      <c r="KT23" s="41"/>
      <c r="KU23" s="41"/>
      <c r="KV23" s="234"/>
      <c r="KW23" s="234"/>
      <c r="KX23" s="41"/>
      <c r="KY23" s="41"/>
      <c r="KZ23" s="41"/>
      <c r="LA23" s="41"/>
      <c r="LB23" s="41"/>
      <c r="LC23" s="234"/>
      <c r="LD23" s="234"/>
      <c r="LE23" s="41"/>
      <c r="LF23" s="41"/>
      <c r="LG23" s="41"/>
      <c r="LH23" s="41"/>
      <c r="LI23" s="41"/>
      <c r="LJ23" s="234"/>
      <c r="LK23" s="234"/>
      <c r="LL23" s="41"/>
      <c r="LM23" s="41"/>
      <c r="LN23" s="41"/>
      <c r="LO23" s="41"/>
      <c r="LP23" s="41"/>
      <c r="LQ23" s="234"/>
      <c r="LR23" s="234"/>
      <c r="LS23" s="41"/>
      <c r="LT23" s="41"/>
      <c r="LU23" s="41"/>
      <c r="LV23" s="41"/>
      <c r="LW23" s="41"/>
      <c r="LX23" s="234"/>
      <c r="LY23" s="234"/>
      <c r="LZ23" s="41"/>
      <c r="MA23" s="41"/>
      <c r="MB23" s="41"/>
      <c r="MC23" s="41"/>
      <c r="MD23" s="41"/>
      <c r="ME23" s="234"/>
      <c r="MF23" s="234"/>
      <c r="MG23" s="41"/>
      <c r="MH23" s="41"/>
      <c r="MI23" s="41"/>
      <c r="MJ23" s="41"/>
      <c r="MK23" s="41"/>
      <c r="ML23" s="234"/>
      <c r="MM23" s="234"/>
      <c r="MN23" s="41"/>
      <c r="MO23" s="41"/>
      <c r="MP23" s="41"/>
      <c r="MQ23" s="41"/>
      <c r="MR23" s="41"/>
      <c r="MS23" s="234"/>
      <c r="MT23" s="234"/>
      <c r="MU23" s="41"/>
      <c r="MV23" s="41"/>
      <c r="MW23" s="41"/>
      <c r="MX23" s="41"/>
      <c r="MY23" s="41"/>
      <c r="MZ23" s="234"/>
      <c r="NA23" s="234"/>
      <c r="NB23" s="41"/>
      <c r="NC23" s="41"/>
      <c r="ND23" s="41"/>
      <c r="NE23" s="41"/>
      <c r="NF23" s="41"/>
      <c r="NG23" s="234"/>
      <c r="NH23" s="234"/>
      <c r="NI23" s="41"/>
      <c r="NJ23" s="41"/>
      <c r="NK23" s="41"/>
      <c r="NL23" s="41"/>
      <c r="NM23" s="41"/>
      <c r="NN23" s="234"/>
      <c r="NO23" s="234"/>
      <c r="NP23" s="41"/>
      <c r="NQ23" s="41"/>
      <c r="NR23" s="41"/>
      <c r="NS23" s="41"/>
      <c r="NT23" s="41"/>
      <c r="NU23" s="234"/>
    </row>
    <row r="24" spans="2:385" ht="15" thickBot="1" x14ac:dyDescent="0.35">
      <c r="B24" s="24" t="s">
        <v>18</v>
      </c>
      <c r="C24" s="25">
        <v>35</v>
      </c>
      <c r="D24" s="206" t="s">
        <v>12</v>
      </c>
      <c r="E24" s="187" t="s">
        <v>8</v>
      </c>
      <c r="F24" s="146" t="s">
        <v>9</v>
      </c>
      <c r="G24" s="155" t="s">
        <v>911</v>
      </c>
      <c r="H24" s="156" t="s">
        <v>912</v>
      </c>
      <c r="I24" s="239"/>
      <c r="J24" s="41"/>
      <c r="K24" s="41"/>
      <c r="L24" s="41"/>
      <c r="M24" s="41"/>
      <c r="N24" s="230"/>
      <c r="O24" s="230"/>
      <c r="P24" s="41"/>
      <c r="Q24" s="41"/>
      <c r="R24" s="41"/>
      <c r="S24" s="41"/>
      <c r="T24" s="41"/>
      <c r="U24" s="230"/>
      <c r="V24" s="230"/>
      <c r="W24" s="41"/>
      <c r="X24" s="41"/>
      <c r="Y24" s="41"/>
      <c r="Z24" s="41"/>
      <c r="AA24" s="41"/>
      <c r="AB24" s="230"/>
      <c r="AC24" s="230"/>
      <c r="AD24" s="125"/>
      <c r="AE24" s="41"/>
      <c r="AF24" s="41"/>
      <c r="AG24" s="41"/>
      <c r="AH24" s="41"/>
      <c r="AI24" s="230"/>
      <c r="AJ24" s="230"/>
      <c r="AK24" s="41"/>
      <c r="AL24" s="41"/>
      <c r="AM24" s="41"/>
      <c r="AN24" s="41"/>
      <c r="AO24" s="41"/>
      <c r="AP24" s="230"/>
      <c r="AQ24" s="230"/>
      <c r="AR24" s="125"/>
      <c r="AS24" s="41"/>
      <c r="AT24" s="41"/>
      <c r="AU24" s="41"/>
      <c r="AV24" s="41"/>
      <c r="AW24" s="230"/>
      <c r="AX24" s="230"/>
      <c r="AY24" s="41"/>
      <c r="AZ24" s="41"/>
      <c r="BA24" s="41"/>
      <c r="BB24" s="41"/>
      <c r="BC24" s="41"/>
      <c r="BD24" s="230"/>
      <c r="BE24" s="230"/>
      <c r="BF24" s="125"/>
      <c r="BG24" s="41"/>
      <c r="BH24" s="41"/>
      <c r="BI24" s="41"/>
      <c r="BJ24" s="41"/>
      <c r="BK24" s="230"/>
      <c r="BL24" s="230"/>
      <c r="BM24" s="41"/>
      <c r="BN24" s="41"/>
      <c r="BO24" s="41"/>
      <c r="BP24" s="41"/>
      <c r="BQ24" s="41"/>
      <c r="BR24" s="230"/>
      <c r="BS24" s="230"/>
      <c r="BT24" s="125"/>
      <c r="BU24" s="41"/>
      <c r="BV24" s="41"/>
      <c r="BW24" s="41"/>
      <c r="BX24" s="41"/>
      <c r="BY24" s="230"/>
      <c r="BZ24" s="230"/>
      <c r="CA24" s="41"/>
      <c r="CB24" s="41"/>
      <c r="CC24" s="41"/>
      <c r="CD24" s="41"/>
      <c r="CE24" s="41"/>
      <c r="CF24" s="234"/>
      <c r="CG24" s="234"/>
      <c r="CH24" s="125"/>
      <c r="CI24" s="41"/>
      <c r="CJ24" s="41"/>
      <c r="CK24" s="41"/>
      <c r="CL24" s="41"/>
      <c r="CM24" s="230"/>
      <c r="CN24" s="230"/>
      <c r="CO24" s="41"/>
      <c r="CP24" s="41"/>
      <c r="CQ24" s="41"/>
      <c r="CR24" s="41"/>
      <c r="CS24" s="41"/>
      <c r="CT24" s="230"/>
      <c r="CU24" s="230"/>
      <c r="CV24" s="125"/>
      <c r="CW24" s="41"/>
      <c r="CX24" s="41"/>
      <c r="CY24" s="41"/>
      <c r="CZ24" s="41"/>
      <c r="DA24" s="230"/>
      <c r="DB24" s="230"/>
      <c r="DC24" s="41"/>
      <c r="DD24" s="41"/>
      <c r="DE24" s="41"/>
      <c r="DF24" s="41"/>
      <c r="DG24" s="41"/>
      <c r="DH24" s="230"/>
      <c r="DI24" s="230"/>
      <c r="DJ24" s="125"/>
      <c r="DK24" s="41"/>
      <c r="DL24" s="41"/>
      <c r="DM24" s="41"/>
      <c r="DN24" s="41"/>
      <c r="DO24" s="230"/>
      <c r="DP24" s="230"/>
      <c r="DQ24" s="136" t="s">
        <v>460</v>
      </c>
      <c r="DR24" s="41"/>
      <c r="DS24" s="41"/>
      <c r="DT24" s="41"/>
      <c r="DU24" s="41"/>
      <c r="DV24" s="230"/>
      <c r="DW24" s="234"/>
      <c r="DX24" s="41"/>
      <c r="DY24" s="41"/>
      <c r="DZ24" s="41"/>
      <c r="EA24" s="139" t="s">
        <v>460</v>
      </c>
      <c r="EB24" s="41"/>
      <c r="EC24" s="230"/>
      <c r="ED24" s="230"/>
      <c r="EE24" s="125"/>
      <c r="EF24" s="41"/>
      <c r="EG24" s="41"/>
      <c r="EH24" s="41"/>
      <c r="EI24" s="41"/>
      <c r="EJ24" s="230"/>
      <c r="EK24" s="230"/>
      <c r="EL24" s="125"/>
      <c r="EM24" s="41"/>
      <c r="EN24" s="41"/>
      <c r="EO24" s="41"/>
      <c r="EP24" s="41"/>
      <c r="EQ24" s="230"/>
      <c r="ER24" s="230"/>
      <c r="ES24" s="41"/>
      <c r="ET24" s="41"/>
      <c r="EU24" s="41"/>
      <c r="EV24" s="41"/>
      <c r="EW24" s="41"/>
      <c r="EX24" s="230"/>
      <c r="EY24" s="230"/>
      <c r="EZ24" s="125"/>
      <c r="FA24" s="41"/>
      <c r="FB24" s="41"/>
      <c r="FC24" s="41"/>
      <c r="FD24" s="41"/>
      <c r="FE24" s="230"/>
      <c r="FF24" s="230"/>
      <c r="FG24" s="125"/>
      <c r="FH24" s="41"/>
      <c r="FI24" s="41"/>
      <c r="FJ24" s="41"/>
      <c r="FK24" s="41"/>
      <c r="FL24" s="230"/>
      <c r="FM24" s="230"/>
      <c r="FN24" s="139" t="s">
        <v>460</v>
      </c>
      <c r="FO24" s="41"/>
      <c r="FP24" s="41"/>
      <c r="FQ24" s="41"/>
      <c r="FR24" s="41"/>
      <c r="FS24" s="230"/>
      <c r="FT24" s="230"/>
      <c r="FU24" s="125"/>
      <c r="FV24" s="41"/>
      <c r="FW24" s="41"/>
      <c r="FX24" s="41"/>
      <c r="FY24" s="41"/>
      <c r="FZ24" s="230"/>
      <c r="GA24" s="230"/>
      <c r="GB24" s="125"/>
      <c r="GC24" s="41"/>
      <c r="GD24" s="41"/>
      <c r="GE24" s="41"/>
      <c r="GF24" s="41"/>
      <c r="GG24" s="230"/>
      <c r="GH24" s="230"/>
      <c r="GI24" s="41"/>
      <c r="GJ24" s="41"/>
      <c r="GK24" s="41"/>
      <c r="GL24" s="41"/>
      <c r="GM24" s="41"/>
      <c r="GN24" s="230"/>
      <c r="GO24" s="230"/>
      <c r="GP24" s="125"/>
      <c r="GQ24" s="41"/>
      <c r="GR24" s="41"/>
      <c r="GS24" s="41"/>
      <c r="GT24" s="41"/>
      <c r="GU24" s="230"/>
      <c r="GV24" s="230"/>
      <c r="GW24" s="125" t="s">
        <v>460</v>
      </c>
      <c r="GX24" s="41"/>
      <c r="GY24" s="41"/>
      <c r="GZ24" s="41"/>
      <c r="HA24" s="41"/>
      <c r="HB24" s="230"/>
      <c r="HC24" s="230"/>
      <c r="HD24" s="41"/>
      <c r="HE24" s="41"/>
      <c r="HF24" s="41"/>
      <c r="HG24" s="41"/>
      <c r="HH24" s="41"/>
      <c r="HI24" s="234"/>
      <c r="HJ24" s="234"/>
      <c r="HK24" s="41"/>
      <c r="HL24" s="41"/>
      <c r="HM24" s="41"/>
      <c r="HN24" s="41"/>
      <c r="HO24" s="41"/>
      <c r="HP24" s="234"/>
      <c r="HQ24" s="234"/>
      <c r="HR24" s="41"/>
      <c r="HS24" s="41"/>
      <c r="HT24" s="41"/>
      <c r="HU24" s="41"/>
      <c r="HV24" s="41"/>
      <c r="HW24" s="234"/>
      <c r="HX24" s="234"/>
      <c r="HY24" s="41"/>
      <c r="HZ24" s="41"/>
      <c r="IA24" s="41"/>
      <c r="IB24" s="41"/>
      <c r="IC24" s="41"/>
      <c r="ID24" s="234"/>
      <c r="IE24" s="234"/>
      <c r="IF24" s="41"/>
      <c r="IG24" s="41"/>
      <c r="IH24" s="41"/>
      <c r="II24" s="41"/>
      <c r="IJ24" s="41"/>
      <c r="IK24" s="234"/>
      <c r="IL24" s="234"/>
      <c r="IM24" s="41"/>
      <c r="IN24" s="41"/>
      <c r="IO24" s="41"/>
      <c r="IP24" s="41"/>
      <c r="IQ24" s="41"/>
      <c r="IR24" s="234"/>
      <c r="IS24" s="234"/>
      <c r="IT24" s="41"/>
      <c r="IU24" s="41"/>
      <c r="IV24" s="41"/>
      <c r="IW24" s="41"/>
      <c r="IX24" s="41"/>
      <c r="IY24" s="234"/>
      <c r="IZ24" s="234"/>
      <c r="JA24" s="41"/>
      <c r="JB24" s="41"/>
      <c r="JC24" s="41"/>
      <c r="JD24" s="41"/>
      <c r="JE24" s="41"/>
      <c r="JF24" s="234"/>
      <c r="JG24" s="234"/>
      <c r="JH24" s="41"/>
      <c r="JI24" s="41"/>
      <c r="JJ24" s="41"/>
      <c r="JK24" s="41"/>
      <c r="JL24" s="41"/>
      <c r="JM24" s="234"/>
      <c r="JN24" s="234"/>
      <c r="JO24" s="41"/>
      <c r="JP24" s="41"/>
      <c r="JQ24" s="41"/>
      <c r="JR24" s="41"/>
      <c r="JS24" s="41"/>
      <c r="JT24" s="234"/>
      <c r="JU24" s="234"/>
      <c r="JV24" s="41"/>
      <c r="JW24" s="41"/>
      <c r="JX24" s="41"/>
      <c r="JY24" s="41"/>
      <c r="JZ24" s="41"/>
      <c r="KA24" s="234"/>
      <c r="KB24" s="234"/>
      <c r="KC24" s="41"/>
      <c r="KD24" s="41"/>
      <c r="KE24" s="41"/>
      <c r="KF24" s="41"/>
      <c r="KG24" s="41"/>
      <c r="KH24" s="234"/>
      <c r="KI24" s="234"/>
      <c r="KJ24" s="41"/>
      <c r="KK24" s="41"/>
      <c r="KL24" s="41"/>
      <c r="KM24" s="41"/>
      <c r="KN24" s="41"/>
      <c r="KO24" s="234"/>
      <c r="KP24" s="234"/>
      <c r="KQ24" s="41"/>
      <c r="KR24" s="41"/>
      <c r="KS24" s="41"/>
      <c r="KT24" s="41"/>
      <c r="KU24" s="41"/>
      <c r="KV24" s="234"/>
      <c r="KW24" s="234"/>
      <c r="KX24" s="41"/>
      <c r="KY24" s="41"/>
      <c r="KZ24" s="41"/>
      <c r="LA24" s="41"/>
      <c r="LB24" s="41"/>
      <c r="LC24" s="234"/>
      <c r="LD24" s="234"/>
      <c r="LE24" s="41"/>
      <c r="LF24" s="41"/>
      <c r="LG24" s="41"/>
      <c r="LH24" s="41"/>
      <c r="LI24" s="41"/>
      <c r="LJ24" s="234"/>
      <c r="LK24" s="234"/>
      <c r="LL24" s="41"/>
      <c r="LM24" s="41"/>
      <c r="LN24" s="41"/>
      <c r="LO24" s="41"/>
      <c r="LP24" s="41"/>
      <c r="LQ24" s="234"/>
      <c r="LR24" s="234"/>
      <c r="LS24" s="41"/>
      <c r="LT24" s="41"/>
      <c r="LU24" s="41"/>
      <c r="LV24" s="41"/>
      <c r="LW24" s="41"/>
      <c r="LX24" s="234"/>
      <c r="LY24" s="234"/>
      <c r="LZ24" s="41"/>
      <c r="MA24" s="41"/>
      <c r="MB24" s="41"/>
      <c r="MC24" s="41"/>
      <c r="MD24" s="41"/>
      <c r="ME24" s="234"/>
      <c r="MF24" s="234"/>
      <c r="MG24" s="41"/>
      <c r="MH24" s="41"/>
      <c r="MI24" s="41"/>
      <c r="MJ24" s="41"/>
      <c r="MK24" s="41"/>
      <c r="ML24" s="234"/>
      <c r="MM24" s="234"/>
      <c r="MN24" s="41"/>
      <c r="MO24" s="41"/>
      <c r="MP24" s="41"/>
      <c r="MQ24" s="41"/>
      <c r="MR24" s="41"/>
      <c r="MS24" s="234"/>
      <c r="MT24" s="234"/>
      <c r="MU24" s="41"/>
      <c r="MV24" s="41"/>
      <c r="MW24" s="41"/>
      <c r="MX24" s="41"/>
      <c r="MY24" s="41"/>
      <c r="MZ24" s="234"/>
      <c r="NA24" s="234"/>
      <c r="NB24" s="41"/>
      <c r="NC24" s="41"/>
      <c r="ND24" s="41"/>
      <c r="NE24" s="41"/>
      <c r="NF24" s="41"/>
      <c r="NG24" s="234"/>
      <c r="NH24" s="234"/>
      <c r="NI24" s="41"/>
      <c r="NJ24" s="41"/>
      <c r="NK24" s="41"/>
      <c r="NL24" s="41"/>
      <c r="NM24" s="41"/>
      <c r="NN24" s="234"/>
      <c r="NO24" s="234"/>
      <c r="NP24" s="41"/>
      <c r="NQ24" s="41"/>
      <c r="NR24" s="41"/>
      <c r="NS24" s="41"/>
      <c r="NT24" s="41"/>
      <c r="NU24" s="234"/>
    </row>
    <row r="25" spans="2:385" ht="15" thickBot="1" x14ac:dyDescent="0.35">
      <c r="B25" s="24" t="s">
        <v>18</v>
      </c>
      <c r="C25" s="25">
        <v>35</v>
      </c>
      <c r="D25" s="206" t="s">
        <v>12</v>
      </c>
      <c r="E25" s="187" t="s">
        <v>8</v>
      </c>
      <c r="F25" s="146" t="s">
        <v>9</v>
      </c>
      <c r="G25" s="155" t="s">
        <v>250</v>
      </c>
      <c r="H25" s="156" t="s">
        <v>122</v>
      </c>
      <c r="I25" s="239"/>
      <c r="J25" s="41"/>
      <c r="K25" s="41"/>
      <c r="L25" s="41"/>
      <c r="M25" s="41"/>
      <c r="N25" s="230"/>
      <c r="O25" s="230"/>
      <c r="P25" s="41"/>
      <c r="Q25" s="41"/>
      <c r="R25" s="41"/>
      <c r="S25" s="41" t="s">
        <v>460</v>
      </c>
      <c r="T25" s="41" t="s">
        <v>460</v>
      </c>
      <c r="U25" s="230"/>
      <c r="V25" s="230"/>
      <c r="W25" s="41"/>
      <c r="X25" s="41"/>
      <c r="Y25" s="41"/>
      <c r="Z25" s="41"/>
      <c r="AA25" s="41"/>
      <c r="AB25" s="230"/>
      <c r="AC25" s="230"/>
      <c r="AD25" s="125"/>
      <c r="AE25" s="41"/>
      <c r="AF25" s="41"/>
      <c r="AG25" s="41"/>
      <c r="AH25" s="41"/>
      <c r="AI25" s="230"/>
      <c r="AJ25" s="230"/>
      <c r="AK25" s="41"/>
      <c r="AL25" s="41"/>
      <c r="AM25" s="41"/>
      <c r="AN25" s="41"/>
      <c r="AO25" s="41"/>
      <c r="AP25" s="230"/>
      <c r="AQ25" s="230"/>
      <c r="AR25" s="125"/>
      <c r="AS25" s="41"/>
      <c r="AT25" s="41"/>
      <c r="AU25" s="41"/>
      <c r="AV25" s="41"/>
      <c r="AW25" s="230"/>
      <c r="AX25" s="230"/>
      <c r="AY25" s="41"/>
      <c r="AZ25" s="41"/>
      <c r="BA25" s="41"/>
      <c r="BB25" s="41"/>
      <c r="BC25" s="41"/>
      <c r="BD25" s="230"/>
      <c r="BE25" s="230"/>
      <c r="BF25" s="125" t="s">
        <v>460</v>
      </c>
      <c r="BG25" s="125" t="s">
        <v>460</v>
      </c>
      <c r="BH25" s="125" t="s">
        <v>460</v>
      </c>
      <c r="BI25" s="125" t="s">
        <v>460</v>
      </c>
      <c r="BJ25" s="125" t="s">
        <v>460</v>
      </c>
      <c r="BK25" s="230"/>
      <c r="BL25" s="230"/>
      <c r="BM25" s="41"/>
      <c r="BN25" s="41"/>
      <c r="BO25" s="41"/>
      <c r="BP25" s="41"/>
      <c r="BQ25" s="41"/>
      <c r="BR25" s="41" t="s">
        <v>460</v>
      </c>
      <c r="BS25" s="41" t="s">
        <v>460</v>
      </c>
      <c r="BT25" s="125"/>
      <c r="BU25" s="41"/>
      <c r="BV25" s="41"/>
      <c r="BW25" s="41"/>
      <c r="BX25" s="41"/>
      <c r="BY25" s="230"/>
      <c r="BZ25" s="230"/>
      <c r="CA25" s="41"/>
      <c r="CB25" s="41"/>
      <c r="CC25" s="41"/>
      <c r="CD25" s="41"/>
      <c r="CE25" s="41"/>
      <c r="CF25" s="230"/>
      <c r="CG25" s="230"/>
      <c r="CH25" s="125"/>
      <c r="CI25" s="41"/>
      <c r="CJ25" s="41"/>
      <c r="CK25" s="41"/>
      <c r="CL25" s="41"/>
      <c r="CM25" s="230"/>
      <c r="CN25" s="230"/>
      <c r="CO25" s="41"/>
      <c r="CP25" s="41"/>
      <c r="CQ25" s="41"/>
      <c r="CR25" s="41"/>
      <c r="CS25" s="41"/>
      <c r="CT25" s="230"/>
      <c r="CU25" s="230"/>
      <c r="CV25" s="125"/>
      <c r="CW25" s="41"/>
      <c r="CX25" s="41"/>
      <c r="CY25" s="41"/>
      <c r="CZ25" s="41"/>
      <c r="DA25" s="230"/>
      <c r="DB25" s="230"/>
      <c r="DC25" s="41"/>
      <c r="DD25" s="41"/>
      <c r="DE25" s="41"/>
      <c r="DF25" s="41"/>
      <c r="DG25" s="41"/>
      <c r="DH25" s="230"/>
      <c r="DI25" s="230"/>
      <c r="DJ25" s="125" t="s">
        <v>460</v>
      </c>
      <c r="DK25" s="41" t="s">
        <v>460</v>
      </c>
      <c r="DL25" s="41" t="s">
        <v>460</v>
      </c>
      <c r="DM25" s="41" t="s">
        <v>460</v>
      </c>
      <c r="DN25" s="41" t="s">
        <v>460</v>
      </c>
      <c r="DO25" s="230"/>
      <c r="DP25" s="230"/>
      <c r="DQ25" s="136" t="s">
        <v>460</v>
      </c>
      <c r="DR25" s="41"/>
      <c r="DS25" s="41"/>
      <c r="DT25" s="41"/>
      <c r="DU25" s="41"/>
      <c r="DV25" s="230"/>
      <c r="DW25" s="234"/>
      <c r="DX25" s="41"/>
      <c r="DY25" s="41"/>
      <c r="DZ25" s="41"/>
      <c r="EA25" s="139" t="s">
        <v>460</v>
      </c>
      <c r="EB25" s="41"/>
      <c r="EC25" s="230"/>
      <c r="ED25" s="230"/>
      <c r="EE25" s="125"/>
      <c r="EF25" s="41"/>
      <c r="EG25" s="41"/>
      <c r="EH25" s="41"/>
      <c r="EI25" s="41"/>
      <c r="EJ25" s="230"/>
      <c r="EK25" s="230"/>
      <c r="EL25" s="125"/>
      <c r="EM25" s="41"/>
      <c r="EN25" s="41"/>
      <c r="EO25" s="41"/>
      <c r="EP25" s="41"/>
      <c r="EQ25" s="230"/>
      <c r="ER25" s="230"/>
      <c r="ES25" s="41"/>
      <c r="ET25" s="41"/>
      <c r="EU25" s="41"/>
      <c r="EV25" s="41"/>
      <c r="EW25" s="41"/>
      <c r="EX25" s="230"/>
      <c r="EY25" s="230"/>
      <c r="EZ25" s="125"/>
      <c r="FA25" s="41"/>
      <c r="FB25" s="41"/>
      <c r="FC25" s="41"/>
      <c r="FD25" s="41"/>
      <c r="FE25" s="230"/>
      <c r="FF25" s="230"/>
      <c r="FG25" s="136"/>
      <c r="FH25" s="41"/>
      <c r="FI25" s="41"/>
      <c r="FJ25" s="41"/>
      <c r="FK25" s="41"/>
      <c r="FL25" s="230"/>
      <c r="FM25" s="230"/>
      <c r="FN25" s="139" t="s">
        <v>460</v>
      </c>
      <c r="FO25" s="41"/>
      <c r="FP25" s="41"/>
      <c r="FQ25" s="41"/>
      <c r="FR25" s="41"/>
      <c r="FS25" s="230"/>
      <c r="FT25" s="230"/>
      <c r="FU25" s="125"/>
      <c r="FV25" s="41"/>
      <c r="FW25" s="41"/>
      <c r="FX25" s="41"/>
      <c r="FY25" s="41"/>
      <c r="FZ25" s="230"/>
      <c r="GA25" s="230"/>
      <c r="GB25" s="125"/>
      <c r="GC25" s="41"/>
      <c r="GD25" s="41"/>
      <c r="GE25" s="41"/>
      <c r="GF25" s="41"/>
      <c r="GG25" s="230"/>
      <c r="GH25" s="230"/>
      <c r="GI25" s="41"/>
      <c r="GJ25" s="41"/>
      <c r="GK25" s="41"/>
      <c r="GL25" s="41"/>
      <c r="GM25" s="41"/>
      <c r="GN25" s="230"/>
      <c r="GO25" s="230"/>
      <c r="GP25" s="125"/>
      <c r="GQ25" s="125"/>
      <c r="GR25" s="125"/>
      <c r="GS25" s="125"/>
      <c r="GT25" s="125"/>
      <c r="GU25" s="230"/>
      <c r="GV25" s="230"/>
      <c r="GW25" s="125" t="s">
        <v>460</v>
      </c>
      <c r="GX25" s="41"/>
      <c r="GY25" s="41"/>
      <c r="GZ25" s="41"/>
      <c r="HA25" s="41"/>
      <c r="HB25" s="230"/>
      <c r="HC25" s="230"/>
      <c r="HD25" s="41"/>
      <c r="HE25" s="41"/>
      <c r="HF25" s="41"/>
      <c r="HG25" s="41"/>
      <c r="HH25" s="41"/>
      <c r="HI25" s="234"/>
      <c r="HJ25" s="234"/>
      <c r="HK25" s="41" t="s">
        <v>460</v>
      </c>
      <c r="HL25" s="41" t="s">
        <v>460</v>
      </c>
      <c r="HM25" s="41" t="s">
        <v>460</v>
      </c>
      <c r="HN25" s="41" t="s">
        <v>460</v>
      </c>
      <c r="HO25" s="41" t="s">
        <v>460</v>
      </c>
      <c r="HP25" s="234"/>
      <c r="HQ25" s="234"/>
      <c r="HR25" s="41" t="s">
        <v>460</v>
      </c>
      <c r="HS25" s="41" t="s">
        <v>460</v>
      </c>
      <c r="HT25" s="41" t="s">
        <v>460</v>
      </c>
      <c r="HU25" s="41" t="s">
        <v>460</v>
      </c>
      <c r="HV25" s="41" t="s">
        <v>460</v>
      </c>
      <c r="HW25" s="234"/>
      <c r="HX25" s="234"/>
      <c r="HY25" s="41" t="s">
        <v>460</v>
      </c>
      <c r="HZ25" s="41" t="s">
        <v>460</v>
      </c>
      <c r="IA25" s="41" t="s">
        <v>460</v>
      </c>
      <c r="IB25" s="41" t="s">
        <v>460</v>
      </c>
      <c r="IC25" s="41" t="s">
        <v>460</v>
      </c>
      <c r="ID25" s="234"/>
      <c r="IE25" s="234"/>
      <c r="IF25" s="41"/>
      <c r="IG25" s="41"/>
      <c r="IH25" s="41"/>
      <c r="II25" s="41"/>
      <c r="IJ25" s="41"/>
      <c r="IK25" s="234"/>
      <c r="IL25" s="234"/>
      <c r="IM25" s="41"/>
      <c r="IN25" s="41"/>
      <c r="IO25" s="41"/>
      <c r="IP25" s="41"/>
      <c r="IQ25" s="41"/>
      <c r="IR25" s="234"/>
      <c r="IS25" s="234"/>
      <c r="IT25" s="41"/>
      <c r="IU25" s="41"/>
      <c r="IV25" s="41"/>
      <c r="IW25" s="41"/>
      <c r="IX25" s="41"/>
      <c r="IY25" s="234"/>
      <c r="IZ25" s="234"/>
      <c r="JA25" s="41"/>
      <c r="JB25" s="41"/>
      <c r="JC25" s="41"/>
      <c r="JD25" s="41"/>
      <c r="JE25" s="41"/>
      <c r="JF25" s="234"/>
      <c r="JG25" s="234"/>
      <c r="JH25" s="41"/>
      <c r="JI25" s="41"/>
      <c r="JJ25" s="41"/>
      <c r="JK25" s="41"/>
      <c r="JL25" s="41"/>
      <c r="JM25" s="234"/>
      <c r="JN25" s="234"/>
      <c r="JO25" s="41"/>
      <c r="JP25" s="41"/>
      <c r="JQ25" s="41"/>
      <c r="JR25" s="41"/>
      <c r="JS25" s="41"/>
      <c r="JT25" s="234"/>
      <c r="JU25" s="234"/>
      <c r="JV25" s="41"/>
      <c r="JW25" s="41"/>
      <c r="JX25" s="41"/>
      <c r="JY25" s="41"/>
      <c r="JZ25" s="41"/>
      <c r="KA25" s="234"/>
      <c r="KB25" s="234"/>
      <c r="KC25" s="41"/>
      <c r="KD25" s="41"/>
      <c r="KE25" s="41"/>
      <c r="KF25" s="41"/>
      <c r="KG25" s="41"/>
      <c r="KH25" s="234"/>
      <c r="KI25" s="234"/>
      <c r="KJ25" s="41"/>
      <c r="KK25" s="41"/>
      <c r="KL25" s="41"/>
      <c r="KM25" s="41"/>
      <c r="KN25" s="41"/>
      <c r="KO25" s="234"/>
      <c r="KP25" s="234"/>
      <c r="KQ25" s="41"/>
      <c r="KR25" s="41"/>
      <c r="KS25" s="41"/>
      <c r="KT25" s="41"/>
      <c r="KU25" s="41"/>
      <c r="KV25" s="234"/>
      <c r="KW25" s="234"/>
      <c r="KX25" s="41"/>
      <c r="KY25" s="41"/>
      <c r="KZ25" s="41"/>
      <c r="LA25" s="41"/>
      <c r="LB25" s="41"/>
      <c r="LC25" s="234"/>
      <c r="LD25" s="234"/>
      <c r="LE25" s="41"/>
      <c r="LF25" s="41"/>
      <c r="LG25" s="41"/>
      <c r="LH25" s="41"/>
      <c r="LI25" s="41"/>
      <c r="LJ25" s="234"/>
      <c r="LK25" s="234"/>
      <c r="LL25" s="41"/>
      <c r="LM25" s="41"/>
      <c r="LN25" s="41"/>
      <c r="LO25" s="41"/>
      <c r="LP25" s="41"/>
      <c r="LQ25" s="234"/>
      <c r="LR25" s="234"/>
      <c r="LS25" s="41"/>
      <c r="LT25" s="41"/>
      <c r="LU25" s="41"/>
      <c r="LV25" s="41"/>
      <c r="LW25" s="41"/>
      <c r="LX25" s="234"/>
      <c r="LY25" s="234"/>
      <c r="LZ25" s="41"/>
      <c r="MA25" s="41"/>
      <c r="MB25" s="41"/>
      <c r="MC25" s="41"/>
      <c r="MD25" s="41"/>
      <c r="ME25" s="234"/>
      <c r="MF25" s="234"/>
      <c r="MG25" s="41"/>
      <c r="MH25" s="41"/>
      <c r="MI25" s="41"/>
      <c r="MJ25" s="41"/>
      <c r="MK25" s="41"/>
      <c r="ML25" s="234"/>
      <c r="MM25" s="234"/>
      <c r="MN25" s="41"/>
      <c r="MO25" s="41"/>
      <c r="MP25" s="41"/>
      <c r="MQ25" s="41"/>
      <c r="MR25" s="41"/>
      <c r="MS25" s="234"/>
      <c r="MT25" s="234"/>
      <c r="MU25" s="41"/>
      <c r="MV25" s="41"/>
      <c r="MW25" s="41"/>
      <c r="MX25" s="41"/>
      <c r="MY25" s="41"/>
      <c r="MZ25" s="234"/>
      <c r="NA25" s="234"/>
      <c r="NB25" s="41"/>
      <c r="NC25" s="41"/>
      <c r="ND25" s="41"/>
      <c r="NE25" s="41"/>
      <c r="NF25" s="41"/>
      <c r="NG25" s="234"/>
      <c r="NH25" s="234"/>
      <c r="NI25" s="41"/>
      <c r="NJ25" s="41"/>
      <c r="NK25" s="41"/>
      <c r="NL25" s="41"/>
      <c r="NM25" s="41"/>
      <c r="NN25" s="234"/>
      <c r="NO25" s="234"/>
      <c r="NP25" s="41"/>
      <c r="NQ25" s="41"/>
      <c r="NR25" s="41"/>
      <c r="NS25" s="41"/>
      <c r="NT25" s="41"/>
      <c r="NU25" s="234"/>
    </row>
    <row r="26" spans="2:385" ht="15" thickBot="1" x14ac:dyDescent="0.35">
      <c r="B26" s="65" t="s">
        <v>18</v>
      </c>
      <c r="C26" s="25">
        <v>35</v>
      </c>
      <c r="D26" s="206" t="s">
        <v>12</v>
      </c>
      <c r="E26" s="187" t="s">
        <v>8</v>
      </c>
      <c r="F26" s="146" t="s">
        <v>9</v>
      </c>
      <c r="G26" s="155" t="s">
        <v>902</v>
      </c>
      <c r="H26" s="156" t="s">
        <v>174</v>
      </c>
      <c r="I26" s="125"/>
      <c r="J26" s="41"/>
      <c r="K26" s="41"/>
      <c r="L26" s="41"/>
      <c r="M26" s="41"/>
      <c r="N26" s="230"/>
      <c r="O26" s="230"/>
      <c r="P26" s="41"/>
      <c r="Q26" s="41"/>
      <c r="R26" s="41"/>
      <c r="S26" s="41"/>
      <c r="T26" s="41"/>
      <c r="U26" s="230"/>
      <c r="V26" s="230"/>
      <c r="W26" s="41"/>
      <c r="X26" s="41"/>
      <c r="Y26" s="41"/>
      <c r="Z26" s="41"/>
      <c r="AA26" s="41"/>
      <c r="AB26" s="230"/>
      <c r="AC26" s="230"/>
      <c r="AD26" s="125"/>
      <c r="AE26" s="41"/>
      <c r="AF26" s="41"/>
      <c r="AG26" s="41"/>
      <c r="AH26" s="41"/>
      <c r="AI26" s="230"/>
      <c r="AJ26" s="230"/>
      <c r="AK26" s="41"/>
      <c r="AL26" s="41"/>
      <c r="AM26" s="41"/>
      <c r="AN26" s="41"/>
      <c r="AO26" s="41"/>
      <c r="AP26" s="230"/>
      <c r="AQ26" s="230"/>
      <c r="AR26" s="125"/>
      <c r="AS26" s="41"/>
      <c r="AT26" s="41"/>
      <c r="AU26" s="41"/>
      <c r="AV26" s="41"/>
      <c r="AW26" s="230"/>
      <c r="AX26" s="230"/>
      <c r="AY26" s="41"/>
      <c r="AZ26" s="41"/>
      <c r="BA26" s="41"/>
      <c r="BB26" s="41"/>
      <c r="BC26" s="41"/>
      <c r="BD26" s="230"/>
      <c r="BE26" s="230"/>
      <c r="BF26" s="125"/>
      <c r="BG26" s="41"/>
      <c r="BH26" s="41"/>
      <c r="BI26" s="41"/>
      <c r="BJ26" s="41"/>
      <c r="BK26" s="230"/>
      <c r="BL26" s="230"/>
      <c r="BM26" s="41"/>
      <c r="BN26" s="41"/>
      <c r="BO26" s="41"/>
      <c r="BP26" s="41"/>
      <c r="BQ26" s="41"/>
      <c r="BR26" s="234"/>
      <c r="BS26" s="234"/>
      <c r="BT26" s="125"/>
      <c r="BU26" s="41"/>
      <c r="BV26" s="41"/>
      <c r="BW26" s="41"/>
      <c r="BX26" s="41"/>
      <c r="BY26" s="234"/>
      <c r="BZ26" s="234"/>
      <c r="CA26" s="41"/>
      <c r="CB26" s="41"/>
      <c r="CC26" s="41"/>
      <c r="CD26" s="41"/>
      <c r="CE26" s="41"/>
      <c r="CF26" s="230"/>
      <c r="CG26" s="230"/>
      <c r="CH26" s="125"/>
      <c r="CI26" s="41"/>
      <c r="CJ26" s="41"/>
      <c r="CK26" s="41"/>
      <c r="CL26" s="41"/>
      <c r="CM26" s="230"/>
      <c r="CN26" s="230"/>
      <c r="CO26" s="41"/>
      <c r="CP26" s="41"/>
      <c r="CQ26" s="41"/>
      <c r="CR26" s="41"/>
      <c r="CS26" s="41"/>
      <c r="CT26" s="230"/>
      <c r="CU26" s="230"/>
      <c r="CV26" s="125"/>
      <c r="CW26" s="41"/>
      <c r="CX26" s="41"/>
      <c r="CY26" s="41"/>
      <c r="CZ26" s="41"/>
      <c r="DA26" s="230"/>
      <c r="DB26" s="230"/>
      <c r="DC26" s="41"/>
      <c r="DD26" s="41"/>
      <c r="DE26" s="41"/>
      <c r="DF26" s="41"/>
      <c r="DG26" s="41"/>
      <c r="DH26" s="230"/>
      <c r="DI26" s="230"/>
      <c r="DJ26" s="125"/>
      <c r="DK26" s="41"/>
      <c r="DL26" s="41"/>
      <c r="DM26" s="41"/>
      <c r="DN26" s="41"/>
      <c r="DO26" s="230"/>
      <c r="DP26" s="230"/>
      <c r="DQ26" s="125" t="s">
        <v>460</v>
      </c>
      <c r="DR26" s="41"/>
      <c r="DS26" s="41"/>
      <c r="DT26" s="41"/>
      <c r="DU26" s="41"/>
      <c r="DV26" s="230"/>
      <c r="DW26" s="234"/>
      <c r="DX26" s="41"/>
      <c r="DY26" s="41"/>
      <c r="DZ26" s="41"/>
      <c r="EA26" s="41" t="s">
        <v>460</v>
      </c>
      <c r="EB26" s="41"/>
      <c r="EC26" s="230"/>
      <c r="ED26" s="230"/>
      <c r="EE26" s="125"/>
      <c r="EF26" s="41"/>
      <c r="EG26" s="41"/>
      <c r="EH26" s="41"/>
      <c r="EI26" s="41"/>
      <c r="EJ26" s="230"/>
      <c r="EK26" s="230"/>
      <c r="EL26" s="125"/>
      <c r="EM26" s="41"/>
      <c r="EN26" s="41"/>
      <c r="EO26" s="41"/>
      <c r="EP26" s="41"/>
      <c r="EQ26" s="230"/>
      <c r="ER26" s="230"/>
      <c r="ES26" s="41"/>
      <c r="ET26" s="41"/>
      <c r="EU26" s="41"/>
      <c r="EV26" s="41"/>
      <c r="EW26" s="41"/>
      <c r="EX26" s="230"/>
      <c r="EY26" s="230"/>
      <c r="EZ26" s="125"/>
      <c r="FA26" s="41"/>
      <c r="FB26" s="41"/>
      <c r="FC26" s="41"/>
      <c r="FD26" s="41"/>
      <c r="FE26" s="230"/>
      <c r="FF26" s="230"/>
      <c r="FG26" s="125"/>
      <c r="FH26" s="41"/>
      <c r="FI26" s="41"/>
      <c r="FJ26" s="41"/>
      <c r="FK26" s="41"/>
      <c r="FL26" s="230"/>
      <c r="FM26" s="230"/>
      <c r="FN26" s="139" t="s">
        <v>460</v>
      </c>
      <c r="FO26" s="41"/>
      <c r="FP26" s="41"/>
      <c r="FQ26" s="41"/>
      <c r="FR26" s="41"/>
      <c r="FS26" s="230"/>
      <c r="FT26" s="230"/>
      <c r="FU26" s="125"/>
      <c r="FV26" s="41"/>
      <c r="FW26" s="41"/>
      <c r="FX26" s="41"/>
      <c r="FY26" s="41"/>
      <c r="FZ26" s="230"/>
      <c r="GA26" s="230"/>
      <c r="GB26" s="125"/>
      <c r="GC26" s="41"/>
      <c r="GD26" s="41"/>
      <c r="GE26" s="41"/>
      <c r="GF26" s="41"/>
      <c r="GG26" s="230"/>
      <c r="GH26" s="230"/>
      <c r="GI26" s="41"/>
      <c r="GJ26" s="41"/>
      <c r="GK26" s="41"/>
      <c r="GL26" s="41"/>
      <c r="GM26" s="41"/>
      <c r="GN26" s="230"/>
      <c r="GO26" s="230"/>
      <c r="GP26" s="125"/>
      <c r="GQ26" s="41"/>
      <c r="GR26" s="41"/>
      <c r="GS26" s="41"/>
      <c r="GT26" s="41"/>
      <c r="GU26" s="230"/>
      <c r="GV26" s="230"/>
      <c r="GW26" s="125" t="s">
        <v>460</v>
      </c>
      <c r="GX26" s="41"/>
      <c r="GY26" s="41"/>
      <c r="GZ26" s="41"/>
      <c r="HA26" s="41"/>
      <c r="HB26" s="230"/>
      <c r="HC26" s="230"/>
      <c r="HD26" s="41"/>
      <c r="HE26" s="41"/>
      <c r="HF26" s="41"/>
      <c r="HG26" s="41"/>
      <c r="HH26" s="41"/>
      <c r="HI26" s="234"/>
      <c r="HJ26" s="234"/>
      <c r="HK26" s="41"/>
      <c r="HL26" s="41"/>
      <c r="HM26" s="41"/>
      <c r="HN26" s="41"/>
      <c r="HO26" s="41"/>
      <c r="HP26" s="234"/>
      <c r="HQ26" s="234"/>
      <c r="HR26" s="41"/>
      <c r="HS26" s="41"/>
      <c r="HT26" s="41"/>
      <c r="HU26" s="41"/>
      <c r="HV26" s="41"/>
      <c r="HW26" s="234"/>
      <c r="HX26" s="234"/>
      <c r="HY26" s="41"/>
      <c r="HZ26" s="41"/>
      <c r="IA26" s="41"/>
      <c r="IB26" s="41"/>
      <c r="IC26" s="41"/>
      <c r="ID26" s="234"/>
      <c r="IE26" s="234"/>
      <c r="IF26" s="41"/>
      <c r="IG26" s="41"/>
      <c r="IH26" s="41"/>
      <c r="II26" s="41"/>
      <c r="IJ26" s="41"/>
      <c r="IK26" s="234"/>
      <c r="IL26" s="234"/>
      <c r="IM26" s="41"/>
      <c r="IN26" s="41"/>
      <c r="IO26" s="41"/>
      <c r="IP26" s="41"/>
      <c r="IQ26" s="41"/>
      <c r="IR26" s="234"/>
      <c r="IS26" s="234"/>
      <c r="IT26" s="41"/>
      <c r="IU26" s="41"/>
      <c r="IV26" s="41"/>
      <c r="IW26" s="41"/>
      <c r="IX26" s="41"/>
      <c r="IY26" s="234"/>
      <c r="IZ26" s="234"/>
      <c r="JA26" s="41" t="s">
        <v>460</v>
      </c>
      <c r="JB26" s="41" t="s">
        <v>460</v>
      </c>
      <c r="JC26" s="41" t="s">
        <v>460</v>
      </c>
      <c r="JD26" s="41" t="s">
        <v>460</v>
      </c>
      <c r="JE26" s="41" t="s">
        <v>460</v>
      </c>
      <c r="JF26" s="234"/>
      <c r="JG26" s="234"/>
      <c r="JH26" s="41" t="s">
        <v>460</v>
      </c>
      <c r="JI26" s="41" t="s">
        <v>460</v>
      </c>
      <c r="JJ26" s="41" t="s">
        <v>460</v>
      </c>
      <c r="JK26" s="41" t="s">
        <v>460</v>
      </c>
      <c r="JL26" s="41" t="s">
        <v>460</v>
      </c>
      <c r="JM26" s="234"/>
      <c r="JN26" s="234"/>
      <c r="JO26" s="41"/>
      <c r="JP26" s="41"/>
      <c r="JQ26" s="41"/>
      <c r="JR26" s="41"/>
      <c r="JS26" s="41"/>
      <c r="JT26" s="234"/>
      <c r="JU26" s="234"/>
      <c r="JV26" s="41"/>
      <c r="JW26" s="41"/>
      <c r="JX26" s="41"/>
      <c r="JY26" s="41"/>
      <c r="JZ26" s="41"/>
      <c r="KA26" s="234"/>
      <c r="KB26" s="234"/>
      <c r="KC26" s="41"/>
      <c r="KD26" s="41"/>
      <c r="KE26" s="41"/>
      <c r="KF26" s="41"/>
      <c r="KG26" s="41"/>
      <c r="KH26" s="234"/>
      <c r="KI26" s="234"/>
      <c r="KJ26" s="41"/>
      <c r="KK26" s="41"/>
      <c r="KL26" s="41"/>
      <c r="KM26" s="41"/>
      <c r="KN26" s="41"/>
      <c r="KO26" s="234"/>
      <c r="KP26" s="234"/>
      <c r="KQ26" s="41"/>
      <c r="KR26" s="41"/>
      <c r="KS26" s="41"/>
      <c r="KT26" s="41"/>
      <c r="KU26" s="41"/>
      <c r="KV26" s="234"/>
      <c r="KW26" s="234"/>
      <c r="KX26" s="41"/>
      <c r="KY26" s="41"/>
      <c r="KZ26" s="41"/>
      <c r="LA26" s="41"/>
      <c r="LB26" s="41"/>
      <c r="LC26" s="234"/>
      <c r="LD26" s="234"/>
      <c r="LE26" s="41"/>
      <c r="LF26" s="41"/>
      <c r="LG26" s="41"/>
      <c r="LH26" s="41"/>
      <c r="LI26" s="41"/>
      <c r="LJ26" s="234"/>
      <c r="LK26" s="234"/>
      <c r="LL26" s="41"/>
      <c r="LM26" s="41"/>
      <c r="LN26" s="41"/>
      <c r="LO26" s="41"/>
      <c r="LP26" s="41"/>
      <c r="LQ26" s="234"/>
      <c r="LR26" s="234"/>
      <c r="LS26" s="41"/>
      <c r="LT26" s="41"/>
      <c r="LU26" s="41"/>
      <c r="LV26" s="41"/>
      <c r="LW26" s="41"/>
      <c r="LX26" s="234"/>
      <c r="LY26" s="234"/>
      <c r="LZ26" s="41"/>
      <c r="MA26" s="41"/>
      <c r="MB26" s="41"/>
      <c r="MC26" s="41"/>
      <c r="MD26" s="41"/>
      <c r="ME26" s="234"/>
      <c r="MF26" s="234"/>
      <c r="MG26" s="41"/>
      <c r="MH26" s="41"/>
      <c r="MI26" s="41"/>
      <c r="MJ26" s="41"/>
      <c r="MK26" s="41"/>
      <c r="ML26" s="234"/>
      <c r="MM26" s="234"/>
      <c r="MN26" s="41"/>
      <c r="MO26" s="41"/>
      <c r="MP26" s="41"/>
      <c r="MQ26" s="41"/>
      <c r="MR26" s="41"/>
      <c r="MS26" s="234"/>
      <c r="MT26" s="234"/>
      <c r="MU26" s="41"/>
      <c r="MV26" s="41"/>
      <c r="MW26" s="41"/>
      <c r="MX26" s="41"/>
      <c r="MY26" s="41"/>
      <c r="MZ26" s="234"/>
      <c r="NA26" s="234"/>
      <c r="NB26" s="41"/>
      <c r="NC26" s="41"/>
      <c r="ND26" s="41"/>
      <c r="NE26" s="41"/>
      <c r="NF26" s="41"/>
      <c r="NG26" s="234"/>
      <c r="NH26" s="234"/>
      <c r="NI26" s="41"/>
      <c r="NJ26" s="41"/>
      <c r="NK26" s="41"/>
      <c r="NL26" s="41"/>
      <c r="NM26" s="41"/>
      <c r="NN26" s="234"/>
      <c r="NO26" s="234"/>
      <c r="NP26" s="41"/>
      <c r="NQ26" s="41"/>
      <c r="NR26" s="41"/>
      <c r="NS26" s="41"/>
      <c r="NT26" s="41"/>
      <c r="NU26" s="234"/>
    </row>
    <row r="27" spans="2:385" ht="15" thickBot="1" x14ac:dyDescent="0.35">
      <c r="B27" s="24" t="s">
        <v>18</v>
      </c>
      <c r="C27" s="25">
        <v>35</v>
      </c>
      <c r="D27" s="207" t="s">
        <v>12</v>
      </c>
      <c r="E27" s="187" t="s">
        <v>8</v>
      </c>
      <c r="F27" s="146" t="s">
        <v>9</v>
      </c>
      <c r="G27" s="155" t="s">
        <v>264</v>
      </c>
      <c r="H27" s="156" t="s">
        <v>707</v>
      </c>
      <c r="I27" s="239"/>
      <c r="J27" s="41"/>
      <c r="K27" s="41"/>
      <c r="L27" s="41"/>
      <c r="M27" s="41"/>
      <c r="N27" s="230"/>
      <c r="O27" s="230"/>
      <c r="P27" s="41"/>
      <c r="Q27" s="41"/>
      <c r="R27" s="41"/>
      <c r="S27" s="41"/>
      <c r="T27" s="41"/>
      <c r="U27" s="230"/>
      <c r="V27" s="230"/>
      <c r="W27" s="41" t="s">
        <v>460</v>
      </c>
      <c r="X27" s="41" t="s">
        <v>460</v>
      </c>
      <c r="Y27" s="41" t="s">
        <v>460</v>
      </c>
      <c r="Z27" s="41" t="s">
        <v>460</v>
      </c>
      <c r="AA27" s="41" t="s">
        <v>460</v>
      </c>
      <c r="AB27" s="230"/>
      <c r="AC27" s="230"/>
      <c r="AD27" s="125" t="s">
        <v>460</v>
      </c>
      <c r="AE27" s="41" t="s">
        <v>460</v>
      </c>
      <c r="AF27" s="41" t="s">
        <v>460</v>
      </c>
      <c r="AG27" s="41" t="s">
        <v>460</v>
      </c>
      <c r="AH27" s="41" t="s">
        <v>460</v>
      </c>
      <c r="AI27" s="230"/>
      <c r="AJ27" s="230"/>
      <c r="AK27" s="41" t="s">
        <v>460</v>
      </c>
      <c r="AL27" s="41" t="s">
        <v>460</v>
      </c>
      <c r="AM27" s="41" t="s">
        <v>460</v>
      </c>
      <c r="AN27" s="41" t="s">
        <v>460</v>
      </c>
      <c r="AO27" s="41" t="s">
        <v>460</v>
      </c>
      <c r="AP27" s="230"/>
      <c r="AQ27" s="230"/>
      <c r="AR27" s="125"/>
      <c r="AS27" s="41"/>
      <c r="AT27" s="41"/>
      <c r="AU27" s="41"/>
      <c r="AV27" s="41"/>
      <c r="AW27" s="230"/>
      <c r="AX27" s="230"/>
      <c r="AY27" s="41"/>
      <c r="AZ27" s="41"/>
      <c r="BA27" s="41"/>
      <c r="BB27" s="41"/>
      <c r="BC27" s="41"/>
      <c r="BD27" s="230"/>
      <c r="BE27" s="230"/>
      <c r="BF27" s="125"/>
      <c r="BG27" s="125"/>
      <c r="BH27" s="125"/>
      <c r="BI27" s="125"/>
      <c r="BJ27" s="125"/>
      <c r="BK27" s="234"/>
      <c r="BL27" s="234"/>
      <c r="BM27" s="41"/>
      <c r="BN27" s="41"/>
      <c r="BO27" s="41"/>
      <c r="BP27" s="41"/>
      <c r="BQ27" s="41"/>
      <c r="BR27" s="230"/>
      <c r="BS27" s="230"/>
      <c r="BT27" s="41"/>
      <c r="BU27" s="41"/>
      <c r="BV27" s="41"/>
      <c r="BW27" s="41"/>
      <c r="BX27" s="41"/>
      <c r="BY27" s="230"/>
      <c r="BZ27" s="230"/>
      <c r="CA27" s="41"/>
      <c r="CB27" s="41"/>
      <c r="CC27" s="41"/>
      <c r="CD27" s="41"/>
      <c r="CE27" s="41"/>
      <c r="CF27" s="234"/>
      <c r="CG27" s="234"/>
      <c r="CH27" s="125"/>
      <c r="CI27" s="125"/>
      <c r="CJ27" s="125"/>
      <c r="CK27" s="125"/>
      <c r="CL27" s="125"/>
      <c r="CM27" s="230"/>
      <c r="CN27" s="230"/>
      <c r="CO27" s="41"/>
      <c r="CP27" s="41"/>
      <c r="CQ27" s="41"/>
      <c r="CR27" s="41"/>
      <c r="CS27" s="41"/>
      <c r="CT27" s="230"/>
      <c r="CU27" s="230"/>
      <c r="CV27" s="125"/>
      <c r="CW27" s="41"/>
      <c r="CX27" s="41"/>
      <c r="CY27" s="41"/>
      <c r="CZ27" s="41"/>
      <c r="DA27" s="230"/>
      <c r="DB27" s="230"/>
      <c r="DC27" s="41"/>
      <c r="DD27" s="41"/>
      <c r="DE27" s="41"/>
      <c r="DF27" s="41"/>
      <c r="DG27" s="41"/>
      <c r="DH27" s="230"/>
      <c r="DI27" s="230"/>
      <c r="DJ27" s="125"/>
      <c r="DK27" s="125"/>
      <c r="DL27" s="125"/>
      <c r="DM27" s="125"/>
      <c r="DN27" s="125"/>
      <c r="DO27" s="230"/>
      <c r="DP27" s="230"/>
      <c r="DQ27" s="136" t="s">
        <v>460</v>
      </c>
      <c r="DR27" s="125"/>
      <c r="DS27" s="125"/>
      <c r="DT27" s="125"/>
      <c r="DU27" s="125"/>
      <c r="DV27" s="230"/>
      <c r="DW27" s="234"/>
      <c r="DX27" s="41"/>
      <c r="DY27" s="41"/>
      <c r="DZ27" s="41"/>
      <c r="EA27" s="139" t="s">
        <v>460</v>
      </c>
      <c r="EB27" s="41"/>
      <c r="EC27" s="230"/>
      <c r="ED27" s="230"/>
      <c r="EE27" s="125"/>
      <c r="EF27" s="41"/>
      <c r="EG27" s="41"/>
      <c r="EH27" s="41"/>
      <c r="EI27" s="41"/>
      <c r="EJ27" s="230"/>
      <c r="EK27" s="230"/>
      <c r="EL27" s="125"/>
      <c r="EM27" s="41"/>
      <c r="EN27" s="41"/>
      <c r="EO27" s="41"/>
      <c r="EP27" s="41"/>
      <c r="EQ27" s="230"/>
      <c r="ER27" s="230"/>
      <c r="ES27" s="41"/>
      <c r="ET27" s="41"/>
      <c r="EU27" s="41"/>
      <c r="EV27" s="41"/>
      <c r="EW27" s="41"/>
      <c r="EX27" s="230"/>
      <c r="EY27" s="230"/>
      <c r="EZ27" s="125"/>
      <c r="FA27" s="41"/>
      <c r="FB27" s="41"/>
      <c r="FC27" s="41"/>
      <c r="FD27" s="41"/>
      <c r="FE27" s="230"/>
      <c r="FF27" s="230"/>
      <c r="FG27" s="136"/>
      <c r="FH27" s="41"/>
      <c r="FI27" s="41"/>
      <c r="FJ27" s="41"/>
      <c r="FK27" s="41"/>
      <c r="FL27" s="230"/>
      <c r="FM27" s="230"/>
      <c r="FN27" s="139" t="s">
        <v>460</v>
      </c>
      <c r="FO27" s="41"/>
      <c r="FP27" s="41"/>
      <c r="FQ27" s="41"/>
      <c r="FR27" s="41"/>
      <c r="FS27" s="230"/>
      <c r="FT27" s="230"/>
      <c r="FU27" s="125"/>
      <c r="FV27" s="41"/>
      <c r="FW27" s="41"/>
      <c r="FX27" s="41"/>
      <c r="FY27" s="41"/>
      <c r="FZ27" s="230"/>
      <c r="GA27" s="230"/>
      <c r="GB27" s="125" t="s">
        <v>460</v>
      </c>
      <c r="GC27" s="41" t="s">
        <v>460</v>
      </c>
      <c r="GD27" s="41" t="s">
        <v>460</v>
      </c>
      <c r="GE27" s="41" t="s">
        <v>460</v>
      </c>
      <c r="GF27" s="41" t="s">
        <v>460</v>
      </c>
      <c r="GG27" s="230"/>
      <c r="GH27" s="230"/>
      <c r="GI27" s="41"/>
      <c r="GJ27" s="41"/>
      <c r="GK27" s="41"/>
      <c r="GL27" s="41"/>
      <c r="GM27" s="41"/>
      <c r="GN27" s="230"/>
      <c r="GO27" s="230"/>
      <c r="GP27" s="125" t="s">
        <v>460</v>
      </c>
      <c r="GQ27" s="41" t="s">
        <v>460</v>
      </c>
      <c r="GR27" s="41" t="s">
        <v>460</v>
      </c>
      <c r="GS27" s="41" t="s">
        <v>460</v>
      </c>
      <c r="GT27" s="41" t="s">
        <v>460</v>
      </c>
      <c r="GU27" s="230"/>
      <c r="GV27" s="230"/>
      <c r="GW27" s="125" t="s">
        <v>460</v>
      </c>
      <c r="GX27" s="41" t="s">
        <v>460</v>
      </c>
      <c r="GY27" s="41" t="s">
        <v>460</v>
      </c>
      <c r="GZ27" s="41" t="s">
        <v>460</v>
      </c>
      <c r="HA27" s="41" t="s">
        <v>460</v>
      </c>
      <c r="HB27" s="230"/>
      <c r="HC27" s="230"/>
      <c r="HD27" s="41"/>
      <c r="HE27" s="41"/>
      <c r="HF27" s="41"/>
      <c r="HG27" s="41"/>
      <c r="HH27" s="41"/>
      <c r="HI27" s="234"/>
      <c r="HJ27" s="234"/>
      <c r="HK27" s="41" t="s">
        <v>460</v>
      </c>
      <c r="HL27" s="41" t="s">
        <v>460</v>
      </c>
      <c r="HM27" s="41" t="s">
        <v>460</v>
      </c>
      <c r="HN27" s="41" t="s">
        <v>460</v>
      </c>
      <c r="HO27" s="41" t="s">
        <v>460</v>
      </c>
      <c r="HP27" s="234"/>
      <c r="HQ27" s="234"/>
      <c r="HR27" s="41" t="s">
        <v>460</v>
      </c>
      <c r="HS27" s="41" t="s">
        <v>460</v>
      </c>
      <c r="HT27" s="41" t="s">
        <v>460</v>
      </c>
      <c r="HU27" s="41" t="s">
        <v>460</v>
      </c>
      <c r="HV27" s="41" t="s">
        <v>460</v>
      </c>
      <c r="HW27" s="234"/>
      <c r="HX27" s="234"/>
      <c r="HY27" s="41"/>
      <c r="HZ27" s="41"/>
      <c r="IA27" s="41"/>
      <c r="IB27" s="41"/>
      <c r="IC27" s="41"/>
      <c r="ID27" s="234"/>
      <c r="IE27" s="234"/>
      <c r="IF27" s="41"/>
      <c r="IG27" s="41"/>
      <c r="IH27" s="41"/>
      <c r="II27" s="41"/>
      <c r="IJ27" s="41"/>
      <c r="IK27" s="234"/>
      <c r="IL27" s="234"/>
      <c r="IM27" s="41"/>
      <c r="IN27" s="41"/>
      <c r="IO27" s="41"/>
      <c r="IP27" s="41"/>
      <c r="IQ27" s="41"/>
      <c r="IR27" s="234"/>
      <c r="IS27" s="234"/>
      <c r="IT27" s="41"/>
      <c r="IU27" s="41"/>
      <c r="IV27" s="41"/>
      <c r="IW27" s="41"/>
      <c r="IX27" s="41"/>
      <c r="IY27" s="234"/>
      <c r="IZ27" s="234"/>
      <c r="JA27" s="41"/>
      <c r="JB27" s="41"/>
      <c r="JC27" s="41"/>
      <c r="JD27" s="41"/>
      <c r="JE27" s="41"/>
      <c r="JF27" s="234"/>
      <c r="JG27" s="234"/>
      <c r="JH27" s="41"/>
      <c r="JI27" s="41"/>
      <c r="JJ27" s="41"/>
      <c r="JK27" s="41"/>
      <c r="JL27" s="41"/>
      <c r="JM27" s="234"/>
      <c r="JN27" s="234"/>
      <c r="JO27" s="41"/>
      <c r="JP27" s="41"/>
      <c r="JQ27" s="41"/>
      <c r="JR27" s="41"/>
      <c r="JS27" s="41"/>
      <c r="JT27" s="234"/>
      <c r="JU27" s="234"/>
      <c r="JV27" s="41"/>
      <c r="JW27" s="41"/>
      <c r="JX27" s="41"/>
      <c r="JY27" s="41"/>
      <c r="JZ27" s="41"/>
      <c r="KA27" s="234"/>
      <c r="KB27" s="234"/>
      <c r="KC27" s="41"/>
      <c r="KD27" s="41"/>
      <c r="KE27" s="41"/>
      <c r="KF27" s="41"/>
      <c r="KG27" s="41"/>
      <c r="KH27" s="234"/>
      <c r="KI27" s="234"/>
      <c r="KJ27" s="41"/>
      <c r="KK27" s="41"/>
      <c r="KL27" s="41"/>
      <c r="KM27" s="41"/>
      <c r="KN27" s="41"/>
      <c r="KO27" s="234"/>
      <c r="KP27" s="234"/>
      <c r="KQ27" s="41"/>
      <c r="KR27" s="41"/>
      <c r="KS27" s="41"/>
      <c r="KT27" s="41"/>
      <c r="KU27" s="41"/>
      <c r="KV27" s="234"/>
      <c r="KW27" s="234"/>
      <c r="KX27" s="41"/>
      <c r="KY27" s="41"/>
      <c r="KZ27" s="41"/>
      <c r="LA27" s="41"/>
      <c r="LB27" s="41"/>
      <c r="LC27" s="234"/>
      <c r="LD27" s="234"/>
      <c r="LE27" s="41"/>
      <c r="LF27" s="41"/>
      <c r="LG27" s="41"/>
      <c r="LH27" s="41"/>
      <c r="LI27" s="41"/>
      <c r="LJ27" s="234"/>
      <c r="LK27" s="234"/>
      <c r="LL27" s="41"/>
      <c r="LM27" s="41"/>
      <c r="LN27" s="41"/>
      <c r="LO27" s="41"/>
      <c r="LP27" s="41"/>
      <c r="LQ27" s="234"/>
      <c r="LR27" s="234"/>
      <c r="LS27" s="41"/>
      <c r="LT27" s="41"/>
      <c r="LU27" s="41"/>
      <c r="LV27" s="41"/>
      <c r="LW27" s="41"/>
      <c r="LX27" s="234"/>
      <c r="LY27" s="234"/>
      <c r="LZ27" s="41"/>
      <c r="MA27" s="41"/>
      <c r="MB27" s="41"/>
      <c r="MC27" s="41"/>
      <c r="MD27" s="41"/>
      <c r="ME27" s="234"/>
      <c r="MF27" s="234"/>
      <c r="MG27" s="41"/>
      <c r="MH27" s="41"/>
      <c r="MI27" s="41"/>
      <c r="MJ27" s="41"/>
      <c r="MK27" s="41"/>
      <c r="ML27" s="234"/>
      <c r="MM27" s="234"/>
      <c r="MN27" s="41"/>
      <c r="MO27" s="41"/>
      <c r="MP27" s="41"/>
      <c r="MQ27" s="41"/>
      <c r="MR27" s="41"/>
      <c r="MS27" s="234"/>
      <c r="MT27" s="234"/>
      <c r="MU27" s="41"/>
      <c r="MV27" s="41"/>
      <c r="MW27" s="41"/>
      <c r="MX27" s="41"/>
      <c r="MY27" s="41"/>
      <c r="MZ27" s="234"/>
      <c r="NA27" s="234"/>
      <c r="NB27" s="41"/>
      <c r="NC27" s="41"/>
      <c r="ND27" s="41"/>
      <c r="NE27" s="41"/>
      <c r="NF27" s="41"/>
      <c r="NG27" s="234"/>
      <c r="NH27" s="234"/>
      <c r="NI27" s="41"/>
      <c r="NJ27" s="41"/>
      <c r="NK27" s="41"/>
      <c r="NL27" s="41"/>
      <c r="NM27" s="41"/>
      <c r="NN27" s="234"/>
      <c r="NO27" s="234"/>
      <c r="NP27" s="41"/>
      <c r="NQ27" s="41"/>
      <c r="NR27" s="41"/>
      <c r="NS27" s="41"/>
      <c r="NT27" s="41"/>
      <c r="NU27" s="234"/>
    </row>
    <row r="28" spans="2:385" ht="15" thickBot="1" x14ac:dyDescent="0.35">
      <c r="D28" s="206" t="s">
        <v>12</v>
      </c>
      <c r="E28" s="187" t="s">
        <v>8</v>
      </c>
      <c r="F28" s="146" t="s">
        <v>9</v>
      </c>
      <c r="G28" s="159" t="s">
        <v>712</v>
      </c>
      <c r="H28" s="160" t="s">
        <v>713</v>
      </c>
      <c r="I28" s="239"/>
      <c r="J28" s="41"/>
      <c r="K28" s="41"/>
      <c r="L28" s="41"/>
      <c r="M28" s="41"/>
      <c r="N28" s="230"/>
      <c r="O28" s="230"/>
      <c r="P28" s="41"/>
      <c r="Q28" s="41"/>
      <c r="R28" s="41"/>
      <c r="S28" s="41"/>
      <c r="T28" s="41"/>
      <c r="U28" s="230"/>
      <c r="V28" s="230"/>
      <c r="W28" s="41" t="s">
        <v>460</v>
      </c>
      <c r="X28" s="41" t="s">
        <v>460</v>
      </c>
      <c r="Y28" s="41" t="s">
        <v>460</v>
      </c>
      <c r="Z28" s="41" t="s">
        <v>460</v>
      </c>
      <c r="AA28" s="41" t="s">
        <v>460</v>
      </c>
      <c r="AB28" s="230"/>
      <c r="AC28" s="230"/>
      <c r="AD28" s="125" t="s">
        <v>460</v>
      </c>
      <c r="AE28" s="41" t="s">
        <v>460</v>
      </c>
      <c r="AF28" s="41" t="s">
        <v>460</v>
      </c>
      <c r="AG28" s="41" t="s">
        <v>460</v>
      </c>
      <c r="AH28" s="41" t="s">
        <v>460</v>
      </c>
      <c r="AI28" s="230"/>
      <c r="AJ28" s="230"/>
      <c r="AK28" s="41" t="s">
        <v>460</v>
      </c>
      <c r="AL28" s="41" t="s">
        <v>460</v>
      </c>
      <c r="AM28" s="41" t="s">
        <v>460</v>
      </c>
      <c r="AN28" s="41" t="s">
        <v>460</v>
      </c>
      <c r="AO28" s="41" t="s">
        <v>460</v>
      </c>
      <c r="AP28" s="230"/>
      <c r="AQ28" s="230"/>
      <c r="AR28" s="125" t="s">
        <v>460</v>
      </c>
      <c r="AS28" s="41" t="s">
        <v>460</v>
      </c>
      <c r="AT28" s="41" t="s">
        <v>460</v>
      </c>
      <c r="AU28" s="41" t="s">
        <v>460</v>
      </c>
      <c r="AV28" s="41" t="s">
        <v>460</v>
      </c>
      <c r="AW28" s="230"/>
      <c r="AX28" s="230"/>
      <c r="AY28" s="41" t="s">
        <v>460</v>
      </c>
      <c r="AZ28" s="41" t="s">
        <v>460</v>
      </c>
      <c r="BA28" s="41" t="s">
        <v>460</v>
      </c>
      <c r="BB28" s="41" t="s">
        <v>460</v>
      </c>
      <c r="BC28" s="41" t="s">
        <v>460</v>
      </c>
      <c r="BD28" s="230"/>
      <c r="BE28" s="230"/>
      <c r="BF28" s="125" t="s">
        <v>460</v>
      </c>
      <c r="BG28" s="41" t="s">
        <v>460</v>
      </c>
      <c r="BH28" s="41" t="s">
        <v>460</v>
      </c>
      <c r="BI28" s="41" t="s">
        <v>460</v>
      </c>
      <c r="BJ28" s="41" t="s">
        <v>460</v>
      </c>
      <c r="BK28" s="230"/>
      <c r="BL28" s="230"/>
      <c r="BM28" s="41"/>
      <c r="BN28" s="41"/>
      <c r="BO28" s="41"/>
      <c r="BP28" s="41"/>
      <c r="BQ28" s="41"/>
      <c r="BR28" s="230"/>
      <c r="BS28" s="230"/>
      <c r="BT28" s="125"/>
      <c r="BU28" s="41"/>
      <c r="BV28" s="41"/>
      <c r="BW28" s="41"/>
      <c r="BX28" s="41"/>
      <c r="BY28" s="230"/>
      <c r="BZ28" s="230"/>
      <c r="CA28" s="41" t="s">
        <v>460</v>
      </c>
      <c r="CB28" s="41" t="s">
        <v>460</v>
      </c>
      <c r="CC28" s="41" t="s">
        <v>460</v>
      </c>
      <c r="CD28" s="41" t="s">
        <v>460</v>
      </c>
      <c r="CE28" s="41" t="s">
        <v>460</v>
      </c>
      <c r="CF28" s="230"/>
      <c r="CG28" s="230"/>
      <c r="CH28" s="125" t="s">
        <v>460</v>
      </c>
      <c r="CI28" s="41" t="s">
        <v>460</v>
      </c>
      <c r="CJ28" s="41" t="s">
        <v>460</v>
      </c>
      <c r="CK28" s="41" t="s">
        <v>460</v>
      </c>
      <c r="CL28" s="41" t="s">
        <v>460</v>
      </c>
      <c r="CM28" s="230"/>
      <c r="CN28" s="230"/>
      <c r="CO28" s="41" t="s">
        <v>460</v>
      </c>
      <c r="CP28" s="41" t="s">
        <v>460</v>
      </c>
      <c r="CQ28" s="41" t="s">
        <v>460</v>
      </c>
      <c r="CR28" s="41" t="s">
        <v>460</v>
      </c>
      <c r="CS28" s="41" t="s">
        <v>460</v>
      </c>
      <c r="CT28" s="230"/>
      <c r="CU28" s="230"/>
      <c r="CV28" s="125"/>
      <c r="CW28" s="41"/>
      <c r="CX28" s="41"/>
      <c r="CY28" s="41"/>
      <c r="CZ28" s="41"/>
      <c r="DA28" s="230"/>
      <c r="DB28" s="230"/>
      <c r="DC28" s="41"/>
      <c r="DD28" s="41"/>
      <c r="DE28" s="41"/>
      <c r="DF28" s="41"/>
      <c r="DG28" s="41"/>
      <c r="DH28" s="230"/>
      <c r="DI28" s="230"/>
      <c r="DJ28" s="125" t="s">
        <v>460</v>
      </c>
      <c r="DK28" s="41" t="s">
        <v>460</v>
      </c>
      <c r="DL28" s="41" t="s">
        <v>460</v>
      </c>
      <c r="DM28" s="41" t="s">
        <v>460</v>
      </c>
      <c r="DN28" s="41" t="s">
        <v>460</v>
      </c>
      <c r="DO28" s="230"/>
      <c r="DP28" s="230"/>
      <c r="DQ28" s="136" t="s">
        <v>460</v>
      </c>
      <c r="DR28" s="41" t="s">
        <v>460</v>
      </c>
      <c r="DS28" s="41" t="s">
        <v>460</v>
      </c>
      <c r="DT28" s="41" t="s">
        <v>460</v>
      </c>
      <c r="DU28" s="41" t="s">
        <v>460</v>
      </c>
      <c r="DV28" s="230"/>
      <c r="DW28" s="234"/>
      <c r="DX28" s="41" t="s">
        <v>460</v>
      </c>
      <c r="DY28" s="41" t="s">
        <v>460</v>
      </c>
      <c r="DZ28" s="41" t="s">
        <v>460</v>
      </c>
      <c r="EA28" s="139" t="s">
        <v>460</v>
      </c>
      <c r="EB28" s="41" t="s">
        <v>460</v>
      </c>
      <c r="EC28" s="230"/>
      <c r="ED28" s="230"/>
      <c r="EE28" s="125" t="s">
        <v>460</v>
      </c>
      <c r="EF28" s="41" t="s">
        <v>460</v>
      </c>
      <c r="EG28" s="41" t="s">
        <v>460</v>
      </c>
      <c r="EH28" s="41" t="s">
        <v>460</v>
      </c>
      <c r="EI28" s="41" t="s">
        <v>460</v>
      </c>
      <c r="EJ28" s="230"/>
      <c r="EK28" s="230"/>
      <c r="EL28" s="125" t="s">
        <v>460</v>
      </c>
      <c r="EM28" s="41" t="s">
        <v>460</v>
      </c>
      <c r="EN28" s="41" t="s">
        <v>460</v>
      </c>
      <c r="EO28" s="41" t="s">
        <v>460</v>
      </c>
      <c r="EP28" s="41" t="s">
        <v>460</v>
      </c>
      <c r="EQ28" s="230"/>
      <c r="ER28" s="230"/>
      <c r="ES28" s="41" t="s">
        <v>460</v>
      </c>
      <c r="ET28" s="41" t="s">
        <v>460</v>
      </c>
      <c r="EU28" s="41" t="s">
        <v>460</v>
      </c>
      <c r="EV28" s="41" t="s">
        <v>460</v>
      </c>
      <c r="EW28" s="41" t="s">
        <v>460</v>
      </c>
      <c r="EX28" s="230"/>
      <c r="EY28" s="230"/>
      <c r="EZ28" s="125" t="s">
        <v>460</v>
      </c>
      <c r="FA28" s="41" t="s">
        <v>460</v>
      </c>
      <c r="FB28" s="41" t="s">
        <v>460</v>
      </c>
      <c r="FC28" s="41" t="s">
        <v>460</v>
      </c>
      <c r="FD28" s="41" t="s">
        <v>460</v>
      </c>
      <c r="FE28" s="230"/>
      <c r="FF28" s="230"/>
      <c r="FG28" s="125" t="s">
        <v>460</v>
      </c>
      <c r="FH28" s="41" t="s">
        <v>460</v>
      </c>
      <c r="FI28" s="41" t="s">
        <v>460</v>
      </c>
      <c r="FJ28" s="41" t="s">
        <v>460</v>
      </c>
      <c r="FK28" s="41" t="s">
        <v>460</v>
      </c>
      <c r="FL28" s="230"/>
      <c r="FM28" s="230"/>
      <c r="FN28" s="139" t="s">
        <v>460</v>
      </c>
      <c r="FO28" s="41" t="s">
        <v>460</v>
      </c>
      <c r="FP28" s="41" t="s">
        <v>460</v>
      </c>
      <c r="FQ28" s="41" t="s">
        <v>460</v>
      </c>
      <c r="FR28" s="41" t="s">
        <v>460</v>
      </c>
      <c r="FS28" s="230"/>
      <c r="FT28" s="230"/>
      <c r="FU28" s="125" t="s">
        <v>460</v>
      </c>
      <c r="FV28" s="41" t="s">
        <v>460</v>
      </c>
      <c r="FW28" s="41" t="s">
        <v>460</v>
      </c>
      <c r="FX28" s="41" t="s">
        <v>460</v>
      </c>
      <c r="FY28" s="41" t="s">
        <v>460</v>
      </c>
      <c r="FZ28" s="230"/>
      <c r="GA28" s="230"/>
      <c r="GB28" s="125" t="s">
        <v>460</v>
      </c>
      <c r="GC28" s="41" t="s">
        <v>460</v>
      </c>
      <c r="GD28" s="41" t="s">
        <v>460</v>
      </c>
      <c r="GE28" s="41" t="s">
        <v>460</v>
      </c>
      <c r="GF28" s="41" t="s">
        <v>460</v>
      </c>
      <c r="GG28" s="230"/>
      <c r="GH28" s="230"/>
      <c r="GI28" s="41" t="s">
        <v>460</v>
      </c>
      <c r="GJ28" s="41" t="s">
        <v>460</v>
      </c>
      <c r="GK28" s="41" t="s">
        <v>460</v>
      </c>
      <c r="GL28" s="41" t="s">
        <v>460</v>
      </c>
      <c r="GM28" s="41" t="s">
        <v>460</v>
      </c>
      <c r="GN28" s="230"/>
      <c r="GO28" s="230"/>
      <c r="GP28" s="125" t="s">
        <v>460</v>
      </c>
      <c r="GQ28" s="41" t="s">
        <v>460</v>
      </c>
      <c r="GR28" s="41" t="s">
        <v>460</v>
      </c>
      <c r="GS28" s="41" t="s">
        <v>460</v>
      </c>
      <c r="GT28" s="41" t="s">
        <v>460</v>
      </c>
      <c r="GU28" s="230"/>
      <c r="GV28" s="230"/>
      <c r="GW28" s="125" t="s">
        <v>460</v>
      </c>
      <c r="GX28" s="41" t="s">
        <v>460</v>
      </c>
      <c r="GY28" s="41" t="s">
        <v>460</v>
      </c>
      <c r="GZ28" s="41" t="s">
        <v>460</v>
      </c>
      <c r="HA28" s="41" t="s">
        <v>460</v>
      </c>
      <c r="HB28" s="230"/>
      <c r="HC28" s="230"/>
      <c r="HD28" s="41" t="s">
        <v>460</v>
      </c>
      <c r="HE28" s="41" t="s">
        <v>460</v>
      </c>
      <c r="HF28" s="41" t="s">
        <v>460</v>
      </c>
      <c r="HG28" s="41" t="s">
        <v>460</v>
      </c>
      <c r="HH28" s="41" t="s">
        <v>460</v>
      </c>
      <c r="HI28" s="234"/>
      <c r="HJ28" s="234"/>
      <c r="HK28" s="41" t="s">
        <v>460</v>
      </c>
      <c r="HL28" s="41" t="s">
        <v>460</v>
      </c>
      <c r="HM28" s="41" t="s">
        <v>460</v>
      </c>
      <c r="HN28" s="41" t="s">
        <v>460</v>
      </c>
      <c r="HO28" s="41" t="s">
        <v>460</v>
      </c>
      <c r="HP28" s="234"/>
      <c r="HQ28" s="234"/>
      <c r="HR28" s="41" t="s">
        <v>460</v>
      </c>
      <c r="HS28" s="41" t="s">
        <v>460</v>
      </c>
      <c r="HT28" s="41" t="s">
        <v>460</v>
      </c>
      <c r="HU28" s="41" t="s">
        <v>460</v>
      </c>
      <c r="HV28" s="41" t="s">
        <v>460</v>
      </c>
      <c r="HW28" s="234"/>
      <c r="HX28" s="234"/>
      <c r="HY28" s="41" t="s">
        <v>460</v>
      </c>
      <c r="HZ28" s="41" t="s">
        <v>460</v>
      </c>
      <c r="IA28" s="41" t="s">
        <v>460</v>
      </c>
      <c r="IB28" s="41" t="s">
        <v>460</v>
      </c>
      <c r="IC28" s="41" t="s">
        <v>460</v>
      </c>
      <c r="ID28" s="234"/>
      <c r="IE28" s="234"/>
      <c r="IF28" s="41" t="s">
        <v>460</v>
      </c>
      <c r="IG28" s="41" t="s">
        <v>460</v>
      </c>
      <c r="IH28" s="41" t="s">
        <v>460</v>
      </c>
      <c r="II28" s="41" t="s">
        <v>460</v>
      </c>
      <c r="IJ28" s="41" t="s">
        <v>460</v>
      </c>
      <c r="IK28" s="234"/>
      <c r="IL28" s="234"/>
      <c r="IM28" s="41" t="s">
        <v>460</v>
      </c>
      <c r="IN28" s="41" t="s">
        <v>460</v>
      </c>
      <c r="IO28" s="41" t="s">
        <v>460</v>
      </c>
      <c r="IP28" s="41" t="s">
        <v>460</v>
      </c>
      <c r="IQ28" s="41" t="s">
        <v>460</v>
      </c>
      <c r="IR28" s="234"/>
      <c r="IS28" s="234"/>
      <c r="IT28" s="41" t="s">
        <v>460</v>
      </c>
      <c r="IU28" s="41" t="s">
        <v>460</v>
      </c>
      <c r="IV28" s="41" t="s">
        <v>460</v>
      </c>
      <c r="IW28" s="41" t="s">
        <v>460</v>
      </c>
      <c r="IX28" s="41" t="s">
        <v>460</v>
      </c>
      <c r="IY28" s="234"/>
      <c r="IZ28" s="234"/>
      <c r="JA28" s="41" t="s">
        <v>460</v>
      </c>
      <c r="JB28" s="41" t="s">
        <v>460</v>
      </c>
      <c r="JC28" s="41" t="s">
        <v>460</v>
      </c>
      <c r="JD28" s="41" t="s">
        <v>460</v>
      </c>
      <c r="JE28" s="41" t="s">
        <v>460</v>
      </c>
      <c r="JF28" s="234"/>
      <c r="JG28" s="234"/>
      <c r="JH28" s="41" t="s">
        <v>460</v>
      </c>
      <c r="JI28" s="41" t="s">
        <v>460</v>
      </c>
      <c r="JJ28" s="41" t="s">
        <v>460</v>
      </c>
      <c r="JK28" s="41" t="s">
        <v>460</v>
      </c>
      <c r="JL28" s="41" t="s">
        <v>460</v>
      </c>
      <c r="JM28" s="234"/>
      <c r="JN28" s="234"/>
      <c r="JO28" s="41"/>
      <c r="JP28" s="41"/>
      <c r="JQ28" s="41"/>
      <c r="JR28" s="41"/>
      <c r="JS28" s="41"/>
      <c r="JT28" s="234"/>
      <c r="JU28" s="234"/>
      <c r="JV28" s="41"/>
      <c r="JW28" s="41"/>
      <c r="JX28" s="41"/>
      <c r="JY28" s="41"/>
      <c r="JZ28" s="41"/>
      <c r="KA28" s="234"/>
      <c r="KB28" s="234"/>
      <c r="KC28" s="41"/>
      <c r="KD28" s="41"/>
      <c r="KE28" s="41"/>
      <c r="KF28" s="41"/>
      <c r="KG28" s="41"/>
      <c r="KH28" s="234"/>
      <c r="KI28" s="234"/>
      <c r="KJ28" s="41"/>
      <c r="KK28" s="41"/>
      <c r="KL28" s="41"/>
      <c r="KM28" s="41"/>
      <c r="KN28" s="41"/>
      <c r="KO28" s="234"/>
      <c r="KP28" s="234"/>
      <c r="KQ28" s="41"/>
      <c r="KR28" s="41"/>
      <c r="KS28" s="41"/>
      <c r="KT28" s="41"/>
      <c r="KU28" s="41"/>
      <c r="KV28" s="234"/>
      <c r="KW28" s="234"/>
      <c r="KX28" s="41"/>
      <c r="KY28" s="41"/>
      <c r="KZ28" s="41"/>
      <c r="LA28" s="41"/>
      <c r="LB28" s="41"/>
      <c r="LC28" s="234"/>
      <c r="LD28" s="234"/>
      <c r="LE28" s="41"/>
      <c r="LF28" s="41"/>
      <c r="LG28" s="41"/>
      <c r="LH28" s="41"/>
      <c r="LI28" s="41"/>
      <c r="LJ28" s="234"/>
      <c r="LK28" s="234"/>
      <c r="LL28" s="41"/>
      <c r="LM28" s="41"/>
      <c r="LN28" s="41"/>
      <c r="LO28" s="41"/>
      <c r="LP28" s="41"/>
      <c r="LQ28" s="234"/>
      <c r="LR28" s="234"/>
      <c r="LS28" s="41"/>
      <c r="LT28" s="41"/>
      <c r="LU28" s="41"/>
      <c r="LV28" s="41"/>
      <c r="LW28" s="41"/>
      <c r="LX28" s="234"/>
      <c r="LY28" s="234"/>
      <c r="LZ28" s="41"/>
      <c r="MA28" s="41"/>
      <c r="MB28" s="41"/>
      <c r="MC28" s="41"/>
      <c r="MD28" s="41"/>
      <c r="ME28" s="234"/>
      <c r="MF28" s="234"/>
      <c r="MG28" s="41"/>
      <c r="MH28" s="41"/>
      <c r="MI28" s="41"/>
      <c r="MJ28" s="41"/>
      <c r="MK28" s="41"/>
      <c r="ML28" s="234"/>
      <c r="MM28" s="234"/>
      <c r="MN28" s="41"/>
      <c r="MO28" s="41"/>
      <c r="MP28" s="41"/>
      <c r="MQ28" s="41"/>
      <c r="MR28" s="41"/>
      <c r="MS28" s="234"/>
      <c r="MT28" s="234"/>
      <c r="MU28" s="41"/>
      <c r="MV28" s="41"/>
      <c r="MW28" s="41"/>
      <c r="MX28" s="41"/>
      <c r="MY28" s="41"/>
      <c r="MZ28" s="234"/>
      <c r="NA28" s="234"/>
      <c r="NB28" s="41"/>
      <c r="NC28" s="41"/>
      <c r="ND28" s="41"/>
      <c r="NE28" s="41"/>
      <c r="NF28" s="41"/>
      <c r="NG28" s="234"/>
      <c r="NH28" s="234"/>
      <c r="NI28" s="41"/>
      <c r="NJ28" s="41"/>
      <c r="NK28" s="41"/>
      <c r="NL28" s="41"/>
      <c r="NM28" s="41"/>
      <c r="NN28" s="234"/>
      <c r="NO28" s="234"/>
      <c r="NP28" s="41"/>
      <c r="NQ28" s="41"/>
      <c r="NR28" s="41"/>
      <c r="NS28" s="41"/>
      <c r="NT28" s="41"/>
      <c r="NU28" s="234"/>
    </row>
    <row r="29" spans="2:385" ht="15" thickBot="1" x14ac:dyDescent="0.35">
      <c r="D29" s="206" t="s">
        <v>12</v>
      </c>
      <c r="E29" s="187" t="s">
        <v>8</v>
      </c>
      <c r="F29" s="146" t="s">
        <v>9</v>
      </c>
      <c r="G29" s="159" t="s">
        <v>684</v>
      </c>
      <c r="H29" s="160" t="s">
        <v>685</v>
      </c>
      <c r="I29" s="239"/>
      <c r="J29" s="41"/>
      <c r="K29" s="41"/>
      <c r="L29" s="41"/>
      <c r="M29" s="41"/>
      <c r="N29" s="230"/>
      <c r="O29" s="230"/>
      <c r="P29" s="41"/>
      <c r="Q29" s="41"/>
      <c r="R29" s="41"/>
      <c r="S29" s="41"/>
      <c r="T29" s="41"/>
      <c r="U29" s="230"/>
      <c r="V29" s="230"/>
      <c r="W29" s="41"/>
      <c r="X29" s="41"/>
      <c r="Y29" s="41"/>
      <c r="Z29" s="41"/>
      <c r="AA29" s="41"/>
      <c r="AB29" s="230"/>
      <c r="AC29" s="230"/>
      <c r="AD29" s="125"/>
      <c r="AE29" s="125"/>
      <c r="AF29" s="125"/>
      <c r="AG29" s="125"/>
      <c r="AH29" s="125"/>
      <c r="AI29" s="230"/>
      <c r="AJ29" s="230"/>
      <c r="AK29" s="41"/>
      <c r="AL29" s="41"/>
      <c r="AM29" s="41"/>
      <c r="AN29" s="41"/>
      <c r="AO29" s="41"/>
      <c r="AP29" s="230"/>
      <c r="AQ29" s="230"/>
      <c r="AR29" s="125"/>
      <c r="AS29" s="125"/>
      <c r="AT29" s="125"/>
      <c r="AU29" s="125"/>
      <c r="AV29" s="125"/>
      <c r="AW29" s="230"/>
      <c r="AX29" s="230"/>
      <c r="AY29" s="41"/>
      <c r="AZ29" s="41"/>
      <c r="BA29" s="41"/>
      <c r="BB29" s="41"/>
      <c r="BC29" s="41"/>
      <c r="BD29" s="230"/>
      <c r="BE29" s="230"/>
      <c r="BF29" s="125"/>
      <c r="BG29" s="125"/>
      <c r="BH29" s="125"/>
      <c r="BI29" s="125"/>
      <c r="BJ29" s="125"/>
      <c r="BK29" s="230"/>
      <c r="BL29" s="230"/>
      <c r="BM29" s="41"/>
      <c r="BN29" s="41"/>
      <c r="BO29" s="41"/>
      <c r="BP29" s="41"/>
      <c r="BQ29" s="41"/>
      <c r="BR29" s="230"/>
      <c r="BS29" s="230"/>
      <c r="BT29" s="125"/>
      <c r="BU29" s="41"/>
      <c r="BV29" s="41"/>
      <c r="BW29" s="41"/>
      <c r="BX29" s="41"/>
      <c r="BY29" s="230"/>
      <c r="BZ29" s="230"/>
      <c r="CA29" s="41"/>
      <c r="CB29" s="41"/>
      <c r="CC29" s="41"/>
      <c r="CD29" s="41"/>
      <c r="CE29" s="41"/>
      <c r="CF29" s="230"/>
      <c r="CG29" s="230"/>
      <c r="CH29" s="125"/>
      <c r="CI29" s="125"/>
      <c r="CJ29" s="125"/>
      <c r="CK29" s="125"/>
      <c r="CL29" s="125"/>
      <c r="CM29" s="230"/>
      <c r="CN29" s="230"/>
      <c r="CO29" s="41"/>
      <c r="CP29" s="41"/>
      <c r="CQ29" s="41"/>
      <c r="CR29" s="41"/>
      <c r="CS29" s="41"/>
      <c r="CT29" s="230"/>
      <c r="CU29" s="230"/>
      <c r="CV29" s="125"/>
      <c r="CW29" s="41"/>
      <c r="CX29" s="41"/>
      <c r="CY29" s="41"/>
      <c r="CZ29" s="41"/>
      <c r="DA29" s="230"/>
      <c r="DB29" s="230"/>
      <c r="DC29" s="41"/>
      <c r="DD29" s="41"/>
      <c r="DE29" s="41"/>
      <c r="DF29" s="41"/>
      <c r="DG29" s="41"/>
      <c r="DH29" s="230"/>
      <c r="DI29" s="230"/>
      <c r="DJ29" s="125"/>
      <c r="DK29" s="41"/>
      <c r="DL29" s="41"/>
      <c r="DM29" s="41"/>
      <c r="DN29" s="41"/>
      <c r="DO29" s="230"/>
      <c r="DP29" s="230"/>
      <c r="DQ29" s="136" t="s">
        <v>460</v>
      </c>
      <c r="DR29" s="41"/>
      <c r="DS29" s="41"/>
      <c r="DT29" s="41"/>
      <c r="DU29" s="41"/>
      <c r="DV29" s="230"/>
      <c r="DW29" s="234"/>
      <c r="DX29" s="41"/>
      <c r="DY29" s="41"/>
      <c r="DZ29" s="41"/>
      <c r="EA29" s="139" t="s">
        <v>460</v>
      </c>
      <c r="EB29" s="41"/>
      <c r="EC29" s="230"/>
      <c r="ED29" s="230"/>
      <c r="EE29" s="125"/>
      <c r="EF29" s="125"/>
      <c r="EG29" s="125"/>
      <c r="EH29" s="125"/>
      <c r="EI29" s="41"/>
      <c r="EJ29" s="230"/>
      <c r="EK29" s="230"/>
      <c r="EL29" s="125"/>
      <c r="EM29" s="41"/>
      <c r="EN29" s="41"/>
      <c r="EO29" s="41"/>
      <c r="EP29" s="41"/>
      <c r="EQ29" s="230"/>
      <c r="ER29" s="230"/>
      <c r="ES29" s="41"/>
      <c r="ET29" s="41"/>
      <c r="EU29" s="41"/>
      <c r="EV29" s="41"/>
      <c r="EW29" s="41"/>
      <c r="EX29" s="230"/>
      <c r="EY29" s="230"/>
      <c r="EZ29" s="125"/>
      <c r="FA29" s="41"/>
      <c r="FB29" s="41"/>
      <c r="FC29" s="41"/>
      <c r="FD29" s="41"/>
      <c r="FE29" s="230"/>
      <c r="FF29" s="230"/>
      <c r="FG29" s="125" t="s">
        <v>460</v>
      </c>
      <c r="FH29" s="41" t="s">
        <v>460</v>
      </c>
      <c r="FI29" s="41" t="s">
        <v>460</v>
      </c>
      <c r="FJ29" s="41" t="s">
        <v>460</v>
      </c>
      <c r="FK29" s="41" t="s">
        <v>460</v>
      </c>
      <c r="FL29" s="230"/>
      <c r="FM29" s="230"/>
      <c r="FN29" s="139" t="s">
        <v>460</v>
      </c>
      <c r="FO29" s="41" t="s">
        <v>460</v>
      </c>
      <c r="FP29" s="41" t="s">
        <v>460</v>
      </c>
      <c r="FQ29" s="41" t="s">
        <v>460</v>
      </c>
      <c r="FR29" s="41" t="s">
        <v>460</v>
      </c>
      <c r="FS29" s="230"/>
      <c r="FT29" s="230"/>
      <c r="FU29" s="125" t="s">
        <v>460</v>
      </c>
      <c r="FV29" s="41" t="s">
        <v>460</v>
      </c>
      <c r="FW29" s="41" t="s">
        <v>460</v>
      </c>
      <c r="FX29" s="41" t="s">
        <v>460</v>
      </c>
      <c r="FY29" s="41" t="s">
        <v>460</v>
      </c>
      <c r="FZ29" s="230"/>
      <c r="GA29" s="230"/>
      <c r="GB29" s="125"/>
      <c r="GC29" s="41"/>
      <c r="GD29" s="41"/>
      <c r="GE29" s="41"/>
      <c r="GF29" s="41"/>
      <c r="GG29" s="230"/>
      <c r="GH29" s="230"/>
      <c r="GI29" s="41"/>
      <c r="GJ29" s="41"/>
      <c r="GK29" s="41"/>
      <c r="GL29" s="41"/>
      <c r="GM29" s="41"/>
      <c r="GN29" s="230"/>
      <c r="GO29" s="230"/>
      <c r="GP29" s="125"/>
      <c r="GQ29" s="41"/>
      <c r="GR29" s="41"/>
      <c r="GS29" s="41"/>
      <c r="GT29" s="41"/>
      <c r="GU29" s="230"/>
      <c r="GV29" s="230"/>
      <c r="GW29" s="125" t="s">
        <v>460</v>
      </c>
      <c r="GX29" s="41" t="s">
        <v>460</v>
      </c>
      <c r="GY29" s="41" t="s">
        <v>460</v>
      </c>
      <c r="GZ29" s="41" t="s">
        <v>460</v>
      </c>
      <c r="HA29" s="41" t="s">
        <v>460</v>
      </c>
      <c r="HB29" s="230"/>
      <c r="HC29" s="230"/>
      <c r="HD29" s="41" t="s">
        <v>460</v>
      </c>
      <c r="HE29" s="41" t="s">
        <v>460</v>
      </c>
      <c r="HF29" s="41" t="s">
        <v>460</v>
      </c>
      <c r="HG29" s="41" t="s">
        <v>460</v>
      </c>
      <c r="HH29" s="41" t="s">
        <v>460</v>
      </c>
      <c r="HI29" s="234"/>
      <c r="HJ29" s="234"/>
      <c r="HK29" s="41"/>
      <c r="HL29" s="41"/>
      <c r="HM29" s="41"/>
      <c r="HN29" s="41"/>
      <c r="HO29" s="41"/>
      <c r="HP29" s="234"/>
      <c r="HQ29" s="234"/>
      <c r="HR29" s="41"/>
      <c r="HS29" s="41"/>
      <c r="HT29" s="41"/>
      <c r="HU29" s="41"/>
      <c r="HV29" s="41"/>
      <c r="HW29" s="234"/>
      <c r="HX29" s="234"/>
      <c r="HY29" s="41"/>
      <c r="HZ29" s="41"/>
      <c r="IA29" s="41"/>
      <c r="IB29" s="41"/>
      <c r="IC29" s="41"/>
      <c r="ID29" s="234"/>
      <c r="IE29" s="234"/>
      <c r="IF29" s="41"/>
      <c r="IG29" s="41"/>
      <c r="IH29" s="41"/>
      <c r="II29" s="41"/>
      <c r="IJ29" s="41"/>
      <c r="IK29" s="234"/>
      <c r="IL29" s="234"/>
      <c r="IM29" s="41"/>
      <c r="IN29" s="41"/>
      <c r="IO29" s="41"/>
      <c r="IP29" s="41"/>
      <c r="IQ29" s="41"/>
      <c r="IR29" s="234"/>
      <c r="IS29" s="234"/>
      <c r="IT29" s="41"/>
      <c r="IU29" s="41"/>
      <c r="IV29" s="41"/>
      <c r="IW29" s="41"/>
      <c r="IX29" s="41"/>
      <c r="IY29" s="234"/>
      <c r="IZ29" s="234"/>
      <c r="JA29" s="41"/>
      <c r="JB29" s="41"/>
      <c r="JC29" s="41"/>
      <c r="JD29" s="41"/>
      <c r="JE29" s="41"/>
      <c r="JF29" s="234"/>
      <c r="JG29" s="234"/>
      <c r="JH29" s="41"/>
      <c r="JI29" s="41"/>
      <c r="JJ29" s="41"/>
      <c r="JK29" s="41"/>
      <c r="JL29" s="41"/>
      <c r="JM29" s="234"/>
      <c r="JN29" s="234"/>
      <c r="JO29" s="41"/>
      <c r="JP29" s="41"/>
      <c r="JQ29" s="41"/>
      <c r="JR29" s="41"/>
      <c r="JS29" s="41"/>
      <c r="JT29" s="234"/>
      <c r="JU29" s="234"/>
      <c r="JV29" s="41"/>
      <c r="JW29" s="41"/>
      <c r="JX29" s="41"/>
      <c r="JY29" s="41"/>
      <c r="JZ29" s="41"/>
      <c r="KA29" s="234"/>
      <c r="KB29" s="234"/>
      <c r="KC29" s="41"/>
      <c r="KD29" s="41"/>
      <c r="KE29" s="41"/>
      <c r="KF29" s="41"/>
      <c r="KG29" s="41"/>
      <c r="KH29" s="234"/>
      <c r="KI29" s="234"/>
      <c r="KJ29" s="41"/>
      <c r="KK29" s="41"/>
      <c r="KL29" s="41"/>
      <c r="KM29" s="41"/>
      <c r="KN29" s="41"/>
      <c r="KO29" s="234"/>
      <c r="KP29" s="234"/>
      <c r="KQ29" s="41"/>
      <c r="KR29" s="41"/>
      <c r="KS29" s="41"/>
      <c r="KT29" s="41"/>
      <c r="KU29" s="41"/>
      <c r="KV29" s="234"/>
      <c r="KW29" s="234"/>
      <c r="KX29" s="41"/>
      <c r="KY29" s="41"/>
      <c r="KZ29" s="41"/>
      <c r="LA29" s="41"/>
      <c r="LB29" s="41"/>
      <c r="LC29" s="234"/>
      <c r="LD29" s="234"/>
      <c r="LE29" s="41"/>
      <c r="LF29" s="41"/>
      <c r="LG29" s="41"/>
      <c r="LH29" s="41"/>
      <c r="LI29" s="41"/>
      <c r="LJ29" s="234"/>
      <c r="LK29" s="234"/>
      <c r="LL29" s="41"/>
      <c r="LM29" s="41"/>
      <c r="LN29" s="41"/>
      <c r="LO29" s="41"/>
      <c r="LP29" s="41"/>
      <c r="LQ29" s="234"/>
      <c r="LR29" s="234"/>
      <c r="LS29" s="41"/>
      <c r="LT29" s="41"/>
      <c r="LU29" s="41"/>
      <c r="LV29" s="41"/>
      <c r="LW29" s="41"/>
      <c r="LX29" s="234"/>
      <c r="LY29" s="234"/>
      <c r="LZ29" s="41"/>
      <c r="MA29" s="41"/>
      <c r="MB29" s="41"/>
      <c r="MC29" s="41"/>
      <c r="MD29" s="41"/>
      <c r="ME29" s="234"/>
      <c r="MF29" s="234"/>
      <c r="MG29" s="41"/>
      <c r="MH29" s="41"/>
      <c r="MI29" s="41"/>
      <c r="MJ29" s="41"/>
      <c r="MK29" s="41"/>
      <c r="ML29" s="234"/>
      <c r="MM29" s="234"/>
      <c r="MN29" s="41"/>
      <c r="MO29" s="41"/>
      <c r="MP29" s="41"/>
      <c r="MQ29" s="41"/>
      <c r="MR29" s="41"/>
      <c r="MS29" s="234"/>
      <c r="MT29" s="234"/>
      <c r="MU29" s="41"/>
      <c r="MV29" s="41"/>
      <c r="MW29" s="41"/>
      <c r="MX29" s="41"/>
      <c r="MY29" s="41"/>
      <c r="MZ29" s="234"/>
      <c r="NA29" s="234"/>
      <c r="NB29" s="41"/>
      <c r="NC29" s="41"/>
      <c r="ND29" s="41"/>
      <c r="NE29" s="41"/>
      <c r="NF29" s="41"/>
      <c r="NG29" s="234"/>
      <c r="NH29" s="234"/>
      <c r="NI29" s="41"/>
      <c r="NJ29" s="41"/>
      <c r="NK29" s="41"/>
      <c r="NL29" s="41"/>
      <c r="NM29" s="41"/>
      <c r="NN29" s="234"/>
      <c r="NO29" s="234"/>
      <c r="NP29" s="41"/>
      <c r="NQ29" s="41"/>
      <c r="NR29" s="41"/>
      <c r="NS29" s="41"/>
      <c r="NT29" s="41"/>
      <c r="NU29" s="234"/>
    </row>
    <row r="30" spans="2:385" ht="15" thickBot="1" x14ac:dyDescent="0.35">
      <c r="D30" s="206" t="s">
        <v>12</v>
      </c>
      <c r="E30" s="187" t="s">
        <v>8</v>
      </c>
      <c r="F30" s="146" t="s">
        <v>9</v>
      </c>
      <c r="G30" s="155" t="s">
        <v>314</v>
      </c>
      <c r="H30" s="156" t="s">
        <v>315</v>
      </c>
      <c r="I30" s="239"/>
      <c r="J30" s="41"/>
      <c r="K30" s="41"/>
      <c r="L30" s="41"/>
      <c r="M30" s="41"/>
      <c r="N30" s="230"/>
      <c r="O30" s="230"/>
      <c r="P30" s="41"/>
      <c r="Q30" s="41"/>
      <c r="R30" s="41"/>
      <c r="S30" s="41"/>
      <c r="T30" s="41"/>
      <c r="U30" s="230"/>
      <c r="V30" s="230"/>
      <c r="W30" s="41"/>
      <c r="X30" s="41"/>
      <c r="Y30" s="41"/>
      <c r="Z30" s="41"/>
      <c r="AA30" s="41"/>
      <c r="AB30" s="230"/>
      <c r="AC30" s="230"/>
      <c r="AD30" s="125"/>
      <c r="AE30" s="41"/>
      <c r="AF30" s="41"/>
      <c r="AG30" s="41"/>
      <c r="AH30" s="41"/>
      <c r="AI30" s="230"/>
      <c r="AJ30" s="230"/>
      <c r="AK30" s="41"/>
      <c r="AL30" s="41"/>
      <c r="AM30" s="41"/>
      <c r="AN30" s="41"/>
      <c r="AO30" s="41"/>
      <c r="AP30" s="230"/>
      <c r="AQ30" s="230"/>
      <c r="AR30" s="125"/>
      <c r="AS30" s="41"/>
      <c r="AT30" s="41"/>
      <c r="AU30" s="41"/>
      <c r="AV30" s="41"/>
      <c r="AW30" s="41" t="s">
        <v>460</v>
      </c>
      <c r="AX30" s="41" t="s">
        <v>460</v>
      </c>
      <c r="AY30" s="41"/>
      <c r="AZ30" s="41"/>
      <c r="BA30" s="41"/>
      <c r="BB30" s="41"/>
      <c r="BC30" s="41"/>
      <c r="BD30" s="41" t="s">
        <v>460</v>
      </c>
      <c r="BE30" s="41" t="s">
        <v>460</v>
      </c>
      <c r="BF30" s="125"/>
      <c r="BG30" s="125"/>
      <c r="BH30" s="125"/>
      <c r="BI30" s="125"/>
      <c r="BJ30" s="125"/>
      <c r="BK30" s="230"/>
      <c r="BL30" s="230"/>
      <c r="BM30" s="41"/>
      <c r="BN30" s="41"/>
      <c r="BO30" s="41"/>
      <c r="BP30" s="41"/>
      <c r="BQ30" s="41"/>
      <c r="BR30" s="230"/>
      <c r="BS30" s="230"/>
      <c r="BT30" s="125"/>
      <c r="BU30" s="41"/>
      <c r="BV30" s="41"/>
      <c r="BW30" s="41"/>
      <c r="BX30" s="41"/>
      <c r="BY30" s="230"/>
      <c r="BZ30" s="230"/>
      <c r="CA30" s="41"/>
      <c r="CB30" s="41"/>
      <c r="CC30" s="41"/>
      <c r="CD30" s="41"/>
      <c r="CE30" s="41"/>
      <c r="CF30" s="230"/>
      <c r="CG30" s="230"/>
      <c r="CH30" s="125"/>
      <c r="CI30" s="41"/>
      <c r="CJ30" s="41"/>
      <c r="CK30" s="41"/>
      <c r="CL30" s="41"/>
      <c r="CM30" s="230"/>
      <c r="CN30" s="230"/>
      <c r="CO30" s="41"/>
      <c r="CP30" s="41"/>
      <c r="CQ30" s="41"/>
      <c r="CR30" s="41"/>
      <c r="CS30" s="41"/>
      <c r="CT30" s="230"/>
      <c r="CU30" s="230"/>
      <c r="CV30" s="125"/>
      <c r="CW30" s="41"/>
      <c r="CX30" s="41"/>
      <c r="CY30" s="41"/>
      <c r="CZ30" s="41"/>
      <c r="DA30" s="230"/>
      <c r="DB30" s="230"/>
      <c r="DC30" s="41" t="s">
        <v>460</v>
      </c>
      <c r="DD30" s="41" t="s">
        <v>460</v>
      </c>
      <c r="DE30" s="41" t="s">
        <v>460</v>
      </c>
      <c r="DF30" s="41" t="s">
        <v>460</v>
      </c>
      <c r="DG30" s="41" t="s">
        <v>460</v>
      </c>
      <c r="DH30" s="230"/>
      <c r="DI30" s="230"/>
      <c r="DJ30" s="125" t="s">
        <v>460</v>
      </c>
      <c r="DK30" s="125" t="s">
        <v>460</v>
      </c>
      <c r="DL30" s="125" t="s">
        <v>460</v>
      </c>
      <c r="DM30" s="125" t="s">
        <v>460</v>
      </c>
      <c r="DN30" s="125" t="s">
        <v>460</v>
      </c>
      <c r="DO30" s="230"/>
      <c r="DP30" s="230"/>
      <c r="DQ30" s="136" t="s">
        <v>460</v>
      </c>
      <c r="DR30" s="125" t="s">
        <v>460</v>
      </c>
      <c r="DS30" s="125" t="s">
        <v>460</v>
      </c>
      <c r="DT30" s="125" t="s">
        <v>460</v>
      </c>
      <c r="DU30" s="125" t="s">
        <v>460</v>
      </c>
      <c r="DV30" s="230"/>
      <c r="DW30" s="234"/>
      <c r="DX30" s="41" t="s">
        <v>460</v>
      </c>
      <c r="DY30" s="41" t="s">
        <v>460</v>
      </c>
      <c r="DZ30" s="41" t="s">
        <v>460</v>
      </c>
      <c r="EA30" s="139" t="s">
        <v>460</v>
      </c>
      <c r="EB30" s="41" t="s">
        <v>460</v>
      </c>
      <c r="EC30" s="230"/>
      <c r="ED30" s="230"/>
      <c r="EE30" s="125" t="s">
        <v>460</v>
      </c>
      <c r="EF30" s="125" t="s">
        <v>460</v>
      </c>
      <c r="EG30" s="125" t="s">
        <v>460</v>
      </c>
      <c r="EH30" s="125" t="s">
        <v>460</v>
      </c>
      <c r="EI30" s="125" t="s">
        <v>460</v>
      </c>
      <c r="EJ30" s="230"/>
      <c r="EK30" s="230"/>
      <c r="EL30" s="125" t="s">
        <v>460</v>
      </c>
      <c r="EM30" s="125" t="s">
        <v>460</v>
      </c>
      <c r="EN30" s="125" t="s">
        <v>460</v>
      </c>
      <c r="EO30" s="125" t="s">
        <v>460</v>
      </c>
      <c r="EP30" s="125" t="s">
        <v>460</v>
      </c>
      <c r="EQ30" s="230"/>
      <c r="ER30" s="230"/>
      <c r="ES30" s="41" t="s">
        <v>460</v>
      </c>
      <c r="ET30" s="41" t="s">
        <v>460</v>
      </c>
      <c r="EU30" s="41" t="s">
        <v>460</v>
      </c>
      <c r="EV30" s="41" t="s">
        <v>460</v>
      </c>
      <c r="EW30" s="41" t="s">
        <v>460</v>
      </c>
      <c r="EX30" s="230"/>
      <c r="EY30" s="230"/>
      <c r="EZ30" s="125" t="s">
        <v>460</v>
      </c>
      <c r="FA30" s="125" t="s">
        <v>460</v>
      </c>
      <c r="FB30" s="125" t="s">
        <v>460</v>
      </c>
      <c r="FC30" s="125" t="s">
        <v>460</v>
      </c>
      <c r="FD30" s="125" t="s">
        <v>460</v>
      </c>
      <c r="FE30" s="230"/>
      <c r="FF30" s="230"/>
      <c r="FG30" s="136" t="s">
        <v>460</v>
      </c>
      <c r="FH30" s="41" t="s">
        <v>460</v>
      </c>
      <c r="FI30" s="41" t="s">
        <v>460</v>
      </c>
      <c r="FJ30" s="41" t="s">
        <v>460</v>
      </c>
      <c r="FK30" s="41" t="s">
        <v>460</v>
      </c>
      <c r="FL30" s="230"/>
      <c r="FM30" s="230"/>
      <c r="FN30" s="139" t="s">
        <v>460</v>
      </c>
      <c r="FO30" s="41" t="s">
        <v>460</v>
      </c>
      <c r="FP30" s="41" t="s">
        <v>460</v>
      </c>
      <c r="FQ30" s="41" t="s">
        <v>460</v>
      </c>
      <c r="FR30" s="41" t="s">
        <v>460</v>
      </c>
      <c r="FS30" s="230"/>
      <c r="FT30" s="230"/>
      <c r="FU30" s="125" t="s">
        <v>460</v>
      </c>
      <c r="FV30" s="125" t="s">
        <v>460</v>
      </c>
      <c r="FW30" s="125" t="s">
        <v>460</v>
      </c>
      <c r="FX30" s="125" t="s">
        <v>460</v>
      </c>
      <c r="FY30" s="125" t="s">
        <v>460</v>
      </c>
      <c r="FZ30" s="230"/>
      <c r="GA30" s="230"/>
      <c r="GB30" s="125" t="s">
        <v>460</v>
      </c>
      <c r="GC30" s="125" t="s">
        <v>460</v>
      </c>
      <c r="GD30" s="125" t="s">
        <v>460</v>
      </c>
      <c r="GE30" s="125" t="s">
        <v>460</v>
      </c>
      <c r="GF30" s="125" t="s">
        <v>460</v>
      </c>
      <c r="GG30" s="230"/>
      <c r="GH30" s="230"/>
      <c r="GI30" s="41" t="s">
        <v>460</v>
      </c>
      <c r="GJ30" s="41" t="s">
        <v>460</v>
      </c>
      <c r="GK30" s="41" t="s">
        <v>460</v>
      </c>
      <c r="GL30" s="41" t="s">
        <v>460</v>
      </c>
      <c r="GM30" s="41" t="s">
        <v>460</v>
      </c>
      <c r="GN30" s="230"/>
      <c r="GO30" s="230"/>
      <c r="GP30" s="125"/>
      <c r="GQ30" s="125"/>
      <c r="GR30" s="125"/>
      <c r="GS30" s="125"/>
      <c r="GT30" s="125"/>
      <c r="GU30" s="230"/>
      <c r="GV30" s="230"/>
      <c r="GW30" s="125" t="s">
        <v>460</v>
      </c>
      <c r="GX30" s="41"/>
      <c r="GY30" s="41"/>
      <c r="GZ30" s="41"/>
      <c r="HA30" s="41"/>
      <c r="HB30" s="230"/>
      <c r="HC30" s="230"/>
      <c r="HD30" s="41" t="s">
        <v>460</v>
      </c>
      <c r="HE30" s="41" t="s">
        <v>460</v>
      </c>
      <c r="HF30" s="41" t="s">
        <v>460</v>
      </c>
      <c r="HG30" s="41" t="s">
        <v>460</v>
      </c>
      <c r="HH30" s="41" t="s">
        <v>460</v>
      </c>
      <c r="HI30" s="234"/>
      <c r="HJ30" s="234"/>
      <c r="HK30" s="41" t="s">
        <v>460</v>
      </c>
      <c r="HL30" s="41" t="s">
        <v>460</v>
      </c>
      <c r="HM30" s="41" t="s">
        <v>460</v>
      </c>
      <c r="HN30" s="41" t="s">
        <v>460</v>
      </c>
      <c r="HO30" s="41" t="s">
        <v>460</v>
      </c>
      <c r="HP30" s="234"/>
      <c r="HQ30" s="234"/>
      <c r="HR30" s="41" t="s">
        <v>460</v>
      </c>
      <c r="HS30" s="41" t="s">
        <v>460</v>
      </c>
      <c r="HT30" s="41" t="s">
        <v>460</v>
      </c>
      <c r="HU30" s="41" t="s">
        <v>460</v>
      </c>
      <c r="HV30" s="41" t="s">
        <v>460</v>
      </c>
      <c r="HW30" s="234"/>
      <c r="HX30" s="234"/>
      <c r="HY30" s="41"/>
      <c r="HZ30" s="41"/>
      <c r="IA30" s="41"/>
      <c r="IB30" s="41"/>
      <c r="IC30" s="41"/>
      <c r="ID30" s="234"/>
      <c r="IE30" s="234"/>
      <c r="IF30" s="41"/>
      <c r="IG30" s="41"/>
      <c r="IH30" s="41"/>
      <c r="II30" s="41"/>
      <c r="IJ30" s="41"/>
      <c r="IK30" s="234"/>
      <c r="IL30" s="234"/>
      <c r="IM30" s="41"/>
      <c r="IN30" s="41"/>
      <c r="IO30" s="41"/>
      <c r="IP30" s="41"/>
      <c r="IQ30" s="41"/>
      <c r="IR30" s="234"/>
      <c r="IS30" s="234"/>
      <c r="IT30" s="41"/>
      <c r="IU30" s="41"/>
      <c r="IV30" s="41"/>
      <c r="IW30" s="41"/>
      <c r="IX30" s="41"/>
      <c r="IY30" s="234"/>
      <c r="IZ30" s="234"/>
      <c r="JA30" s="41"/>
      <c r="JB30" s="41"/>
      <c r="JC30" s="41"/>
      <c r="JD30" s="41"/>
      <c r="JE30" s="41"/>
      <c r="JF30" s="234"/>
      <c r="JG30" s="234"/>
      <c r="JH30" s="41"/>
      <c r="JI30" s="41"/>
      <c r="JJ30" s="41"/>
      <c r="JK30" s="41"/>
      <c r="JL30" s="41"/>
      <c r="JM30" s="234"/>
      <c r="JN30" s="234"/>
      <c r="JO30" s="41"/>
      <c r="JP30" s="41"/>
      <c r="JQ30" s="41"/>
      <c r="JR30" s="41"/>
      <c r="JS30" s="41"/>
      <c r="JT30" s="234"/>
      <c r="JU30" s="234"/>
      <c r="JV30" s="41"/>
      <c r="JW30" s="41"/>
      <c r="JX30" s="41"/>
      <c r="JY30" s="41"/>
      <c r="JZ30" s="41"/>
      <c r="KA30" s="234"/>
      <c r="KB30" s="234"/>
      <c r="KC30" s="41"/>
      <c r="KD30" s="41"/>
      <c r="KE30" s="41"/>
      <c r="KF30" s="41"/>
      <c r="KG30" s="41"/>
      <c r="KH30" s="234"/>
      <c r="KI30" s="234"/>
      <c r="KJ30" s="41"/>
      <c r="KK30" s="41"/>
      <c r="KL30" s="41"/>
      <c r="KM30" s="41"/>
      <c r="KN30" s="41"/>
      <c r="KO30" s="234"/>
      <c r="KP30" s="234"/>
      <c r="KQ30" s="41"/>
      <c r="KR30" s="41"/>
      <c r="KS30" s="41"/>
      <c r="KT30" s="41"/>
      <c r="KU30" s="41"/>
      <c r="KV30" s="234"/>
      <c r="KW30" s="234"/>
      <c r="KX30" s="41"/>
      <c r="KY30" s="41"/>
      <c r="KZ30" s="41"/>
      <c r="LA30" s="41"/>
      <c r="LB30" s="41"/>
      <c r="LC30" s="234"/>
      <c r="LD30" s="234"/>
      <c r="LE30" s="41"/>
      <c r="LF30" s="41"/>
      <c r="LG30" s="41"/>
      <c r="LH30" s="41"/>
      <c r="LI30" s="41"/>
      <c r="LJ30" s="234"/>
      <c r="LK30" s="234"/>
      <c r="LL30" s="41"/>
      <c r="LM30" s="41"/>
      <c r="LN30" s="41"/>
      <c r="LO30" s="41"/>
      <c r="LP30" s="41"/>
      <c r="LQ30" s="234"/>
      <c r="LR30" s="234"/>
      <c r="LS30" s="41"/>
      <c r="LT30" s="41"/>
      <c r="LU30" s="41"/>
      <c r="LV30" s="41"/>
      <c r="LW30" s="41"/>
      <c r="LX30" s="234"/>
      <c r="LY30" s="234"/>
      <c r="LZ30" s="41"/>
      <c r="MA30" s="41"/>
      <c r="MB30" s="41"/>
      <c r="MC30" s="41"/>
      <c r="MD30" s="41"/>
      <c r="ME30" s="234"/>
      <c r="MF30" s="234"/>
      <c r="MG30" s="41"/>
      <c r="MH30" s="41"/>
      <c r="MI30" s="41"/>
      <c r="MJ30" s="41"/>
      <c r="MK30" s="41"/>
      <c r="ML30" s="234"/>
      <c r="MM30" s="234"/>
      <c r="MN30" s="41"/>
      <c r="MO30" s="41"/>
      <c r="MP30" s="41"/>
      <c r="MQ30" s="41"/>
      <c r="MR30" s="41"/>
      <c r="MS30" s="234"/>
      <c r="MT30" s="234"/>
      <c r="MU30" s="41"/>
      <c r="MV30" s="41"/>
      <c r="MW30" s="41"/>
      <c r="MX30" s="41"/>
      <c r="MY30" s="41"/>
      <c r="MZ30" s="234"/>
      <c r="NA30" s="234"/>
      <c r="NB30" s="41"/>
      <c r="NC30" s="41"/>
      <c r="ND30" s="41"/>
      <c r="NE30" s="41"/>
      <c r="NF30" s="41"/>
      <c r="NG30" s="234"/>
      <c r="NH30" s="234"/>
      <c r="NI30" s="41"/>
      <c r="NJ30" s="41"/>
      <c r="NK30" s="41"/>
      <c r="NL30" s="41"/>
      <c r="NM30" s="41"/>
      <c r="NN30" s="234"/>
      <c r="NO30" s="234"/>
      <c r="NP30" s="41"/>
      <c r="NQ30" s="41"/>
      <c r="NR30" s="41"/>
      <c r="NS30" s="41"/>
      <c r="NT30" s="41"/>
      <c r="NU30" s="234"/>
    </row>
    <row r="31" spans="2:385" ht="15" thickBot="1" x14ac:dyDescent="0.35">
      <c r="D31" s="207" t="s">
        <v>12</v>
      </c>
      <c r="E31" s="187" t="s">
        <v>8</v>
      </c>
      <c r="F31" s="146" t="s">
        <v>9</v>
      </c>
      <c r="G31" s="155" t="s">
        <v>355</v>
      </c>
      <c r="H31" s="156" t="s">
        <v>356</v>
      </c>
      <c r="I31" s="239"/>
      <c r="J31" s="41"/>
      <c r="K31" s="41"/>
      <c r="L31" s="41"/>
      <c r="M31" s="41"/>
      <c r="N31" s="230"/>
      <c r="O31" s="230"/>
      <c r="P31" s="41"/>
      <c r="Q31" s="41"/>
      <c r="R31" s="41"/>
      <c r="S31" s="41"/>
      <c r="T31" s="41"/>
      <c r="U31" s="230"/>
      <c r="V31" s="230"/>
      <c r="W31" s="41"/>
      <c r="X31" s="41"/>
      <c r="Y31" s="41"/>
      <c r="Z31" s="41"/>
      <c r="AA31" s="41"/>
      <c r="AB31" s="230"/>
      <c r="AC31" s="230"/>
      <c r="AD31" s="125"/>
      <c r="AE31" s="125"/>
      <c r="AF31" s="125"/>
      <c r="AG31" s="125"/>
      <c r="AH31" s="125"/>
      <c r="AI31" s="230"/>
      <c r="AJ31" s="230"/>
      <c r="AK31" s="41"/>
      <c r="AL31" s="41"/>
      <c r="AM31" s="41"/>
      <c r="AN31" s="41"/>
      <c r="AO31" s="41"/>
      <c r="AP31" s="230"/>
      <c r="AQ31" s="230"/>
      <c r="AR31" s="125"/>
      <c r="AS31" s="41"/>
      <c r="AT31" s="41"/>
      <c r="AU31" s="41"/>
      <c r="AV31" s="41"/>
      <c r="AW31" s="230"/>
      <c r="AX31" s="230"/>
      <c r="AY31" s="41"/>
      <c r="AZ31" s="41"/>
      <c r="BA31" s="41"/>
      <c r="BB31" s="41"/>
      <c r="BC31" s="41"/>
      <c r="BD31" s="230"/>
      <c r="BE31" s="230"/>
      <c r="BF31" s="125"/>
      <c r="BG31" s="41"/>
      <c r="BH31" s="41"/>
      <c r="BI31" s="41"/>
      <c r="BJ31" s="41"/>
      <c r="BK31" s="230"/>
      <c r="BL31" s="230"/>
      <c r="BM31" s="41"/>
      <c r="BN31" s="41"/>
      <c r="BO31" s="41"/>
      <c r="BP31" s="41"/>
      <c r="BQ31" s="41"/>
      <c r="BR31" s="41" t="s">
        <v>460</v>
      </c>
      <c r="BS31" s="41" t="s">
        <v>460</v>
      </c>
      <c r="BT31" s="41"/>
      <c r="BU31" s="41"/>
      <c r="BV31" s="41"/>
      <c r="BW31" s="41"/>
      <c r="BX31" s="41"/>
      <c r="BY31" s="230"/>
      <c r="BZ31" s="230"/>
      <c r="CA31" s="41"/>
      <c r="CB31" s="41"/>
      <c r="CC31" s="41"/>
      <c r="CD31" s="41"/>
      <c r="CE31" s="41"/>
      <c r="CF31" s="230"/>
      <c r="CG31" s="230"/>
      <c r="CH31" s="125"/>
      <c r="CI31" s="125"/>
      <c r="CJ31" s="125"/>
      <c r="CK31" s="125"/>
      <c r="CL31" s="125"/>
      <c r="CM31" s="230"/>
      <c r="CN31" s="230"/>
      <c r="CO31" s="41"/>
      <c r="CP31" s="41"/>
      <c r="CQ31" s="41"/>
      <c r="CR31" s="41"/>
      <c r="CS31" s="41"/>
      <c r="CT31" s="230"/>
      <c r="CU31" s="230"/>
      <c r="CV31" s="125"/>
      <c r="CW31" s="125"/>
      <c r="CX31" s="125"/>
      <c r="CY31" s="125"/>
      <c r="CZ31" s="125"/>
      <c r="DA31" s="230"/>
      <c r="DB31" s="230"/>
      <c r="DC31" s="41"/>
      <c r="DD31" s="41"/>
      <c r="DE31" s="41"/>
      <c r="DF31" s="41"/>
      <c r="DG31" s="41"/>
      <c r="DH31" s="230"/>
      <c r="DI31" s="230"/>
      <c r="DJ31" s="125"/>
      <c r="DK31" s="125"/>
      <c r="DL31" s="125"/>
      <c r="DM31" s="125"/>
      <c r="DN31" s="125"/>
      <c r="DO31" s="230"/>
      <c r="DP31" s="230"/>
      <c r="DQ31" s="136" t="s">
        <v>460</v>
      </c>
      <c r="DR31" s="125"/>
      <c r="DS31" s="125"/>
      <c r="DT31" s="125"/>
      <c r="DU31" s="125"/>
      <c r="DV31" s="230"/>
      <c r="DW31" s="234"/>
      <c r="DX31" s="41"/>
      <c r="DY31" s="41"/>
      <c r="DZ31" s="41"/>
      <c r="EA31" s="139" t="s">
        <v>460</v>
      </c>
      <c r="EB31" s="41"/>
      <c r="EC31" s="230"/>
      <c r="ED31" s="230"/>
      <c r="EE31" s="125"/>
      <c r="EF31" s="125"/>
      <c r="EG31" s="125"/>
      <c r="EH31" s="125"/>
      <c r="EI31" s="125"/>
      <c r="EJ31" s="230"/>
      <c r="EK31" s="230"/>
      <c r="EL31" s="125"/>
      <c r="EM31" s="125"/>
      <c r="EN31" s="125"/>
      <c r="EO31" s="125"/>
      <c r="EP31" s="125"/>
      <c r="EQ31" s="230"/>
      <c r="ER31" s="230"/>
      <c r="ES31" s="41"/>
      <c r="ET31" s="41"/>
      <c r="EU31" s="41"/>
      <c r="EV31" s="41"/>
      <c r="EW31" s="41"/>
      <c r="EX31" s="230"/>
      <c r="EY31" s="230"/>
      <c r="EZ31" s="125"/>
      <c r="FA31" s="125"/>
      <c r="FB31" s="125"/>
      <c r="FC31" s="125"/>
      <c r="FD31" s="41"/>
      <c r="FE31" s="230"/>
      <c r="FF31" s="230"/>
      <c r="FG31" s="136"/>
      <c r="FH31" s="136"/>
      <c r="FI31" s="136"/>
      <c r="FJ31" s="136"/>
      <c r="FK31" s="136"/>
      <c r="FL31" s="230"/>
      <c r="FM31" s="230"/>
      <c r="FN31" s="139" t="s">
        <v>460</v>
      </c>
      <c r="FO31" s="41"/>
      <c r="FP31" s="41"/>
      <c r="FQ31" s="41"/>
      <c r="FR31" s="41"/>
      <c r="FS31" s="230"/>
      <c r="FT31" s="230"/>
      <c r="FU31" s="125"/>
      <c r="FV31" s="125"/>
      <c r="FW31" s="125"/>
      <c r="FX31" s="125"/>
      <c r="FY31" s="125"/>
      <c r="FZ31" s="230"/>
      <c r="GA31" s="230"/>
      <c r="GB31" s="125"/>
      <c r="GC31" s="125"/>
      <c r="GD31" s="125"/>
      <c r="GE31" s="125"/>
      <c r="GF31" s="125"/>
      <c r="GG31" s="230"/>
      <c r="GH31" s="230"/>
      <c r="GI31" s="41"/>
      <c r="GJ31" s="41"/>
      <c r="GK31" s="41"/>
      <c r="GL31" s="41"/>
      <c r="GM31" s="41"/>
      <c r="GN31" s="230"/>
      <c r="GO31" s="230"/>
      <c r="GP31" s="125" t="s">
        <v>460</v>
      </c>
      <c r="GQ31" s="125" t="s">
        <v>460</v>
      </c>
      <c r="GR31" s="125" t="s">
        <v>460</v>
      </c>
      <c r="GS31" s="125" t="s">
        <v>460</v>
      </c>
      <c r="GT31" s="125" t="s">
        <v>460</v>
      </c>
      <c r="GU31" s="230"/>
      <c r="GV31" s="230"/>
      <c r="GW31" s="125" t="s">
        <v>460</v>
      </c>
      <c r="GX31" s="41" t="s">
        <v>460</v>
      </c>
      <c r="GY31" s="41" t="s">
        <v>460</v>
      </c>
      <c r="GZ31" s="41" t="s">
        <v>460</v>
      </c>
      <c r="HA31" s="41" t="s">
        <v>460</v>
      </c>
      <c r="HB31" s="230"/>
      <c r="HC31" s="230"/>
      <c r="HD31" s="41"/>
      <c r="HE31" s="41"/>
      <c r="HF31" s="41"/>
      <c r="HG31" s="41"/>
      <c r="HH31" s="41"/>
      <c r="HI31" s="234"/>
      <c r="HJ31" s="234"/>
      <c r="HK31" s="41"/>
      <c r="HL31" s="41"/>
      <c r="HM31" s="41"/>
      <c r="HN31" s="41"/>
      <c r="HO31" s="41"/>
      <c r="HP31" s="234"/>
      <c r="HQ31" s="234"/>
      <c r="HR31" s="41"/>
      <c r="HS31" s="41"/>
      <c r="HT31" s="41"/>
      <c r="HU31" s="41"/>
      <c r="HV31" s="41"/>
      <c r="HW31" s="234"/>
      <c r="HX31" s="234"/>
      <c r="HY31" s="41"/>
      <c r="HZ31" s="41"/>
      <c r="IA31" s="41"/>
      <c r="IB31" s="41"/>
      <c r="IC31" s="41"/>
      <c r="ID31" s="234"/>
      <c r="IE31" s="234"/>
      <c r="IF31" s="41"/>
      <c r="IG31" s="41"/>
      <c r="IH31" s="41"/>
      <c r="II31" s="41"/>
      <c r="IJ31" s="41"/>
      <c r="IK31" s="234"/>
      <c r="IL31" s="234"/>
      <c r="IM31" s="41"/>
      <c r="IN31" s="41"/>
      <c r="IO31" s="41"/>
      <c r="IP31" s="41"/>
      <c r="IQ31" s="41"/>
      <c r="IR31" s="234"/>
      <c r="IS31" s="234"/>
      <c r="IT31" s="41"/>
      <c r="IU31" s="41"/>
      <c r="IV31" s="41"/>
      <c r="IW31" s="41"/>
      <c r="IX31" s="41"/>
      <c r="IY31" s="234"/>
      <c r="IZ31" s="234"/>
      <c r="JA31" s="41"/>
      <c r="JB31" s="41"/>
      <c r="JC31" s="41"/>
      <c r="JD31" s="41"/>
      <c r="JE31" s="41"/>
      <c r="JF31" s="234"/>
      <c r="JG31" s="234"/>
      <c r="JH31" s="41"/>
      <c r="JI31" s="41"/>
      <c r="JJ31" s="41"/>
      <c r="JK31" s="41"/>
      <c r="JL31" s="41"/>
      <c r="JM31" s="234"/>
      <c r="JN31" s="234"/>
      <c r="JO31" s="41"/>
      <c r="JP31" s="41"/>
      <c r="JQ31" s="41"/>
      <c r="JR31" s="41"/>
      <c r="JS31" s="41"/>
      <c r="JT31" s="234"/>
      <c r="JU31" s="234"/>
      <c r="JV31" s="41"/>
      <c r="JW31" s="41"/>
      <c r="JX31" s="41"/>
      <c r="JY31" s="41"/>
      <c r="JZ31" s="41"/>
      <c r="KA31" s="234"/>
      <c r="KB31" s="234"/>
      <c r="KC31" s="41"/>
      <c r="KD31" s="41"/>
      <c r="KE31" s="41"/>
      <c r="KF31" s="41"/>
      <c r="KG31" s="41"/>
      <c r="KH31" s="234"/>
      <c r="KI31" s="234"/>
      <c r="KJ31" s="41"/>
      <c r="KK31" s="41"/>
      <c r="KL31" s="41"/>
      <c r="KM31" s="41"/>
      <c r="KN31" s="41"/>
      <c r="KO31" s="234"/>
      <c r="KP31" s="234"/>
      <c r="KQ31" s="41"/>
      <c r="KR31" s="41"/>
      <c r="KS31" s="41"/>
      <c r="KT31" s="41"/>
      <c r="KU31" s="41"/>
      <c r="KV31" s="234"/>
      <c r="KW31" s="234"/>
      <c r="KX31" s="41"/>
      <c r="KY31" s="41"/>
      <c r="KZ31" s="41"/>
      <c r="LA31" s="41"/>
      <c r="LB31" s="41"/>
      <c r="LC31" s="234"/>
      <c r="LD31" s="234"/>
      <c r="LE31" s="41"/>
      <c r="LF31" s="41"/>
      <c r="LG31" s="41"/>
      <c r="LH31" s="41"/>
      <c r="LI31" s="41"/>
      <c r="LJ31" s="234"/>
      <c r="LK31" s="234"/>
      <c r="LL31" s="41"/>
      <c r="LM31" s="41"/>
      <c r="LN31" s="41"/>
      <c r="LO31" s="41"/>
      <c r="LP31" s="41"/>
      <c r="LQ31" s="234"/>
      <c r="LR31" s="234"/>
      <c r="LS31" s="41"/>
      <c r="LT31" s="41"/>
      <c r="LU31" s="41"/>
      <c r="LV31" s="41"/>
      <c r="LW31" s="41"/>
      <c r="LX31" s="234"/>
      <c r="LY31" s="234"/>
      <c r="LZ31" s="41"/>
      <c r="MA31" s="41"/>
      <c r="MB31" s="41"/>
      <c r="MC31" s="41"/>
      <c r="MD31" s="41"/>
      <c r="ME31" s="234"/>
      <c r="MF31" s="234"/>
      <c r="MG31" s="41"/>
      <c r="MH31" s="41"/>
      <c r="MI31" s="41"/>
      <c r="MJ31" s="41"/>
      <c r="MK31" s="41"/>
      <c r="ML31" s="234"/>
      <c r="MM31" s="234"/>
      <c r="MN31" s="41"/>
      <c r="MO31" s="41"/>
      <c r="MP31" s="41"/>
      <c r="MQ31" s="41"/>
      <c r="MR31" s="41"/>
      <c r="MS31" s="234"/>
      <c r="MT31" s="234"/>
      <c r="MU31" s="41"/>
      <c r="MV31" s="41"/>
      <c r="MW31" s="41"/>
      <c r="MX31" s="41"/>
      <c r="MY31" s="41"/>
      <c r="MZ31" s="234"/>
      <c r="NA31" s="234"/>
      <c r="NB31" s="41"/>
      <c r="NC31" s="41"/>
      <c r="ND31" s="41"/>
      <c r="NE31" s="41"/>
      <c r="NF31" s="41"/>
      <c r="NG31" s="234"/>
      <c r="NH31" s="234"/>
      <c r="NI31" s="41"/>
      <c r="NJ31" s="41"/>
      <c r="NK31" s="41"/>
      <c r="NL31" s="41"/>
      <c r="NM31" s="41"/>
      <c r="NN31" s="234"/>
      <c r="NO31" s="234"/>
      <c r="NP31" s="41"/>
      <c r="NQ31" s="41"/>
      <c r="NR31" s="41"/>
      <c r="NS31" s="41"/>
      <c r="NT31" s="41"/>
      <c r="NU31" s="234"/>
    </row>
    <row r="32" spans="2:385" x14ac:dyDescent="0.3">
      <c r="D32" s="207" t="s">
        <v>12</v>
      </c>
      <c r="E32" s="187" t="s">
        <v>8</v>
      </c>
      <c r="F32" s="146" t="s">
        <v>9</v>
      </c>
      <c r="G32" s="155" t="s">
        <v>371</v>
      </c>
      <c r="H32" s="156" t="s">
        <v>372</v>
      </c>
      <c r="I32" s="239"/>
      <c r="J32" s="41"/>
      <c r="K32" s="41"/>
      <c r="L32" s="41"/>
      <c r="M32" s="41"/>
      <c r="N32" s="230"/>
      <c r="O32" s="230"/>
      <c r="P32" s="41"/>
      <c r="Q32" s="41"/>
      <c r="R32" s="41"/>
      <c r="S32" s="41"/>
      <c r="T32" s="41"/>
      <c r="U32" s="230"/>
      <c r="V32" s="230"/>
      <c r="W32" s="41"/>
      <c r="X32" s="41"/>
      <c r="Y32" s="41"/>
      <c r="Z32" s="41"/>
      <c r="AA32" s="41"/>
      <c r="AB32" s="230"/>
      <c r="AC32" s="230"/>
      <c r="AD32" s="125"/>
      <c r="AE32" s="41"/>
      <c r="AF32" s="41"/>
      <c r="AG32" s="41"/>
      <c r="AH32" s="41"/>
      <c r="AI32" s="230"/>
      <c r="AJ32" s="230"/>
      <c r="AK32" s="41"/>
      <c r="AL32" s="41"/>
      <c r="AM32" s="41"/>
      <c r="AN32" s="41"/>
      <c r="AO32" s="41"/>
      <c r="AP32" s="230"/>
      <c r="AQ32" s="230"/>
      <c r="AR32" s="125"/>
      <c r="AS32" s="41"/>
      <c r="AT32" s="41"/>
      <c r="AU32" s="41"/>
      <c r="AV32" s="41"/>
      <c r="AW32" s="230"/>
      <c r="AX32" s="230"/>
      <c r="AY32" s="41"/>
      <c r="AZ32" s="41"/>
      <c r="BA32" s="41"/>
      <c r="BB32" s="41"/>
      <c r="BC32" s="41"/>
      <c r="BD32" s="230"/>
      <c r="BE32" s="230"/>
      <c r="BF32" s="125"/>
      <c r="BG32" s="41"/>
      <c r="BH32" s="41"/>
      <c r="BI32" s="41"/>
      <c r="BJ32" s="41"/>
      <c r="BK32" s="230"/>
      <c r="BL32" s="230"/>
      <c r="BM32" s="41"/>
      <c r="BN32" s="41"/>
      <c r="BO32" s="41"/>
      <c r="BP32" s="41"/>
      <c r="BQ32" s="41"/>
      <c r="BR32" s="230"/>
      <c r="BS32" s="230"/>
      <c r="BT32" s="125"/>
      <c r="BU32" s="41"/>
      <c r="BV32" s="41"/>
      <c r="BW32" s="41"/>
      <c r="BX32" s="41"/>
      <c r="BY32" s="230"/>
      <c r="BZ32" s="230"/>
      <c r="CA32" s="41"/>
      <c r="CB32" s="41"/>
      <c r="CC32" s="41"/>
      <c r="CD32" s="41"/>
      <c r="CE32" s="41"/>
      <c r="CF32" s="230"/>
      <c r="CG32" s="230"/>
      <c r="CH32" s="125"/>
      <c r="CI32" s="41"/>
      <c r="CJ32" s="41"/>
      <c r="CK32" s="41"/>
      <c r="CL32" s="41"/>
      <c r="CM32" s="230"/>
      <c r="CN32" s="230"/>
      <c r="CO32" s="41"/>
      <c r="CP32" s="41"/>
      <c r="CQ32" s="41"/>
      <c r="CR32" s="41"/>
      <c r="CS32" s="41"/>
      <c r="CT32" s="230"/>
      <c r="CU32" s="230"/>
      <c r="CV32" s="125"/>
      <c r="CW32" s="41"/>
      <c r="CX32" s="41"/>
      <c r="CY32" s="41"/>
      <c r="CZ32" s="41"/>
      <c r="DA32" s="230"/>
      <c r="DB32" s="230"/>
      <c r="DC32" s="41"/>
      <c r="DD32" s="41"/>
      <c r="DE32" s="41"/>
      <c r="DF32" s="41"/>
      <c r="DG32" s="41"/>
      <c r="DH32" s="230"/>
      <c r="DI32" s="230"/>
      <c r="DJ32" s="125"/>
      <c r="DK32" s="125"/>
      <c r="DL32" s="125"/>
      <c r="DM32" s="125"/>
      <c r="DN32" s="125"/>
      <c r="DO32" s="230"/>
      <c r="DP32" s="230"/>
      <c r="DQ32" s="136" t="s">
        <v>460</v>
      </c>
      <c r="DR32" s="41"/>
      <c r="DS32" s="41"/>
      <c r="DT32" s="41"/>
      <c r="DU32" s="41"/>
      <c r="DV32" s="230"/>
      <c r="DW32" s="234"/>
      <c r="DX32" s="41"/>
      <c r="DY32" s="41"/>
      <c r="DZ32" s="41"/>
      <c r="EA32" s="139" t="s">
        <v>460</v>
      </c>
      <c r="EB32" s="41"/>
      <c r="EC32" s="230"/>
      <c r="ED32" s="230"/>
      <c r="EE32" s="125"/>
      <c r="EF32" s="41"/>
      <c r="EG32" s="41"/>
      <c r="EH32" s="41"/>
      <c r="EI32" s="41"/>
      <c r="EJ32" s="230"/>
      <c r="EK32" s="230"/>
      <c r="EL32" s="125"/>
      <c r="EM32" s="125"/>
      <c r="EN32" s="125"/>
      <c r="EO32" s="125"/>
      <c r="EP32" s="125"/>
      <c r="EQ32" s="230"/>
      <c r="ER32" s="230"/>
      <c r="ES32" s="41"/>
      <c r="ET32" s="41"/>
      <c r="EU32" s="41"/>
      <c r="EV32" s="41"/>
      <c r="EW32" s="41"/>
      <c r="EX32" s="230"/>
      <c r="EY32" s="230"/>
      <c r="EZ32" s="125"/>
      <c r="FA32" s="41"/>
      <c r="FB32" s="41"/>
      <c r="FC32" s="41"/>
      <c r="FD32" s="41"/>
      <c r="FE32" s="230"/>
      <c r="FF32" s="230"/>
      <c r="FG32" s="136"/>
      <c r="FH32" s="136"/>
      <c r="FI32" s="136"/>
      <c r="FJ32" s="136"/>
      <c r="FK32" s="136"/>
      <c r="FL32" s="230"/>
      <c r="FM32" s="230"/>
      <c r="FN32" s="139" t="s">
        <v>460</v>
      </c>
      <c r="FO32" s="41"/>
      <c r="FP32" s="41"/>
      <c r="FQ32" s="41"/>
      <c r="FR32" s="41"/>
      <c r="FS32" s="230"/>
      <c r="FT32" s="230"/>
      <c r="FU32" s="125"/>
      <c r="FV32" s="125"/>
      <c r="FW32" s="125"/>
      <c r="FX32" s="125"/>
      <c r="FY32" s="125"/>
      <c r="FZ32" s="230"/>
      <c r="GA32" s="230"/>
      <c r="GB32" s="125"/>
      <c r="GC32" s="41"/>
      <c r="GD32" s="41"/>
      <c r="GE32" s="41"/>
      <c r="GF32" s="41"/>
      <c r="GG32" s="230"/>
      <c r="GH32" s="230"/>
      <c r="GI32" s="41"/>
      <c r="GJ32" s="41"/>
      <c r="GK32" s="41"/>
      <c r="GL32" s="41"/>
      <c r="GM32" s="41"/>
      <c r="GN32" s="230"/>
      <c r="GO32" s="230"/>
      <c r="GP32" s="125"/>
      <c r="GQ32" s="41"/>
      <c r="GR32" s="41"/>
      <c r="GS32" s="41"/>
      <c r="GT32" s="41"/>
      <c r="GU32" s="230"/>
      <c r="GV32" s="230"/>
      <c r="GW32" s="125" t="s">
        <v>460</v>
      </c>
      <c r="GX32" s="41"/>
      <c r="GY32" s="41"/>
      <c r="GZ32" s="41"/>
      <c r="HA32" s="41"/>
      <c r="HB32" s="230"/>
      <c r="HC32" s="230"/>
      <c r="HD32" s="41"/>
      <c r="HE32" s="41"/>
      <c r="HF32" s="41"/>
      <c r="HG32" s="41"/>
      <c r="HH32" s="41"/>
      <c r="HI32" s="234"/>
      <c r="HJ32" s="234"/>
      <c r="HK32" s="41" t="s">
        <v>460</v>
      </c>
      <c r="HL32" s="41" t="s">
        <v>460</v>
      </c>
      <c r="HM32" s="41" t="s">
        <v>460</v>
      </c>
      <c r="HN32" s="41" t="s">
        <v>460</v>
      </c>
      <c r="HO32" s="41" t="s">
        <v>460</v>
      </c>
      <c r="HP32" s="234"/>
      <c r="HQ32" s="234"/>
      <c r="HR32" s="41" t="s">
        <v>460</v>
      </c>
      <c r="HS32" s="41" t="s">
        <v>460</v>
      </c>
      <c r="HT32" s="41" t="s">
        <v>460</v>
      </c>
      <c r="HU32" s="41" t="s">
        <v>460</v>
      </c>
      <c r="HV32" s="41" t="s">
        <v>460</v>
      </c>
      <c r="HW32" s="234"/>
      <c r="HX32" s="234"/>
      <c r="HY32" s="41" t="s">
        <v>460</v>
      </c>
      <c r="HZ32" s="41" t="s">
        <v>460</v>
      </c>
      <c r="IA32" s="41" t="s">
        <v>460</v>
      </c>
      <c r="IB32" s="41" t="s">
        <v>460</v>
      </c>
      <c r="IC32" s="41" t="s">
        <v>460</v>
      </c>
      <c r="ID32" s="234"/>
      <c r="IE32" s="234"/>
      <c r="IF32" s="41"/>
      <c r="IG32" s="41"/>
      <c r="IH32" s="41"/>
      <c r="II32" s="41"/>
      <c r="IJ32" s="41"/>
      <c r="IK32" s="234"/>
      <c r="IL32" s="234"/>
      <c r="IM32" s="41"/>
      <c r="IN32" s="41"/>
      <c r="IO32" s="41"/>
      <c r="IP32" s="41"/>
      <c r="IQ32" s="41"/>
      <c r="IR32" s="234"/>
      <c r="IS32" s="234"/>
      <c r="IT32" s="41"/>
      <c r="IU32" s="41"/>
      <c r="IV32" s="41"/>
      <c r="IW32" s="41"/>
      <c r="IX32" s="41"/>
      <c r="IY32" s="234"/>
      <c r="IZ32" s="234"/>
      <c r="JA32" s="41"/>
      <c r="JB32" s="41"/>
      <c r="JC32" s="41"/>
      <c r="JD32" s="41"/>
      <c r="JE32" s="41"/>
      <c r="JF32" s="234"/>
      <c r="JG32" s="234"/>
      <c r="JH32" s="41"/>
      <c r="JI32" s="41"/>
      <c r="JJ32" s="41"/>
      <c r="JK32" s="41"/>
      <c r="JL32" s="41"/>
      <c r="JM32" s="234"/>
      <c r="JN32" s="234"/>
      <c r="JO32" s="41"/>
      <c r="JP32" s="41"/>
      <c r="JQ32" s="41"/>
      <c r="JR32" s="41"/>
      <c r="JS32" s="41"/>
      <c r="JT32" s="234"/>
      <c r="JU32" s="234"/>
      <c r="JV32" s="41"/>
      <c r="JW32" s="41"/>
      <c r="JX32" s="41"/>
      <c r="JY32" s="41"/>
      <c r="JZ32" s="41"/>
      <c r="KA32" s="234"/>
      <c r="KB32" s="234"/>
      <c r="KC32" s="41"/>
      <c r="KD32" s="41"/>
      <c r="KE32" s="41"/>
      <c r="KF32" s="41"/>
      <c r="KG32" s="41"/>
      <c r="KH32" s="234"/>
      <c r="KI32" s="234"/>
      <c r="KJ32" s="41"/>
      <c r="KK32" s="41"/>
      <c r="KL32" s="41"/>
      <c r="KM32" s="41"/>
      <c r="KN32" s="41"/>
      <c r="KO32" s="234"/>
      <c r="KP32" s="234"/>
      <c r="KQ32" s="41"/>
      <c r="KR32" s="41"/>
      <c r="KS32" s="41"/>
      <c r="KT32" s="41"/>
      <c r="KU32" s="41"/>
      <c r="KV32" s="234"/>
      <c r="KW32" s="234"/>
      <c r="KX32" s="41"/>
      <c r="KY32" s="41"/>
      <c r="KZ32" s="41"/>
      <c r="LA32" s="41"/>
      <c r="LB32" s="41"/>
      <c r="LC32" s="234"/>
      <c r="LD32" s="234"/>
      <c r="LE32" s="41"/>
      <c r="LF32" s="41"/>
      <c r="LG32" s="41"/>
      <c r="LH32" s="41"/>
      <c r="LI32" s="41"/>
      <c r="LJ32" s="234"/>
      <c r="LK32" s="234"/>
      <c r="LL32" s="41"/>
      <c r="LM32" s="41"/>
      <c r="LN32" s="41"/>
      <c r="LO32" s="41"/>
      <c r="LP32" s="41"/>
      <c r="LQ32" s="234"/>
      <c r="LR32" s="234"/>
      <c r="LS32" s="41"/>
      <c r="LT32" s="41"/>
      <c r="LU32" s="41"/>
      <c r="LV32" s="41"/>
      <c r="LW32" s="41"/>
      <c r="LX32" s="234"/>
      <c r="LY32" s="234"/>
      <c r="LZ32" s="41"/>
      <c r="MA32" s="41"/>
      <c r="MB32" s="41"/>
      <c r="MC32" s="41"/>
      <c r="MD32" s="41"/>
      <c r="ME32" s="234"/>
      <c r="MF32" s="234"/>
      <c r="MG32" s="41"/>
      <c r="MH32" s="41"/>
      <c r="MI32" s="41"/>
      <c r="MJ32" s="41"/>
      <c r="MK32" s="41"/>
      <c r="ML32" s="234"/>
      <c r="MM32" s="234"/>
      <c r="MN32" s="41"/>
      <c r="MO32" s="41"/>
      <c r="MP32" s="41"/>
      <c r="MQ32" s="41"/>
      <c r="MR32" s="41"/>
      <c r="MS32" s="234"/>
      <c r="MT32" s="234"/>
      <c r="MU32" s="41"/>
      <c r="MV32" s="41"/>
      <c r="MW32" s="41"/>
      <c r="MX32" s="41"/>
      <c r="MY32" s="41"/>
      <c r="MZ32" s="234"/>
      <c r="NA32" s="234"/>
      <c r="NB32" s="41"/>
      <c r="NC32" s="41"/>
      <c r="ND32" s="41"/>
      <c r="NE32" s="41"/>
      <c r="NF32" s="41"/>
      <c r="NG32" s="234"/>
      <c r="NH32" s="234"/>
      <c r="NI32" s="41"/>
      <c r="NJ32" s="41"/>
      <c r="NK32" s="41"/>
      <c r="NL32" s="41"/>
      <c r="NM32" s="41"/>
      <c r="NN32" s="234"/>
      <c r="NO32" s="234"/>
      <c r="NP32" s="41"/>
      <c r="NQ32" s="41"/>
      <c r="NR32" s="41"/>
      <c r="NS32" s="41"/>
      <c r="NT32" s="41"/>
      <c r="NU32" s="234"/>
    </row>
    <row r="33" spans="4:385" ht="15" thickBot="1" x14ac:dyDescent="0.35">
      <c r="D33" s="206" t="s">
        <v>12</v>
      </c>
      <c r="E33" s="187" t="s">
        <v>8</v>
      </c>
      <c r="F33" s="146" t="s">
        <v>9</v>
      </c>
      <c r="G33" s="155" t="s">
        <v>39</v>
      </c>
      <c r="H33" s="156" t="s">
        <v>711</v>
      </c>
      <c r="I33" s="125"/>
      <c r="J33" s="41"/>
      <c r="K33" s="41"/>
      <c r="L33" s="41"/>
      <c r="M33" s="41"/>
      <c r="N33" s="230"/>
      <c r="O33" s="230"/>
      <c r="P33" s="41"/>
      <c r="Q33" s="41"/>
      <c r="R33" s="41"/>
      <c r="S33" s="41"/>
      <c r="T33" s="41"/>
      <c r="U33" s="230"/>
      <c r="V33" s="230"/>
      <c r="W33" s="41"/>
      <c r="X33" s="41"/>
      <c r="Y33" s="41"/>
      <c r="Z33" s="41"/>
      <c r="AA33" s="41"/>
      <c r="AB33" s="230"/>
      <c r="AC33" s="230"/>
      <c r="AD33" s="125"/>
      <c r="AE33" s="41"/>
      <c r="AF33" s="41"/>
      <c r="AG33" s="41"/>
      <c r="AH33" s="41"/>
      <c r="AI33" s="230"/>
      <c r="AJ33" s="230"/>
      <c r="AK33" s="41"/>
      <c r="AL33" s="41"/>
      <c r="AM33" s="41"/>
      <c r="AN33" s="41"/>
      <c r="AO33" s="41"/>
      <c r="AP33" s="230"/>
      <c r="AQ33" s="230"/>
      <c r="AR33" s="125"/>
      <c r="AS33" s="41"/>
      <c r="AT33" s="41"/>
      <c r="AU33" s="41"/>
      <c r="AV33" s="41"/>
      <c r="AW33" s="230"/>
      <c r="AX33" s="230"/>
      <c r="AY33" s="41"/>
      <c r="AZ33" s="41"/>
      <c r="BA33" s="41"/>
      <c r="BB33" s="41"/>
      <c r="BC33" s="41"/>
      <c r="BD33" s="230"/>
      <c r="BE33" s="230"/>
      <c r="BF33" s="125"/>
      <c r="BG33" s="41"/>
      <c r="BH33" s="41"/>
      <c r="BI33" s="41"/>
      <c r="BJ33" s="41"/>
      <c r="BK33" s="230"/>
      <c r="BL33" s="230"/>
      <c r="BM33" s="41"/>
      <c r="BN33" s="41"/>
      <c r="BO33" s="41"/>
      <c r="BP33" s="41"/>
      <c r="BQ33" s="41"/>
      <c r="BR33" s="230"/>
      <c r="BS33" s="230"/>
      <c r="BT33" s="125"/>
      <c r="BU33" s="41"/>
      <c r="BV33" s="41"/>
      <c r="BW33" s="41"/>
      <c r="BX33" s="41"/>
      <c r="BY33" s="230"/>
      <c r="BZ33" s="230"/>
      <c r="CA33" s="41"/>
      <c r="CB33" s="41"/>
      <c r="CC33" s="41"/>
      <c r="CD33" s="41"/>
      <c r="CE33" s="41"/>
      <c r="CF33" s="230"/>
      <c r="CG33" s="230"/>
      <c r="CH33" s="125"/>
      <c r="CI33" s="41"/>
      <c r="CJ33" s="41"/>
      <c r="CK33" s="41"/>
      <c r="CL33" s="41"/>
      <c r="CM33" s="230"/>
      <c r="CN33" s="230"/>
      <c r="CO33" s="41"/>
      <c r="CP33" s="41"/>
      <c r="CQ33" s="41"/>
      <c r="CR33" s="41"/>
      <c r="CS33" s="41"/>
      <c r="CT33" s="230"/>
      <c r="CU33" s="230"/>
      <c r="CV33" s="125"/>
      <c r="CW33" s="41"/>
      <c r="CX33" s="41"/>
      <c r="CY33" s="41"/>
      <c r="CZ33" s="41"/>
      <c r="DA33" s="230"/>
      <c r="DB33" s="230"/>
      <c r="DC33" s="41"/>
      <c r="DD33" s="41"/>
      <c r="DE33" s="41"/>
      <c r="DF33" s="41"/>
      <c r="DG33" s="41"/>
      <c r="DH33" s="230"/>
      <c r="DI33" s="230"/>
      <c r="DJ33" s="125"/>
      <c r="DK33" s="41"/>
      <c r="DL33" s="41"/>
      <c r="DM33" s="41"/>
      <c r="DN33" s="41"/>
      <c r="DO33" s="230"/>
      <c r="DP33" s="230"/>
      <c r="DQ33" s="125"/>
      <c r="DR33" s="41"/>
      <c r="DS33" s="41"/>
      <c r="DT33" s="41"/>
      <c r="DU33" s="41"/>
      <c r="DV33" s="230"/>
      <c r="DW33" s="234"/>
      <c r="DX33" s="41"/>
      <c r="DY33" s="41"/>
      <c r="DZ33" s="41"/>
      <c r="EA33" s="41"/>
      <c r="EB33" s="41"/>
      <c r="EC33" s="230"/>
      <c r="ED33" s="230"/>
      <c r="EE33" s="125"/>
      <c r="EF33" s="41"/>
      <c r="EG33" s="41"/>
      <c r="EH33" s="41"/>
      <c r="EI33" s="41"/>
      <c r="EJ33" s="230"/>
      <c r="EK33" s="230"/>
      <c r="EL33" s="125"/>
      <c r="EM33" s="41"/>
      <c r="EN33" s="41"/>
      <c r="EO33" s="41"/>
      <c r="EP33" s="41"/>
      <c r="EQ33" s="230"/>
      <c r="ER33" s="230"/>
      <c r="ES33" s="41"/>
      <c r="ET33" s="41"/>
      <c r="EU33" s="41"/>
      <c r="EV33" s="41"/>
      <c r="EW33" s="41"/>
      <c r="EX33" s="230"/>
      <c r="EY33" s="230"/>
      <c r="EZ33" s="125"/>
      <c r="FA33" s="41"/>
      <c r="FB33" s="41"/>
      <c r="FC33" s="41"/>
      <c r="FD33" s="41"/>
      <c r="FE33" s="230"/>
      <c r="FF33" s="230"/>
      <c r="FG33" s="125"/>
      <c r="FH33" s="41"/>
      <c r="FI33" s="41"/>
      <c r="FJ33" s="41"/>
      <c r="FK33" s="41"/>
      <c r="FL33" s="230"/>
      <c r="FM33" s="230"/>
      <c r="FN33" s="41"/>
      <c r="FO33" s="41"/>
      <c r="FP33" s="41"/>
      <c r="FQ33" s="41"/>
      <c r="FR33" s="41"/>
      <c r="FS33" s="230"/>
      <c r="FT33" s="230"/>
      <c r="FU33" s="125"/>
      <c r="FV33" s="41"/>
      <c r="FW33" s="41"/>
      <c r="FX33" s="41"/>
      <c r="FY33" s="41"/>
      <c r="FZ33" s="230"/>
      <c r="GA33" s="230"/>
      <c r="GB33" s="125"/>
      <c r="GC33" s="41"/>
      <c r="GD33" s="41"/>
      <c r="GE33" s="41"/>
      <c r="GF33" s="41"/>
      <c r="GG33" s="230"/>
      <c r="GH33" s="230"/>
      <c r="GI33" s="41"/>
      <c r="GJ33" s="41"/>
      <c r="GK33" s="41"/>
      <c r="GL33" s="41"/>
      <c r="GM33" s="41"/>
      <c r="GN33" s="230"/>
      <c r="GO33" s="230"/>
      <c r="GP33" s="125"/>
      <c r="GQ33" s="41"/>
      <c r="GR33" s="41"/>
      <c r="GS33" s="41"/>
      <c r="GT33" s="41"/>
      <c r="GU33" s="230"/>
      <c r="GV33" s="230"/>
      <c r="GW33" s="125" t="s">
        <v>460</v>
      </c>
      <c r="GX33" s="125" t="s">
        <v>460</v>
      </c>
      <c r="GY33" s="125" t="s">
        <v>460</v>
      </c>
      <c r="GZ33" s="125" t="s">
        <v>460</v>
      </c>
      <c r="HA33" s="125" t="s">
        <v>460</v>
      </c>
      <c r="HB33" s="230"/>
      <c r="HC33" s="230"/>
      <c r="HD33" s="41"/>
      <c r="HE33" s="41"/>
      <c r="HF33" s="41"/>
      <c r="HG33" s="41"/>
      <c r="HH33" s="41"/>
      <c r="HI33" s="234"/>
      <c r="HJ33" s="234"/>
      <c r="HK33" s="41"/>
      <c r="HL33" s="41"/>
      <c r="HM33" s="41"/>
      <c r="HN33" s="41"/>
      <c r="HO33" s="41"/>
      <c r="HP33" s="234"/>
      <c r="HQ33" s="234"/>
      <c r="HR33" s="41"/>
      <c r="HS33" s="41"/>
      <c r="HT33" s="41"/>
      <c r="HU33" s="41"/>
      <c r="HV33" s="41"/>
      <c r="HW33" s="234"/>
      <c r="HX33" s="234"/>
      <c r="HY33" s="41"/>
      <c r="HZ33" s="41"/>
      <c r="IA33" s="41"/>
      <c r="IB33" s="41"/>
      <c r="IC33" s="41"/>
      <c r="ID33" s="234"/>
      <c r="IE33" s="234"/>
      <c r="IF33" s="41"/>
      <c r="IG33" s="41"/>
      <c r="IH33" s="41"/>
      <c r="II33" s="41"/>
      <c r="IJ33" s="41"/>
      <c r="IK33" s="234"/>
      <c r="IL33" s="234"/>
      <c r="IM33" s="41"/>
      <c r="IN33" s="41"/>
      <c r="IO33" s="41"/>
      <c r="IP33" s="41"/>
      <c r="IQ33" s="41"/>
      <c r="IR33" s="234"/>
      <c r="IS33" s="234"/>
      <c r="IT33" s="41"/>
      <c r="IU33" s="41"/>
      <c r="IV33" s="41"/>
      <c r="IW33" s="41"/>
      <c r="IX33" s="41"/>
      <c r="IY33" s="234"/>
      <c r="IZ33" s="234"/>
      <c r="JA33" s="41"/>
      <c r="JB33" s="41"/>
      <c r="JC33" s="41"/>
      <c r="JD33" s="41"/>
      <c r="JE33" s="41"/>
      <c r="JF33" s="234"/>
      <c r="JG33" s="234"/>
      <c r="JH33" s="41"/>
      <c r="JI33" s="41"/>
      <c r="JJ33" s="41"/>
      <c r="JK33" s="41"/>
      <c r="JL33" s="41"/>
      <c r="JM33" s="234"/>
      <c r="JN33" s="234"/>
      <c r="JO33" s="41"/>
      <c r="JP33" s="41"/>
      <c r="JQ33" s="41"/>
      <c r="JR33" s="41"/>
      <c r="JS33" s="41"/>
      <c r="JT33" s="234"/>
      <c r="JU33" s="234"/>
      <c r="JV33" s="41"/>
      <c r="JW33" s="41"/>
      <c r="JX33" s="41"/>
      <c r="JY33" s="41"/>
      <c r="JZ33" s="41"/>
      <c r="KA33" s="234"/>
      <c r="KB33" s="234"/>
      <c r="KC33" s="41"/>
      <c r="KD33" s="41"/>
      <c r="KE33" s="41"/>
      <c r="KF33" s="41"/>
      <c r="KG33" s="41"/>
      <c r="KH33" s="234"/>
      <c r="KI33" s="234"/>
      <c r="KJ33" s="41"/>
      <c r="KK33" s="41"/>
      <c r="KL33" s="41"/>
      <c r="KM33" s="41"/>
      <c r="KN33" s="41"/>
      <c r="KO33" s="234"/>
      <c r="KP33" s="234"/>
      <c r="KQ33" s="41"/>
      <c r="KR33" s="41"/>
      <c r="KS33" s="41"/>
      <c r="KT33" s="41"/>
      <c r="KU33" s="41"/>
      <c r="KV33" s="234"/>
      <c r="KW33" s="234"/>
      <c r="KX33" s="41"/>
      <c r="KY33" s="41"/>
      <c r="KZ33" s="41"/>
      <c r="LA33" s="41"/>
      <c r="LB33" s="41"/>
      <c r="LC33" s="234"/>
      <c r="LD33" s="234"/>
      <c r="LE33" s="41"/>
      <c r="LF33" s="41"/>
      <c r="LG33" s="41"/>
      <c r="LH33" s="41"/>
      <c r="LI33" s="41"/>
      <c r="LJ33" s="234"/>
      <c r="LK33" s="234"/>
      <c r="LL33" s="41"/>
      <c r="LM33" s="41"/>
      <c r="LN33" s="41"/>
      <c r="LO33" s="41"/>
      <c r="LP33" s="41"/>
      <c r="LQ33" s="234"/>
      <c r="LR33" s="234"/>
      <c r="LS33" s="41"/>
      <c r="LT33" s="41"/>
      <c r="LU33" s="41"/>
      <c r="LV33" s="41"/>
      <c r="LW33" s="41"/>
      <c r="LX33" s="234"/>
      <c r="LY33" s="234"/>
      <c r="LZ33" s="41"/>
      <c r="MA33" s="41"/>
      <c r="MB33" s="41"/>
      <c r="MC33" s="41"/>
      <c r="MD33" s="41"/>
      <c r="ME33" s="234"/>
      <c r="MF33" s="234"/>
      <c r="MG33" s="41"/>
      <c r="MH33" s="41"/>
      <c r="MI33" s="41"/>
      <c r="MJ33" s="41"/>
      <c r="MK33" s="41"/>
      <c r="ML33" s="234"/>
      <c r="MM33" s="234"/>
      <c r="MN33" s="41"/>
      <c r="MO33" s="41"/>
      <c r="MP33" s="41"/>
      <c r="MQ33" s="41"/>
      <c r="MR33" s="41"/>
      <c r="MS33" s="234"/>
      <c r="MT33" s="234"/>
      <c r="MU33" s="41"/>
      <c r="MV33" s="41"/>
      <c r="MW33" s="41"/>
      <c r="MX33" s="41"/>
      <c r="MY33" s="41"/>
      <c r="MZ33" s="234"/>
      <c r="NA33" s="234"/>
      <c r="NB33" s="41"/>
      <c r="NC33" s="41"/>
      <c r="ND33" s="41"/>
      <c r="NE33" s="41"/>
      <c r="NF33" s="41"/>
      <c r="NG33" s="234"/>
      <c r="NH33" s="234"/>
      <c r="NI33" s="41"/>
      <c r="NJ33" s="41"/>
      <c r="NK33" s="41"/>
      <c r="NL33" s="41"/>
      <c r="NM33" s="41"/>
      <c r="NN33" s="234"/>
      <c r="NO33" s="234"/>
      <c r="NP33" s="41"/>
      <c r="NQ33" s="41"/>
      <c r="NR33" s="41"/>
      <c r="NS33" s="41"/>
      <c r="NT33" s="41"/>
      <c r="NU33" s="234"/>
    </row>
    <row r="34" spans="4:385" ht="15" thickBot="1" x14ac:dyDescent="0.35">
      <c r="D34" s="206" t="s">
        <v>12</v>
      </c>
      <c r="E34" s="187" t="s">
        <v>8</v>
      </c>
      <c r="F34" s="146" t="s">
        <v>9</v>
      </c>
      <c r="G34" s="155" t="s">
        <v>921</v>
      </c>
      <c r="H34" s="156" t="s">
        <v>922</v>
      </c>
      <c r="I34" s="239"/>
      <c r="J34" s="41"/>
      <c r="K34" s="41"/>
      <c r="L34" s="41"/>
      <c r="M34" s="41"/>
      <c r="N34" s="230"/>
      <c r="O34" s="230"/>
      <c r="P34" s="41"/>
      <c r="Q34" s="41"/>
      <c r="R34" s="41"/>
      <c r="S34" s="41"/>
      <c r="T34" s="41"/>
      <c r="U34" s="230"/>
      <c r="V34" s="230"/>
      <c r="W34" s="41"/>
      <c r="X34" s="41"/>
      <c r="Y34" s="41"/>
      <c r="Z34" s="41"/>
      <c r="AA34" s="41"/>
      <c r="AB34" s="230"/>
      <c r="AC34" s="230"/>
      <c r="AD34" s="125"/>
      <c r="AE34" s="41"/>
      <c r="AF34" s="41"/>
      <c r="AG34" s="41"/>
      <c r="AH34" s="41"/>
      <c r="AI34" s="230"/>
      <c r="AJ34" s="230"/>
      <c r="AK34" s="41"/>
      <c r="AL34" s="41"/>
      <c r="AM34" s="41"/>
      <c r="AN34" s="41"/>
      <c r="AO34" s="41"/>
      <c r="AP34" s="230"/>
      <c r="AQ34" s="230"/>
      <c r="AR34" s="125"/>
      <c r="AS34" s="41"/>
      <c r="AT34" s="41"/>
      <c r="AU34" s="41"/>
      <c r="AV34" s="41"/>
      <c r="AW34" s="230"/>
      <c r="AX34" s="230"/>
      <c r="AY34" s="41"/>
      <c r="AZ34" s="41"/>
      <c r="BA34" s="41"/>
      <c r="BB34" s="41"/>
      <c r="BC34" s="41"/>
      <c r="BD34" s="230"/>
      <c r="BE34" s="230"/>
      <c r="BF34" s="125"/>
      <c r="BG34" s="125"/>
      <c r="BH34" s="125"/>
      <c r="BI34" s="125"/>
      <c r="BJ34" s="125"/>
      <c r="BK34" s="230"/>
      <c r="BL34" s="230"/>
      <c r="BM34" s="41"/>
      <c r="BN34" s="41"/>
      <c r="BO34" s="41"/>
      <c r="BP34" s="41"/>
      <c r="BQ34" s="41"/>
      <c r="BR34" s="234"/>
      <c r="BS34" s="234"/>
      <c r="BT34" s="41"/>
      <c r="BU34" s="41"/>
      <c r="BV34" s="41"/>
      <c r="BW34" s="41"/>
      <c r="BX34" s="41"/>
      <c r="BY34" s="234"/>
      <c r="BZ34" s="234"/>
      <c r="CA34" s="41"/>
      <c r="CB34" s="41"/>
      <c r="CC34" s="41"/>
      <c r="CD34" s="41"/>
      <c r="CE34" s="41"/>
      <c r="CF34" s="230"/>
      <c r="CG34" s="230"/>
      <c r="CH34" s="125"/>
      <c r="CI34" s="125"/>
      <c r="CJ34" s="125"/>
      <c r="CK34" s="125"/>
      <c r="CL34" s="125"/>
      <c r="CM34" s="230"/>
      <c r="CN34" s="230"/>
      <c r="CO34" s="41"/>
      <c r="CP34" s="41"/>
      <c r="CQ34" s="41"/>
      <c r="CR34" s="41"/>
      <c r="CS34" s="41"/>
      <c r="CT34" s="230"/>
      <c r="CU34" s="230"/>
      <c r="CV34" s="125"/>
      <c r="CW34" s="125"/>
      <c r="CX34" s="125"/>
      <c r="CY34" s="125"/>
      <c r="CZ34" s="125"/>
      <c r="DA34" s="312"/>
      <c r="DB34" s="312"/>
      <c r="DC34" s="125"/>
      <c r="DD34" s="125"/>
      <c r="DE34" s="125"/>
      <c r="DF34" s="125"/>
      <c r="DG34" s="125"/>
      <c r="DH34" s="230"/>
      <c r="DI34" s="230"/>
      <c r="DJ34" s="125"/>
      <c r="DK34" s="41"/>
      <c r="DL34" s="41"/>
      <c r="DM34" s="41"/>
      <c r="DN34" s="41"/>
      <c r="DO34" s="230"/>
      <c r="DP34" s="230"/>
      <c r="DQ34" s="136" t="s">
        <v>460</v>
      </c>
      <c r="DR34" s="41"/>
      <c r="DS34" s="41"/>
      <c r="DT34" s="41"/>
      <c r="DU34" s="41"/>
      <c r="DV34" s="230"/>
      <c r="DW34" s="234"/>
      <c r="DX34" s="41"/>
      <c r="DY34" s="41"/>
      <c r="DZ34" s="41"/>
      <c r="EA34" s="139" t="s">
        <v>460</v>
      </c>
      <c r="EB34" s="41"/>
      <c r="EC34" s="230"/>
      <c r="ED34" s="230"/>
      <c r="EE34" s="125"/>
      <c r="EF34" s="41"/>
      <c r="EG34" s="41"/>
      <c r="EH34" s="41"/>
      <c r="EI34" s="41"/>
      <c r="EJ34" s="230"/>
      <c r="EK34" s="230"/>
      <c r="EL34" s="125"/>
      <c r="EM34" s="41"/>
      <c r="EN34" s="41"/>
      <c r="EO34" s="41"/>
      <c r="EP34" s="41"/>
      <c r="EQ34" s="230"/>
      <c r="ER34" s="230"/>
      <c r="ES34" s="41"/>
      <c r="ET34" s="41"/>
      <c r="EU34" s="41"/>
      <c r="EV34" s="41"/>
      <c r="EW34" s="41"/>
      <c r="EX34" s="230"/>
      <c r="EY34" s="230"/>
      <c r="EZ34" s="125"/>
      <c r="FA34" s="125"/>
      <c r="FB34" s="125"/>
      <c r="FC34" s="125"/>
      <c r="FD34" s="125"/>
      <c r="FE34" s="230"/>
      <c r="FF34" s="230"/>
      <c r="FG34" s="136"/>
      <c r="FH34" s="136"/>
      <c r="FI34" s="136"/>
      <c r="FJ34" s="136"/>
      <c r="FK34" s="136"/>
      <c r="FL34" s="230"/>
      <c r="FM34" s="230"/>
      <c r="FN34" s="139" t="s">
        <v>460</v>
      </c>
      <c r="FO34" s="41"/>
      <c r="FP34" s="41"/>
      <c r="FQ34" s="41"/>
      <c r="FR34" s="41"/>
      <c r="FS34" s="230"/>
      <c r="FT34" s="230"/>
      <c r="FU34" s="125"/>
      <c r="FV34" s="125"/>
      <c r="FW34" s="125"/>
      <c r="FX34" s="125"/>
      <c r="FY34" s="125"/>
      <c r="FZ34" s="230"/>
      <c r="GA34" s="230"/>
      <c r="GB34" s="125"/>
      <c r="GC34" s="125"/>
      <c r="GD34" s="125"/>
      <c r="GE34" s="125"/>
      <c r="GF34" s="125"/>
      <c r="GG34" s="230"/>
      <c r="GH34" s="230"/>
      <c r="GI34" s="41"/>
      <c r="GJ34" s="41"/>
      <c r="GK34" s="41"/>
      <c r="GL34" s="41"/>
      <c r="GM34" s="41"/>
      <c r="GN34" s="230"/>
      <c r="GO34" s="230"/>
      <c r="GP34" s="125"/>
      <c r="GQ34" s="41"/>
      <c r="GR34" s="41"/>
      <c r="GS34" s="41"/>
      <c r="GT34" s="41"/>
      <c r="GU34" s="230"/>
      <c r="GV34" s="230"/>
      <c r="GW34" s="125" t="s">
        <v>460</v>
      </c>
      <c r="GX34" s="41"/>
      <c r="GY34" s="41"/>
      <c r="GZ34" s="41"/>
      <c r="HA34" s="41"/>
      <c r="HB34" s="230"/>
      <c r="HC34" s="230"/>
      <c r="HD34" s="41"/>
      <c r="HE34" s="41"/>
      <c r="HF34" s="41"/>
      <c r="HG34" s="41"/>
      <c r="HH34" s="41"/>
      <c r="HI34" s="234"/>
      <c r="HJ34" s="234"/>
      <c r="HK34" s="41"/>
      <c r="HL34" s="41"/>
      <c r="HM34" s="41"/>
      <c r="HN34" s="41"/>
      <c r="HO34" s="41"/>
      <c r="HP34" s="234"/>
      <c r="HQ34" s="234"/>
      <c r="HR34" s="41"/>
      <c r="HS34" s="41"/>
      <c r="HT34" s="41"/>
      <c r="HU34" s="41"/>
      <c r="HV34" s="41"/>
      <c r="HW34" s="234"/>
      <c r="HX34" s="234"/>
      <c r="HY34" s="41"/>
      <c r="HZ34" s="41"/>
      <c r="IA34" s="41"/>
      <c r="IB34" s="41"/>
      <c r="IC34" s="41"/>
      <c r="ID34" s="234"/>
      <c r="IE34" s="234"/>
      <c r="IF34" s="41"/>
      <c r="IG34" s="41"/>
      <c r="IH34" s="41"/>
      <c r="II34" s="41"/>
      <c r="IJ34" s="41"/>
      <c r="IK34" s="234"/>
      <c r="IL34" s="234"/>
      <c r="IM34" s="41"/>
      <c r="IN34" s="41"/>
      <c r="IO34" s="41"/>
      <c r="IP34" s="41"/>
      <c r="IQ34" s="41"/>
      <c r="IR34" s="234"/>
      <c r="IS34" s="234"/>
      <c r="IT34" s="41"/>
      <c r="IU34" s="41"/>
      <c r="IV34" s="41"/>
      <c r="IW34" s="41"/>
      <c r="IX34" s="41"/>
      <c r="IY34" s="234"/>
      <c r="IZ34" s="234"/>
      <c r="JA34" s="41"/>
      <c r="JB34" s="41"/>
      <c r="JC34" s="41"/>
      <c r="JD34" s="41"/>
      <c r="JE34" s="41"/>
      <c r="JF34" s="234"/>
      <c r="JG34" s="234"/>
      <c r="JH34" s="41"/>
      <c r="JI34" s="41"/>
      <c r="JJ34" s="41"/>
      <c r="JK34" s="41"/>
      <c r="JL34" s="41"/>
      <c r="JM34" s="234"/>
      <c r="JN34" s="234"/>
      <c r="JO34" s="41"/>
      <c r="JP34" s="41"/>
      <c r="JQ34" s="41"/>
      <c r="JR34" s="41"/>
      <c r="JS34" s="41"/>
      <c r="JT34" s="234"/>
      <c r="JU34" s="234"/>
      <c r="JV34" s="41"/>
      <c r="JW34" s="41"/>
      <c r="JX34" s="41"/>
      <c r="JY34" s="41"/>
      <c r="JZ34" s="41"/>
      <c r="KA34" s="234"/>
      <c r="KB34" s="234"/>
      <c r="KC34" s="41"/>
      <c r="KD34" s="41"/>
      <c r="KE34" s="41"/>
      <c r="KF34" s="41"/>
      <c r="KG34" s="41"/>
      <c r="KH34" s="234"/>
      <c r="KI34" s="234"/>
      <c r="KJ34" s="41"/>
      <c r="KK34" s="41"/>
      <c r="KL34" s="41"/>
      <c r="KM34" s="41"/>
      <c r="KN34" s="41"/>
      <c r="KO34" s="234"/>
      <c r="KP34" s="234"/>
      <c r="KQ34" s="41"/>
      <c r="KR34" s="41"/>
      <c r="KS34" s="41"/>
      <c r="KT34" s="41"/>
      <c r="KU34" s="41"/>
      <c r="KV34" s="234"/>
      <c r="KW34" s="234"/>
      <c r="KX34" s="41"/>
      <c r="KY34" s="41"/>
      <c r="KZ34" s="41"/>
      <c r="LA34" s="41"/>
      <c r="LB34" s="41"/>
      <c r="LC34" s="234"/>
      <c r="LD34" s="234"/>
      <c r="LE34" s="41"/>
      <c r="LF34" s="41"/>
      <c r="LG34" s="41"/>
      <c r="LH34" s="41"/>
      <c r="LI34" s="41"/>
      <c r="LJ34" s="234"/>
      <c r="LK34" s="234"/>
      <c r="LL34" s="41"/>
      <c r="LM34" s="41"/>
      <c r="LN34" s="41"/>
      <c r="LO34" s="41"/>
      <c r="LP34" s="41"/>
      <c r="LQ34" s="234"/>
      <c r="LR34" s="234"/>
      <c r="LS34" s="41"/>
      <c r="LT34" s="41"/>
      <c r="LU34" s="41"/>
      <c r="LV34" s="41"/>
      <c r="LW34" s="41"/>
      <c r="LX34" s="234"/>
      <c r="LY34" s="234"/>
      <c r="LZ34" s="41"/>
      <c r="MA34" s="41"/>
      <c r="MB34" s="41"/>
      <c r="MC34" s="41"/>
      <c r="MD34" s="41"/>
      <c r="ME34" s="234"/>
      <c r="MF34" s="234"/>
      <c r="MG34" s="41"/>
      <c r="MH34" s="41"/>
      <c r="MI34" s="41"/>
      <c r="MJ34" s="41"/>
      <c r="MK34" s="41"/>
      <c r="ML34" s="234"/>
      <c r="MM34" s="234"/>
      <c r="MN34" s="41"/>
      <c r="MO34" s="41"/>
      <c r="MP34" s="41"/>
      <c r="MQ34" s="41"/>
      <c r="MR34" s="41"/>
      <c r="MS34" s="234"/>
      <c r="MT34" s="234"/>
      <c r="MU34" s="41"/>
      <c r="MV34" s="41"/>
      <c r="MW34" s="41"/>
      <c r="MX34" s="41"/>
      <c r="MY34" s="41"/>
      <c r="MZ34" s="234"/>
      <c r="NA34" s="234"/>
      <c r="NB34" s="41"/>
      <c r="NC34" s="41"/>
      <c r="ND34" s="41"/>
      <c r="NE34" s="41"/>
      <c r="NF34" s="41"/>
      <c r="NG34" s="234"/>
      <c r="NH34" s="234"/>
      <c r="NI34" s="41"/>
      <c r="NJ34" s="41"/>
      <c r="NK34" s="41"/>
      <c r="NL34" s="41"/>
      <c r="NM34" s="41"/>
      <c r="NN34" s="234"/>
      <c r="NO34" s="234"/>
      <c r="NP34" s="41"/>
      <c r="NQ34" s="41"/>
      <c r="NR34" s="41"/>
      <c r="NS34" s="41"/>
      <c r="NT34" s="41"/>
      <c r="NU34" s="234"/>
    </row>
    <row r="35" spans="4:385" ht="15" thickBot="1" x14ac:dyDescent="0.35">
      <c r="D35" s="206" t="s">
        <v>12</v>
      </c>
      <c r="E35" s="184" t="s">
        <v>79</v>
      </c>
      <c r="F35" s="146" t="s">
        <v>113</v>
      </c>
      <c r="G35" s="153" t="s">
        <v>134</v>
      </c>
      <c r="H35" s="154" t="s">
        <v>135</v>
      </c>
      <c r="I35" s="239"/>
      <c r="J35" s="41"/>
      <c r="K35" s="41"/>
      <c r="L35" s="41"/>
      <c r="M35" s="41"/>
      <c r="N35" s="230"/>
      <c r="O35" s="230"/>
      <c r="P35" s="41"/>
      <c r="Q35" s="41"/>
      <c r="R35" s="41"/>
      <c r="S35" s="41"/>
      <c r="T35" s="41"/>
      <c r="U35" s="230"/>
      <c r="V35" s="230"/>
      <c r="W35" s="41" t="s">
        <v>458</v>
      </c>
      <c r="X35" s="41" t="s">
        <v>458</v>
      </c>
      <c r="Y35" s="41" t="s">
        <v>458</v>
      </c>
      <c r="Z35" s="41" t="s">
        <v>458</v>
      </c>
      <c r="AA35" s="41" t="s">
        <v>458</v>
      </c>
      <c r="AB35" s="230"/>
      <c r="AC35" s="230"/>
      <c r="AD35" s="125" t="s">
        <v>458</v>
      </c>
      <c r="AE35" s="41" t="s">
        <v>458</v>
      </c>
      <c r="AF35" s="41" t="s">
        <v>458</v>
      </c>
      <c r="AG35" s="41" t="s">
        <v>458</v>
      </c>
      <c r="AH35" s="41" t="s">
        <v>458</v>
      </c>
      <c r="AI35" s="230"/>
      <c r="AJ35" s="230"/>
      <c r="AK35" s="41" t="s">
        <v>458</v>
      </c>
      <c r="AL35" s="41" t="s">
        <v>458</v>
      </c>
      <c r="AM35" s="41" t="s">
        <v>458</v>
      </c>
      <c r="AN35" s="41" t="s">
        <v>458</v>
      </c>
      <c r="AO35" s="41" t="s">
        <v>458</v>
      </c>
      <c r="AP35" s="230"/>
      <c r="AQ35" s="230"/>
      <c r="AR35" s="125" t="s">
        <v>458</v>
      </c>
      <c r="AS35" s="41" t="s">
        <v>458</v>
      </c>
      <c r="AT35" s="41" t="s">
        <v>458</v>
      </c>
      <c r="AU35" s="41" t="s">
        <v>458</v>
      </c>
      <c r="AV35" s="41" t="s">
        <v>458</v>
      </c>
      <c r="AW35" s="230"/>
      <c r="AX35" s="230"/>
      <c r="AY35" s="41" t="s">
        <v>458</v>
      </c>
      <c r="AZ35" s="41" t="s">
        <v>458</v>
      </c>
      <c r="BA35" s="41" t="s">
        <v>458</v>
      </c>
      <c r="BB35" s="41" t="s">
        <v>458</v>
      </c>
      <c r="BC35" s="41" t="s">
        <v>458</v>
      </c>
      <c r="BD35" s="230"/>
      <c r="BE35" s="230"/>
      <c r="BF35" s="125" t="s">
        <v>458</v>
      </c>
      <c r="BG35" s="41" t="s">
        <v>458</v>
      </c>
      <c r="BH35" s="41" t="s">
        <v>458</v>
      </c>
      <c r="BI35" s="41" t="s">
        <v>458</v>
      </c>
      <c r="BJ35" s="41" t="s">
        <v>458</v>
      </c>
      <c r="BK35" s="230"/>
      <c r="BL35" s="230"/>
      <c r="BM35" s="41" t="s">
        <v>458</v>
      </c>
      <c r="BN35" s="41" t="s">
        <v>458</v>
      </c>
      <c r="BO35" s="41" t="s">
        <v>458</v>
      </c>
      <c r="BP35" s="41" t="s">
        <v>458</v>
      </c>
      <c r="BQ35" s="41" t="s">
        <v>458</v>
      </c>
      <c r="BR35" s="230"/>
      <c r="BS35" s="230"/>
      <c r="BT35" s="125" t="s">
        <v>458</v>
      </c>
      <c r="BU35" s="125" t="s">
        <v>458</v>
      </c>
      <c r="BV35" s="125" t="s">
        <v>458</v>
      </c>
      <c r="BW35" s="125" t="s">
        <v>458</v>
      </c>
      <c r="BX35" s="125" t="s">
        <v>458</v>
      </c>
      <c r="BY35" s="230"/>
      <c r="BZ35" s="230"/>
      <c r="CA35" s="41" t="s">
        <v>458</v>
      </c>
      <c r="CB35" s="41" t="s">
        <v>458</v>
      </c>
      <c r="CC35" s="41" t="s">
        <v>458</v>
      </c>
      <c r="CD35" s="41" t="s">
        <v>458</v>
      </c>
      <c r="CE35" s="41" t="s">
        <v>458</v>
      </c>
      <c r="CF35" s="41" t="s">
        <v>460</v>
      </c>
      <c r="CG35" s="41" t="s">
        <v>460</v>
      </c>
      <c r="CH35" s="125" t="s">
        <v>460</v>
      </c>
      <c r="CI35" s="41" t="s">
        <v>460</v>
      </c>
      <c r="CJ35" s="41" t="s">
        <v>460</v>
      </c>
      <c r="CK35" s="41" t="s">
        <v>460</v>
      </c>
      <c r="CL35" s="41" t="s">
        <v>460</v>
      </c>
      <c r="CM35" s="41" t="s">
        <v>460</v>
      </c>
      <c r="CN35" s="41" t="s">
        <v>460</v>
      </c>
      <c r="CO35" s="41" t="s">
        <v>458</v>
      </c>
      <c r="CP35" s="41" t="s">
        <v>458</v>
      </c>
      <c r="CQ35" s="41" t="s">
        <v>458</v>
      </c>
      <c r="CR35" s="41" t="s">
        <v>458</v>
      </c>
      <c r="CS35" s="41" t="s">
        <v>458</v>
      </c>
      <c r="CT35" s="230"/>
      <c r="CU35" s="230"/>
      <c r="CV35" s="125" t="s">
        <v>458</v>
      </c>
      <c r="CW35" s="41" t="s">
        <v>458</v>
      </c>
      <c r="CX35" s="41" t="s">
        <v>458</v>
      </c>
      <c r="CY35" s="41" t="s">
        <v>458</v>
      </c>
      <c r="CZ35" s="41" t="s">
        <v>458</v>
      </c>
      <c r="DA35" s="230"/>
      <c r="DB35" s="230"/>
      <c r="DC35" s="41" t="s">
        <v>458</v>
      </c>
      <c r="DD35" s="41" t="s">
        <v>458</v>
      </c>
      <c r="DE35" s="41" t="s">
        <v>458</v>
      </c>
      <c r="DF35" s="41" t="s">
        <v>458</v>
      </c>
      <c r="DG35" s="41" t="s">
        <v>458</v>
      </c>
      <c r="DH35" s="230"/>
      <c r="DI35" s="230"/>
      <c r="DJ35" s="125" t="s">
        <v>460</v>
      </c>
      <c r="DK35" s="125" t="s">
        <v>460</v>
      </c>
      <c r="DL35" s="125" t="s">
        <v>460</v>
      </c>
      <c r="DM35" s="125" t="s">
        <v>460</v>
      </c>
      <c r="DN35" s="125" t="s">
        <v>460</v>
      </c>
      <c r="DO35" s="230"/>
      <c r="DP35" s="230"/>
      <c r="DQ35" s="136" t="s">
        <v>460</v>
      </c>
      <c r="DR35" s="125" t="s">
        <v>458</v>
      </c>
      <c r="DS35" s="125" t="s">
        <v>458</v>
      </c>
      <c r="DT35" s="125" t="s">
        <v>458</v>
      </c>
      <c r="DU35" s="125" t="s">
        <v>458</v>
      </c>
      <c r="DV35" s="230"/>
      <c r="DW35" s="230"/>
      <c r="DX35" s="41" t="s">
        <v>458</v>
      </c>
      <c r="DY35" s="41" t="s">
        <v>458</v>
      </c>
      <c r="DZ35" s="41" t="s">
        <v>458</v>
      </c>
      <c r="EA35" s="139" t="s">
        <v>460</v>
      </c>
      <c r="EB35" s="41" t="s">
        <v>458</v>
      </c>
      <c r="EC35" s="230"/>
      <c r="ED35" s="230"/>
      <c r="EE35" s="125" t="s">
        <v>458</v>
      </c>
      <c r="EF35" s="125" t="s">
        <v>458</v>
      </c>
      <c r="EG35" s="125" t="s">
        <v>458</v>
      </c>
      <c r="EH35" s="125" t="s">
        <v>458</v>
      </c>
      <c r="EI35" s="41" t="s">
        <v>458</v>
      </c>
      <c r="EJ35" s="230"/>
      <c r="EK35" s="230"/>
      <c r="EL35" s="125" t="s">
        <v>460</v>
      </c>
      <c r="EM35" s="41" t="s">
        <v>460</v>
      </c>
      <c r="EN35" s="41" t="s">
        <v>460</v>
      </c>
      <c r="EO35" s="41" t="s">
        <v>460</v>
      </c>
      <c r="EP35" s="41" t="s">
        <v>460</v>
      </c>
      <c r="EQ35" s="230"/>
      <c r="ER35" s="230"/>
      <c r="ES35" s="41" t="s">
        <v>458</v>
      </c>
      <c r="ET35" s="41" t="s">
        <v>458</v>
      </c>
      <c r="EU35" s="41" t="s">
        <v>458</v>
      </c>
      <c r="EV35" s="41" t="s">
        <v>458</v>
      </c>
      <c r="EW35" s="41" t="s">
        <v>458</v>
      </c>
      <c r="EX35" s="230"/>
      <c r="EY35" s="230"/>
      <c r="EZ35" s="125" t="s">
        <v>458</v>
      </c>
      <c r="FA35" s="41" t="s">
        <v>458</v>
      </c>
      <c r="FB35" s="41" t="s">
        <v>458</v>
      </c>
      <c r="FC35" s="41" t="s">
        <v>458</v>
      </c>
      <c r="FD35" s="41" t="s">
        <v>458</v>
      </c>
      <c r="FE35" s="230"/>
      <c r="FF35" s="230"/>
      <c r="FG35" s="125" t="s">
        <v>458</v>
      </c>
      <c r="FH35" s="41" t="s">
        <v>458</v>
      </c>
      <c r="FI35" s="41" t="s">
        <v>458</v>
      </c>
      <c r="FJ35" s="41" t="s">
        <v>458</v>
      </c>
      <c r="FK35" s="41" t="s">
        <v>458</v>
      </c>
      <c r="FL35" s="230"/>
      <c r="FM35" s="230"/>
      <c r="FN35" s="139" t="s">
        <v>460</v>
      </c>
      <c r="FO35" s="41" t="s">
        <v>458</v>
      </c>
      <c r="FP35" s="41" t="s">
        <v>458</v>
      </c>
      <c r="FQ35" s="41" t="s">
        <v>458</v>
      </c>
      <c r="FR35" s="41" t="s">
        <v>458</v>
      </c>
      <c r="FS35" s="230"/>
      <c r="FT35" s="230"/>
      <c r="FU35" s="125" t="s">
        <v>458</v>
      </c>
      <c r="FV35" s="41" t="s">
        <v>458</v>
      </c>
      <c r="FW35" s="41" t="s">
        <v>458</v>
      </c>
      <c r="FX35" s="41" t="s">
        <v>458</v>
      </c>
      <c r="FY35" s="41" t="s">
        <v>458</v>
      </c>
      <c r="FZ35" s="230"/>
      <c r="GA35" s="230"/>
      <c r="GB35" s="125" t="s">
        <v>458</v>
      </c>
      <c r="GC35" s="41" t="s">
        <v>458</v>
      </c>
      <c r="GD35" s="41" t="s">
        <v>458</v>
      </c>
      <c r="GE35" s="41" t="s">
        <v>458</v>
      </c>
      <c r="GF35" s="41" t="s">
        <v>458</v>
      </c>
      <c r="GG35" s="230"/>
      <c r="GH35" s="230"/>
      <c r="GI35" s="41" t="s">
        <v>458</v>
      </c>
      <c r="GJ35" s="41" t="s">
        <v>458</v>
      </c>
      <c r="GK35" s="41" t="s">
        <v>458</v>
      </c>
      <c r="GL35" s="41" t="s">
        <v>458</v>
      </c>
      <c r="GM35" s="41" t="s">
        <v>458</v>
      </c>
      <c r="GN35" s="230"/>
      <c r="GO35" s="230"/>
      <c r="GP35" s="125" t="s">
        <v>458</v>
      </c>
      <c r="GQ35" s="125" t="s">
        <v>458</v>
      </c>
      <c r="GR35" s="125" t="s">
        <v>458</v>
      </c>
      <c r="GS35" s="125" t="s">
        <v>458</v>
      </c>
      <c r="GT35" s="125" t="s">
        <v>458</v>
      </c>
      <c r="GU35" s="230"/>
      <c r="GV35" s="230"/>
      <c r="GW35" s="125" t="s">
        <v>460</v>
      </c>
      <c r="GX35" s="41" t="s">
        <v>458</v>
      </c>
      <c r="GY35" s="41" t="s">
        <v>458</v>
      </c>
      <c r="GZ35" s="41" t="s">
        <v>458</v>
      </c>
      <c r="HA35" s="41" t="s">
        <v>458</v>
      </c>
      <c r="HB35" s="230"/>
      <c r="HC35" s="230"/>
      <c r="HD35" s="41" t="s">
        <v>458</v>
      </c>
      <c r="HE35" s="41" t="s">
        <v>458</v>
      </c>
      <c r="HF35" s="41" t="s">
        <v>458</v>
      </c>
      <c r="HG35" s="41" t="s">
        <v>458</v>
      </c>
      <c r="HH35" s="41" t="s">
        <v>458</v>
      </c>
      <c r="HI35" s="234"/>
      <c r="HJ35" s="234"/>
      <c r="HK35" s="41" t="s">
        <v>458</v>
      </c>
      <c r="HL35" s="41" t="s">
        <v>458</v>
      </c>
      <c r="HM35" s="41" t="s">
        <v>458</v>
      </c>
      <c r="HN35" s="41" t="s">
        <v>458</v>
      </c>
      <c r="HO35" s="41" t="s">
        <v>458</v>
      </c>
      <c r="HP35" s="234"/>
      <c r="HQ35" s="234"/>
      <c r="HR35" s="41" t="s">
        <v>458</v>
      </c>
      <c r="HS35" s="41" t="s">
        <v>458</v>
      </c>
      <c r="HT35" s="41" t="s">
        <v>458</v>
      </c>
      <c r="HU35" s="41" t="s">
        <v>458</v>
      </c>
      <c r="HV35" s="41" t="s">
        <v>458</v>
      </c>
      <c r="HW35" s="234"/>
      <c r="HX35" s="234"/>
      <c r="HY35" s="41" t="s">
        <v>460</v>
      </c>
      <c r="HZ35" s="41" t="s">
        <v>460</v>
      </c>
      <c r="IA35" s="41" t="s">
        <v>460</v>
      </c>
      <c r="IB35" s="41" t="s">
        <v>460</v>
      </c>
      <c r="IC35" s="41" t="s">
        <v>460</v>
      </c>
      <c r="ID35" s="234"/>
      <c r="IE35" s="234"/>
      <c r="IF35" s="41" t="s">
        <v>460</v>
      </c>
      <c r="IG35" s="41" t="s">
        <v>460</v>
      </c>
      <c r="IH35" s="41" t="s">
        <v>460</v>
      </c>
      <c r="II35" s="41" t="s">
        <v>460</v>
      </c>
      <c r="IJ35" s="41" t="s">
        <v>460</v>
      </c>
      <c r="IK35" s="234"/>
      <c r="IL35" s="234"/>
      <c r="IM35" s="41" t="s">
        <v>460</v>
      </c>
      <c r="IN35" s="41" t="s">
        <v>460</v>
      </c>
      <c r="IO35" s="41" t="s">
        <v>460</v>
      </c>
      <c r="IP35" s="41" t="s">
        <v>460</v>
      </c>
      <c r="IQ35" s="41" t="s">
        <v>460</v>
      </c>
      <c r="IR35" s="234"/>
      <c r="IS35" s="234"/>
      <c r="IT35" s="41" t="s">
        <v>458</v>
      </c>
      <c r="IU35" s="41" t="s">
        <v>458</v>
      </c>
      <c r="IV35" s="41" t="s">
        <v>458</v>
      </c>
      <c r="IW35" s="41" t="s">
        <v>458</v>
      </c>
      <c r="IX35" s="41" t="s">
        <v>458</v>
      </c>
      <c r="IY35" s="234"/>
      <c r="IZ35" s="234"/>
      <c r="JA35" s="41" t="s">
        <v>458</v>
      </c>
      <c r="JB35" s="41" t="s">
        <v>458</v>
      </c>
      <c r="JC35" s="41" t="s">
        <v>458</v>
      </c>
      <c r="JD35" s="41" t="s">
        <v>458</v>
      </c>
      <c r="JE35" s="41" t="s">
        <v>458</v>
      </c>
      <c r="JF35" s="234"/>
      <c r="JG35" s="41"/>
      <c r="JH35" s="41"/>
      <c r="JI35" s="41"/>
      <c r="JJ35" s="41"/>
      <c r="JK35" s="41"/>
      <c r="JL35" s="41"/>
      <c r="JM35" s="234"/>
      <c r="JN35" s="234"/>
      <c r="JO35" s="41"/>
      <c r="JP35" s="41"/>
      <c r="JQ35" s="41"/>
      <c r="JR35" s="41"/>
      <c r="JS35" s="41"/>
      <c r="JT35" s="234"/>
      <c r="JU35" s="234"/>
      <c r="JV35" s="41"/>
      <c r="JW35" s="41"/>
      <c r="JX35" s="41"/>
      <c r="JY35" s="41"/>
      <c r="JZ35" s="41"/>
      <c r="KA35" s="234"/>
      <c r="KB35" s="234"/>
      <c r="KC35" s="41"/>
      <c r="KD35" s="41"/>
      <c r="KE35" s="41"/>
      <c r="KF35" s="41"/>
      <c r="KG35" s="41"/>
      <c r="KH35" s="234"/>
      <c r="KI35" s="234"/>
      <c r="KJ35" s="41"/>
      <c r="KK35" s="41"/>
      <c r="KL35" s="41"/>
      <c r="KM35" s="41"/>
      <c r="KN35" s="41"/>
      <c r="KO35" s="234"/>
      <c r="KP35" s="234"/>
      <c r="KQ35" s="41"/>
      <c r="KR35" s="41"/>
      <c r="KS35" s="41"/>
      <c r="KT35" s="41"/>
      <c r="KU35" s="41"/>
      <c r="KV35" s="234"/>
      <c r="KW35" s="234"/>
      <c r="KX35" s="41"/>
      <c r="KY35" s="41"/>
      <c r="KZ35" s="41"/>
      <c r="LA35" s="41"/>
      <c r="LB35" s="41"/>
      <c r="LC35" s="234"/>
      <c r="LD35" s="234"/>
      <c r="LE35" s="41"/>
      <c r="LF35" s="41"/>
      <c r="LG35" s="41"/>
      <c r="LH35" s="41"/>
      <c r="LI35" s="41"/>
      <c r="LJ35" s="234"/>
      <c r="LK35" s="234"/>
      <c r="LL35" s="41"/>
      <c r="LM35" s="41"/>
      <c r="LN35" s="41"/>
      <c r="LO35" s="41"/>
      <c r="LP35" s="41"/>
      <c r="LQ35" s="234"/>
      <c r="LR35" s="234"/>
      <c r="LS35" s="41"/>
      <c r="LT35" s="41"/>
      <c r="LU35" s="41"/>
      <c r="LV35" s="41"/>
      <c r="LW35" s="41"/>
      <c r="LX35" s="234"/>
      <c r="LY35" s="234"/>
      <c r="LZ35" s="41"/>
      <c r="MA35" s="41"/>
      <c r="MB35" s="41"/>
      <c r="MC35" s="41"/>
      <c r="MD35" s="41"/>
      <c r="ME35" s="234"/>
      <c r="MF35" s="234"/>
      <c r="MG35" s="41"/>
      <c r="MH35" s="41"/>
      <c r="MI35" s="41"/>
      <c r="MJ35" s="41"/>
      <c r="MK35" s="41"/>
      <c r="ML35" s="234"/>
      <c r="MM35" s="234"/>
      <c r="MN35" s="41"/>
      <c r="MO35" s="41"/>
      <c r="MP35" s="41"/>
      <c r="MQ35" s="41"/>
      <c r="MR35" s="41"/>
      <c r="MS35" s="234"/>
      <c r="MT35" s="234"/>
      <c r="MU35" s="41"/>
      <c r="MV35" s="41"/>
      <c r="MW35" s="41"/>
      <c r="MX35" s="41"/>
      <c r="MY35" s="41"/>
      <c r="MZ35" s="234"/>
      <c r="NA35" s="234"/>
      <c r="NB35" s="41"/>
      <c r="NC35" s="41"/>
      <c r="ND35" s="41"/>
      <c r="NE35" s="41"/>
      <c r="NF35" s="41"/>
      <c r="NG35" s="234"/>
      <c r="NH35" s="234"/>
      <c r="NI35" s="41"/>
      <c r="NJ35" s="41"/>
      <c r="NK35" s="41"/>
      <c r="NL35" s="41"/>
      <c r="NM35" s="41"/>
      <c r="NN35" s="234"/>
      <c r="NO35" s="234"/>
      <c r="NP35" s="41"/>
      <c r="NQ35" s="41"/>
      <c r="NR35" s="41"/>
      <c r="NS35" s="41"/>
      <c r="NT35" s="41"/>
      <c r="NU35" s="234"/>
    </row>
    <row r="36" spans="4:385" ht="15" thickBot="1" x14ac:dyDescent="0.35">
      <c r="D36" s="206" t="s">
        <v>12</v>
      </c>
      <c r="E36" s="183" t="s">
        <v>79</v>
      </c>
      <c r="F36" s="146" t="s">
        <v>88</v>
      </c>
      <c r="G36" s="155" t="s">
        <v>289</v>
      </c>
      <c r="H36" s="156" t="s">
        <v>232</v>
      </c>
      <c r="I36" s="125"/>
      <c r="J36" s="41"/>
      <c r="K36" s="41"/>
      <c r="L36" s="41"/>
      <c r="M36" s="41"/>
      <c r="N36" s="230"/>
      <c r="O36" s="230"/>
      <c r="P36" s="41" t="s">
        <v>458</v>
      </c>
      <c r="Q36" s="41" t="s">
        <v>458</v>
      </c>
      <c r="R36" s="41" t="s">
        <v>458</v>
      </c>
      <c r="S36" s="41" t="s">
        <v>458</v>
      </c>
      <c r="T36" s="41" t="s">
        <v>458</v>
      </c>
      <c r="U36" s="230"/>
      <c r="V36" s="230"/>
      <c r="W36" s="41" t="s">
        <v>458</v>
      </c>
      <c r="X36" s="41" t="s">
        <v>458</v>
      </c>
      <c r="Y36" s="41" t="s">
        <v>458</v>
      </c>
      <c r="Z36" s="41" t="s">
        <v>458</v>
      </c>
      <c r="AA36" s="41" t="s">
        <v>458</v>
      </c>
      <c r="AB36" s="230"/>
      <c r="AC36" s="230"/>
      <c r="AD36" s="125" t="s">
        <v>458</v>
      </c>
      <c r="AE36" s="41" t="s">
        <v>458</v>
      </c>
      <c r="AF36" s="41" t="s">
        <v>458</v>
      </c>
      <c r="AG36" s="41" t="s">
        <v>458</v>
      </c>
      <c r="AH36" s="41" t="s">
        <v>458</v>
      </c>
      <c r="AI36" s="230"/>
      <c r="AJ36" s="230"/>
      <c r="AK36" s="41" t="s">
        <v>458</v>
      </c>
      <c r="AL36" s="41" t="s">
        <v>458</v>
      </c>
      <c r="AM36" s="41" t="s">
        <v>458</v>
      </c>
      <c r="AN36" s="41" t="s">
        <v>458</v>
      </c>
      <c r="AO36" s="41" t="s">
        <v>458</v>
      </c>
      <c r="AP36" s="230"/>
      <c r="AQ36" s="230"/>
      <c r="AR36" s="125" t="s">
        <v>458</v>
      </c>
      <c r="AS36" s="41" t="s">
        <v>458</v>
      </c>
      <c r="AT36" s="41" t="s">
        <v>458</v>
      </c>
      <c r="AU36" s="41" t="s">
        <v>458</v>
      </c>
      <c r="AV36" s="41" t="s">
        <v>458</v>
      </c>
      <c r="AW36" s="230"/>
      <c r="AX36" s="230"/>
      <c r="AY36" s="41" t="s">
        <v>458</v>
      </c>
      <c r="AZ36" s="41" t="s">
        <v>458</v>
      </c>
      <c r="BA36" s="41" t="s">
        <v>458</v>
      </c>
      <c r="BB36" s="41" t="s">
        <v>458</v>
      </c>
      <c r="BC36" s="41" t="s">
        <v>458</v>
      </c>
      <c r="BD36" s="230"/>
      <c r="BE36" s="230"/>
      <c r="BF36" s="125" t="s">
        <v>458</v>
      </c>
      <c r="BG36" s="41" t="s">
        <v>458</v>
      </c>
      <c r="BH36" s="41" t="s">
        <v>458</v>
      </c>
      <c r="BI36" s="41" t="s">
        <v>458</v>
      </c>
      <c r="BJ36" s="41" t="s">
        <v>458</v>
      </c>
      <c r="BK36" s="230"/>
      <c r="BL36" s="230"/>
      <c r="BM36" s="41" t="s">
        <v>458</v>
      </c>
      <c r="BN36" s="41" t="s">
        <v>458</v>
      </c>
      <c r="BO36" s="41" t="s">
        <v>458</v>
      </c>
      <c r="BP36" s="41" t="s">
        <v>458</v>
      </c>
      <c r="BQ36" s="41" t="s">
        <v>458</v>
      </c>
      <c r="BR36" s="41" t="s">
        <v>460</v>
      </c>
      <c r="BS36" s="41" t="s">
        <v>460</v>
      </c>
      <c r="BT36" s="125" t="s">
        <v>458</v>
      </c>
      <c r="BU36" s="41" t="s">
        <v>458</v>
      </c>
      <c r="BV36" s="41" t="s">
        <v>458</v>
      </c>
      <c r="BW36" s="41" t="s">
        <v>458</v>
      </c>
      <c r="BX36" s="41" t="s">
        <v>458</v>
      </c>
      <c r="BY36" s="41" t="s">
        <v>460</v>
      </c>
      <c r="BZ36" s="41" t="s">
        <v>460</v>
      </c>
      <c r="CA36" s="41" t="s">
        <v>458</v>
      </c>
      <c r="CB36" s="41" t="s">
        <v>458</v>
      </c>
      <c r="CC36" s="41" t="s">
        <v>458</v>
      </c>
      <c r="CD36" s="41" t="s">
        <v>458</v>
      </c>
      <c r="CE36" s="41" t="s">
        <v>458</v>
      </c>
      <c r="CF36" s="230"/>
      <c r="CG36" s="230"/>
      <c r="CH36" s="125" t="s">
        <v>458</v>
      </c>
      <c r="CI36" s="41" t="s">
        <v>458</v>
      </c>
      <c r="CJ36" s="41" t="s">
        <v>458</v>
      </c>
      <c r="CK36" s="41" t="s">
        <v>458</v>
      </c>
      <c r="CL36" s="41" t="s">
        <v>458</v>
      </c>
      <c r="CM36" s="230"/>
      <c r="CN36" s="230"/>
      <c r="CO36" s="41" t="s">
        <v>458</v>
      </c>
      <c r="CP36" s="41" t="s">
        <v>458</v>
      </c>
      <c r="CQ36" s="41" t="s">
        <v>458</v>
      </c>
      <c r="CR36" s="41" t="s">
        <v>458</v>
      </c>
      <c r="CS36" s="41" t="s">
        <v>458</v>
      </c>
      <c r="CT36" s="230"/>
      <c r="CU36" s="230"/>
      <c r="CV36" s="125" t="s">
        <v>458</v>
      </c>
      <c r="CW36" s="125" t="s">
        <v>458</v>
      </c>
      <c r="CX36" s="125" t="s">
        <v>458</v>
      </c>
      <c r="CY36" s="125" t="s">
        <v>458</v>
      </c>
      <c r="CZ36" s="125" t="s">
        <v>458</v>
      </c>
      <c r="DA36" s="230"/>
      <c r="DB36" s="230"/>
      <c r="DC36" s="41" t="s">
        <v>458</v>
      </c>
      <c r="DD36" s="41" t="s">
        <v>458</v>
      </c>
      <c r="DE36" s="41" t="s">
        <v>458</v>
      </c>
      <c r="DF36" s="41" t="s">
        <v>458</v>
      </c>
      <c r="DG36" s="41" t="s">
        <v>458</v>
      </c>
      <c r="DH36" s="230"/>
      <c r="DI36" s="230"/>
      <c r="DJ36" s="125" t="s">
        <v>458</v>
      </c>
      <c r="DK36" s="41" t="s">
        <v>458</v>
      </c>
      <c r="DL36" s="41" t="s">
        <v>458</v>
      </c>
      <c r="DM36" s="41" t="s">
        <v>458</v>
      </c>
      <c r="DN36" s="41" t="s">
        <v>458</v>
      </c>
      <c r="DO36" s="230"/>
      <c r="DP36" s="230"/>
      <c r="DQ36" s="136" t="s">
        <v>460</v>
      </c>
      <c r="DR36" s="41" t="s">
        <v>458</v>
      </c>
      <c r="DS36" s="41" t="s">
        <v>458</v>
      </c>
      <c r="DT36" s="41" t="s">
        <v>458</v>
      </c>
      <c r="DU36" s="41" t="s">
        <v>458</v>
      </c>
      <c r="DV36" s="230"/>
      <c r="DW36" s="230"/>
      <c r="DX36" s="41" t="s">
        <v>458</v>
      </c>
      <c r="DY36" s="41" t="s">
        <v>458</v>
      </c>
      <c r="DZ36" s="41" t="s">
        <v>458</v>
      </c>
      <c r="EA36" s="139" t="s">
        <v>460</v>
      </c>
      <c r="EB36" s="41" t="s">
        <v>458</v>
      </c>
      <c r="EC36" s="230"/>
      <c r="ED36" s="230"/>
      <c r="EE36" s="125" t="s">
        <v>458</v>
      </c>
      <c r="EF36" s="125" t="s">
        <v>458</v>
      </c>
      <c r="EG36" s="125" t="s">
        <v>458</v>
      </c>
      <c r="EH36" s="125" t="s">
        <v>458</v>
      </c>
      <c r="EI36" s="125" t="s">
        <v>458</v>
      </c>
      <c r="EJ36" s="230"/>
      <c r="EK36" s="230"/>
      <c r="EL36" s="125" t="s">
        <v>458</v>
      </c>
      <c r="EM36" s="41" t="s">
        <v>458</v>
      </c>
      <c r="EN36" s="41" t="s">
        <v>458</v>
      </c>
      <c r="EO36" s="41" t="s">
        <v>458</v>
      </c>
      <c r="EP36" s="41" t="s">
        <v>458</v>
      </c>
      <c r="EQ36" s="230"/>
      <c r="ER36" s="230"/>
      <c r="ES36" s="41" t="s">
        <v>458</v>
      </c>
      <c r="ET36" s="41" t="s">
        <v>458</v>
      </c>
      <c r="EU36" s="41" t="s">
        <v>458</v>
      </c>
      <c r="EV36" s="41" t="s">
        <v>458</v>
      </c>
      <c r="EW36" s="41" t="s">
        <v>458</v>
      </c>
      <c r="EX36" s="230"/>
      <c r="EY36" s="230"/>
      <c r="EZ36" s="125" t="s">
        <v>458</v>
      </c>
      <c r="FA36" s="41" t="s">
        <v>458</v>
      </c>
      <c r="FB36" s="41" t="s">
        <v>458</v>
      </c>
      <c r="FC36" s="41" t="s">
        <v>458</v>
      </c>
      <c r="FD36" s="41" t="s">
        <v>458</v>
      </c>
      <c r="FE36" s="230"/>
      <c r="FF36" s="230"/>
      <c r="FG36" s="125" t="s">
        <v>458</v>
      </c>
      <c r="FH36" s="41" t="s">
        <v>458</v>
      </c>
      <c r="FI36" s="41" t="s">
        <v>458</v>
      </c>
      <c r="FJ36" s="41" t="s">
        <v>458</v>
      </c>
      <c r="FK36" s="41" t="s">
        <v>458</v>
      </c>
      <c r="FL36" s="230"/>
      <c r="FM36" s="230"/>
      <c r="FN36" s="139" t="s">
        <v>460</v>
      </c>
      <c r="FO36" s="41" t="s">
        <v>458</v>
      </c>
      <c r="FP36" s="41" t="s">
        <v>458</v>
      </c>
      <c r="FQ36" s="41" t="s">
        <v>458</v>
      </c>
      <c r="FR36" s="41" t="s">
        <v>458</v>
      </c>
      <c r="FS36" s="230"/>
      <c r="FT36" s="230"/>
      <c r="FU36" s="125" t="s">
        <v>458</v>
      </c>
      <c r="FV36" s="41" t="s">
        <v>458</v>
      </c>
      <c r="FW36" s="41" t="s">
        <v>458</v>
      </c>
      <c r="FX36" s="41" t="s">
        <v>458</v>
      </c>
      <c r="FY36" s="41" t="s">
        <v>458</v>
      </c>
      <c r="FZ36" s="230"/>
      <c r="GA36" s="230"/>
      <c r="GB36" s="125" t="s">
        <v>458</v>
      </c>
      <c r="GC36" s="41" t="s">
        <v>458</v>
      </c>
      <c r="GD36" s="41" t="s">
        <v>458</v>
      </c>
      <c r="GE36" s="41" t="s">
        <v>458</v>
      </c>
      <c r="GF36" s="41" t="s">
        <v>458</v>
      </c>
      <c r="GG36" s="230"/>
      <c r="GH36" s="230"/>
      <c r="GI36" s="41" t="s">
        <v>458</v>
      </c>
      <c r="GJ36" s="41" t="s">
        <v>458</v>
      </c>
      <c r="GK36" s="41" t="s">
        <v>458</v>
      </c>
      <c r="GL36" s="41" t="s">
        <v>458</v>
      </c>
      <c r="GM36" s="41" t="s">
        <v>458</v>
      </c>
      <c r="GN36" s="230"/>
      <c r="GO36" s="230"/>
      <c r="GP36" s="125" t="s">
        <v>458</v>
      </c>
      <c r="GQ36" s="41" t="s">
        <v>458</v>
      </c>
      <c r="GR36" s="41" t="s">
        <v>458</v>
      </c>
      <c r="GS36" s="41" t="s">
        <v>458</v>
      </c>
      <c r="GT36" s="41" t="s">
        <v>458</v>
      </c>
      <c r="GU36" s="230"/>
      <c r="GV36" s="230"/>
      <c r="GW36" s="125" t="s">
        <v>460</v>
      </c>
      <c r="GX36" s="41" t="s">
        <v>458</v>
      </c>
      <c r="GY36" s="41" t="s">
        <v>458</v>
      </c>
      <c r="GZ36" s="41" t="s">
        <v>458</v>
      </c>
      <c r="HA36" s="41" t="s">
        <v>458</v>
      </c>
      <c r="HB36" s="230"/>
      <c r="HC36" s="230"/>
      <c r="HD36" s="41" t="s">
        <v>458</v>
      </c>
      <c r="HE36" s="41" t="s">
        <v>458</v>
      </c>
      <c r="HF36" s="41" t="s">
        <v>458</v>
      </c>
      <c r="HG36" s="41" t="s">
        <v>458</v>
      </c>
      <c r="HH36" s="41" t="s">
        <v>458</v>
      </c>
      <c r="HI36" s="234"/>
      <c r="HJ36" s="234"/>
      <c r="HK36" s="41" t="s">
        <v>458</v>
      </c>
      <c r="HL36" s="41" t="s">
        <v>458</v>
      </c>
      <c r="HM36" s="41" t="s">
        <v>458</v>
      </c>
      <c r="HN36" s="41" t="s">
        <v>458</v>
      </c>
      <c r="HO36" s="41" t="s">
        <v>458</v>
      </c>
      <c r="HP36" s="234"/>
      <c r="HQ36" s="234"/>
      <c r="HR36" s="41" t="s">
        <v>458</v>
      </c>
      <c r="HS36" s="41" t="s">
        <v>458</v>
      </c>
      <c r="HT36" s="41" t="s">
        <v>458</v>
      </c>
      <c r="HU36" s="41" t="s">
        <v>458</v>
      </c>
      <c r="HV36" s="41" t="s">
        <v>458</v>
      </c>
      <c r="HW36" s="234"/>
      <c r="HX36" s="234"/>
      <c r="HY36" s="41" t="s">
        <v>460</v>
      </c>
      <c r="HZ36" s="41" t="s">
        <v>460</v>
      </c>
      <c r="IA36" s="41" t="s">
        <v>460</v>
      </c>
      <c r="IB36" s="41" t="s">
        <v>460</v>
      </c>
      <c r="IC36" s="41" t="s">
        <v>460</v>
      </c>
      <c r="ID36" s="234"/>
      <c r="IE36" s="234"/>
      <c r="IF36" s="41" t="s">
        <v>460</v>
      </c>
      <c r="IG36" s="41" t="s">
        <v>460</v>
      </c>
      <c r="IH36" s="41" t="s">
        <v>460</v>
      </c>
      <c r="II36" s="41" t="s">
        <v>460</v>
      </c>
      <c r="IJ36" s="41" t="s">
        <v>460</v>
      </c>
      <c r="IK36" s="234"/>
      <c r="IL36" s="234"/>
      <c r="IM36" s="41" t="s">
        <v>460</v>
      </c>
      <c r="IN36" s="41" t="s">
        <v>460</v>
      </c>
      <c r="IO36" s="41" t="s">
        <v>460</v>
      </c>
      <c r="IP36" s="41" t="s">
        <v>460</v>
      </c>
      <c r="IQ36" s="41" t="s">
        <v>460</v>
      </c>
      <c r="IR36" s="234"/>
      <c r="IS36" s="234"/>
      <c r="IT36" s="41" t="s">
        <v>458</v>
      </c>
      <c r="IU36" s="41" t="s">
        <v>458</v>
      </c>
      <c r="IV36" s="41" t="s">
        <v>458</v>
      </c>
      <c r="IW36" s="41" t="s">
        <v>458</v>
      </c>
      <c r="IX36" s="41" t="s">
        <v>458</v>
      </c>
      <c r="IY36" s="234"/>
      <c r="IZ36" s="234"/>
      <c r="JA36" s="41" t="s">
        <v>458</v>
      </c>
      <c r="JB36" s="41" t="s">
        <v>458</v>
      </c>
      <c r="JC36" s="41" t="s">
        <v>458</v>
      </c>
      <c r="JD36" s="41" t="s">
        <v>458</v>
      </c>
      <c r="JE36" s="41" t="s">
        <v>458</v>
      </c>
      <c r="JF36" s="234"/>
      <c r="JG36" s="234"/>
      <c r="JH36" s="41"/>
      <c r="JI36" s="41"/>
      <c r="JJ36" s="41"/>
      <c r="JK36" s="41"/>
      <c r="JL36" s="41"/>
      <c r="JM36" s="234"/>
      <c r="JN36" s="234"/>
      <c r="JO36" s="41"/>
      <c r="JP36" s="41"/>
      <c r="JQ36" s="41"/>
      <c r="JR36" s="41"/>
      <c r="JS36" s="41"/>
      <c r="JT36" s="234"/>
      <c r="JU36" s="234"/>
      <c r="JV36" s="41"/>
      <c r="JW36" s="41"/>
      <c r="JX36" s="41"/>
      <c r="JY36" s="41"/>
      <c r="JZ36" s="41"/>
      <c r="KA36" s="234"/>
      <c r="KB36" s="234"/>
      <c r="KC36" s="41"/>
      <c r="KD36" s="41"/>
      <c r="KE36" s="41"/>
      <c r="KF36" s="41"/>
      <c r="KG36" s="41"/>
      <c r="KH36" s="234"/>
      <c r="KI36" s="234"/>
      <c r="KJ36" s="41"/>
      <c r="KK36" s="41"/>
      <c r="KL36" s="41"/>
      <c r="KM36" s="41"/>
      <c r="KN36" s="41"/>
      <c r="KO36" s="234"/>
      <c r="KP36" s="234"/>
      <c r="KQ36" s="41"/>
      <c r="KR36" s="41"/>
      <c r="KS36" s="41"/>
      <c r="KT36" s="41"/>
      <c r="KU36" s="41"/>
      <c r="KV36" s="234"/>
      <c r="KW36" s="234"/>
      <c r="KX36" s="41"/>
      <c r="KY36" s="41"/>
      <c r="KZ36" s="41"/>
      <c r="LA36" s="41"/>
      <c r="LB36" s="41"/>
      <c r="LC36" s="234"/>
      <c r="LD36" s="234"/>
      <c r="LE36" s="41"/>
      <c r="LF36" s="41"/>
      <c r="LG36" s="41"/>
      <c r="LH36" s="41"/>
      <c r="LI36" s="41"/>
      <c r="LJ36" s="234"/>
      <c r="LK36" s="234"/>
      <c r="LL36" s="41"/>
      <c r="LM36" s="41"/>
      <c r="LN36" s="41"/>
      <c r="LO36" s="41"/>
      <c r="LP36" s="41"/>
      <c r="LQ36" s="234"/>
      <c r="LR36" s="234"/>
      <c r="LS36" s="41"/>
      <c r="LT36" s="41"/>
      <c r="LU36" s="41"/>
      <c r="LV36" s="41"/>
      <c r="LW36" s="41"/>
      <c r="LX36" s="234"/>
      <c r="LY36" s="234"/>
      <c r="LZ36" s="41"/>
      <c r="MA36" s="41"/>
      <c r="MB36" s="41"/>
      <c r="MC36" s="41"/>
      <c r="MD36" s="41"/>
      <c r="ME36" s="234"/>
      <c r="MF36" s="234"/>
      <c r="MG36" s="41"/>
      <c r="MH36" s="41"/>
      <c r="MI36" s="41"/>
      <c r="MJ36" s="41"/>
      <c r="MK36" s="41"/>
      <c r="ML36" s="234"/>
      <c r="MM36" s="234"/>
      <c r="MN36" s="41"/>
      <c r="MO36" s="41"/>
      <c r="MP36" s="41"/>
      <c r="MQ36" s="41"/>
      <c r="MR36" s="41"/>
      <c r="MS36" s="234"/>
      <c r="MT36" s="234"/>
      <c r="MU36" s="41"/>
      <c r="MV36" s="41"/>
      <c r="MW36" s="41"/>
      <c r="MX36" s="41"/>
      <c r="MY36" s="41"/>
      <c r="MZ36" s="234"/>
      <c r="NA36" s="234"/>
      <c r="NB36" s="41"/>
      <c r="NC36" s="41"/>
      <c r="ND36" s="41"/>
      <c r="NE36" s="41"/>
      <c r="NF36" s="41"/>
      <c r="NG36" s="234"/>
      <c r="NH36" s="234"/>
      <c r="NI36" s="41"/>
      <c r="NJ36" s="41"/>
      <c r="NK36" s="41"/>
      <c r="NL36" s="41"/>
      <c r="NM36" s="41"/>
      <c r="NN36" s="234"/>
      <c r="NO36" s="234"/>
      <c r="NP36" s="41"/>
      <c r="NQ36" s="41"/>
      <c r="NR36" s="41"/>
      <c r="NS36" s="41"/>
      <c r="NT36" s="41"/>
      <c r="NU36" s="234"/>
    </row>
    <row r="37" spans="4:385" x14ac:dyDescent="0.3">
      <c r="D37" s="206" t="s">
        <v>12</v>
      </c>
      <c r="E37" s="187" t="s">
        <v>21</v>
      </c>
      <c r="F37" s="146" t="s">
        <v>9</v>
      </c>
      <c r="G37" s="155" t="s">
        <v>896</v>
      </c>
      <c r="H37" s="156" t="s">
        <v>1315</v>
      </c>
      <c r="I37" s="239"/>
      <c r="J37" s="41"/>
      <c r="K37" s="41"/>
      <c r="L37" s="41"/>
      <c r="M37" s="41"/>
      <c r="N37" s="230"/>
      <c r="O37" s="230"/>
      <c r="P37" s="41"/>
      <c r="Q37" s="41"/>
      <c r="R37" s="41"/>
      <c r="S37" s="41"/>
      <c r="T37" s="41"/>
      <c r="U37" s="230"/>
      <c r="V37" s="230"/>
      <c r="W37" s="41"/>
      <c r="X37" s="41"/>
      <c r="Y37" s="41"/>
      <c r="Z37" s="41"/>
      <c r="AA37" s="41"/>
      <c r="AB37" s="230"/>
      <c r="AC37" s="230"/>
      <c r="AD37" s="125"/>
      <c r="AE37" s="41"/>
      <c r="AF37" s="41"/>
      <c r="AG37" s="41"/>
      <c r="AH37" s="41"/>
      <c r="AI37" s="230"/>
      <c r="AJ37" s="230"/>
      <c r="AK37" s="41"/>
      <c r="AL37" s="41"/>
      <c r="AM37" s="41"/>
      <c r="AN37" s="41"/>
      <c r="AO37" s="41"/>
      <c r="AP37" s="230"/>
      <c r="AQ37" s="230"/>
      <c r="AR37" s="125"/>
      <c r="AS37" s="41"/>
      <c r="AT37" s="41"/>
      <c r="AU37" s="41"/>
      <c r="AV37" s="41"/>
      <c r="AW37" s="230"/>
      <c r="AX37" s="230"/>
      <c r="AY37" s="41"/>
      <c r="AZ37" s="41"/>
      <c r="BA37" s="41"/>
      <c r="BB37" s="41"/>
      <c r="BC37" s="41"/>
      <c r="BD37" s="230"/>
      <c r="BE37" s="230"/>
      <c r="BF37" s="125"/>
      <c r="BG37" s="41"/>
      <c r="BH37" s="41"/>
      <c r="BI37" s="41"/>
      <c r="BJ37" s="41"/>
      <c r="BK37" s="230"/>
      <c r="BL37" s="230"/>
      <c r="BM37" s="41"/>
      <c r="BN37" s="41"/>
      <c r="BO37" s="41"/>
      <c r="BP37" s="41"/>
      <c r="BQ37" s="41"/>
      <c r="BR37" s="230"/>
      <c r="BS37" s="230"/>
      <c r="BT37" s="125"/>
      <c r="BU37" s="41"/>
      <c r="BV37" s="41"/>
      <c r="BW37" s="41"/>
      <c r="BX37" s="41"/>
      <c r="BY37" s="230"/>
      <c r="BZ37" s="230"/>
      <c r="CA37" s="41"/>
      <c r="CB37" s="41"/>
      <c r="CC37" s="41"/>
      <c r="CD37" s="41"/>
      <c r="CE37" s="41"/>
      <c r="CF37" s="230"/>
      <c r="CG37" s="230"/>
      <c r="CH37" s="125"/>
      <c r="CI37" s="41"/>
      <c r="CJ37" s="41"/>
      <c r="CK37" s="41"/>
      <c r="CL37" s="41"/>
      <c r="CM37" s="230"/>
      <c r="CN37" s="230"/>
      <c r="CO37" s="41"/>
      <c r="CP37" s="41"/>
      <c r="CQ37" s="41"/>
      <c r="CR37" s="41"/>
      <c r="CS37" s="41"/>
      <c r="CT37" s="230"/>
      <c r="CU37" s="230"/>
      <c r="CV37" s="125"/>
      <c r="CW37" s="41"/>
      <c r="CX37" s="41"/>
      <c r="CY37" s="41"/>
      <c r="CZ37" s="41"/>
      <c r="DA37" s="230"/>
      <c r="DB37" s="230"/>
      <c r="DC37" s="41"/>
      <c r="DD37" s="41"/>
      <c r="DE37" s="41"/>
      <c r="DF37" s="41"/>
      <c r="DG37" s="41"/>
      <c r="DH37" s="230"/>
      <c r="DI37" s="230"/>
      <c r="DJ37" s="125"/>
      <c r="DK37" s="41"/>
      <c r="DL37" s="41"/>
      <c r="DM37" s="41"/>
      <c r="DN37" s="41"/>
      <c r="DO37" s="230"/>
      <c r="DP37" s="230"/>
      <c r="DQ37" s="136"/>
      <c r="DR37" s="41"/>
      <c r="DS37" s="41"/>
      <c r="DT37" s="41"/>
      <c r="DU37" s="41"/>
      <c r="DV37" s="230"/>
      <c r="DW37" s="234"/>
      <c r="DX37" s="41"/>
      <c r="DY37" s="41"/>
      <c r="DZ37" s="41"/>
      <c r="EA37" s="139"/>
      <c r="EB37" s="41"/>
      <c r="EC37" s="230"/>
      <c r="ED37" s="230"/>
      <c r="EE37" s="125"/>
      <c r="EF37" s="125"/>
      <c r="EG37" s="125"/>
      <c r="EH37" s="125"/>
      <c r="EI37" s="125"/>
      <c r="EJ37" s="230"/>
      <c r="EK37" s="230"/>
      <c r="EL37" s="125"/>
      <c r="EM37" s="125"/>
      <c r="EN37" s="125"/>
      <c r="EO37" s="125"/>
      <c r="EP37" s="125"/>
      <c r="EQ37" s="230"/>
      <c r="ER37" s="230"/>
      <c r="ES37" s="41"/>
      <c r="ET37" s="41"/>
      <c r="EU37" s="41"/>
      <c r="EV37" s="41"/>
      <c r="EW37" s="41"/>
      <c r="EX37" s="230"/>
      <c r="EY37" s="230"/>
      <c r="EZ37" s="125"/>
      <c r="FA37" s="41"/>
      <c r="FB37" s="41"/>
      <c r="FC37" s="41"/>
      <c r="FD37" s="41"/>
      <c r="FE37" s="230"/>
      <c r="FF37" s="230"/>
      <c r="FG37" s="125"/>
      <c r="FH37" s="125"/>
      <c r="FI37" s="125"/>
      <c r="FJ37" s="125"/>
      <c r="FK37" s="125"/>
      <c r="FL37" s="230"/>
      <c r="FM37" s="230"/>
      <c r="FN37" s="139"/>
      <c r="FO37" s="41"/>
      <c r="FP37" s="41"/>
      <c r="FQ37" s="41"/>
      <c r="FR37" s="41"/>
      <c r="FS37" s="230"/>
      <c r="FT37" s="230"/>
      <c r="FU37" s="125"/>
      <c r="FV37" s="41"/>
      <c r="FW37" s="41"/>
      <c r="FX37" s="41"/>
      <c r="FY37" s="41"/>
      <c r="FZ37" s="230"/>
      <c r="GA37" s="230"/>
      <c r="GB37" s="125"/>
      <c r="GC37" s="41"/>
      <c r="GD37" s="41"/>
      <c r="GE37" s="41"/>
      <c r="GF37" s="41"/>
      <c r="GG37" s="230"/>
      <c r="GH37" s="230"/>
      <c r="GI37" s="41"/>
      <c r="GJ37" s="41"/>
      <c r="GK37" s="41"/>
      <c r="GL37" s="41"/>
      <c r="GM37" s="41"/>
      <c r="GN37" s="230"/>
      <c r="GO37" s="230"/>
      <c r="GP37" s="125"/>
      <c r="GQ37" s="41"/>
      <c r="GR37" s="41"/>
      <c r="GS37" s="41"/>
      <c r="GT37" s="41"/>
      <c r="GU37" s="230"/>
      <c r="GV37" s="230"/>
      <c r="GW37" s="125" t="s">
        <v>460</v>
      </c>
      <c r="GX37" s="125"/>
      <c r="GY37" s="125"/>
      <c r="GZ37" s="125"/>
      <c r="HA37" s="125"/>
      <c r="HB37" s="230"/>
      <c r="HC37" s="230"/>
      <c r="HD37" s="41"/>
      <c r="HE37" s="41"/>
      <c r="HF37" s="41"/>
      <c r="HG37" s="41"/>
      <c r="HH37" s="41"/>
      <c r="HI37" s="234"/>
      <c r="HJ37" s="234"/>
      <c r="HK37" s="41"/>
      <c r="HL37" s="41"/>
      <c r="HM37" s="41"/>
      <c r="HN37" s="41"/>
      <c r="HO37" s="41"/>
      <c r="HP37" s="234"/>
      <c r="HQ37" s="234"/>
      <c r="HR37" s="41"/>
      <c r="HS37" s="41"/>
      <c r="HT37" s="41"/>
      <c r="HU37" s="41"/>
      <c r="HV37" s="41"/>
      <c r="HW37" s="234"/>
      <c r="HX37" s="234"/>
      <c r="HY37" s="41"/>
      <c r="HZ37" s="41"/>
      <c r="IA37" s="41"/>
      <c r="IB37" s="41"/>
      <c r="IC37" s="41"/>
      <c r="ID37" s="234"/>
      <c r="IE37" s="234"/>
      <c r="IF37" s="41"/>
      <c r="IG37" s="41"/>
      <c r="IH37" s="41"/>
      <c r="II37" s="41"/>
      <c r="IJ37" s="41"/>
      <c r="IK37" s="234"/>
      <c r="IL37" s="234"/>
      <c r="IM37" s="41"/>
      <c r="IN37" s="41"/>
      <c r="IO37" s="41"/>
      <c r="IP37" s="41"/>
      <c r="IQ37" s="41"/>
      <c r="IR37" s="234"/>
      <c r="IS37" s="234"/>
      <c r="IT37" s="41"/>
      <c r="IU37" s="41"/>
      <c r="IV37" s="41"/>
      <c r="IW37" s="41"/>
      <c r="IX37" s="41"/>
      <c r="IY37" s="234"/>
      <c r="IZ37" s="234"/>
      <c r="JA37" s="41"/>
      <c r="JB37" s="41"/>
      <c r="JC37" s="41"/>
      <c r="JD37" s="41"/>
      <c r="JE37" s="41"/>
      <c r="JF37" s="234"/>
      <c r="JG37" s="234"/>
      <c r="JH37" s="41"/>
      <c r="JI37" s="41"/>
      <c r="JJ37" s="41"/>
      <c r="JK37" s="41"/>
      <c r="JL37" s="41"/>
      <c r="JM37" s="234"/>
      <c r="JN37" s="234"/>
      <c r="JO37" s="41"/>
      <c r="JP37" s="41"/>
      <c r="JQ37" s="41"/>
      <c r="JR37" s="41"/>
      <c r="JS37" s="41"/>
      <c r="JT37" s="234"/>
      <c r="JU37" s="234"/>
      <c r="JV37" s="41"/>
      <c r="JW37" s="41"/>
      <c r="JX37" s="41"/>
      <c r="JY37" s="41"/>
      <c r="JZ37" s="41"/>
      <c r="KA37" s="234"/>
      <c r="KB37" s="234"/>
      <c r="KC37" s="41"/>
      <c r="KD37" s="41"/>
      <c r="KE37" s="41"/>
      <c r="KF37" s="41"/>
      <c r="KG37" s="41"/>
      <c r="KH37" s="234"/>
      <c r="KI37" s="234"/>
      <c r="KJ37" s="41"/>
      <c r="KK37" s="41"/>
      <c r="KL37" s="41"/>
      <c r="KM37" s="41"/>
      <c r="KN37" s="41"/>
      <c r="KO37" s="234"/>
      <c r="KP37" s="234"/>
      <c r="KQ37" s="41"/>
      <c r="KR37" s="41"/>
      <c r="KS37" s="41"/>
      <c r="KT37" s="41"/>
      <c r="KU37" s="41"/>
      <c r="KV37" s="234"/>
      <c r="KW37" s="234"/>
      <c r="KX37" s="41"/>
      <c r="KY37" s="41"/>
      <c r="KZ37" s="41"/>
      <c r="LA37" s="41"/>
      <c r="LB37" s="41"/>
      <c r="LC37" s="234"/>
      <c r="LD37" s="234"/>
      <c r="LE37" s="41"/>
      <c r="LF37" s="41"/>
      <c r="LG37" s="41"/>
      <c r="LH37" s="41"/>
      <c r="LI37" s="41"/>
      <c r="LJ37" s="234"/>
      <c r="LK37" s="234"/>
      <c r="LL37" s="41"/>
      <c r="LM37" s="41"/>
      <c r="LN37" s="41"/>
      <c r="LO37" s="41"/>
      <c r="LP37" s="41"/>
      <c r="LQ37" s="234"/>
      <c r="LR37" s="234"/>
      <c r="LS37" s="41"/>
      <c r="LT37" s="41"/>
      <c r="LU37" s="41"/>
      <c r="LV37" s="41"/>
      <c r="LW37" s="41"/>
      <c r="LX37" s="234"/>
      <c r="LY37" s="234"/>
      <c r="LZ37" s="41"/>
      <c r="MA37" s="41"/>
      <c r="MB37" s="41"/>
      <c r="MC37" s="41"/>
      <c r="MD37" s="41"/>
      <c r="ME37" s="234"/>
      <c r="MF37" s="234"/>
      <c r="MG37" s="41"/>
      <c r="MH37" s="41"/>
      <c r="MI37" s="41"/>
      <c r="MJ37" s="41"/>
      <c r="MK37" s="41"/>
      <c r="ML37" s="234"/>
      <c r="MM37" s="234"/>
      <c r="MN37" s="41"/>
      <c r="MO37" s="41"/>
      <c r="MP37" s="41"/>
      <c r="MQ37" s="41"/>
      <c r="MR37" s="41"/>
      <c r="MS37" s="234"/>
      <c r="MT37" s="234"/>
      <c r="MU37" s="41"/>
      <c r="MV37" s="41"/>
      <c r="MW37" s="41"/>
      <c r="MX37" s="41"/>
      <c r="MY37" s="41"/>
      <c r="MZ37" s="234"/>
      <c r="NA37" s="234"/>
      <c r="NB37" s="41"/>
      <c r="NC37" s="41"/>
      <c r="ND37" s="41"/>
      <c r="NE37" s="41"/>
      <c r="NF37" s="41"/>
      <c r="NG37" s="234"/>
      <c r="NH37" s="234"/>
      <c r="NI37" s="41"/>
      <c r="NJ37" s="41"/>
      <c r="NK37" s="41"/>
      <c r="NL37" s="41"/>
      <c r="NM37" s="41"/>
      <c r="NN37" s="234"/>
      <c r="NO37" s="234"/>
      <c r="NP37" s="41"/>
      <c r="NQ37" s="41"/>
      <c r="NR37" s="41"/>
      <c r="NS37" s="41"/>
      <c r="NT37" s="41"/>
      <c r="NU37" s="234"/>
    </row>
    <row r="38" spans="4:385" x14ac:dyDescent="0.3">
      <c r="D38" s="206" t="s">
        <v>12</v>
      </c>
      <c r="E38" s="187" t="s">
        <v>21</v>
      </c>
      <c r="F38" s="146" t="s">
        <v>9</v>
      </c>
      <c r="G38" s="155" t="s">
        <v>1308</v>
      </c>
      <c r="H38" s="156" t="s">
        <v>1309</v>
      </c>
      <c r="I38" s="125"/>
      <c r="J38" s="41"/>
      <c r="K38" s="41"/>
      <c r="L38" s="41"/>
      <c r="M38" s="41"/>
      <c r="N38" s="230"/>
      <c r="O38" s="230"/>
      <c r="P38" s="41"/>
      <c r="Q38" s="41"/>
      <c r="R38" s="41"/>
      <c r="S38" s="41"/>
      <c r="T38" s="41"/>
      <c r="U38" s="230"/>
      <c r="V38" s="230"/>
      <c r="W38" s="41"/>
      <c r="X38" s="41"/>
      <c r="Y38" s="41"/>
      <c r="Z38" s="41"/>
      <c r="AA38" s="41"/>
      <c r="AB38" s="230"/>
      <c r="AC38" s="230"/>
      <c r="AD38" s="125"/>
      <c r="AE38" s="41"/>
      <c r="AF38" s="41"/>
      <c r="AG38" s="41"/>
      <c r="AH38" s="41"/>
      <c r="AI38" s="230"/>
      <c r="AJ38" s="230"/>
      <c r="AK38" s="41"/>
      <c r="AL38" s="41"/>
      <c r="AM38" s="41"/>
      <c r="AN38" s="41"/>
      <c r="AO38" s="41"/>
      <c r="AP38" s="230"/>
      <c r="AQ38" s="230"/>
      <c r="AR38" s="125"/>
      <c r="AS38" s="41"/>
      <c r="AT38" s="41"/>
      <c r="AU38" s="41"/>
      <c r="AV38" s="41"/>
      <c r="AW38" s="230"/>
      <c r="AX38" s="230"/>
      <c r="AY38" s="41"/>
      <c r="AZ38" s="41"/>
      <c r="BA38" s="41"/>
      <c r="BB38" s="41"/>
      <c r="BC38" s="41"/>
      <c r="BD38" s="230"/>
      <c r="BE38" s="230"/>
      <c r="BF38" s="125"/>
      <c r="BG38" s="41"/>
      <c r="BH38" s="41"/>
      <c r="BI38" s="41"/>
      <c r="BJ38" s="41"/>
      <c r="BK38" s="230"/>
      <c r="BL38" s="230"/>
      <c r="BM38" s="41"/>
      <c r="BN38" s="41"/>
      <c r="BO38" s="41"/>
      <c r="BP38" s="41"/>
      <c r="BQ38" s="41"/>
      <c r="BR38" s="230"/>
      <c r="BS38" s="230"/>
      <c r="BT38" s="125"/>
      <c r="BU38" s="41"/>
      <c r="BV38" s="41"/>
      <c r="BW38" s="41"/>
      <c r="BX38" s="41"/>
      <c r="BY38" s="230"/>
      <c r="BZ38" s="230"/>
      <c r="CA38" s="41"/>
      <c r="CB38" s="41"/>
      <c r="CC38" s="41"/>
      <c r="CD38" s="41"/>
      <c r="CE38" s="41"/>
      <c r="CF38" s="230"/>
      <c r="CG38" s="230"/>
      <c r="CH38" s="125"/>
      <c r="CI38" s="41"/>
      <c r="CJ38" s="41"/>
      <c r="CK38" s="41"/>
      <c r="CL38" s="41"/>
      <c r="CM38" s="230"/>
      <c r="CN38" s="230"/>
      <c r="CO38" s="41"/>
      <c r="CP38" s="41"/>
      <c r="CQ38" s="41"/>
      <c r="CR38" s="41"/>
      <c r="CS38" s="41"/>
      <c r="CT38" s="230"/>
      <c r="CU38" s="230"/>
      <c r="CV38" s="125"/>
      <c r="CW38" s="41"/>
      <c r="CX38" s="41"/>
      <c r="CY38" s="41"/>
      <c r="CZ38" s="41"/>
      <c r="DA38" s="230"/>
      <c r="DB38" s="230"/>
      <c r="DC38" s="41"/>
      <c r="DD38" s="41"/>
      <c r="DE38" s="41"/>
      <c r="DF38" s="41"/>
      <c r="DG38" s="41"/>
      <c r="DH38" s="230"/>
      <c r="DI38" s="230"/>
      <c r="DJ38" s="125"/>
      <c r="DK38" s="41"/>
      <c r="DL38" s="41"/>
      <c r="DM38" s="41"/>
      <c r="DN38" s="41"/>
      <c r="DO38" s="230"/>
      <c r="DP38" s="230"/>
      <c r="DQ38" s="125"/>
      <c r="DR38" s="41"/>
      <c r="DS38" s="41"/>
      <c r="DT38" s="41"/>
      <c r="DU38" s="41"/>
      <c r="DV38" s="230"/>
      <c r="DW38" s="234"/>
      <c r="DX38" s="41"/>
      <c r="DY38" s="41"/>
      <c r="DZ38" s="41"/>
      <c r="EA38" s="41"/>
      <c r="EB38" s="41"/>
      <c r="EC38" s="230"/>
      <c r="ED38" s="230"/>
      <c r="EE38" s="125"/>
      <c r="EF38" s="41"/>
      <c r="EG38" s="41"/>
      <c r="EH38" s="41"/>
      <c r="EI38" s="41"/>
      <c r="EJ38" s="230"/>
      <c r="EK38" s="230"/>
      <c r="EL38" s="125"/>
      <c r="EM38" s="41"/>
      <c r="EN38" s="41"/>
      <c r="EO38" s="41"/>
      <c r="EP38" s="41"/>
      <c r="EQ38" s="230"/>
      <c r="ER38" s="230"/>
      <c r="ES38" s="41"/>
      <c r="ET38" s="41"/>
      <c r="EU38" s="41"/>
      <c r="EV38" s="41"/>
      <c r="EW38" s="41"/>
      <c r="EX38" s="230"/>
      <c r="EY38" s="230"/>
      <c r="EZ38" s="125"/>
      <c r="FA38" s="41"/>
      <c r="FB38" s="41"/>
      <c r="FC38" s="41"/>
      <c r="FD38" s="41"/>
      <c r="FE38" s="230"/>
      <c r="FF38" s="230"/>
      <c r="FG38" s="125"/>
      <c r="FH38" s="41"/>
      <c r="FI38" s="41"/>
      <c r="FJ38" s="41"/>
      <c r="FK38" s="41"/>
      <c r="FL38" s="230"/>
      <c r="FM38" s="230"/>
      <c r="FN38" s="41"/>
      <c r="FO38" s="41"/>
      <c r="FP38" s="41"/>
      <c r="FQ38" s="41"/>
      <c r="FR38" s="41"/>
      <c r="FS38" s="230"/>
      <c r="FT38" s="230"/>
      <c r="FU38" s="125"/>
      <c r="FV38" s="41"/>
      <c r="FW38" s="41"/>
      <c r="FX38" s="41"/>
      <c r="FY38" s="41"/>
      <c r="FZ38" s="230"/>
      <c r="GA38" s="230"/>
      <c r="GB38" s="125"/>
      <c r="GC38" s="41"/>
      <c r="GD38" s="41"/>
      <c r="GE38" s="41"/>
      <c r="GF38" s="41"/>
      <c r="GG38" s="230"/>
      <c r="GH38" s="230"/>
      <c r="GI38" s="41"/>
      <c r="GJ38" s="41"/>
      <c r="GK38" s="41"/>
      <c r="GL38" s="41"/>
      <c r="GM38" s="41"/>
      <c r="GN38" s="230"/>
      <c r="GO38" s="230"/>
      <c r="GP38" s="125"/>
      <c r="GQ38" s="41"/>
      <c r="GR38" s="41"/>
      <c r="GS38" s="41"/>
      <c r="GT38" s="41"/>
      <c r="GU38" s="230"/>
      <c r="GV38" s="230"/>
      <c r="GW38" s="125" t="s">
        <v>460</v>
      </c>
      <c r="GX38" s="41"/>
      <c r="GY38" s="41"/>
      <c r="GZ38" s="41"/>
      <c r="HA38" s="41"/>
      <c r="HB38" s="230"/>
      <c r="HC38" s="230"/>
      <c r="HD38" s="41"/>
      <c r="HE38" s="41"/>
      <c r="HF38" s="41"/>
      <c r="HG38" s="41"/>
      <c r="HH38" s="41"/>
      <c r="HI38" s="234"/>
      <c r="HJ38" s="234"/>
      <c r="HK38" s="41"/>
      <c r="HL38" s="41"/>
      <c r="HM38" s="41"/>
      <c r="HN38" s="41"/>
      <c r="HO38" s="41"/>
      <c r="HP38" s="234"/>
      <c r="HQ38" s="234"/>
      <c r="HR38" s="41"/>
      <c r="HS38" s="41"/>
      <c r="HT38" s="41"/>
      <c r="HU38" s="41"/>
      <c r="HV38" s="41"/>
      <c r="HW38" s="234"/>
      <c r="HX38" s="234"/>
      <c r="HY38" s="41"/>
      <c r="HZ38" s="41"/>
      <c r="IA38" s="41"/>
      <c r="IB38" s="41"/>
      <c r="IC38" s="41"/>
      <c r="ID38" s="234"/>
      <c r="IE38" s="234"/>
      <c r="IF38" s="41"/>
      <c r="IG38" s="41"/>
      <c r="IH38" s="41"/>
      <c r="II38" s="41"/>
      <c r="IJ38" s="41"/>
      <c r="IK38" s="234"/>
      <c r="IL38" s="234"/>
      <c r="IM38" s="41"/>
      <c r="IN38" s="41"/>
      <c r="IO38" s="41"/>
      <c r="IP38" s="41"/>
      <c r="IQ38" s="41"/>
      <c r="IR38" s="234"/>
      <c r="IS38" s="234"/>
      <c r="IT38" s="41"/>
      <c r="IU38" s="41"/>
      <c r="IV38" s="41"/>
      <c r="IW38" s="41"/>
      <c r="IX38" s="41"/>
      <c r="IY38" s="234"/>
      <c r="IZ38" s="234"/>
      <c r="JA38" s="41"/>
      <c r="JB38" s="41"/>
      <c r="JC38" s="41"/>
      <c r="JD38" s="41"/>
      <c r="JE38" s="41"/>
      <c r="JF38" s="234"/>
      <c r="JG38" s="234"/>
      <c r="JH38" s="41"/>
      <c r="JI38" s="41"/>
      <c r="JJ38" s="41"/>
      <c r="JK38" s="41"/>
      <c r="JL38" s="41"/>
      <c r="JM38" s="234"/>
      <c r="JN38" s="234"/>
      <c r="JO38" s="41"/>
      <c r="JP38" s="41"/>
      <c r="JQ38" s="41"/>
      <c r="JR38" s="41"/>
      <c r="JS38" s="41"/>
      <c r="JT38" s="234"/>
      <c r="JU38" s="234"/>
      <c r="JV38" s="41"/>
      <c r="JW38" s="41"/>
      <c r="JX38" s="41"/>
      <c r="JY38" s="41"/>
      <c r="JZ38" s="41"/>
      <c r="KA38" s="234"/>
      <c r="KB38" s="234"/>
      <c r="KC38" s="41"/>
      <c r="KD38" s="41"/>
      <c r="KE38" s="41"/>
      <c r="KF38" s="41"/>
      <c r="KG38" s="41"/>
      <c r="KH38" s="234"/>
      <c r="KI38" s="234"/>
      <c r="KJ38" s="41"/>
      <c r="KK38" s="41"/>
      <c r="KL38" s="41"/>
      <c r="KM38" s="41"/>
      <c r="KN38" s="41"/>
      <c r="KO38" s="234"/>
      <c r="KP38" s="234"/>
      <c r="KQ38" s="41"/>
      <c r="KR38" s="41"/>
      <c r="KS38" s="41"/>
      <c r="KT38" s="41"/>
      <c r="KU38" s="41"/>
      <c r="KV38" s="234"/>
      <c r="KW38" s="234"/>
      <c r="KX38" s="41"/>
      <c r="KY38" s="41"/>
      <c r="KZ38" s="41"/>
      <c r="LA38" s="41"/>
      <c r="LB38" s="41"/>
      <c r="LC38" s="234"/>
      <c r="LD38" s="234"/>
      <c r="LE38" s="41"/>
      <c r="LF38" s="41"/>
      <c r="LG38" s="41"/>
      <c r="LH38" s="41"/>
      <c r="LI38" s="41"/>
      <c r="LJ38" s="234"/>
      <c r="LK38" s="234"/>
      <c r="LL38" s="41"/>
      <c r="LM38" s="41"/>
      <c r="LN38" s="41"/>
      <c r="LO38" s="41"/>
      <c r="LP38" s="41"/>
      <c r="LQ38" s="234"/>
      <c r="LR38" s="234"/>
      <c r="LS38" s="41"/>
      <c r="LT38" s="41"/>
      <c r="LU38" s="41"/>
      <c r="LV38" s="41"/>
      <c r="LW38" s="41"/>
      <c r="LX38" s="234"/>
      <c r="LY38" s="234"/>
      <c r="LZ38" s="41"/>
      <c r="MA38" s="41"/>
      <c r="MB38" s="41"/>
      <c r="MC38" s="41"/>
      <c r="MD38" s="41"/>
      <c r="ME38" s="234"/>
      <c r="MF38" s="234"/>
      <c r="MG38" s="41"/>
      <c r="MH38" s="41"/>
      <c r="MI38" s="41"/>
      <c r="MJ38" s="41"/>
      <c r="MK38" s="41"/>
      <c r="ML38" s="234"/>
      <c r="MM38" s="234"/>
      <c r="MN38" s="41"/>
      <c r="MO38" s="41"/>
      <c r="MP38" s="41"/>
      <c r="MQ38" s="41"/>
      <c r="MR38" s="41"/>
      <c r="MS38" s="234"/>
      <c r="MT38" s="234"/>
      <c r="MU38" s="41"/>
      <c r="MV38" s="41"/>
      <c r="MW38" s="41"/>
      <c r="MX38" s="41"/>
      <c r="MY38" s="41"/>
      <c r="MZ38" s="234"/>
      <c r="NA38" s="234"/>
      <c r="NB38" s="41"/>
      <c r="NC38" s="41"/>
      <c r="ND38" s="41"/>
      <c r="NE38" s="41"/>
      <c r="NF38" s="41"/>
      <c r="NG38" s="234"/>
      <c r="NH38" s="234"/>
      <c r="NI38" s="41"/>
      <c r="NJ38" s="41"/>
      <c r="NK38" s="41"/>
      <c r="NL38" s="41"/>
      <c r="NM38" s="41"/>
      <c r="NN38" s="234"/>
      <c r="NO38" s="234"/>
      <c r="NP38" s="41"/>
      <c r="NQ38" s="41"/>
      <c r="NR38" s="41"/>
      <c r="NS38" s="41"/>
      <c r="NT38" s="41"/>
      <c r="NU38" s="234"/>
    </row>
    <row r="39" spans="4:385" x14ac:dyDescent="0.3">
      <c r="D39" s="206" t="s">
        <v>12</v>
      </c>
      <c r="E39" s="187" t="s">
        <v>29</v>
      </c>
      <c r="F39" s="146" t="s">
        <v>9</v>
      </c>
      <c r="G39" s="155" t="s">
        <v>1306</v>
      </c>
      <c r="H39" s="156" t="s">
        <v>1307</v>
      </c>
      <c r="I39" s="125"/>
      <c r="J39" s="41"/>
      <c r="K39" s="41"/>
      <c r="L39" s="41"/>
      <c r="M39" s="41"/>
      <c r="N39" s="230"/>
      <c r="O39" s="230"/>
      <c r="P39" s="41"/>
      <c r="Q39" s="41"/>
      <c r="R39" s="41"/>
      <c r="S39" s="41"/>
      <c r="T39" s="41"/>
      <c r="U39" s="230"/>
      <c r="V39" s="230"/>
      <c r="W39" s="41"/>
      <c r="X39" s="41"/>
      <c r="Y39" s="41"/>
      <c r="Z39" s="41"/>
      <c r="AA39" s="41"/>
      <c r="AB39" s="230"/>
      <c r="AC39" s="230"/>
      <c r="AD39" s="125"/>
      <c r="AE39" s="41"/>
      <c r="AF39" s="41"/>
      <c r="AG39" s="41"/>
      <c r="AH39" s="41"/>
      <c r="AI39" s="230"/>
      <c r="AJ39" s="230"/>
      <c r="AK39" s="41"/>
      <c r="AL39" s="41"/>
      <c r="AM39" s="41"/>
      <c r="AN39" s="41"/>
      <c r="AO39" s="41"/>
      <c r="AP39" s="230"/>
      <c r="AQ39" s="230"/>
      <c r="AR39" s="125"/>
      <c r="AS39" s="41"/>
      <c r="AT39" s="41"/>
      <c r="AU39" s="41"/>
      <c r="AV39" s="41"/>
      <c r="AW39" s="230"/>
      <c r="AX39" s="230"/>
      <c r="AY39" s="41"/>
      <c r="AZ39" s="41"/>
      <c r="BA39" s="41"/>
      <c r="BB39" s="41"/>
      <c r="BC39" s="41"/>
      <c r="BD39" s="230"/>
      <c r="BE39" s="230"/>
      <c r="BF39" s="125"/>
      <c r="BG39" s="41"/>
      <c r="BH39" s="41"/>
      <c r="BI39" s="41"/>
      <c r="BJ39" s="41"/>
      <c r="BK39" s="230"/>
      <c r="BL39" s="230"/>
      <c r="BM39" s="41"/>
      <c r="BN39" s="41"/>
      <c r="BO39" s="41"/>
      <c r="BP39" s="41"/>
      <c r="BQ39" s="41"/>
      <c r="BR39" s="234"/>
      <c r="BS39" s="234"/>
      <c r="BT39" s="125"/>
      <c r="BU39" s="41"/>
      <c r="BV39" s="41"/>
      <c r="BW39" s="41"/>
      <c r="BX39" s="41"/>
      <c r="BY39" s="234"/>
      <c r="BZ39" s="234"/>
      <c r="CA39" s="41"/>
      <c r="CB39" s="41"/>
      <c r="CC39" s="41"/>
      <c r="CD39" s="41"/>
      <c r="CE39" s="41"/>
      <c r="CF39" s="230"/>
      <c r="CG39" s="230"/>
      <c r="CH39" s="125"/>
      <c r="CI39" s="41"/>
      <c r="CJ39" s="41"/>
      <c r="CK39" s="41"/>
      <c r="CL39" s="41"/>
      <c r="CM39" s="230"/>
      <c r="CN39" s="230"/>
      <c r="CO39" s="41"/>
      <c r="CP39" s="41"/>
      <c r="CQ39" s="41"/>
      <c r="CR39" s="41"/>
      <c r="CS39" s="41"/>
      <c r="CT39" s="230"/>
      <c r="CU39" s="230"/>
      <c r="CV39" s="125"/>
      <c r="CW39" s="41"/>
      <c r="CX39" s="41"/>
      <c r="CY39" s="41"/>
      <c r="CZ39" s="41"/>
      <c r="DA39" s="230"/>
      <c r="DB39" s="230"/>
      <c r="DC39" s="41"/>
      <c r="DD39" s="41"/>
      <c r="DE39" s="41"/>
      <c r="DF39" s="41"/>
      <c r="DG39" s="41"/>
      <c r="DH39" s="230"/>
      <c r="DI39" s="230"/>
      <c r="DJ39" s="125"/>
      <c r="DK39" s="41"/>
      <c r="DL39" s="41"/>
      <c r="DM39" s="41"/>
      <c r="DN39" s="41"/>
      <c r="DO39" s="230"/>
      <c r="DP39" s="230"/>
      <c r="DQ39" s="125" t="s">
        <v>460</v>
      </c>
      <c r="DR39" s="41"/>
      <c r="DS39" s="41"/>
      <c r="DT39" s="41"/>
      <c r="DU39" s="41"/>
      <c r="DV39" s="230"/>
      <c r="DW39" s="234"/>
      <c r="DX39" s="41"/>
      <c r="DY39" s="41"/>
      <c r="DZ39" s="41"/>
      <c r="EA39" s="41" t="s">
        <v>460</v>
      </c>
      <c r="EB39" s="41"/>
      <c r="EC39" s="230"/>
      <c r="ED39" s="230"/>
      <c r="EE39" s="125"/>
      <c r="EF39" s="41"/>
      <c r="EG39" s="41"/>
      <c r="EH39" s="41"/>
      <c r="EI39" s="41"/>
      <c r="EJ39" s="230"/>
      <c r="EK39" s="230"/>
      <c r="EL39" s="125"/>
      <c r="EM39" s="41"/>
      <c r="EN39" s="41"/>
      <c r="EO39" s="41"/>
      <c r="EP39" s="41"/>
      <c r="EQ39" s="230"/>
      <c r="ER39" s="230"/>
      <c r="ES39" s="41"/>
      <c r="ET39" s="41"/>
      <c r="EU39" s="41"/>
      <c r="EV39" s="41"/>
      <c r="EW39" s="41"/>
      <c r="EX39" s="230"/>
      <c r="EY39" s="230"/>
      <c r="EZ39" s="125"/>
      <c r="FA39" s="41"/>
      <c r="FB39" s="41"/>
      <c r="FC39" s="41"/>
      <c r="FD39" s="41"/>
      <c r="FE39" s="230"/>
      <c r="FF39" s="230"/>
      <c r="FG39" s="125"/>
      <c r="FH39" s="41"/>
      <c r="FI39" s="41"/>
      <c r="FJ39" s="41"/>
      <c r="FK39" s="41"/>
      <c r="FL39" s="230"/>
      <c r="FM39" s="230"/>
      <c r="FN39" s="41" t="s">
        <v>460</v>
      </c>
      <c r="FO39" s="41"/>
      <c r="FP39" s="41"/>
      <c r="FQ39" s="41"/>
      <c r="FR39" s="41"/>
      <c r="FS39" s="230"/>
      <c r="FT39" s="230"/>
      <c r="FU39" s="125"/>
      <c r="FV39" s="41"/>
      <c r="FW39" s="41"/>
      <c r="FX39" s="41"/>
      <c r="FY39" s="41"/>
      <c r="FZ39" s="230"/>
      <c r="GA39" s="230"/>
      <c r="GB39" s="125"/>
      <c r="GC39" s="41"/>
      <c r="GD39" s="41"/>
      <c r="GE39" s="41"/>
      <c r="GF39" s="41"/>
      <c r="GG39" s="230"/>
      <c r="GH39" s="230"/>
      <c r="GI39" s="41"/>
      <c r="GJ39" s="41"/>
      <c r="GK39" s="41"/>
      <c r="GL39" s="41"/>
      <c r="GM39" s="41"/>
      <c r="GN39" s="230"/>
      <c r="GO39" s="230"/>
      <c r="GP39" s="125"/>
      <c r="GQ39" s="41"/>
      <c r="GR39" s="41"/>
      <c r="GS39" s="41"/>
      <c r="GT39" s="41"/>
      <c r="GU39" s="230"/>
      <c r="GV39" s="230"/>
      <c r="GW39" s="125" t="s">
        <v>460</v>
      </c>
      <c r="GX39" s="41"/>
      <c r="GY39" s="41"/>
      <c r="GZ39" s="41"/>
      <c r="HA39" s="41"/>
      <c r="HB39" s="230"/>
      <c r="HC39" s="230"/>
      <c r="HD39" s="41"/>
      <c r="HE39" s="41"/>
      <c r="HF39" s="41"/>
      <c r="HG39" s="41"/>
      <c r="HH39" s="41"/>
      <c r="HI39" s="234"/>
      <c r="HJ39" s="234"/>
      <c r="HK39" s="41"/>
      <c r="HL39" s="41"/>
      <c r="HM39" s="41"/>
      <c r="HN39" s="41"/>
      <c r="HO39" s="41"/>
      <c r="HP39" s="234"/>
      <c r="HQ39" s="234"/>
      <c r="HR39" s="41"/>
      <c r="HS39" s="41"/>
      <c r="HT39" s="41"/>
      <c r="HU39" s="41"/>
      <c r="HV39" s="41"/>
      <c r="HW39" s="234"/>
      <c r="HX39" s="234"/>
      <c r="HY39" s="41"/>
      <c r="HZ39" s="41"/>
      <c r="IA39" s="41"/>
      <c r="IB39" s="41"/>
      <c r="IC39" s="41"/>
      <c r="ID39" s="234"/>
      <c r="IE39" s="234"/>
      <c r="IF39" s="41"/>
      <c r="IG39" s="41"/>
      <c r="IH39" s="41"/>
      <c r="II39" s="41"/>
      <c r="IJ39" s="41"/>
      <c r="IK39" s="234"/>
      <c r="IL39" s="234"/>
      <c r="IM39" s="41"/>
      <c r="IN39" s="41"/>
      <c r="IO39" s="41"/>
      <c r="IP39" s="41"/>
      <c r="IQ39" s="41"/>
      <c r="IR39" s="234"/>
      <c r="IS39" s="234"/>
      <c r="IT39" s="41"/>
      <c r="IU39" s="41"/>
      <c r="IV39" s="41"/>
      <c r="IW39" s="41"/>
      <c r="IX39" s="41"/>
      <c r="IY39" s="234"/>
      <c r="IZ39" s="234"/>
      <c r="JA39" s="41"/>
      <c r="JB39" s="41"/>
      <c r="JC39" s="41"/>
      <c r="JD39" s="41"/>
      <c r="JE39" s="41"/>
      <c r="JF39" s="234"/>
      <c r="JG39" s="234"/>
      <c r="JH39" s="41"/>
      <c r="JI39" s="41"/>
      <c r="JJ39" s="41"/>
      <c r="JK39" s="41"/>
      <c r="JL39" s="41"/>
      <c r="JM39" s="234"/>
      <c r="JN39" s="234"/>
      <c r="JO39" s="41"/>
      <c r="JP39" s="41"/>
      <c r="JQ39" s="41"/>
      <c r="JR39" s="41"/>
      <c r="JS39" s="41"/>
      <c r="JT39" s="234"/>
      <c r="JU39" s="234"/>
      <c r="JV39" s="41"/>
      <c r="JW39" s="41"/>
      <c r="JX39" s="41"/>
      <c r="JY39" s="41"/>
      <c r="JZ39" s="41"/>
      <c r="KA39" s="234"/>
      <c r="KB39" s="234"/>
      <c r="KC39" s="41"/>
      <c r="KD39" s="41"/>
      <c r="KE39" s="41"/>
      <c r="KF39" s="41"/>
      <c r="KG39" s="41"/>
      <c r="KH39" s="234"/>
      <c r="KI39" s="234"/>
      <c r="KJ39" s="41"/>
      <c r="KK39" s="41"/>
      <c r="KL39" s="41"/>
      <c r="KM39" s="41"/>
      <c r="KN39" s="41"/>
      <c r="KO39" s="234"/>
      <c r="KP39" s="234"/>
      <c r="KQ39" s="41"/>
      <c r="KR39" s="41"/>
      <c r="KS39" s="41"/>
      <c r="KT39" s="41"/>
      <c r="KU39" s="41"/>
      <c r="KV39" s="234"/>
      <c r="KW39" s="234"/>
      <c r="KX39" s="41"/>
      <c r="KY39" s="41"/>
      <c r="KZ39" s="41"/>
      <c r="LA39" s="41"/>
      <c r="LB39" s="41"/>
      <c r="LC39" s="234"/>
      <c r="LD39" s="234"/>
      <c r="LE39" s="41"/>
      <c r="LF39" s="41"/>
      <c r="LG39" s="41"/>
      <c r="LH39" s="41"/>
      <c r="LI39" s="41"/>
      <c r="LJ39" s="234"/>
      <c r="LK39" s="234"/>
      <c r="LL39" s="41"/>
      <c r="LM39" s="41"/>
      <c r="LN39" s="41"/>
      <c r="LO39" s="41"/>
      <c r="LP39" s="41"/>
      <c r="LQ39" s="234"/>
      <c r="LR39" s="234"/>
      <c r="LS39" s="41"/>
      <c r="LT39" s="41"/>
      <c r="LU39" s="41"/>
      <c r="LV39" s="41"/>
      <c r="LW39" s="41"/>
      <c r="LX39" s="234"/>
      <c r="LY39" s="234"/>
      <c r="LZ39" s="41"/>
      <c r="MA39" s="41"/>
      <c r="MB39" s="41"/>
      <c r="MC39" s="41"/>
      <c r="MD39" s="41"/>
      <c r="ME39" s="234"/>
      <c r="MF39" s="234"/>
      <c r="MG39" s="41"/>
      <c r="MH39" s="41"/>
      <c r="MI39" s="41"/>
      <c r="MJ39" s="41"/>
      <c r="MK39" s="41"/>
      <c r="ML39" s="234"/>
      <c r="MM39" s="234"/>
      <c r="MN39" s="41"/>
      <c r="MO39" s="41"/>
      <c r="MP39" s="41"/>
      <c r="MQ39" s="41"/>
      <c r="MR39" s="41"/>
      <c r="MS39" s="234"/>
      <c r="MT39" s="234"/>
      <c r="MU39" s="41"/>
      <c r="MV39" s="41"/>
      <c r="MW39" s="41"/>
      <c r="MX39" s="41"/>
      <c r="MY39" s="41"/>
      <c r="MZ39" s="234"/>
      <c r="NA39" s="234"/>
      <c r="NB39" s="41"/>
      <c r="NC39" s="41"/>
      <c r="ND39" s="41"/>
      <c r="NE39" s="41"/>
      <c r="NF39" s="41"/>
      <c r="NG39" s="234"/>
      <c r="NH39" s="234"/>
      <c r="NI39" s="41"/>
      <c r="NJ39" s="41"/>
      <c r="NK39" s="41"/>
      <c r="NL39" s="41"/>
      <c r="NM39" s="41"/>
      <c r="NN39" s="234"/>
      <c r="NO39" s="234"/>
      <c r="NP39" s="41"/>
      <c r="NQ39" s="41"/>
      <c r="NR39" s="41"/>
      <c r="NS39" s="41"/>
      <c r="NT39" s="41"/>
      <c r="NU39" s="234"/>
    </row>
    <row r="40" spans="4:385" ht="15" thickBot="1" x14ac:dyDescent="0.35"/>
    <row r="41" spans="4:385" ht="15" thickBot="1" x14ac:dyDescent="0.35">
      <c r="N41" s="221" t="str">
        <f>I2</f>
        <v>S53</v>
      </c>
      <c r="O41" s="218"/>
      <c r="U41" s="221" t="str">
        <f>P2</f>
        <v>S2</v>
      </c>
      <c r="V41" s="218"/>
      <c r="AB41" s="221" t="str">
        <f>W2</f>
        <v>S3</v>
      </c>
      <c r="AC41" s="218"/>
      <c r="AI41" s="221" t="str">
        <f>AD2</f>
        <v>S4</v>
      </c>
      <c r="AJ41" s="218"/>
      <c r="AP41" s="221" t="str">
        <f>AK2</f>
        <v>S5</v>
      </c>
      <c r="AQ41" s="218"/>
      <c r="AW41" s="221" t="str">
        <f>AR2</f>
        <v>S6</v>
      </c>
      <c r="AX41" s="218"/>
      <c r="BD41" s="221" t="str">
        <f>AY2</f>
        <v>S7</v>
      </c>
      <c r="BE41" s="218"/>
      <c r="BK41" s="221" t="str">
        <f>BF2</f>
        <v>S8</v>
      </c>
      <c r="BL41" s="218"/>
      <c r="BR41" s="221" t="str">
        <f>BM2</f>
        <v>S9</v>
      </c>
      <c r="BS41" s="218"/>
      <c r="BY41" s="221" t="str">
        <f>BT2</f>
        <v>S10</v>
      </c>
      <c r="BZ41" s="218"/>
      <c r="CF41" s="221" t="str">
        <f>CA2</f>
        <v>S11</v>
      </c>
      <c r="CG41" s="218"/>
      <c r="CM41" s="221" t="str">
        <f>CH2</f>
        <v>S12</v>
      </c>
      <c r="CN41" s="218"/>
      <c r="CT41" s="221" t="str">
        <f>CO2</f>
        <v>S13</v>
      </c>
      <c r="CU41" s="218"/>
      <c r="DA41" s="221" t="str">
        <f>CV2</f>
        <v>S14</v>
      </c>
      <c r="DB41" s="218"/>
      <c r="DH41" s="221" t="str">
        <f>DC2</f>
        <v>S15</v>
      </c>
      <c r="DI41" s="218"/>
      <c r="DO41" s="221" t="str">
        <f>DJ2</f>
        <v>S16</v>
      </c>
      <c r="DP41" s="218"/>
      <c r="DV41" s="221" t="str">
        <f>DQ2</f>
        <v>S17</v>
      </c>
      <c r="DW41" s="218"/>
      <c r="EC41" s="221" t="str">
        <f>DX2</f>
        <v>S18</v>
      </c>
      <c r="ED41" s="218"/>
      <c r="EJ41" s="221" t="str">
        <f>EE2</f>
        <v>S19</v>
      </c>
      <c r="EK41" s="218"/>
      <c r="EQ41" s="221" t="str">
        <f>EL2</f>
        <v>S20</v>
      </c>
      <c r="ER41" s="218"/>
      <c r="EX41" s="221" t="str">
        <f>ES2</f>
        <v>S21</v>
      </c>
      <c r="EY41" s="218"/>
      <c r="FE41" s="221" t="str">
        <f>EZ2</f>
        <v>S22</v>
      </c>
      <c r="FF41" s="218"/>
      <c r="FL41" s="221" t="str">
        <f>FG2</f>
        <v>S23</v>
      </c>
      <c r="FM41" s="218"/>
      <c r="FS41" s="221" t="str">
        <f>FN2</f>
        <v>S24</v>
      </c>
      <c r="FT41" s="218"/>
      <c r="FZ41" s="221" t="str">
        <f>FU2</f>
        <v>S25</v>
      </c>
      <c r="GA41" s="218"/>
      <c r="GG41" s="221" t="str">
        <f>GB2</f>
        <v>S26</v>
      </c>
      <c r="GH41" s="218"/>
      <c r="GN41" s="221" t="str">
        <f>GI2</f>
        <v>S27</v>
      </c>
      <c r="GO41" s="218"/>
      <c r="GU41" s="221" t="str">
        <f>GP2</f>
        <v>S28</v>
      </c>
      <c r="GV41" s="218"/>
      <c r="HB41" s="221" t="str">
        <f>GW2</f>
        <v>S29</v>
      </c>
      <c r="HC41" s="218"/>
      <c r="HI41" s="221" t="str">
        <f>HD2</f>
        <v>S30</v>
      </c>
      <c r="HJ41" s="218"/>
      <c r="HP41" s="221" t="str">
        <f>HK2</f>
        <v>S31</v>
      </c>
      <c r="HQ41" s="218"/>
      <c r="HW41" s="221" t="str">
        <f>HR2</f>
        <v>S32</v>
      </c>
      <c r="HX41" s="218"/>
      <c r="ID41" s="221" t="str">
        <f>HY2</f>
        <v>S33</v>
      </c>
      <c r="IE41" s="218"/>
      <c r="IK41" s="221" t="str">
        <f>IF2</f>
        <v>S34</v>
      </c>
      <c r="IL41" s="218"/>
      <c r="IR41" s="221" t="str">
        <f>IM2</f>
        <v>S35</v>
      </c>
      <c r="IS41" s="218"/>
      <c r="IY41" s="221" t="str">
        <f>IT2</f>
        <v>S36</v>
      </c>
      <c r="IZ41" s="218"/>
      <c r="JF41" s="221" t="str">
        <f>JA2</f>
        <v>S37</v>
      </c>
      <c r="JG41" s="218"/>
      <c r="JM41" s="221" t="str">
        <f>JH2</f>
        <v>S38</v>
      </c>
      <c r="JN41" s="218"/>
      <c r="JT41" s="221" t="str">
        <f>JO2</f>
        <v>S39</v>
      </c>
      <c r="JU41" s="218"/>
      <c r="KA41" s="221" t="str">
        <f>JV2</f>
        <v>S40</v>
      </c>
      <c r="KB41" s="218"/>
      <c r="KH41" s="221" t="str">
        <f>KC2</f>
        <v>S41</v>
      </c>
      <c r="KI41" s="218"/>
      <c r="KO41" s="221" t="str">
        <f>KJ2</f>
        <v>S42</v>
      </c>
      <c r="KP41" s="218"/>
      <c r="KV41" s="221" t="str">
        <f>KQ2</f>
        <v>S43</v>
      </c>
      <c r="KW41" s="218"/>
      <c r="LC41" s="221" t="str">
        <f>KX2</f>
        <v>S44</v>
      </c>
      <c r="LD41" s="218"/>
      <c r="LJ41" s="221" t="str">
        <f>LE2</f>
        <v>S45</v>
      </c>
      <c r="LK41" s="218"/>
      <c r="LQ41" s="221" t="str">
        <f>LL2</f>
        <v>S46</v>
      </c>
      <c r="LR41" s="218"/>
      <c r="LX41" s="221" t="str">
        <f>LS2</f>
        <v>S47</v>
      </c>
      <c r="LY41" s="218"/>
      <c r="ME41" s="221" t="str">
        <f>LZ2</f>
        <v>S48</v>
      </c>
      <c r="MF41" s="218"/>
      <c r="ML41" s="221" t="str">
        <f>MG2</f>
        <v>S49</v>
      </c>
      <c r="MM41" s="218"/>
      <c r="MS41" s="221" t="str">
        <f>MN2</f>
        <v>S50</v>
      </c>
      <c r="MT41" s="218"/>
      <c r="MZ41" s="221" t="str">
        <f>MU2</f>
        <v>S51</v>
      </c>
      <c r="NA41" s="218"/>
      <c r="NG41" s="221" t="str">
        <f>NB2</f>
        <v>S52</v>
      </c>
      <c r="NH41" s="218"/>
      <c r="NN41" s="221" t="str">
        <f>NI2</f>
        <v>S53</v>
      </c>
      <c r="NO41" s="218"/>
      <c r="NU41" s="221" t="str">
        <f>NP2</f>
        <v>S2</v>
      </c>
    </row>
    <row r="42" spans="4:385" x14ac:dyDescent="0.3">
      <c r="H42" s="212" t="s">
        <v>497</v>
      </c>
      <c r="I42" s="215">
        <f>COUNTIF(Tableau134[lun.10],"&lt;&gt;"&amp;"A.")</f>
        <v>35</v>
      </c>
      <c r="J42" s="209">
        <f>COUNTIF(Tableau134[mar.11],"&lt;&gt;"&amp;"A.")</f>
        <v>35</v>
      </c>
      <c r="K42" s="209">
        <f>COUNTIF(Tableau134[mer.12],"&lt;&gt;"&amp;"A.")</f>
        <v>35</v>
      </c>
      <c r="L42" s="209">
        <f>COUNTIF(Tableau134[jeu.13],"&lt;&gt;"&amp;"A.")</f>
        <v>35</v>
      </c>
      <c r="M42" s="209">
        <f>COUNTIF(Tableau134[ven.14],"&lt;&gt;"&amp;"A.")</f>
        <v>35</v>
      </c>
      <c r="N42" s="231">
        <f>AVERAGE(I42:M42)</f>
        <v>35</v>
      </c>
      <c r="O42" s="209">
        <f>COUNTIF(Tableau134[dim.16],"&lt;&gt;"&amp;"A.")</f>
        <v>35</v>
      </c>
      <c r="P42" s="209">
        <f>COUNTIF(Tableau134[lun.17],"&lt;&gt;"&amp;"A.")</f>
        <v>35</v>
      </c>
      <c r="Q42" s="209">
        <f>COUNTIF(Tableau134[mar.18],"&lt;&gt;"&amp;"A.")</f>
        <v>35</v>
      </c>
      <c r="R42" s="209">
        <f>COUNTIF(Tableau134[mer.19],"&lt;&gt;"&amp;"A.")</f>
        <v>35</v>
      </c>
      <c r="S42" s="209">
        <f>COUNTIF(Tableau134[jeu.20],"&lt;&gt;"&amp;"A.")</f>
        <v>34</v>
      </c>
      <c r="T42" s="209">
        <f>COUNTIF(Tableau134[ven.21],"&lt;&gt;"&amp;"A.")</f>
        <v>34</v>
      </c>
      <c r="U42" s="231">
        <f>AVERAGE(P42:T42)</f>
        <v>34.6</v>
      </c>
      <c r="V42" s="209">
        <f>COUNTIF(Tableau134[dim.23],"&lt;&gt;"&amp;"A.")</f>
        <v>35</v>
      </c>
      <c r="W42" s="209">
        <f>COUNTIF(Tableau134[lun.24],"&lt;&gt;"&amp;"A.")</f>
        <v>33</v>
      </c>
      <c r="X42" s="209">
        <f>COUNTIF(Tableau134[mar.25],"&lt;&gt;"&amp;"A.")</f>
        <v>33</v>
      </c>
      <c r="Y42" s="209">
        <f>COUNTIF(Tableau134[mer.26],"&lt;&gt;"&amp;"A.")</f>
        <v>33</v>
      </c>
      <c r="Z42" s="209">
        <f>COUNTIF(Tableau134[jeu.27],"&lt;&gt;"&amp;"A.")</f>
        <v>33</v>
      </c>
      <c r="AA42" s="209">
        <f>COUNTIF(Tableau134[ven.28],"&lt;&gt;"&amp;"A.")</f>
        <v>33</v>
      </c>
      <c r="AB42" s="231">
        <f>AVERAGE(W42:AA42)</f>
        <v>33</v>
      </c>
      <c r="AC42" s="209">
        <f>COUNTIF(Tableau134[dim.30],"&lt;&gt;"&amp;"A.")</f>
        <v>35</v>
      </c>
      <c r="AD42" s="209">
        <f>COUNTIF(Tableau134[lun.01],"&lt;&gt;"&amp;"A.")</f>
        <v>31</v>
      </c>
      <c r="AE42" s="209">
        <f>COUNTIF(Tableau134[mar.02],"&lt;&gt;"&amp;"A.")</f>
        <v>31</v>
      </c>
      <c r="AF42" s="209">
        <f>COUNTIF(Tableau134[mer.03],"&lt;&gt;"&amp;"A.")</f>
        <v>31</v>
      </c>
      <c r="AG42" s="209">
        <f>COUNTIF(Tableau134[jeu.04],"&lt;&gt;"&amp;"A.")</f>
        <v>31</v>
      </c>
      <c r="AH42" s="209">
        <f>COUNTIF(Tableau134[ven.05],"&lt;&gt;"&amp;"A.")</f>
        <v>31</v>
      </c>
      <c r="AI42" s="231">
        <f>AVERAGE(AD42:AH42)</f>
        <v>31</v>
      </c>
      <c r="AJ42" s="209">
        <f>COUNTIF(Tableau134[dim.07],"&lt;&gt;"&amp;"A.")</f>
        <v>35</v>
      </c>
      <c r="AK42" s="209">
        <f>COUNTIF(Tableau134[lun.08],"&lt;&gt;"&amp;"A.")</f>
        <v>31</v>
      </c>
      <c r="AL42" s="209">
        <f>COUNTIF(Tableau134[mar.09],"&lt;&gt;"&amp;"A.")</f>
        <v>31</v>
      </c>
      <c r="AM42" s="209">
        <f>COUNTIF(Tableau134[mer.10],"&lt;&gt;"&amp;"A.")</f>
        <v>31</v>
      </c>
      <c r="AN42" s="209">
        <f>COUNTIF(Tableau134[jeu.11],"&lt;&gt;"&amp;"A.")</f>
        <v>31</v>
      </c>
      <c r="AO42" s="209">
        <f>COUNTIF(Tableau134[ven.12],"&lt;&gt;"&amp;"A.")</f>
        <v>31</v>
      </c>
      <c r="AP42" s="231">
        <f>AVERAGE(AK42:AO42)</f>
        <v>31</v>
      </c>
      <c r="AQ42" s="209">
        <f>COUNTIF(Tableau134[dim.14],"&lt;&gt;"&amp;"A.")</f>
        <v>34</v>
      </c>
      <c r="AR42" s="209">
        <f>COUNTIF(Tableau134[lun.15],"&lt;&gt;"&amp;"A.")</f>
        <v>33</v>
      </c>
      <c r="AS42" s="209">
        <f>COUNTIF(Tableau134[mar.16],"&lt;&gt;"&amp;"A.")</f>
        <v>33</v>
      </c>
      <c r="AT42" s="209">
        <f>COUNTIF(Tableau134[mer.17],"&lt;&gt;"&amp;"A.")</f>
        <v>33</v>
      </c>
      <c r="AU42" s="209">
        <f>COUNTIF(Tableau134[jeu.18],"&lt;&gt;"&amp;"A.")</f>
        <v>33</v>
      </c>
      <c r="AV42" s="209">
        <f>COUNTIF(Tableau134[ven.19],"&lt;&gt;"&amp;"A.")</f>
        <v>33</v>
      </c>
      <c r="AW42" s="231">
        <f>AVERAGE(AR42:AV42)</f>
        <v>33</v>
      </c>
      <c r="AX42" s="209">
        <f>COUNTIF(Tableau134[dim.21],"&lt;&gt;"&amp;"A.")</f>
        <v>34</v>
      </c>
      <c r="AY42" s="209">
        <f>COUNTIF(Tableau134[lun.22],"&lt;&gt;"&amp;"A.")</f>
        <v>32</v>
      </c>
      <c r="AZ42" s="209">
        <f>COUNTIF(Tableau134[mar.23],"&lt;&gt;"&amp;"A.")</f>
        <v>32</v>
      </c>
      <c r="BA42" s="209">
        <f>COUNTIF(Tableau134[mer.24],"&lt;&gt;"&amp;"A.")</f>
        <v>32</v>
      </c>
      <c r="BB42" s="209">
        <f>COUNTIF(Tableau134[jeu.25],"&lt;&gt;"&amp;"A.")</f>
        <v>32</v>
      </c>
      <c r="BC42" s="209">
        <f>COUNTIF(Tableau134[ven.26],"&lt;&gt;"&amp;"A.")</f>
        <v>32</v>
      </c>
      <c r="BD42" s="231">
        <f>AVERAGE(AY42:BC42)</f>
        <v>32</v>
      </c>
      <c r="BE42" s="209">
        <f>COUNTIF(Tableau134[dim.28],"&lt;&gt;"&amp;"A.")</f>
        <v>33</v>
      </c>
      <c r="BF42" s="209">
        <f>COUNTIF(Tableau134[lun.29],"&lt;&gt;"&amp;"A.")</f>
        <v>30</v>
      </c>
      <c r="BG42" s="209">
        <f>COUNTIF(Tableau134[mar.30],"&lt;&gt;"&amp;"A.")</f>
        <v>30</v>
      </c>
      <c r="BH42" s="209">
        <f>COUNTIF(Tableau134[mer.31],"&lt;&gt;"&amp;"A.")</f>
        <v>30</v>
      </c>
      <c r="BI42" s="209">
        <f>COUNTIF(Tableau134[jeu.01],"&lt;&gt;"&amp;"A.")</f>
        <v>30</v>
      </c>
      <c r="BJ42" s="209">
        <f>COUNTIF(Tableau134[ven.02],"&lt;&gt;"&amp;"A.")</f>
        <v>30</v>
      </c>
      <c r="BK42" s="231">
        <f>AVERAGE(BF42:BJ42)</f>
        <v>30</v>
      </c>
      <c r="BL42" s="209">
        <f>COUNTIF(Tableau134[dim.04],"&lt;&gt;"&amp;"A.")</f>
        <v>33</v>
      </c>
      <c r="BM42" s="209">
        <f>COUNTIF(Tableau134[lun.05],"&lt;&gt;"&amp;"A.")</f>
        <v>35</v>
      </c>
      <c r="BN42" s="209">
        <f>COUNTIF(Tableau134[mar.06],"&lt;&gt;"&amp;"A.")</f>
        <v>35</v>
      </c>
      <c r="BO42" s="209">
        <f>COUNTIF(Tableau134[mer.07],"&lt;&gt;"&amp;"A.")</f>
        <v>35</v>
      </c>
      <c r="BP42" s="209">
        <f>COUNTIF(Tableau134[jeu.08],"&lt;&gt;"&amp;"A.")</f>
        <v>35</v>
      </c>
      <c r="BQ42" s="209">
        <f>COUNTIF(Tableau134[ven.09],"&lt;&gt;"&amp;"A.")</f>
        <v>35</v>
      </c>
      <c r="BR42" s="231">
        <f>AVERAGE(BM42:BQ42)</f>
        <v>35</v>
      </c>
      <c r="BS42" s="209">
        <f>COUNTIF(Tableau134[dim.11],"&lt;&gt;"&amp;"A.")</f>
        <v>32</v>
      </c>
      <c r="BT42" s="209">
        <f>COUNTIF(Tableau134[lun.12],"&lt;&gt;"&amp;"A.")</f>
        <v>35</v>
      </c>
      <c r="BU42" s="209">
        <f>COUNTIF(Tableau134[mar.13],"&lt;&gt;"&amp;"A.")</f>
        <v>35</v>
      </c>
      <c r="BV42" s="209">
        <f>COUNTIF(Tableau134[mer.14],"&lt;&gt;"&amp;"A.")</f>
        <v>35</v>
      </c>
      <c r="BW42" s="209">
        <f>COUNTIF(Tableau134[jeu.15],"&lt;&gt;"&amp;"A.")</f>
        <v>35</v>
      </c>
      <c r="BX42" s="209">
        <f>COUNTIF(Tableau134[ven.16],"&lt;&gt;"&amp;"A.")</f>
        <v>35</v>
      </c>
      <c r="BY42" s="231">
        <f>AVERAGE(BT42:BX42)</f>
        <v>35</v>
      </c>
      <c r="BZ42" s="209">
        <f>COUNTIF(Tableau134[dim.18],"&lt;&gt;"&amp;"A.")</f>
        <v>34</v>
      </c>
      <c r="CA42" s="209">
        <f>COUNTIF(Tableau134[lun.19],"&lt;&gt;"&amp;"A.")</f>
        <v>33</v>
      </c>
      <c r="CB42" s="209">
        <f>COUNTIF(Tableau134[mar.20],"&lt;&gt;"&amp;"A.")</f>
        <v>33</v>
      </c>
      <c r="CC42" s="209">
        <f>COUNTIF(Tableau134[mer.21],"&lt;&gt;"&amp;"A.")</f>
        <v>33</v>
      </c>
      <c r="CD42" s="209">
        <f>COUNTIF(Tableau134[jeu.22],"&lt;&gt;"&amp;"A.")</f>
        <v>33</v>
      </c>
      <c r="CE42" s="209">
        <f>COUNTIF(Tableau134[ven.23],"&lt;&gt;"&amp;"A.")</f>
        <v>33</v>
      </c>
      <c r="CF42" s="231">
        <f>AVERAGE(CA42:CE42)</f>
        <v>33</v>
      </c>
      <c r="CG42" s="209">
        <f>COUNTIF(Tableau134[dim.25],"&lt;&gt;"&amp;"A.")</f>
        <v>32</v>
      </c>
      <c r="CH42" s="209">
        <f>COUNTIF(Tableau134[lun.26],"&lt;&gt;"&amp;"A.")</f>
        <v>31</v>
      </c>
      <c r="CI42" s="209">
        <f>COUNTIF(Tableau134[mar.27],"&lt;&gt;"&amp;"A.")</f>
        <v>31</v>
      </c>
      <c r="CJ42" s="209">
        <f>COUNTIF(Tableau134[mer.28],"&lt;&gt;"&amp;"A.")</f>
        <v>31</v>
      </c>
      <c r="CK42" s="209">
        <f>COUNTIF(Tableau134[jeu.29],"&lt;&gt;"&amp;"A.")</f>
        <v>31</v>
      </c>
      <c r="CL42" s="209">
        <f>COUNTIF(Tableau134[ven.30],"&lt;&gt;"&amp;"A.")</f>
        <v>31</v>
      </c>
      <c r="CM42" s="231">
        <f>AVERAGE(CH42:CL42)</f>
        <v>31</v>
      </c>
      <c r="CN42" s="209">
        <f>COUNTIF(Tableau134[dim.01],"&lt;&gt;"&amp;"A.")</f>
        <v>34</v>
      </c>
      <c r="CO42" s="209">
        <f>COUNTIF(Tableau134[lun.02],"&lt;&gt;"&amp;"A.")</f>
        <v>34</v>
      </c>
      <c r="CP42" s="209">
        <f>COUNTIF(Tableau134[mar.03],"&lt;&gt;"&amp;"A.")</f>
        <v>34</v>
      </c>
      <c r="CQ42" s="209">
        <f>COUNTIF(Tableau134[mer.04],"&lt;&gt;"&amp;"A.")</f>
        <v>34</v>
      </c>
      <c r="CR42" s="209">
        <f>COUNTIF(Tableau134[jeu.05],"&lt;&gt;"&amp;"A.")</f>
        <v>34</v>
      </c>
      <c r="CS42" s="209">
        <f>COUNTIF(Tableau134[ven.06],"&lt;&gt;"&amp;"A.")</f>
        <v>34</v>
      </c>
      <c r="CT42" s="231">
        <f>AVERAGE(CO42:CS42)</f>
        <v>34</v>
      </c>
      <c r="CU42" s="209">
        <f>COUNTIF(Tableau134[dim.08],"&lt;&gt;"&amp;"A.")</f>
        <v>34</v>
      </c>
      <c r="CV42" s="209">
        <f>COUNTIF(Tableau134[lun.09],"&lt;&gt;"&amp;"A.")</f>
        <v>35</v>
      </c>
      <c r="CW42" s="209">
        <f>COUNTIF(Tableau134[mar.10],"&lt;&gt;"&amp;"A.")</f>
        <v>35</v>
      </c>
      <c r="CX42" s="209">
        <f>COUNTIF(Tableau134[mer.11],"&lt;&gt;"&amp;"A.")</f>
        <v>35</v>
      </c>
      <c r="CY42" s="209">
        <f>COUNTIF(Tableau134[jeu.12],"&lt;&gt;"&amp;"A.")</f>
        <v>35</v>
      </c>
      <c r="CZ42" s="209">
        <f>COUNTIF(Tableau134[ven.13],"&lt;&gt;"&amp;"A.")</f>
        <v>35</v>
      </c>
      <c r="DA42" s="231">
        <f>AVERAGE(CV42:CZ42)</f>
        <v>35</v>
      </c>
      <c r="DB42" s="209">
        <f>COUNTIF(Tableau134[dim.15],"&lt;&gt;"&amp;"A.")</f>
        <v>35</v>
      </c>
      <c r="DC42" s="209">
        <f>COUNTIF(Tableau134[lun.16],"&lt;&gt;"&amp;"A.")</f>
        <v>32</v>
      </c>
      <c r="DD42" s="209">
        <f>COUNTIF(Tableau134[mar.17],"&lt;&gt;"&amp;"A.")</f>
        <v>32</v>
      </c>
      <c r="DE42" s="209">
        <f>COUNTIF(Tableau134[mer.18],"&lt;&gt;"&amp;"A.")</f>
        <v>32</v>
      </c>
      <c r="DF42" s="209">
        <f>COUNTIF(Tableau134[jeu.19],"&lt;&gt;"&amp;"A.")</f>
        <v>32</v>
      </c>
      <c r="DG42" s="209">
        <f>COUNTIF(Tableau134[ven.20],"&lt;&gt;"&amp;"A.")</f>
        <v>32</v>
      </c>
      <c r="DH42" s="231">
        <f>AVERAGE(DC42:DG42)</f>
        <v>32</v>
      </c>
      <c r="DI42" s="209">
        <f>COUNTIF(Tableau134[dim.22],"&lt;&gt;"&amp;"A.")</f>
        <v>35</v>
      </c>
      <c r="DJ42" s="209">
        <f>COUNTIF(Tableau134[lun.23],"&lt;&gt;"&amp;"A.")</f>
        <v>26</v>
      </c>
      <c r="DK42" s="209">
        <f>COUNTIF(Tableau134[mar.24],"&lt;&gt;"&amp;"A.")</f>
        <v>26</v>
      </c>
      <c r="DL42" s="209">
        <f>COUNTIF(Tableau134[mer.25],"&lt;&gt;"&amp;"A.")</f>
        <v>26</v>
      </c>
      <c r="DM42" s="209">
        <f>COUNTIF(Tableau134[jeu.26],"&lt;&gt;"&amp;"A.")</f>
        <v>26</v>
      </c>
      <c r="DN42" s="209">
        <f>COUNTIF(Tableau134[ven.27],"&lt;&gt;"&amp;"A.")</f>
        <v>26</v>
      </c>
      <c r="DO42" s="231">
        <f>AVERAGE(DJ42:DN42)</f>
        <v>26</v>
      </c>
      <c r="DP42" s="209">
        <f>COUNTIF(Tableau134[dim.29],"&lt;&gt;"&amp;"A.")</f>
        <v>35</v>
      </c>
      <c r="DQ42" s="209">
        <f>COUNTIF(Tableau134[lun.30],"&lt;&gt;"&amp;"A.")</f>
        <v>8</v>
      </c>
      <c r="DR42" s="209">
        <f>COUNTIF(Tableau134[mar.01],"&lt;&gt;"&amp;"A.")</f>
        <v>33</v>
      </c>
      <c r="DS42" s="209">
        <f>COUNTIF(Tableau134[mer.02],"&lt;&gt;"&amp;"A.")</f>
        <v>33</v>
      </c>
      <c r="DT42" s="209">
        <f>COUNTIF(Tableau134[jeu.03],"&lt;&gt;"&amp;"A.")</f>
        <v>33</v>
      </c>
      <c r="DU42" s="209">
        <f>COUNTIF(Tableau134[ven.04],"&lt;&gt;"&amp;"A.")</f>
        <v>33</v>
      </c>
      <c r="DV42" s="231">
        <f>AVERAGE(DQ42:DU42)</f>
        <v>28</v>
      </c>
      <c r="DW42" s="209">
        <f>COUNTIF(Tableau134[dim.06],"&lt;&gt;"&amp;"A.")</f>
        <v>35</v>
      </c>
      <c r="DX42" s="209">
        <f>COUNTIF(Tableau134[lun.07],"&lt;&gt;"&amp;"A.")</f>
        <v>32</v>
      </c>
      <c r="DY42" s="209">
        <f>COUNTIF(Tableau134[mar.08],"&lt;&gt;"&amp;"A.")</f>
        <v>32</v>
      </c>
      <c r="DZ42" s="209">
        <f>COUNTIF(Tableau134[mer.09],"&lt;&gt;"&amp;"A.")</f>
        <v>32</v>
      </c>
      <c r="EA42" s="209">
        <f>COUNTIF(Tableau134[jeu.10],"&lt;&gt;"&amp;"A.")</f>
        <v>8</v>
      </c>
      <c r="EB42" s="209">
        <f>COUNTIF(Tableau134[ven.11],"&lt;&gt;"&amp;"A.")</f>
        <v>32</v>
      </c>
      <c r="EC42" s="231">
        <f>AVERAGE(DX42:EB42)</f>
        <v>27.2</v>
      </c>
      <c r="ED42" s="209">
        <f>COUNTIF(Tableau134[dim.13],"&lt;&gt;"&amp;"A.")</f>
        <v>35</v>
      </c>
      <c r="EE42" s="209">
        <f>COUNTIF(Tableau134[lun.14],"&lt;&gt;"&amp;"A.")</f>
        <v>31</v>
      </c>
      <c r="EF42" s="209">
        <f>COUNTIF(Tableau134[mar.15],"&lt;&gt;"&amp;"A.")</f>
        <v>31</v>
      </c>
      <c r="EG42" s="209">
        <f>COUNTIF(Tableau134[mer.16],"&lt;&gt;"&amp;"A.")</f>
        <v>31</v>
      </c>
      <c r="EH42" s="209">
        <f>COUNTIF(Tableau134[jeu.17],"&lt;&gt;"&amp;"A.")</f>
        <v>31</v>
      </c>
      <c r="EI42" s="209">
        <f>COUNTIF(Tableau134[ven.18],"&lt;&gt;"&amp;"A.")</f>
        <v>31</v>
      </c>
      <c r="EJ42" s="231">
        <f>AVERAGE(EE42:EI42)</f>
        <v>31</v>
      </c>
      <c r="EK42" s="209">
        <f>COUNTIF(Tableau134[dim.20],"&lt;&gt;"&amp;"A.")</f>
        <v>35</v>
      </c>
      <c r="EL42" s="209">
        <f>COUNTIF(Tableau134[lun.21],"&lt;&gt;"&amp;"A.")</f>
        <v>32</v>
      </c>
      <c r="EM42" s="209">
        <f>COUNTIF(Tableau134[mar.22],"&lt;&gt;"&amp;"A.")</f>
        <v>32</v>
      </c>
      <c r="EN42" s="209">
        <f>COUNTIF(Tableau134[mer.23],"&lt;&gt;"&amp;"A.")</f>
        <v>32</v>
      </c>
      <c r="EO42" s="209">
        <f>COUNTIF(Tableau134[jeu.24],"&lt;&gt;"&amp;"A.")</f>
        <v>32</v>
      </c>
      <c r="EP42" s="209">
        <f>COUNTIF(Tableau134[ven.25],"&lt;&gt;"&amp;"A.")</f>
        <v>32</v>
      </c>
      <c r="EQ42" s="231">
        <f>AVERAGE(EL42:EP42)</f>
        <v>32</v>
      </c>
      <c r="ER42" s="209">
        <f>COUNTIF(Tableau134[dim.27],"&lt;&gt;"&amp;"A.")</f>
        <v>35</v>
      </c>
      <c r="ES42" s="209">
        <f>COUNTIF(Tableau134[lun.28],"&lt;&gt;"&amp;"A.")</f>
        <v>33</v>
      </c>
      <c r="ET42" s="209">
        <f>COUNTIF(Tableau134[mar.29],"&lt;&gt;"&amp;"A.")</f>
        <v>33</v>
      </c>
      <c r="EU42" s="209">
        <f>COUNTIF(Tableau134[mer.30],"&lt;&gt;"&amp;"A.")</f>
        <v>33</v>
      </c>
      <c r="EV42" s="209">
        <f>COUNTIF(Tableau134[jeu.31],"&lt;&gt;"&amp;"A.")</f>
        <v>33</v>
      </c>
      <c r="EW42" s="209">
        <f>COUNTIF(Tableau134[ven.01],"&lt;&gt;"&amp;"A.")</f>
        <v>33</v>
      </c>
      <c r="EX42" s="231">
        <f>AVERAGE(ES42:EW42)</f>
        <v>33</v>
      </c>
      <c r="EY42" s="209">
        <f>COUNTIF(Tableau134[dim.03],"&lt;&gt;"&amp;"A.")</f>
        <v>35</v>
      </c>
      <c r="EZ42" s="209">
        <f>COUNTIF(Tableau134[lun.04],"&lt;&gt;"&amp;"A.")</f>
        <v>32</v>
      </c>
      <c r="FA42" s="209">
        <f>COUNTIF(Tableau134[mar.05],"&lt;&gt;"&amp;"A.")</f>
        <v>32</v>
      </c>
      <c r="FB42" s="209">
        <f>COUNTIF(Tableau134[mer.06],"&lt;&gt;"&amp;"A.")</f>
        <v>32</v>
      </c>
      <c r="FC42" s="209">
        <f>COUNTIF(Tableau134[jeu.07],"&lt;&gt;"&amp;"A.")</f>
        <v>32</v>
      </c>
      <c r="FD42" s="209">
        <f>COUNTIF(Tableau134[ven.08],"&lt;&gt;"&amp;"A.")</f>
        <v>32</v>
      </c>
      <c r="FE42" s="231">
        <f>AVERAGE(EZ42:FD42)</f>
        <v>32</v>
      </c>
      <c r="FF42" s="209">
        <f>COUNTIF(Tableau134[dim.10],"&lt;&gt;"&amp;"A.")</f>
        <v>35</v>
      </c>
      <c r="FG42" s="209">
        <f>COUNTIF(Tableau134[lun.11],"&lt;&gt;"&amp;"A.")</f>
        <v>31</v>
      </c>
      <c r="FH42" s="209">
        <f>COUNTIF(Tableau134[mar.12],"&lt;&gt;"&amp;"A.")</f>
        <v>31</v>
      </c>
      <c r="FI42" s="209">
        <f>COUNTIF(Tableau134[mer.13],"&lt;&gt;"&amp;"A.")</f>
        <v>31</v>
      </c>
      <c r="FJ42" s="209">
        <f>COUNTIF(Tableau134[jeu.14],"&lt;&gt;"&amp;"A.")</f>
        <v>31</v>
      </c>
      <c r="FK42" s="209">
        <f>COUNTIF(Tableau134[ven.15],"&lt;&gt;"&amp;"A.")</f>
        <v>31</v>
      </c>
      <c r="FL42" s="231">
        <f>AVERAGE(FG42:FK42)</f>
        <v>31</v>
      </c>
      <c r="FM42" s="209">
        <f>COUNTIF(Tableau134[dim.17],"&lt;&gt;"&amp;"A.")</f>
        <v>35</v>
      </c>
      <c r="FN42" s="209">
        <f>COUNTIF(Tableau134[lun.18],"&lt;&gt;"&amp;"A.")</f>
        <v>8</v>
      </c>
      <c r="FO42" s="209">
        <f>COUNTIF(Tableau134[mar.19],"&lt;&gt;"&amp;"A.")</f>
        <v>32</v>
      </c>
      <c r="FP42" s="209">
        <f>COUNTIF(Tableau134[mer.20],"&lt;&gt;"&amp;"A.")</f>
        <v>32</v>
      </c>
      <c r="FQ42" s="209">
        <f>COUNTIF(Tableau134[jeu.21],"&lt;&gt;"&amp;"A.")</f>
        <v>32</v>
      </c>
      <c r="FR42" s="209">
        <f>COUNTIF(Tableau134[ven.22],"&lt;&gt;"&amp;"A.")</f>
        <v>32</v>
      </c>
      <c r="FS42" s="231">
        <f>AVERAGE(FN42:FR42)</f>
        <v>27.2</v>
      </c>
      <c r="FT42" s="209">
        <f>COUNTIF(Tableau134[dim.24],"&lt;&gt;"&amp;"A.")</f>
        <v>35</v>
      </c>
      <c r="FU42" s="209">
        <f>COUNTIF(Tableau134[lun.25],"&lt;&gt;"&amp;"A.")</f>
        <v>32</v>
      </c>
      <c r="FV42" s="209">
        <f>COUNTIF(Tableau134[mar.26],"&lt;&gt;"&amp;"A.")</f>
        <v>32</v>
      </c>
      <c r="FW42" s="209">
        <f>COUNTIF(Tableau134[mer.27],"&lt;&gt;"&amp;"A.")</f>
        <v>32</v>
      </c>
      <c r="FX42" s="209">
        <f>COUNTIF(Tableau134[jeu.28],"&lt;&gt;"&amp;"A.")</f>
        <v>32</v>
      </c>
      <c r="FY42" s="209">
        <f>COUNTIF(Tableau134[ven.29],"&lt;&gt;"&amp;"A.")</f>
        <v>32</v>
      </c>
      <c r="FZ42" s="231">
        <f>AVERAGE(FU42:FY42)</f>
        <v>32</v>
      </c>
      <c r="GA42" s="209">
        <f>COUNTIF(Tableau134[dim.012],"&lt;&gt;"&amp;"A.")</f>
        <v>35</v>
      </c>
      <c r="GB42" s="209">
        <f>COUNTIF(Tableau134[lun.023],"&lt;&gt;"&amp;"A.")</f>
        <v>32</v>
      </c>
      <c r="GC42" s="209">
        <f>COUNTIF(Tableau134[mar.034],"&lt;&gt;"&amp;"A.")</f>
        <v>32</v>
      </c>
      <c r="GD42" s="209">
        <f>COUNTIF(Tableau134[mer.045],"&lt;&gt;"&amp;"A.")</f>
        <v>32</v>
      </c>
      <c r="GE42" s="209">
        <f>COUNTIF(Tableau134[jeu.056],"&lt;&gt;"&amp;"A.")</f>
        <v>32</v>
      </c>
      <c r="GF42" s="209">
        <f>COUNTIF(Tableau134[ven.067],"&lt;&gt;"&amp;"A.")</f>
        <v>32</v>
      </c>
      <c r="GG42" s="231">
        <f>AVERAGE(GB42:GF42)</f>
        <v>32</v>
      </c>
      <c r="GH42" s="209">
        <f>COUNTIF(Tableau134[dim.089],"&lt;&gt;"&amp;"A.")</f>
        <v>35</v>
      </c>
      <c r="GI42" s="209">
        <f>COUNTIF(Tableau134[lun.0910],"&lt;&gt;"&amp;"A.")</f>
        <v>32</v>
      </c>
      <c r="GJ42" s="209">
        <f>COUNTIF(Tableau134[mar.1011],"&lt;&gt;"&amp;"A.")</f>
        <v>32</v>
      </c>
      <c r="GK42" s="209">
        <f>COUNTIF(Tableau134[mer.1112],"&lt;&gt;"&amp;"A.")</f>
        <v>32</v>
      </c>
      <c r="GL42" s="209">
        <f>COUNTIF(Tableau134[jeu.1213],"&lt;&gt;"&amp;"A.")</f>
        <v>32</v>
      </c>
      <c r="GM42" s="209">
        <f>COUNTIF(Tableau134[ven.1314],"&lt;&gt;"&amp;"A.")</f>
        <v>32</v>
      </c>
      <c r="GN42" s="231">
        <f>AVERAGE(GI42:GM42)</f>
        <v>32</v>
      </c>
      <c r="GO42" s="209">
        <f>COUNTIF(Tableau134[dim.1516],"&lt;&gt;"&amp;"A.")</f>
        <v>35</v>
      </c>
      <c r="GP42" s="209">
        <f>COUNTIF(Tableau134[lun.1617],"&lt;&gt;"&amp;"A.")</f>
        <v>30</v>
      </c>
      <c r="GQ42" s="209">
        <f>COUNTIF(Tableau134[mar.1718],"&lt;&gt;"&amp;"A.")</f>
        <v>30</v>
      </c>
      <c r="GR42" s="209">
        <f>COUNTIF(Tableau134[mer.1819],"&lt;&gt;"&amp;"A.")</f>
        <v>30</v>
      </c>
      <c r="GS42" s="209">
        <f>COUNTIF(Tableau134[jeu.1920],"&lt;&gt;"&amp;"A.")</f>
        <v>30</v>
      </c>
      <c r="GT42" s="209">
        <f>COUNTIF(Tableau134[ven.2021],"&lt;&gt;"&amp;"A.")</f>
        <v>30</v>
      </c>
      <c r="GU42" s="231">
        <f>AVERAGE(GP42:GT42)</f>
        <v>30</v>
      </c>
      <c r="GV42" s="209">
        <f>COUNTIF(Tableau134[dim.2223],"&lt;&gt;"&amp;"A.")</f>
        <v>35</v>
      </c>
      <c r="GW42" s="209">
        <f>COUNTIF(Tableau134[lun.2324],"&lt;&gt;"&amp;"A.")</f>
        <v>0</v>
      </c>
      <c r="GX42" s="209">
        <f>COUNTIF(Tableau134[mar.2425],"&lt;&gt;"&amp;"A.")</f>
        <v>27</v>
      </c>
      <c r="GY42" s="209">
        <f>COUNTIF(Tableau134[mer.2526],"&lt;&gt;"&amp;"A.")</f>
        <v>27</v>
      </c>
      <c r="GZ42" s="209">
        <f>COUNTIF(Tableau134[jeu.2627],"&lt;&gt;"&amp;"A.")</f>
        <v>27</v>
      </c>
      <c r="HA42" s="209">
        <f>COUNTIF(Tableau134[ven.2728],"&lt;&gt;"&amp;"A.")</f>
        <v>27</v>
      </c>
      <c r="HB42" s="231">
        <f>AVERAGE(GW42:HA42)</f>
        <v>21.6</v>
      </c>
      <c r="HC42" s="209">
        <f>COUNTIF(Tableau134[dim.2930],"&lt;&gt;"&amp;"A.")</f>
        <v>35</v>
      </c>
      <c r="HD42" s="209">
        <f>COUNTIF(Tableau134[lun.082],"&lt;&gt;"&amp;"A.")</f>
        <v>28</v>
      </c>
      <c r="HE42" s="209">
        <f>COUNTIF(Tableau134[mar.093],"&lt;&gt;"&amp;"A.")</f>
        <v>28</v>
      </c>
      <c r="HF42" s="209">
        <f>COUNTIF(Tableau134[mer.104],"&lt;&gt;"&amp;"A.")</f>
        <v>28</v>
      </c>
      <c r="HG42" s="209">
        <f>COUNTIF(Tableau134[jeu.115],"&lt;&gt;"&amp;"A.")</f>
        <v>28</v>
      </c>
      <c r="HH42" s="209">
        <f>COUNTIF(Tableau134[ven.126],"&lt;&gt;"&amp;"A.")</f>
        <v>28</v>
      </c>
      <c r="HI42" s="231">
        <f>AVERAGE(HD42:HH42)</f>
        <v>28</v>
      </c>
      <c r="HJ42" s="209">
        <f>COUNTIF(Tableau134[dim.148],"&lt;&gt;"&amp;"A.")</f>
        <v>35</v>
      </c>
      <c r="HK42" s="209">
        <f>COUNTIF(Tableau134[lun.159],"&lt;&gt;"&amp;"A.")</f>
        <v>26</v>
      </c>
      <c r="HL42" s="209">
        <f>COUNTIF(Tableau134[mar.1610],"&lt;&gt;"&amp;"A.")</f>
        <v>26</v>
      </c>
      <c r="HM42" s="209">
        <f>COUNTIF(Tableau134[mer.1711],"&lt;&gt;"&amp;"A.")</f>
        <v>26</v>
      </c>
      <c r="HN42" s="209">
        <f>COUNTIF(Tableau134[jeu.1812],"&lt;&gt;"&amp;"A.")</f>
        <v>26</v>
      </c>
      <c r="HO42" s="209">
        <f>COUNTIF(Tableau134[ven.1913],"&lt;&gt;"&amp;"A.")</f>
        <v>26</v>
      </c>
      <c r="HP42" s="231">
        <f>AVERAGE(HK42:HO42)</f>
        <v>26</v>
      </c>
      <c r="HQ42" s="209">
        <f>COUNTIF(Tableau134[dim.2115],"&lt;&gt;"&amp;"A.")</f>
        <v>35</v>
      </c>
      <c r="HR42" s="209">
        <f>COUNTIF(Tableau134[lun.2216],"&lt;&gt;"&amp;"A.")</f>
        <v>24</v>
      </c>
      <c r="HS42" s="209">
        <f>COUNTIF(Tableau134[mar.2317],"&lt;&gt;"&amp;"A.")</f>
        <v>24</v>
      </c>
      <c r="HT42" s="209">
        <f>COUNTIF(Tableau134[mer.2418],"&lt;&gt;"&amp;"A.")</f>
        <v>24</v>
      </c>
      <c r="HU42" s="209">
        <f>COUNTIF(Tableau134[jeu.2519],"&lt;&gt;"&amp;"A.")</f>
        <v>24</v>
      </c>
      <c r="HV42" s="209">
        <f>COUNTIF(Tableau134[ven.2620],"&lt;&gt;"&amp;"A.")</f>
        <v>24</v>
      </c>
      <c r="HW42" s="231">
        <f>AVERAGE(HR42:HV42)</f>
        <v>24</v>
      </c>
      <c r="HX42" s="209">
        <f>COUNTIF(Tableau134[dim.2822],"&lt;&gt;"&amp;"A.")</f>
        <v>35</v>
      </c>
      <c r="HY42" s="209">
        <f>COUNTIF(Tableau134[lun.2923],"&lt;&gt;"&amp;"A.")</f>
        <v>23</v>
      </c>
      <c r="HZ42" s="209">
        <f>COUNTIF(Tableau134[mar.3024],"&lt;&gt;"&amp;"A.")</f>
        <v>23</v>
      </c>
      <c r="IA42" s="209">
        <f>COUNTIF(Tableau134[mer.3125],"&lt;&gt;"&amp;"A.")</f>
        <v>23</v>
      </c>
      <c r="IB42" s="209">
        <f>COUNTIF(Tableau134[jeu.0126],"&lt;&gt;"&amp;"A.")</f>
        <v>23</v>
      </c>
      <c r="IC42" s="209">
        <f>COUNTIF(Tableau134[ven.0227],"&lt;&gt;"&amp;"A.")</f>
        <v>23</v>
      </c>
      <c r="ID42" s="231">
        <f>AVERAGE(HY42:IC42)</f>
        <v>23</v>
      </c>
      <c r="IE42" s="209">
        <f>COUNTIF(Tableau134[dim.0429],"&lt;&gt;"&amp;"A.")</f>
        <v>35</v>
      </c>
      <c r="IF42" s="209">
        <f>COUNTIF(Tableau134[lun.0530],"&lt;&gt;"&amp;"A.")</f>
        <v>28</v>
      </c>
      <c r="IG42" s="209">
        <f>COUNTIF(Tableau134[mar.0631],"&lt;&gt;"&amp;"A.")</f>
        <v>28</v>
      </c>
      <c r="IH42" s="209">
        <f>COUNTIF(Tableau134[mer.0732],"&lt;&gt;"&amp;"A.")</f>
        <v>28</v>
      </c>
      <c r="II42" s="209">
        <f>COUNTIF(Tableau134[jeu.0833],"&lt;&gt;"&amp;"A.")</f>
        <v>28</v>
      </c>
      <c r="IJ42" s="209">
        <f>COUNTIF(Tableau134[ven.0934],"&lt;&gt;"&amp;"A.")</f>
        <v>28</v>
      </c>
      <c r="IK42" s="231">
        <f>AVERAGE(IF42:IJ42)</f>
        <v>28</v>
      </c>
      <c r="IL42" s="209">
        <f>COUNTIF(Tableau134[dim.1136],"&lt;&gt;"&amp;"A.")</f>
        <v>35</v>
      </c>
      <c r="IM42" s="209">
        <f>COUNTIF(Tableau134[lun.1237],"&lt;&gt;"&amp;"A.")</f>
        <v>31</v>
      </c>
      <c r="IN42" s="209">
        <f>COUNTIF(Tableau134[mar.1338],"&lt;&gt;"&amp;"A.")</f>
        <v>31</v>
      </c>
      <c r="IO42" s="209">
        <f>COUNTIF(Tableau134[mer.1439],"&lt;&gt;"&amp;"A.")</f>
        <v>31</v>
      </c>
      <c r="IP42" s="209">
        <f>COUNTIF(Tableau134[jeu.1540],"&lt;&gt;"&amp;"A.")</f>
        <v>31</v>
      </c>
      <c r="IQ42" s="209">
        <f>COUNTIF(Tableau134[ven.1641],"&lt;&gt;"&amp;"A.")</f>
        <v>31</v>
      </c>
      <c r="IR42" s="231">
        <f>AVERAGE(IM42:IQ42)</f>
        <v>31</v>
      </c>
      <c r="IS42" s="209">
        <f>COUNTIF(Tableau134[dim.1843],"&lt;&gt;"&amp;"A.")</f>
        <v>35</v>
      </c>
      <c r="IT42" s="209">
        <f>COUNTIF(Tableau134[lun.1944],"&lt;&gt;"&amp;"A.")</f>
        <v>33</v>
      </c>
      <c r="IU42" s="209">
        <f>COUNTIF(Tableau134[mar.2045],"&lt;&gt;"&amp;"A.")</f>
        <v>33</v>
      </c>
      <c r="IV42" s="209">
        <f>COUNTIF(Tableau134[mer.2146],"&lt;&gt;"&amp;"A.")</f>
        <v>33</v>
      </c>
      <c r="IW42" s="209">
        <f>COUNTIF(Tableau134[jeu.2247],"&lt;&gt;"&amp;"A.")</f>
        <v>33</v>
      </c>
      <c r="IX42" s="209">
        <f>COUNTIF(Tableau134[ven.2348],"&lt;&gt;"&amp;"A.")</f>
        <v>33</v>
      </c>
      <c r="IY42" s="231">
        <f>AVERAGE(IT42:IX42)</f>
        <v>33</v>
      </c>
      <c r="IZ42" s="209">
        <f>COUNTIF(Tableau134[dim.2550],"&lt;&gt;"&amp;"A.")</f>
        <v>35</v>
      </c>
      <c r="JA42" s="209">
        <f>COUNTIF(Tableau134[lun.2651],"&lt;&gt;"&amp;"A.")</f>
        <v>31</v>
      </c>
      <c r="JB42" s="209">
        <f>COUNTIF(Tableau134[mar.2752],"&lt;&gt;"&amp;"A.")</f>
        <v>31</v>
      </c>
      <c r="JC42" s="209">
        <f>COUNTIF(Tableau134[mer.2853],"&lt;&gt;"&amp;"A.")</f>
        <v>31</v>
      </c>
      <c r="JD42" s="209">
        <f>COUNTIF(Tableau134[jeu.2954],"&lt;&gt;"&amp;"A.")</f>
        <v>31</v>
      </c>
      <c r="JE42" s="209">
        <f>COUNTIF(Tableau134[ven.3055],"&lt;&gt;"&amp;"A.")</f>
        <v>31</v>
      </c>
      <c r="JF42" s="231">
        <f>AVERAGE(JA42:JE42)</f>
        <v>31</v>
      </c>
      <c r="JG42" s="209">
        <f>COUNTIF(Tableau134[dim.0157],"&lt;&gt;"&amp;"A.")</f>
        <v>35</v>
      </c>
      <c r="JH42" s="209">
        <f>COUNTIF(Tableau134[lun.0258],"&lt;&gt;"&amp;"A.")</f>
        <v>32</v>
      </c>
      <c r="JI42" s="209">
        <f>COUNTIF(Tableau134[mar.0359],"&lt;&gt;"&amp;"A.")</f>
        <v>32</v>
      </c>
      <c r="JJ42" s="209">
        <f>COUNTIF(Tableau134[mer.0460],"&lt;&gt;"&amp;"A.")</f>
        <v>32</v>
      </c>
      <c r="JK42" s="209">
        <f>COUNTIF(Tableau134[jeu.0561],"&lt;&gt;"&amp;"A.")</f>
        <v>32</v>
      </c>
      <c r="JL42" s="209">
        <f>COUNTIF(Tableau134[ven.0662],"&lt;&gt;"&amp;"A.")</f>
        <v>32</v>
      </c>
      <c r="JM42" s="231">
        <f>AVERAGE(JH42:JL42)</f>
        <v>32</v>
      </c>
      <c r="JN42" s="209">
        <f>COUNTIF(Tableau134[dim.0864],"&lt;&gt;"&amp;"A.")</f>
        <v>35</v>
      </c>
      <c r="JO42" s="209">
        <f>COUNTIF(Tableau134[lun.0965],"&lt;&gt;"&amp;"A.")</f>
        <v>34</v>
      </c>
      <c r="JP42" s="209">
        <f>COUNTIF(Tableau134[mar.1066],"&lt;&gt;"&amp;"A.")</f>
        <v>34</v>
      </c>
      <c r="JQ42" s="209">
        <f>COUNTIF(Tableau134[mer.1167],"&lt;&gt;"&amp;"A.")</f>
        <v>34</v>
      </c>
      <c r="JR42" s="209">
        <f>COUNTIF(Tableau134[jeu.1268],"&lt;&gt;"&amp;"A.")</f>
        <v>34</v>
      </c>
      <c r="JS42" s="209">
        <f>COUNTIF(Tableau134[ven.1369],"&lt;&gt;"&amp;"A.")</f>
        <v>34</v>
      </c>
      <c r="JT42" s="231">
        <f>AVERAGE(JO42:JS42)</f>
        <v>34</v>
      </c>
      <c r="JU42" s="209">
        <f>COUNTIF(Tableau134[dim.1571],"&lt;&gt;"&amp;"A.")</f>
        <v>35</v>
      </c>
      <c r="JV42" s="209">
        <f>COUNTIF(Tableau134[lun.1672],"&lt;&gt;"&amp;"A.")</f>
        <v>35</v>
      </c>
      <c r="JW42" s="209">
        <f>COUNTIF(Tableau134[mar.1773],"&lt;&gt;"&amp;"A.")</f>
        <v>35</v>
      </c>
      <c r="JX42" s="209">
        <f>COUNTIF(Tableau134[mer.1874],"&lt;&gt;"&amp;"A.")</f>
        <v>35</v>
      </c>
      <c r="JY42" s="209">
        <f>COUNTIF(Tableau134[jeu.1975],"&lt;&gt;"&amp;"A.")</f>
        <v>35</v>
      </c>
      <c r="JZ42" s="209">
        <f>COUNTIF(Tableau134[ven.2076],"&lt;&gt;"&amp;"A.")</f>
        <v>35</v>
      </c>
      <c r="KA42" s="231">
        <f>AVERAGE(JV42:JZ42)</f>
        <v>35</v>
      </c>
      <c r="KB42" s="209">
        <f>COUNTIF(Tableau134[dim.2278],"&lt;&gt;"&amp;"A.")</f>
        <v>35</v>
      </c>
      <c r="KC42" s="209">
        <f>COUNTIF(Tableau134[lun.2379],"&lt;&gt;"&amp;"A.")</f>
        <v>35</v>
      </c>
      <c r="KD42" s="209">
        <f>COUNTIF(Tableau134[mar.2480],"&lt;&gt;"&amp;"A.")</f>
        <v>35</v>
      </c>
      <c r="KE42" s="209">
        <f>COUNTIF(Tableau134[mer.2581],"&lt;&gt;"&amp;"A.")</f>
        <v>35</v>
      </c>
      <c r="KF42" s="209">
        <f>COUNTIF(Tableau134[jeu.2682],"&lt;&gt;"&amp;"A.")</f>
        <v>35</v>
      </c>
      <c r="KG42" s="209">
        <f>COUNTIF(Tableau134[ven.2783],"&lt;&gt;"&amp;"A.")</f>
        <v>35</v>
      </c>
      <c r="KH42" s="231">
        <f>AVERAGE(KC42:KG42)</f>
        <v>35</v>
      </c>
      <c r="KI42" s="209">
        <f>COUNTIF(Tableau134[dim.2985],"&lt;&gt;"&amp;"A.")</f>
        <v>35</v>
      </c>
      <c r="KJ42" s="209">
        <f>COUNTIF(Tableau134[lun.3086],"&lt;&gt;"&amp;"A.")</f>
        <v>35</v>
      </c>
      <c r="KK42" s="209">
        <f>COUNTIF(Tableau134[mar.0187],"&lt;&gt;"&amp;"A.")</f>
        <v>35</v>
      </c>
      <c r="KL42" s="209">
        <f>COUNTIF(Tableau134[mer.0288],"&lt;&gt;"&amp;"A.")</f>
        <v>35</v>
      </c>
      <c r="KM42" s="209">
        <f>COUNTIF(Tableau134[jeu.0389],"&lt;&gt;"&amp;"A.")</f>
        <v>35</v>
      </c>
      <c r="KN42" s="209">
        <f>COUNTIF(Tableau134[ven.0490],"&lt;&gt;"&amp;"A.")</f>
        <v>35</v>
      </c>
      <c r="KO42" s="231">
        <f>AVERAGE(KJ42:KN42)</f>
        <v>35</v>
      </c>
      <c r="KP42" s="209">
        <f>COUNTIF(Tableau134[dim.0692],"&lt;&gt;"&amp;"A.")</f>
        <v>35</v>
      </c>
      <c r="KQ42" s="209">
        <f>COUNTIF(Tableau134[lun.0793],"&lt;&gt;"&amp;"A.")</f>
        <v>35</v>
      </c>
      <c r="KR42" s="209">
        <f>COUNTIF(Tableau134[mar.0894],"&lt;&gt;"&amp;"A.")</f>
        <v>35</v>
      </c>
      <c r="KS42" s="209">
        <f>COUNTIF(Tableau134[mer.0995],"&lt;&gt;"&amp;"A.")</f>
        <v>35</v>
      </c>
      <c r="KT42" s="209">
        <f>COUNTIF(Tableau134[jeu.1096],"&lt;&gt;"&amp;"A.")</f>
        <v>35</v>
      </c>
      <c r="KU42" s="209">
        <f>COUNTIF(Tableau134[ven.1197],"&lt;&gt;"&amp;"A.")</f>
        <v>35</v>
      </c>
      <c r="KV42" s="231">
        <f>AVERAGE(KQ42:KU42)</f>
        <v>35</v>
      </c>
      <c r="KW42" s="209">
        <f>COUNTIF(Tableau134[dim.1399],"&lt;&gt;"&amp;"A.")</f>
        <v>35</v>
      </c>
      <c r="KX42" s="209">
        <f>COUNTIF(Tableau134[lun.14100],"&lt;&gt;"&amp;"A.")</f>
        <v>35</v>
      </c>
      <c r="KY42" s="209">
        <f>COUNTIF(Tableau134[mar.15101],"&lt;&gt;"&amp;"A.")</f>
        <v>35</v>
      </c>
      <c r="KZ42" s="209">
        <f>COUNTIF(Tableau134[mer.16102],"&lt;&gt;"&amp;"A.")</f>
        <v>35</v>
      </c>
      <c r="LA42" s="209">
        <f>COUNTIF(Tableau134[jeu.17103],"&lt;&gt;"&amp;"A.")</f>
        <v>35</v>
      </c>
      <c r="LB42" s="209">
        <f>COUNTIF(Tableau134[ven.18104],"&lt;&gt;"&amp;"A.")</f>
        <v>35</v>
      </c>
      <c r="LC42" s="231">
        <f>AVERAGE(KX42:LB42)</f>
        <v>35</v>
      </c>
      <c r="LD42" s="209">
        <f>COUNTIF(Tableau134[dim.20106],"&lt;&gt;"&amp;"A.")</f>
        <v>35</v>
      </c>
      <c r="LE42" s="209">
        <f>COUNTIF(Tableau134[lun.21107],"&lt;&gt;"&amp;"A.")</f>
        <v>35</v>
      </c>
      <c r="LF42" s="209">
        <f>COUNTIF(Tableau134[mar.22108],"&lt;&gt;"&amp;"A.")</f>
        <v>35</v>
      </c>
      <c r="LG42" s="209">
        <f>COUNTIF(Tableau134[mer.23109],"&lt;&gt;"&amp;"A.")</f>
        <v>35</v>
      </c>
      <c r="LH42" s="209">
        <f>COUNTIF(Tableau134[jeu.24110],"&lt;&gt;"&amp;"A.")</f>
        <v>35</v>
      </c>
      <c r="LI42" s="209">
        <f>COUNTIF(Tableau134[ven.25111],"&lt;&gt;"&amp;"A.")</f>
        <v>35</v>
      </c>
      <c r="LJ42" s="231">
        <f>AVERAGE(LE42:LI42)</f>
        <v>35</v>
      </c>
      <c r="LK42" s="209">
        <f>COUNTIF(Tableau134[dim.27113],"&lt;&gt;"&amp;"A.")</f>
        <v>35</v>
      </c>
      <c r="LL42" s="209">
        <f>COUNTIF(Tableau134[lun.28114],"&lt;&gt;"&amp;"A.")</f>
        <v>35</v>
      </c>
      <c r="LM42" s="209">
        <f>COUNTIF(Tableau134[mar.29115],"&lt;&gt;"&amp;"A.")</f>
        <v>35</v>
      </c>
      <c r="LN42" s="209">
        <f>COUNTIF(Tableau134[mer.30116],"&lt;&gt;"&amp;"A.")</f>
        <v>35</v>
      </c>
      <c r="LO42" s="209">
        <f>COUNTIF(Tableau134[jeu.31117],"&lt;&gt;"&amp;"A.")</f>
        <v>35</v>
      </c>
      <c r="LP42" s="209">
        <f>COUNTIF(Tableau134[ven.01118],"&lt;&gt;"&amp;"A.")</f>
        <v>35</v>
      </c>
      <c r="LQ42" s="231">
        <f>AVERAGE(LL42:LP42)</f>
        <v>35</v>
      </c>
      <c r="LR42" s="209">
        <f>COUNTIF(Tableau134[dim.03120],"&lt;&gt;"&amp;"A.")</f>
        <v>35</v>
      </c>
      <c r="LS42" s="209">
        <f>COUNTIF(Tableau134[lun.04121],"&lt;&gt;"&amp;"A.")</f>
        <v>35</v>
      </c>
      <c r="LT42" s="209">
        <f>COUNTIF(Tableau134[mar.05122],"&lt;&gt;"&amp;"A.")</f>
        <v>35</v>
      </c>
      <c r="LU42" s="209">
        <f>COUNTIF(Tableau134[mer.06123],"&lt;&gt;"&amp;"A.")</f>
        <v>35</v>
      </c>
      <c r="LV42" s="209">
        <f>COUNTIF(Tableau134[jeu.07124],"&lt;&gt;"&amp;"A.")</f>
        <v>35</v>
      </c>
      <c r="LW42" s="209">
        <f>COUNTIF(Tableau134[ven.08125],"&lt;&gt;"&amp;"A.")</f>
        <v>35</v>
      </c>
      <c r="LX42" s="231">
        <f>AVERAGE(LS42:LW42)</f>
        <v>35</v>
      </c>
      <c r="LY42" s="209">
        <f>COUNTIF(Tableau134[dim.10127],"&lt;&gt;"&amp;"A.")</f>
        <v>35</v>
      </c>
      <c r="LZ42" s="209">
        <f>COUNTIF(Tableau134[lun.11128],"&lt;&gt;"&amp;"A.")</f>
        <v>35</v>
      </c>
      <c r="MA42" s="209">
        <f>COUNTIF(Tableau134[mar.12129],"&lt;&gt;"&amp;"A.")</f>
        <v>35</v>
      </c>
      <c r="MB42" s="209">
        <f>COUNTIF(Tableau134[mer.13130],"&lt;&gt;"&amp;"A.")</f>
        <v>35</v>
      </c>
      <c r="MC42" s="209">
        <f>COUNTIF(Tableau134[jeu.14131],"&lt;&gt;"&amp;"A.")</f>
        <v>35</v>
      </c>
      <c r="MD42" s="209">
        <f>COUNTIF(Tableau134[ven.15132],"&lt;&gt;"&amp;"A.")</f>
        <v>35</v>
      </c>
      <c r="ME42" s="231">
        <f>AVERAGE(LZ42:MD42)</f>
        <v>35</v>
      </c>
      <c r="MF42" s="209">
        <f>COUNTIF(Tableau134[dim.17134],"&lt;&gt;"&amp;"A.")</f>
        <v>35</v>
      </c>
      <c r="MG42" s="209">
        <f>COUNTIF(Tableau134[lun.18135],"&lt;&gt;"&amp;"A.")</f>
        <v>35</v>
      </c>
      <c r="MH42" s="209">
        <f>COUNTIF(Tableau134[mar.19136],"&lt;&gt;"&amp;"A.")</f>
        <v>35</v>
      </c>
      <c r="MI42" s="209">
        <f>COUNTIF(Tableau134[mer.20137],"&lt;&gt;"&amp;"A.")</f>
        <v>35</v>
      </c>
      <c r="MJ42" s="209">
        <f>COUNTIF(Tableau134[jeu.21138],"&lt;&gt;"&amp;"A.")</f>
        <v>35</v>
      </c>
      <c r="MK42" s="209">
        <f>COUNTIF(Tableau134[ven.22139],"&lt;&gt;"&amp;"A.")</f>
        <v>35</v>
      </c>
      <c r="ML42" s="231">
        <f>AVERAGE(MG42:MK42)</f>
        <v>35</v>
      </c>
      <c r="MM42" s="209">
        <f>COUNTIF(Tableau134[dim.24141],"&lt;&gt;"&amp;"A.")</f>
        <v>35</v>
      </c>
      <c r="MN42" s="209">
        <f>COUNTIF(Tableau134[lun.25142],"&lt;&gt;"&amp;"A.")</f>
        <v>35</v>
      </c>
      <c r="MO42" s="209">
        <f>COUNTIF(Tableau134[mar.26143],"&lt;&gt;"&amp;"A.")</f>
        <v>35</v>
      </c>
      <c r="MP42" s="209">
        <f>COUNTIF(Tableau134[mer.27144],"&lt;&gt;"&amp;"A.")</f>
        <v>35</v>
      </c>
      <c r="MQ42" s="209">
        <f>COUNTIF(Tableau134[jeu.28145],"&lt;&gt;"&amp;"A.")</f>
        <v>35</v>
      </c>
      <c r="MR42" s="209">
        <f>COUNTIF(Tableau134[ven.29146],"&lt;&gt;"&amp;"A.")</f>
        <v>35</v>
      </c>
      <c r="MS42" s="231">
        <f>AVERAGE(MN42:MR42)</f>
        <v>35</v>
      </c>
      <c r="MT42" s="209">
        <f>COUNTIF(Tableau134[dim.012148],"&lt;&gt;"&amp;"A.")</f>
        <v>35</v>
      </c>
      <c r="MU42" s="209">
        <f>COUNTIF(Tableau134[lun.023149],"&lt;&gt;"&amp;"A.")</f>
        <v>35</v>
      </c>
      <c r="MV42" s="209">
        <f>COUNTIF(Tableau134[mar.034150],"&lt;&gt;"&amp;"A.")</f>
        <v>35</v>
      </c>
      <c r="MW42" s="209">
        <f>COUNTIF(Tableau134[mer.045151],"&lt;&gt;"&amp;"A.")</f>
        <v>35</v>
      </c>
      <c r="MX42" s="209">
        <f>COUNTIF(Tableau134[jeu.056152],"&lt;&gt;"&amp;"A.")</f>
        <v>35</v>
      </c>
      <c r="MY42" s="209">
        <f>COUNTIF(Tableau134[ven.067153],"&lt;&gt;"&amp;"A.")</f>
        <v>35</v>
      </c>
      <c r="MZ42" s="231">
        <f>AVERAGE(MU42:MY42)</f>
        <v>35</v>
      </c>
      <c r="NA42" s="209">
        <f>COUNTIF(Tableau134[dim.089155],"&lt;&gt;"&amp;"A.")</f>
        <v>35</v>
      </c>
      <c r="NB42" s="209">
        <f>COUNTIF(Tableau134[lun.0910156],"&lt;&gt;"&amp;"A.")</f>
        <v>35</v>
      </c>
      <c r="NC42" s="209">
        <f>COUNTIF(Tableau134[mar.1011157],"&lt;&gt;"&amp;"A.")</f>
        <v>35</v>
      </c>
      <c r="ND42" s="209">
        <f>COUNTIF(Tableau134[mer.1112158],"&lt;&gt;"&amp;"A.")</f>
        <v>35</v>
      </c>
      <c r="NE42" s="209">
        <f>COUNTIF(Tableau134[jeu.1213159],"&lt;&gt;"&amp;"A.")</f>
        <v>35</v>
      </c>
      <c r="NF42" s="209">
        <f>COUNTIF(Tableau134[ven.1314160],"&lt;&gt;"&amp;"A.")</f>
        <v>35</v>
      </c>
      <c r="NG42" s="231">
        <f>AVERAGE(NB42:NF42)</f>
        <v>35</v>
      </c>
      <c r="NH42" s="209">
        <f>COUNTIF(Tableau134[dim.1516162],"&lt;&gt;"&amp;"A.")</f>
        <v>35</v>
      </c>
      <c r="NI42" s="209">
        <f>COUNTIF(Tableau134[lun.1617163],"&lt;&gt;"&amp;"A.")</f>
        <v>35</v>
      </c>
      <c r="NJ42" s="209">
        <f>COUNTIF(Tableau134[mar.1718164],"&lt;&gt;"&amp;"A.")</f>
        <v>35</v>
      </c>
      <c r="NK42" s="209">
        <f>COUNTIF(Tableau134[mer.1819165],"&lt;&gt;"&amp;"A.")</f>
        <v>35</v>
      </c>
      <c r="NL42" s="209">
        <f>COUNTIF(Tableau134[jeu.1920166],"&lt;&gt;"&amp;"A.")</f>
        <v>35</v>
      </c>
      <c r="NM42" s="209">
        <f>COUNTIF(Tableau134[ven.2021167],"&lt;&gt;"&amp;"A.")</f>
        <v>35</v>
      </c>
      <c r="NN42" s="231">
        <f>AVERAGE(NI42:NM42)</f>
        <v>35</v>
      </c>
      <c r="NO42" s="209">
        <f>COUNTIF(Tableau134[dim.2223169],"&lt;&gt;"&amp;"A.")</f>
        <v>35</v>
      </c>
      <c r="NP42" s="209">
        <f>COUNTIF(Tableau134[lun.2324170],"&lt;&gt;"&amp;"A.")</f>
        <v>35</v>
      </c>
      <c r="NQ42" s="209">
        <f>COUNTIF(Tableau134[mar.2425171],"&lt;&gt;"&amp;"A.")</f>
        <v>35</v>
      </c>
      <c r="NR42" s="209">
        <f>COUNTIF(Tableau134[mer.2526172],"&lt;&gt;"&amp;"A.")</f>
        <v>35</v>
      </c>
      <c r="NS42" s="209">
        <f>COUNTIF(Tableau134[jeu.2627173],"&lt;&gt;"&amp;"A.")</f>
        <v>35</v>
      </c>
      <c r="NT42" s="209">
        <f>COUNTIF(Tableau134[ven.2728174],"&lt;&gt;"&amp;"A.")</f>
        <v>35</v>
      </c>
      <c r="NU42" s="231">
        <f>AVERAGE(NP42:NT42)</f>
        <v>35</v>
      </c>
    </row>
    <row r="43" spans="4:385" x14ac:dyDescent="0.3">
      <c r="H43" s="213" t="s">
        <v>498</v>
      </c>
      <c r="I43" s="216">
        <f>COUNTIF(Tableau134[lun.10],"="&amp;"")</f>
        <v>35</v>
      </c>
      <c r="J43" s="210">
        <f>COUNTIF(Tableau134[mar.11],"="&amp;"")</f>
        <v>35</v>
      </c>
      <c r="K43" s="210">
        <f>COUNTIF(Tableau134[mer.12],"="&amp;"")</f>
        <v>35</v>
      </c>
      <c r="L43" s="210">
        <f>COUNTIF(Tableau134[jeu.13],"="&amp;"")</f>
        <v>35</v>
      </c>
      <c r="M43" s="210">
        <f>COUNTIF(Tableau134[ven.14],"="&amp;"")</f>
        <v>35</v>
      </c>
      <c r="N43" s="232">
        <f>AVERAGE(I43:M43)</f>
        <v>35</v>
      </c>
      <c r="O43" s="210">
        <f>COUNTIF(Tableau134[dim.16],"="&amp;"")</f>
        <v>35</v>
      </c>
      <c r="P43" s="210">
        <f>COUNTIF(Tableau134[lun.17],"="&amp;"")</f>
        <v>34</v>
      </c>
      <c r="Q43" s="210">
        <f>COUNTIF(Tableau134[mar.18],"="&amp;"")</f>
        <v>34</v>
      </c>
      <c r="R43" s="210">
        <f>COUNTIF(Tableau134[mer.19],"="&amp;"")</f>
        <v>34</v>
      </c>
      <c r="S43" s="210">
        <f>COUNTIF(Tableau134[jeu.20],"="&amp;"")</f>
        <v>33</v>
      </c>
      <c r="T43" s="210">
        <f>COUNTIF(Tableau134[ven.21],"="&amp;"")</f>
        <v>33</v>
      </c>
      <c r="U43" s="232">
        <f>AVERAGE(P43:T43)</f>
        <v>33.6</v>
      </c>
      <c r="V43" s="210">
        <f>COUNTIF(Tableau134[dim.23],"="&amp;"")</f>
        <v>35</v>
      </c>
      <c r="W43" s="210">
        <f>COUNTIF(Tableau134[lun.24],"="&amp;"")</f>
        <v>30</v>
      </c>
      <c r="X43" s="210">
        <f>COUNTIF(Tableau134[mar.25],"="&amp;"")</f>
        <v>30</v>
      </c>
      <c r="Y43" s="210">
        <f>COUNTIF(Tableau134[mer.26],"="&amp;"")</f>
        <v>30</v>
      </c>
      <c r="Z43" s="210">
        <f>COUNTIF(Tableau134[jeu.27],"="&amp;"")</f>
        <v>30</v>
      </c>
      <c r="AA43" s="210">
        <f>COUNTIF(Tableau134[ven.28],"="&amp;"")</f>
        <v>30</v>
      </c>
      <c r="AB43" s="232">
        <f>AVERAGE(W43:AA43)</f>
        <v>30</v>
      </c>
      <c r="AC43" s="210">
        <f>COUNTIF(Tableau134[dim.30],"="&amp;"")</f>
        <v>35</v>
      </c>
      <c r="AD43" s="210">
        <f>COUNTIF(Tableau134[lun.01],"="&amp;"")</f>
        <v>28</v>
      </c>
      <c r="AE43" s="210">
        <f>COUNTIF(Tableau134[mar.02],"="&amp;"")</f>
        <v>28</v>
      </c>
      <c r="AF43" s="210">
        <f>COUNTIF(Tableau134[mer.03],"="&amp;"")</f>
        <v>28</v>
      </c>
      <c r="AG43" s="210">
        <f>COUNTIF(Tableau134[jeu.04],"="&amp;"")</f>
        <v>28</v>
      </c>
      <c r="AH43" s="210">
        <f>COUNTIF(Tableau134[ven.05],"="&amp;"")</f>
        <v>28</v>
      </c>
      <c r="AI43" s="232">
        <f>AVERAGE(AD43:AH43)</f>
        <v>28</v>
      </c>
      <c r="AJ43" s="210">
        <f>COUNTIF(Tableau134[dim.07],"="&amp;"")</f>
        <v>35</v>
      </c>
      <c r="AK43" s="210">
        <f>COUNTIF(Tableau134[lun.08],"="&amp;"")</f>
        <v>28</v>
      </c>
      <c r="AL43" s="210">
        <f>COUNTIF(Tableau134[mar.09],"="&amp;"")</f>
        <v>28</v>
      </c>
      <c r="AM43" s="210">
        <f>COUNTIF(Tableau134[mer.10],"="&amp;"")</f>
        <v>28</v>
      </c>
      <c r="AN43" s="210">
        <f>COUNTIF(Tableau134[jeu.11],"="&amp;"")</f>
        <v>28</v>
      </c>
      <c r="AO43" s="210">
        <f>COUNTIF(Tableau134[ven.12],"="&amp;"")</f>
        <v>28</v>
      </c>
      <c r="AP43" s="232">
        <f>AVERAGE(AK43:AO43)</f>
        <v>28</v>
      </c>
      <c r="AQ43" s="210">
        <f>COUNTIF(Tableau134[dim.14],"="&amp;"")</f>
        <v>34</v>
      </c>
      <c r="AR43" s="210">
        <f>COUNTIF(Tableau134[lun.15],"="&amp;"")</f>
        <v>30</v>
      </c>
      <c r="AS43" s="210">
        <f>COUNTIF(Tableau134[mar.16],"="&amp;"")</f>
        <v>30</v>
      </c>
      <c r="AT43" s="210">
        <f>COUNTIF(Tableau134[mer.17],"="&amp;"")</f>
        <v>30</v>
      </c>
      <c r="AU43" s="210">
        <f>COUNTIF(Tableau134[jeu.18],"="&amp;"")</f>
        <v>30</v>
      </c>
      <c r="AV43" s="210">
        <f>COUNTIF(Tableau134[ven.19],"="&amp;"")</f>
        <v>30</v>
      </c>
      <c r="AW43" s="232">
        <f>AVERAGE(AR43:AV43)</f>
        <v>30</v>
      </c>
      <c r="AX43" s="210">
        <f>COUNTIF(Tableau134[dim.21],"="&amp;"")</f>
        <v>34</v>
      </c>
      <c r="AY43" s="210">
        <f>COUNTIF(Tableau134[lun.22],"="&amp;"")</f>
        <v>29</v>
      </c>
      <c r="AZ43" s="210">
        <f>COUNTIF(Tableau134[mar.23],"="&amp;"")</f>
        <v>29</v>
      </c>
      <c r="BA43" s="210">
        <f>COUNTIF(Tableau134[mer.24],"="&amp;"")</f>
        <v>29</v>
      </c>
      <c r="BB43" s="210">
        <f>COUNTIF(Tableau134[jeu.25],"="&amp;"")</f>
        <v>29</v>
      </c>
      <c r="BC43" s="210">
        <f>COUNTIF(Tableau134[ven.26],"="&amp;"")</f>
        <v>29</v>
      </c>
      <c r="BD43" s="232">
        <f>AVERAGE(AY43:BC43)</f>
        <v>29</v>
      </c>
      <c r="BE43" s="210">
        <f>COUNTIF(Tableau134[dim.28],"="&amp;"")</f>
        <v>33</v>
      </c>
      <c r="BF43" s="210">
        <f>COUNTIF(Tableau134[lun.29],"="&amp;"")</f>
        <v>28</v>
      </c>
      <c r="BG43" s="210">
        <f>COUNTIF(Tableau134[mar.30],"="&amp;"")</f>
        <v>28</v>
      </c>
      <c r="BH43" s="210">
        <f>COUNTIF(Tableau134[mer.31],"="&amp;"")</f>
        <v>28</v>
      </c>
      <c r="BI43" s="210">
        <f>COUNTIF(Tableau134[jeu.01],"="&amp;"")</f>
        <v>28</v>
      </c>
      <c r="BJ43" s="210">
        <f>COUNTIF(Tableau134[ven.02],"="&amp;"")</f>
        <v>28</v>
      </c>
      <c r="BK43" s="232">
        <f>AVERAGE(BF43:BJ43)</f>
        <v>28</v>
      </c>
      <c r="BL43" s="210">
        <f>COUNTIF(Tableau134[dim.04],"="&amp;"")</f>
        <v>33</v>
      </c>
      <c r="BM43" s="210">
        <f>COUNTIF(Tableau134[lun.05],"="&amp;"")</f>
        <v>32</v>
      </c>
      <c r="BN43" s="210">
        <f>COUNTIF(Tableau134[mar.06],"="&amp;"")</f>
        <v>32</v>
      </c>
      <c r="BO43" s="210">
        <f>COUNTIF(Tableau134[mer.07],"="&amp;"")</f>
        <v>32</v>
      </c>
      <c r="BP43" s="210">
        <f>COUNTIF(Tableau134[jeu.08],"="&amp;"")</f>
        <v>32</v>
      </c>
      <c r="BQ43" s="210">
        <f>COUNTIF(Tableau134[ven.09],"="&amp;"")</f>
        <v>32</v>
      </c>
      <c r="BR43" s="232">
        <f>AVERAGE(BM43:BQ43)</f>
        <v>32</v>
      </c>
      <c r="BS43" s="210">
        <f>COUNTIF(Tableau134[dim.11],"="&amp;"")</f>
        <v>32</v>
      </c>
      <c r="BT43" s="210">
        <f>COUNTIF(Tableau134[lun.12],"="&amp;"")</f>
        <v>32</v>
      </c>
      <c r="BU43" s="210">
        <f>COUNTIF(Tableau134[mar.13],"="&amp;"")</f>
        <v>32</v>
      </c>
      <c r="BV43" s="210">
        <f>COUNTIF(Tableau134[mer.14],"="&amp;"")</f>
        <v>32</v>
      </c>
      <c r="BW43" s="210">
        <f>COUNTIF(Tableau134[jeu.15],"="&amp;"")</f>
        <v>32</v>
      </c>
      <c r="BX43" s="210">
        <f>COUNTIF(Tableau134[ven.16],"="&amp;"")</f>
        <v>32</v>
      </c>
      <c r="BY43" s="232">
        <f>AVERAGE(BT43:BX43)</f>
        <v>32</v>
      </c>
      <c r="BZ43" s="210">
        <f>COUNTIF(Tableau134[dim.18],"="&amp;"")</f>
        <v>34</v>
      </c>
      <c r="CA43" s="210">
        <f>COUNTIF(Tableau134[lun.19],"="&amp;"")</f>
        <v>30</v>
      </c>
      <c r="CB43" s="210">
        <f>COUNTIF(Tableau134[mar.20],"="&amp;"")</f>
        <v>30</v>
      </c>
      <c r="CC43" s="210">
        <f>COUNTIF(Tableau134[mer.21],"="&amp;"")</f>
        <v>30</v>
      </c>
      <c r="CD43" s="210">
        <f>COUNTIF(Tableau134[jeu.22],"="&amp;"")</f>
        <v>30</v>
      </c>
      <c r="CE43" s="210">
        <f>COUNTIF(Tableau134[ven.23],"="&amp;"")</f>
        <v>30</v>
      </c>
      <c r="CF43" s="232">
        <f>AVERAGE(CA43:CE43)</f>
        <v>30</v>
      </c>
      <c r="CG43" s="210">
        <f>COUNTIF(Tableau134[dim.25],"="&amp;"")</f>
        <v>32</v>
      </c>
      <c r="CH43" s="210">
        <f>COUNTIF(Tableau134[lun.26],"="&amp;"")</f>
        <v>28</v>
      </c>
      <c r="CI43" s="210">
        <f>COUNTIF(Tableau134[mar.27],"="&amp;"")</f>
        <v>28</v>
      </c>
      <c r="CJ43" s="210">
        <f>COUNTIF(Tableau134[mer.28],"="&amp;"")</f>
        <v>28</v>
      </c>
      <c r="CK43" s="210">
        <f>COUNTIF(Tableau134[jeu.29],"="&amp;"")</f>
        <v>28</v>
      </c>
      <c r="CL43" s="210">
        <f>COUNTIF(Tableau134[ven.30],"="&amp;"")</f>
        <v>28</v>
      </c>
      <c r="CM43" s="232">
        <f>AVERAGE(CH43:CL43)</f>
        <v>28</v>
      </c>
      <c r="CN43" s="210">
        <f>COUNTIF(Tableau134[dim.01],"="&amp;"")</f>
        <v>34</v>
      </c>
      <c r="CO43" s="210">
        <f>COUNTIF(Tableau134[lun.02],"="&amp;"")</f>
        <v>31</v>
      </c>
      <c r="CP43" s="210">
        <f>COUNTIF(Tableau134[mar.03],"="&amp;"")</f>
        <v>31</v>
      </c>
      <c r="CQ43" s="210">
        <f>COUNTIF(Tableau134[mer.04],"="&amp;"")</f>
        <v>31</v>
      </c>
      <c r="CR43" s="210">
        <f>COUNTIF(Tableau134[jeu.05],"="&amp;"")</f>
        <v>31</v>
      </c>
      <c r="CS43" s="210">
        <f>COUNTIF(Tableau134[ven.06],"="&amp;"")</f>
        <v>31</v>
      </c>
      <c r="CT43" s="232">
        <f>AVERAGE(CO43:CS43)</f>
        <v>31</v>
      </c>
      <c r="CU43" s="210">
        <f>COUNTIF(Tableau134[dim.08],"="&amp;"")</f>
        <v>34</v>
      </c>
      <c r="CV43" s="210">
        <f>COUNTIF(Tableau134[lun.09],"="&amp;"")</f>
        <v>32</v>
      </c>
      <c r="CW43" s="210">
        <f>COUNTIF(Tableau134[mar.10],"="&amp;"")</f>
        <v>32</v>
      </c>
      <c r="CX43" s="210">
        <f>COUNTIF(Tableau134[mer.11],"="&amp;"")</f>
        <v>32</v>
      </c>
      <c r="CY43" s="210">
        <f>COUNTIF(Tableau134[jeu.12],"="&amp;"")</f>
        <v>32</v>
      </c>
      <c r="CZ43" s="210">
        <f>COUNTIF(Tableau134[ven.13],"="&amp;"")</f>
        <v>32</v>
      </c>
      <c r="DA43" s="232">
        <f>AVERAGE(CV43:CZ43)</f>
        <v>32</v>
      </c>
      <c r="DB43" s="210">
        <f>COUNTIF(Tableau134[dim.15],"="&amp;"")</f>
        <v>35</v>
      </c>
      <c r="DC43" s="210">
        <f>COUNTIF(Tableau134[lun.16],"="&amp;"")</f>
        <v>29</v>
      </c>
      <c r="DD43" s="210">
        <f>COUNTIF(Tableau134[mar.17],"="&amp;"")</f>
        <v>29</v>
      </c>
      <c r="DE43" s="210">
        <f>COUNTIF(Tableau134[mer.18],"="&amp;"")</f>
        <v>29</v>
      </c>
      <c r="DF43" s="210">
        <f>COUNTIF(Tableau134[jeu.19],"="&amp;"")</f>
        <v>29</v>
      </c>
      <c r="DG43" s="210">
        <f>COUNTIF(Tableau134[ven.20],"="&amp;"")</f>
        <v>29</v>
      </c>
      <c r="DH43" s="232">
        <f>AVERAGE(DC43:DG43)</f>
        <v>29</v>
      </c>
      <c r="DI43" s="210">
        <f>COUNTIF(Tableau134[dim.22],"="&amp;"")</f>
        <v>35</v>
      </c>
      <c r="DJ43" s="210">
        <f>COUNTIF(Tableau134[lun.23],"="&amp;"")</f>
        <v>23</v>
      </c>
      <c r="DK43" s="210">
        <f>COUNTIF(Tableau134[mar.24],"="&amp;"")</f>
        <v>23</v>
      </c>
      <c r="DL43" s="210">
        <f>COUNTIF(Tableau134[mer.25],"="&amp;"")</f>
        <v>23</v>
      </c>
      <c r="DM43" s="210">
        <f>COUNTIF(Tableau134[jeu.26],"="&amp;"")</f>
        <v>23</v>
      </c>
      <c r="DN43" s="210">
        <f>COUNTIF(Tableau134[ven.27],"="&amp;"")</f>
        <v>23</v>
      </c>
      <c r="DO43" s="232">
        <f>AVERAGE(DJ43:DN43)</f>
        <v>23</v>
      </c>
      <c r="DP43" s="210">
        <f>COUNTIF(Tableau134[dim.29],"="&amp;"")</f>
        <v>35</v>
      </c>
      <c r="DQ43" s="210">
        <f>COUNTIF(Tableau134[lun.30],"="&amp;"")</f>
        <v>8</v>
      </c>
      <c r="DR43" s="210">
        <f>COUNTIF(Tableau134[mar.01],"="&amp;"")</f>
        <v>29</v>
      </c>
      <c r="DS43" s="210">
        <f>COUNTIF(Tableau134[mer.02],"="&amp;"")</f>
        <v>29</v>
      </c>
      <c r="DT43" s="210">
        <f>COUNTIF(Tableau134[jeu.03],"="&amp;"")</f>
        <v>29</v>
      </c>
      <c r="DU43" s="210">
        <f>COUNTIF(Tableau134[ven.04],"="&amp;"")</f>
        <v>29</v>
      </c>
      <c r="DV43" s="232">
        <f>AVERAGE(DQ43:DU43)</f>
        <v>24.8</v>
      </c>
      <c r="DW43" s="210">
        <f>COUNTIF(Tableau134[dim.06],"="&amp;"")</f>
        <v>35</v>
      </c>
      <c r="DX43" s="210">
        <f>COUNTIF(Tableau134[lun.07],"="&amp;"")</f>
        <v>29</v>
      </c>
      <c r="DY43" s="210">
        <f>COUNTIF(Tableau134[mar.08],"="&amp;"")</f>
        <v>29</v>
      </c>
      <c r="DZ43" s="210">
        <f>COUNTIF(Tableau134[mer.09],"="&amp;"")</f>
        <v>29</v>
      </c>
      <c r="EA43" s="210">
        <f>COUNTIF(Tableau134[jeu.10],"="&amp;"")</f>
        <v>8</v>
      </c>
      <c r="EB43" s="210">
        <f>COUNTIF(Tableau134[ven.11],"="&amp;"")</f>
        <v>29</v>
      </c>
      <c r="EC43" s="232">
        <f>AVERAGE(DX43:EB43)</f>
        <v>24.8</v>
      </c>
      <c r="ED43" s="210">
        <f>COUNTIF(Tableau134[dim.13],"="&amp;"")</f>
        <v>35</v>
      </c>
      <c r="EE43" s="210">
        <f>COUNTIF(Tableau134[lun.14],"="&amp;"")</f>
        <v>28</v>
      </c>
      <c r="EF43" s="210">
        <f>COUNTIF(Tableau134[mar.15],"="&amp;"")</f>
        <v>28</v>
      </c>
      <c r="EG43" s="210">
        <f>COUNTIF(Tableau134[mer.16],"="&amp;"")</f>
        <v>28</v>
      </c>
      <c r="EH43" s="210">
        <f>COUNTIF(Tableau134[jeu.17],"="&amp;"")</f>
        <v>28</v>
      </c>
      <c r="EI43" s="210">
        <f>COUNTIF(Tableau134[ven.18],"="&amp;"")</f>
        <v>28</v>
      </c>
      <c r="EJ43" s="232">
        <f>AVERAGE(EE43:EI43)</f>
        <v>28</v>
      </c>
      <c r="EK43" s="210">
        <f>COUNTIF(Tableau134[dim.20],"="&amp;"")</f>
        <v>35</v>
      </c>
      <c r="EL43" s="210">
        <f>COUNTIF(Tableau134[lun.21],"="&amp;"")</f>
        <v>29</v>
      </c>
      <c r="EM43" s="210">
        <f>COUNTIF(Tableau134[mar.22],"="&amp;"")</f>
        <v>29</v>
      </c>
      <c r="EN43" s="210">
        <f>COUNTIF(Tableau134[mer.23],"="&amp;"")</f>
        <v>29</v>
      </c>
      <c r="EO43" s="210">
        <f>COUNTIF(Tableau134[jeu.24],"="&amp;"")</f>
        <v>29</v>
      </c>
      <c r="EP43" s="210">
        <f>COUNTIF(Tableau134[ven.25],"="&amp;"")</f>
        <v>29</v>
      </c>
      <c r="EQ43" s="232">
        <f>AVERAGE(EL43:EP43)</f>
        <v>29</v>
      </c>
      <c r="ER43" s="210">
        <f>COUNTIF(Tableau134[dim.27],"="&amp;"")</f>
        <v>35</v>
      </c>
      <c r="ES43" s="210">
        <f>COUNTIF(Tableau134[lun.28],"="&amp;"")</f>
        <v>30</v>
      </c>
      <c r="ET43" s="210">
        <f>COUNTIF(Tableau134[mar.29],"="&amp;"")</f>
        <v>30</v>
      </c>
      <c r="EU43" s="210">
        <f>COUNTIF(Tableau134[mer.30],"="&amp;"")</f>
        <v>30</v>
      </c>
      <c r="EV43" s="210">
        <f>COUNTIF(Tableau134[jeu.31],"="&amp;"")</f>
        <v>30</v>
      </c>
      <c r="EW43" s="210">
        <f>COUNTIF(Tableau134[ven.01],"="&amp;"")</f>
        <v>30</v>
      </c>
      <c r="EX43" s="232">
        <f>AVERAGE(ES43:EW43)</f>
        <v>30</v>
      </c>
      <c r="EY43" s="210">
        <f>COUNTIF(Tableau134[dim.03],"="&amp;"")</f>
        <v>35</v>
      </c>
      <c r="EZ43" s="210">
        <f>COUNTIF(Tableau134[lun.04],"="&amp;"")</f>
        <v>29</v>
      </c>
      <c r="FA43" s="210">
        <f>COUNTIF(Tableau134[mar.05],"="&amp;"")</f>
        <v>29</v>
      </c>
      <c r="FB43" s="210">
        <f>COUNTIF(Tableau134[mer.06],"="&amp;"")</f>
        <v>29</v>
      </c>
      <c r="FC43" s="210">
        <f>COUNTIF(Tableau134[jeu.07],"="&amp;"")</f>
        <v>29</v>
      </c>
      <c r="FD43" s="210">
        <f>COUNTIF(Tableau134[ven.08],"="&amp;"")</f>
        <v>29</v>
      </c>
      <c r="FE43" s="232">
        <f>AVERAGE(EZ43:FD43)</f>
        <v>29</v>
      </c>
      <c r="FF43" s="210">
        <f>COUNTIF(Tableau134[dim.10],"="&amp;"")</f>
        <v>35</v>
      </c>
      <c r="FG43" s="210">
        <f>COUNTIF(Tableau134[lun.11],"="&amp;"")</f>
        <v>29</v>
      </c>
      <c r="FH43" s="210">
        <f>COUNTIF(Tableau134[mar.12],"="&amp;"")</f>
        <v>29</v>
      </c>
      <c r="FI43" s="210">
        <f>COUNTIF(Tableau134[mer.13],"="&amp;"")</f>
        <v>29</v>
      </c>
      <c r="FJ43" s="210">
        <f>COUNTIF(Tableau134[jeu.14],"="&amp;"")</f>
        <v>29</v>
      </c>
      <c r="FK43" s="210">
        <f>COUNTIF(Tableau134[ven.15],"="&amp;"")</f>
        <v>29</v>
      </c>
      <c r="FL43" s="232">
        <f>AVERAGE(FG43:FK43)</f>
        <v>29</v>
      </c>
      <c r="FM43" s="210">
        <f>COUNTIF(Tableau134[dim.17],"="&amp;"")</f>
        <v>35</v>
      </c>
      <c r="FN43" s="210">
        <f>COUNTIF(Tableau134[lun.18],"="&amp;"")</f>
        <v>8</v>
      </c>
      <c r="FO43" s="210">
        <f>COUNTIF(Tableau134[mar.19],"="&amp;"")</f>
        <v>29</v>
      </c>
      <c r="FP43" s="210">
        <f>COUNTIF(Tableau134[mer.20],"="&amp;"")</f>
        <v>29</v>
      </c>
      <c r="FQ43" s="210">
        <f>COUNTIF(Tableau134[jeu.21],"="&amp;"")</f>
        <v>29</v>
      </c>
      <c r="FR43" s="210">
        <f>COUNTIF(Tableau134[ven.22],"="&amp;"")</f>
        <v>29</v>
      </c>
      <c r="FS43" s="232">
        <f>AVERAGE(FN43:FR43)</f>
        <v>24.8</v>
      </c>
      <c r="FT43" s="210">
        <f>COUNTIF(Tableau134[dim.24],"="&amp;"")</f>
        <v>35</v>
      </c>
      <c r="FU43" s="210">
        <f>COUNTIF(Tableau134[lun.25],"="&amp;"")</f>
        <v>29</v>
      </c>
      <c r="FV43" s="210">
        <f>COUNTIF(Tableau134[mar.26],"="&amp;"")</f>
        <v>29</v>
      </c>
      <c r="FW43" s="210">
        <f>COUNTIF(Tableau134[mer.27],"="&amp;"")</f>
        <v>29</v>
      </c>
      <c r="FX43" s="210">
        <f>COUNTIF(Tableau134[jeu.28],"="&amp;"")</f>
        <v>29</v>
      </c>
      <c r="FY43" s="210">
        <f>COUNTIF(Tableau134[ven.29],"="&amp;"")</f>
        <v>29</v>
      </c>
      <c r="FZ43" s="232">
        <f>AVERAGE(FU43:FY43)</f>
        <v>29</v>
      </c>
      <c r="GA43" s="210">
        <f>COUNTIF(Tableau134[dim.012],"="&amp;"")</f>
        <v>35</v>
      </c>
      <c r="GB43" s="210">
        <f>COUNTIF(Tableau134[lun.023],"="&amp;"")</f>
        <v>29</v>
      </c>
      <c r="GC43" s="210">
        <f>COUNTIF(Tableau134[mar.034],"="&amp;"")</f>
        <v>29</v>
      </c>
      <c r="GD43" s="210">
        <f>COUNTIF(Tableau134[mer.045],"="&amp;"")</f>
        <v>29</v>
      </c>
      <c r="GE43" s="210">
        <f>COUNTIF(Tableau134[jeu.056],"="&amp;"")</f>
        <v>29</v>
      </c>
      <c r="GF43" s="210">
        <f>COUNTIF(Tableau134[ven.067],"="&amp;"")</f>
        <v>29</v>
      </c>
      <c r="GG43" s="232">
        <f>AVERAGE(GB43:GF43)</f>
        <v>29</v>
      </c>
      <c r="GH43" s="210">
        <f>COUNTIF(Tableau134[dim.089],"="&amp;"")</f>
        <v>35</v>
      </c>
      <c r="GI43" s="210">
        <f>COUNTIF(Tableau134[lun.0910],"="&amp;"")</f>
        <v>29</v>
      </c>
      <c r="GJ43" s="210">
        <f>COUNTIF(Tableau134[mar.1011],"="&amp;"")</f>
        <v>29</v>
      </c>
      <c r="GK43" s="210">
        <f>COUNTIF(Tableau134[mer.1112],"="&amp;"")</f>
        <v>29</v>
      </c>
      <c r="GL43" s="210">
        <f>COUNTIF(Tableau134[jeu.1213],"="&amp;"")</f>
        <v>29</v>
      </c>
      <c r="GM43" s="210">
        <f>COUNTIF(Tableau134[ven.1314],"="&amp;"")</f>
        <v>29</v>
      </c>
      <c r="GN43" s="232">
        <f>AVERAGE(GI43:GM43)</f>
        <v>29</v>
      </c>
      <c r="GO43" s="210">
        <f>COUNTIF(Tableau134[dim.1516],"="&amp;"")</f>
        <v>35</v>
      </c>
      <c r="GP43" s="210">
        <f>COUNTIF(Tableau134[lun.1617],"="&amp;"")</f>
        <v>27</v>
      </c>
      <c r="GQ43" s="210">
        <f>COUNTIF(Tableau134[mar.1718],"="&amp;"")</f>
        <v>27</v>
      </c>
      <c r="GR43" s="210">
        <f>COUNTIF(Tableau134[mer.1819],"="&amp;"")</f>
        <v>27</v>
      </c>
      <c r="GS43" s="210">
        <f>COUNTIF(Tableau134[jeu.1920],"="&amp;"")</f>
        <v>27</v>
      </c>
      <c r="GT43" s="210">
        <f>COUNTIF(Tableau134[ven.2021],"="&amp;"")</f>
        <v>27</v>
      </c>
      <c r="GU43" s="232">
        <f>AVERAGE(GP43:GT43)</f>
        <v>27</v>
      </c>
      <c r="GV43" s="210">
        <f>COUNTIF(Tableau134[dim.2223],"="&amp;"")</f>
        <v>35</v>
      </c>
      <c r="GW43" s="210">
        <f>COUNTIF(Tableau134[lun.2324],"="&amp;"")</f>
        <v>0</v>
      </c>
      <c r="GX43" s="210">
        <f>COUNTIF(Tableau134[mar.2425],"="&amp;"")</f>
        <v>24</v>
      </c>
      <c r="GY43" s="210">
        <f>COUNTIF(Tableau134[mer.2526],"="&amp;"")</f>
        <v>24</v>
      </c>
      <c r="GZ43" s="210">
        <f>COUNTIF(Tableau134[jeu.2627],"="&amp;"")</f>
        <v>24</v>
      </c>
      <c r="HA43" s="210">
        <f>COUNTIF(Tableau134[ven.2728],"="&amp;"")</f>
        <v>24</v>
      </c>
      <c r="HB43" s="232">
        <f>AVERAGE(GW43:HA43)</f>
        <v>19.2</v>
      </c>
      <c r="HC43" s="210">
        <f>COUNTIF(Tableau134[dim.2930],"="&amp;"")</f>
        <v>35</v>
      </c>
      <c r="HD43" s="210">
        <f>COUNTIF(Tableau134[lun.082],"="&amp;"")</f>
        <v>25</v>
      </c>
      <c r="HE43" s="210">
        <f>COUNTIF(Tableau134[mar.093],"="&amp;"")</f>
        <v>25</v>
      </c>
      <c r="HF43" s="210">
        <f>COUNTIF(Tableau134[mer.104],"="&amp;"")</f>
        <v>25</v>
      </c>
      <c r="HG43" s="210">
        <f>COUNTIF(Tableau134[jeu.115],"="&amp;"")</f>
        <v>25</v>
      </c>
      <c r="HH43" s="210">
        <f>COUNTIF(Tableau134[ven.126],"="&amp;"")</f>
        <v>25</v>
      </c>
      <c r="HI43" s="232">
        <f>AVERAGE(HD43:HH43)</f>
        <v>25</v>
      </c>
      <c r="HJ43" s="210">
        <f>COUNTIF(Tableau134[dim.148],"="&amp;"")</f>
        <v>35</v>
      </c>
      <c r="HK43" s="210">
        <f>COUNTIF(Tableau134[lun.159],"="&amp;"")</f>
        <v>23</v>
      </c>
      <c r="HL43" s="210">
        <f>COUNTIF(Tableau134[mar.1610],"="&amp;"")</f>
        <v>23</v>
      </c>
      <c r="HM43" s="210">
        <f>COUNTIF(Tableau134[mer.1711],"="&amp;"")</f>
        <v>23</v>
      </c>
      <c r="HN43" s="210">
        <f>COUNTIF(Tableau134[jeu.1812],"="&amp;"")</f>
        <v>23</v>
      </c>
      <c r="HO43" s="210">
        <f>COUNTIF(Tableau134[ven.1913],"="&amp;"")</f>
        <v>23</v>
      </c>
      <c r="HP43" s="232">
        <f>AVERAGE(HK43:HO43)</f>
        <v>23</v>
      </c>
      <c r="HQ43" s="210">
        <f>COUNTIF(Tableau134[dim.2115],"="&amp;"")</f>
        <v>35</v>
      </c>
      <c r="HR43" s="210">
        <f>COUNTIF(Tableau134[lun.2216],"="&amp;"")</f>
        <v>22</v>
      </c>
      <c r="HS43" s="210">
        <f>COUNTIF(Tableau134[mar.2317],"="&amp;"")</f>
        <v>22</v>
      </c>
      <c r="HT43" s="210">
        <f>COUNTIF(Tableau134[mer.2418],"="&amp;"")</f>
        <v>22</v>
      </c>
      <c r="HU43" s="210">
        <f>COUNTIF(Tableau134[jeu.2519],"="&amp;"")</f>
        <v>22</v>
      </c>
      <c r="HV43" s="210">
        <f>COUNTIF(Tableau134[ven.2620],"="&amp;"")</f>
        <v>22</v>
      </c>
      <c r="HW43" s="232">
        <f>AVERAGE(HR43:HV43)</f>
        <v>22</v>
      </c>
      <c r="HX43" s="210">
        <f>COUNTIF(Tableau134[dim.2822],"="&amp;"")</f>
        <v>35</v>
      </c>
      <c r="HY43" s="210">
        <f>COUNTIF(Tableau134[lun.2923],"="&amp;"")</f>
        <v>22</v>
      </c>
      <c r="HZ43" s="210">
        <f>COUNTIF(Tableau134[mar.3024],"="&amp;"")</f>
        <v>22</v>
      </c>
      <c r="IA43" s="210">
        <f>COUNTIF(Tableau134[mer.3125],"="&amp;"")</f>
        <v>22</v>
      </c>
      <c r="IB43" s="210">
        <f>COUNTIF(Tableau134[jeu.0126],"="&amp;"")</f>
        <v>22</v>
      </c>
      <c r="IC43" s="210">
        <f>COUNTIF(Tableau134[ven.0227],"="&amp;"")</f>
        <v>22</v>
      </c>
      <c r="ID43" s="232">
        <f>AVERAGE(HY43:IC43)</f>
        <v>22</v>
      </c>
      <c r="IE43" s="210">
        <f>COUNTIF(Tableau134[dim.0429],"="&amp;"")</f>
        <v>35</v>
      </c>
      <c r="IF43" s="210">
        <f>COUNTIF(Tableau134[lun.0530],"="&amp;"")</f>
        <v>26</v>
      </c>
      <c r="IG43" s="210">
        <f>COUNTIF(Tableau134[mar.0631],"="&amp;"")</f>
        <v>26</v>
      </c>
      <c r="IH43" s="210">
        <f>COUNTIF(Tableau134[mer.0732],"="&amp;"")</f>
        <v>26</v>
      </c>
      <c r="II43" s="210">
        <f>COUNTIF(Tableau134[jeu.0833],"="&amp;"")</f>
        <v>26</v>
      </c>
      <c r="IJ43" s="210">
        <f>COUNTIF(Tableau134[ven.0934],"="&amp;"")</f>
        <v>26</v>
      </c>
      <c r="IK43" s="232">
        <f>AVERAGE(IF43:IJ43)</f>
        <v>26</v>
      </c>
      <c r="IL43" s="210">
        <f>COUNTIF(Tableau134[dim.1136],"="&amp;"")</f>
        <v>35</v>
      </c>
      <c r="IM43" s="210">
        <f>COUNTIF(Tableau134[lun.1237],"="&amp;"")</f>
        <v>29</v>
      </c>
      <c r="IN43" s="210">
        <f>COUNTIF(Tableau134[mar.1338],"="&amp;"")</f>
        <v>29</v>
      </c>
      <c r="IO43" s="210">
        <f>COUNTIF(Tableau134[mer.1439],"="&amp;"")</f>
        <v>29</v>
      </c>
      <c r="IP43" s="210">
        <f>COUNTIF(Tableau134[jeu.1540],"="&amp;"")</f>
        <v>29</v>
      </c>
      <c r="IQ43" s="210">
        <f>COUNTIF(Tableau134[ven.1641],"="&amp;"")</f>
        <v>29</v>
      </c>
      <c r="IR43" s="232">
        <f>AVERAGE(IM43:IQ43)</f>
        <v>29</v>
      </c>
      <c r="IS43" s="210">
        <f>COUNTIF(Tableau134[dim.1843],"="&amp;"")</f>
        <v>35</v>
      </c>
      <c r="IT43" s="210">
        <f>COUNTIF(Tableau134[lun.1944],"="&amp;"")</f>
        <v>30</v>
      </c>
      <c r="IU43" s="210">
        <f>COUNTIF(Tableau134[mar.2045],"="&amp;"")</f>
        <v>30</v>
      </c>
      <c r="IV43" s="210">
        <f>COUNTIF(Tableau134[mer.2146],"="&amp;"")</f>
        <v>30</v>
      </c>
      <c r="IW43" s="210">
        <f>COUNTIF(Tableau134[jeu.2247],"="&amp;"")</f>
        <v>30</v>
      </c>
      <c r="IX43" s="210">
        <f>COUNTIF(Tableau134[ven.2348],"="&amp;"")</f>
        <v>30</v>
      </c>
      <c r="IY43" s="232">
        <f>AVERAGE(IT43:IX43)</f>
        <v>30</v>
      </c>
      <c r="IZ43" s="210">
        <f>COUNTIF(Tableau134[dim.2550],"="&amp;"")</f>
        <v>35</v>
      </c>
      <c r="JA43" s="210">
        <f>COUNTIF(Tableau134[lun.2651],"="&amp;"")</f>
        <v>28</v>
      </c>
      <c r="JB43" s="210">
        <f>COUNTIF(Tableau134[mar.2752],"="&amp;"")</f>
        <v>28</v>
      </c>
      <c r="JC43" s="210">
        <f>COUNTIF(Tableau134[mer.2853],"="&amp;"")</f>
        <v>28</v>
      </c>
      <c r="JD43" s="210">
        <f>COUNTIF(Tableau134[jeu.2954],"="&amp;"")</f>
        <v>28</v>
      </c>
      <c r="JE43" s="210">
        <f>COUNTIF(Tableau134[ven.3055],"="&amp;"")</f>
        <v>28</v>
      </c>
      <c r="JF43" s="232">
        <f>AVERAGE(JA43:JE43)</f>
        <v>28</v>
      </c>
      <c r="JG43" s="210">
        <f>COUNTIF(Tableau134[dim.0157],"="&amp;"")</f>
        <v>35</v>
      </c>
      <c r="JH43" s="210">
        <f>COUNTIF(Tableau134[lun.0258],"="&amp;"")</f>
        <v>32</v>
      </c>
      <c r="JI43" s="210">
        <f>COUNTIF(Tableau134[mar.0359],"="&amp;"")</f>
        <v>32</v>
      </c>
      <c r="JJ43" s="210">
        <f>COUNTIF(Tableau134[mer.0460],"="&amp;"")</f>
        <v>32</v>
      </c>
      <c r="JK43" s="210">
        <f>COUNTIF(Tableau134[jeu.0561],"="&amp;"")</f>
        <v>32</v>
      </c>
      <c r="JL43" s="210">
        <f>COUNTIF(Tableau134[ven.0662],"="&amp;"")</f>
        <v>32</v>
      </c>
      <c r="JM43" s="232">
        <f>AVERAGE(JH43:JL43)</f>
        <v>32</v>
      </c>
      <c r="JN43" s="210">
        <f>COUNTIF(Tableau134[dim.0864],"="&amp;"")</f>
        <v>35</v>
      </c>
      <c r="JO43" s="210">
        <f>COUNTIF(Tableau134[lun.0965],"="&amp;"")</f>
        <v>34</v>
      </c>
      <c r="JP43" s="210">
        <f>COUNTIF(Tableau134[mar.1066],"="&amp;"")</f>
        <v>34</v>
      </c>
      <c r="JQ43" s="210">
        <f>COUNTIF(Tableau134[mer.1167],"="&amp;"")</f>
        <v>34</v>
      </c>
      <c r="JR43" s="210">
        <f>COUNTIF(Tableau134[jeu.1268],"="&amp;"")</f>
        <v>34</v>
      </c>
      <c r="JS43" s="210">
        <f>COUNTIF(Tableau134[ven.1369],"="&amp;"")</f>
        <v>34</v>
      </c>
      <c r="JT43" s="232">
        <f>AVERAGE(JO43:JS43)</f>
        <v>34</v>
      </c>
      <c r="JU43" s="210">
        <f>COUNTIF(Tableau134[dim.1571],"="&amp;"")</f>
        <v>35</v>
      </c>
      <c r="JV43" s="210">
        <f>COUNTIF(Tableau134[lun.1672],"="&amp;"")</f>
        <v>35</v>
      </c>
      <c r="JW43" s="210">
        <f>COUNTIF(Tableau134[mar.1773],"="&amp;"")</f>
        <v>35</v>
      </c>
      <c r="JX43" s="210">
        <f>COUNTIF(Tableau134[mer.1874],"="&amp;"")</f>
        <v>35</v>
      </c>
      <c r="JY43" s="210">
        <f>COUNTIF(Tableau134[jeu.1975],"="&amp;"")</f>
        <v>35</v>
      </c>
      <c r="JZ43" s="210">
        <f>COUNTIF(Tableau134[ven.2076],"="&amp;"")</f>
        <v>35</v>
      </c>
      <c r="KA43" s="232">
        <f>AVERAGE(JV43:JZ43)</f>
        <v>35</v>
      </c>
      <c r="KB43" s="210">
        <f>COUNTIF(Tableau134[dim.2278],"="&amp;"")</f>
        <v>35</v>
      </c>
      <c r="KC43" s="210">
        <f>COUNTIF(Tableau134[lun.2379],"="&amp;"")</f>
        <v>35</v>
      </c>
      <c r="KD43" s="210">
        <f>COUNTIF(Tableau134[mar.2480],"="&amp;"")</f>
        <v>35</v>
      </c>
      <c r="KE43" s="210">
        <f>COUNTIF(Tableau134[mer.2581],"="&amp;"")</f>
        <v>35</v>
      </c>
      <c r="KF43" s="210">
        <f>COUNTIF(Tableau134[jeu.2682],"="&amp;"")</f>
        <v>35</v>
      </c>
      <c r="KG43" s="210">
        <f>COUNTIF(Tableau134[ven.2783],"="&amp;"")</f>
        <v>35</v>
      </c>
      <c r="KH43" s="232">
        <f>AVERAGE(KC43:KG43)</f>
        <v>35</v>
      </c>
      <c r="KI43" s="210">
        <f>COUNTIF(Tableau134[dim.2985],"="&amp;"")</f>
        <v>35</v>
      </c>
      <c r="KJ43" s="210">
        <f>COUNTIF(Tableau134[lun.3086],"="&amp;"")</f>
        <v>35</v>
      </c>
      <c r="KK43" s="210">
        <f>COUNTIF(Tableau134[mar.0187],"="&amp;"")</f>
        <v>35</v>
      </c>
      <c r="KL43" s="210">
        <f>COUNTIF(Tableau134[mer.0288],"="&amp;"")</f>
        <v>35</v>
      </c>
      <c r="KM43" s="210">
        <f>COUNTIF(Tableau134[jeu.0389],"="&amp;"")</f>
        <v>35</v>
      </c>
      <c r="KN43" s="210">
        <f>COUNTIF(Tableau134[ven.0490],"="&amp;"")</f>
        <v>35</v>
      </c>
      <c r="KO43" s="232">
        <f>AVERAGE(KJ43:KN43)</f>
        <v>35</v>
      </c>
      <c r="KP43" s="210">
        <f>COUNTIF(Tableau134[dim.0692],"="&amp;"")</f>
        <v>35</v>
      </c>
      <c r="KQ43" s="210">
        <f>COUNTIF(Tableau134[lun.0793],"="&amp;"")</f>
        <v>35</v>
      </c>
      <c r="KR43" s="210">
        <f>COUNTIF(Tableau134[mar.0894],"="&amp;"")</f>
        <v>35</v>
      </c>
      <c r="KS43" s="210">
        <f>COUNTIF(Tableau134[mer.0995],"="&amp;"")</f>
        <v>35</v>
      </c>
      <c r="KT43" s="210">
        <f>COUNTIF(Tableau134[jeu.1096],"="&amp;"")</f>
        <v>35</v>
      </c>
      <c r="KU43" s="210">
        <f>COUNTIF(Tableau134[ven.1197],"="&amp;"")</f>
        <v>35</v>
      </c>
      <c r="KV43" s="232">
        <f>AVERAGE(KQ43:KU43)</f>
        <v>35</v>
      </c>
      <c r="KW43" s="210">
        <f>COUNTIF(Tableau134[dim.1399],"="&amp;"")</f>
        <v>35</v>
      </c>
      <c r="KX43" s="210">
        <f>COUNTIF(Tableau134[lun.14100],"="&amp;"")</f>
        <v>35</v>
      </c>
      <c r="KY43" s="210">
        <f>COUNTIF(Tableau134[mar.15101],"="&amp;"")</f>
        <v>35</v>
      </c>
      <c r="KZ43" s="210">
        <f>COUNTIF(Tableau134[mer.16102],"="&amp;"")</f>
        <v>35</v>
      </c>
      <c r="LA43" s="210">
        <f>COUNTIF(Tableau134[jeu.17103],"="&amp;"")</f>
        <v>35</v>
      </c>
      <c r="LB43" s="210">
        <f>COUNTIF(Tableau134[ven.18104],"="&amp;"")</f>
        <v>35</v>
      </c>
      <c r="LC43" s="232">
        <f>AVERAGE(KX43:LB43)</f>
        <v>35</v>
      </c>
      <c r="LD43" s="210">
        <f>COUNTIF(Tableau134[dim.20106],"="&amp;"")</f>
        <v>35</v>
      </c>
      <c r="LE43" s="210">
        <f>COUNTIF(Tableau134[lun.21107],"="&amp;"")</f>
        <v>35</v>
      </c>
      <c r="LF43" s="210">
        <f>COUNTIF(Tableau134[mar.22108],"="&amp;"")</f>
        <v>35</v>
      </c>
      <c r="LG43" s="210">
        <f>COUNTIF(Tableau134[mer.23109],"="&amp;"")</f>
        <v>35</v>
      </c>
      <c r="LH43" s="210">
        <f>COUNTIF(Tableau134[jeu.24110],"="&amp;"")</f>
        <v>35</v>
      </c>
      <c r="LI43" s="210">
        <f>COUNTIF(Tableau134[ven.25111],"="&amp;"")</f>
        <v>35</v>
      </c>
      <c r="LJ43" s="232">
        <f>AVERAGE(LE43:LI43)</f>
        <v>35</v>
      </c>
      <c r="LK43" s="210">
        <f>COUNTIF(Tableau134[dim.27113],"="&amp;"")</f>
        <v>35</v>
      </c>
      <c r="LL43" s="210">
        <f>COUNTIF(Tableau134[lun.28114],"="&amp;"")</f>
        <v>35</v>
      </c>
      <c r="LM43" s="210">
        <f>COUNTIF(Tableau134[mar.29115],"="&amp;"")</f>
        <v>35</v>
      </c>
      <c r="LN43" s="210">
        <f>COUNTIF(Tableau134[mer.30116],"="&amp;"")</f>
        <v>35</v>
      </c>
      <c r="LO43" s="210">
        <f>COUNTIF(Tableau134[jeu.31117],"="&amp;"")</f>
        <v>35</v>
      </c>
      <c r="LP43" s="210">
        <f>COUNTIF(Tableau134[ven.01118],"="&amp;"")</f>
        <v>35</v>
      </c>
      <c r="LQ43" s="232">
        <f>AVERAGE(LL43:LP43)</f>
        <v>35</v>
      </c>
      <c r="LR43" s="210">
        <f>COUNTIF(Tableau134[dim.03120],"="&amp;"")</f>
        <v>35</v>
      </c>
      <c r="LS43" s="210">
        <f>COUNTIF(Tableau134[lun.04121],"="&amp;"")</f>
        <v>35</v>
      </c>
      <c r="LT43" s="210">
        <f>COUNTIF(Tableau134[mar.05122],"="&amp;"")</f>
        <v>35</v>
      </c>
      <c r="LU43" s="210">
        <f>COUNTIF(Tableau134[mer.06123],"="&amp;"")</f>
        <v>35</v>
      </c>
      <c r="LV43" s="210">
        <f>COUNTIF(Tableau134[jeu.07124],"="&amp;"")</f>
        <v>35</v>
      </c>
      <c r="LW43" s="210">
        <f>COUNTIF(Tableau134[ven.08125],"="&amp;"")</f>
        <v>35</v>
      </c>
      <c r="LX43" s="232">
        <f>AVERAGE(LS43:LW43)</f>
        <v>35</v>
      </c>
      <c r="LY43" s="210">
        <f>COUNTIF(Tableau134[dim.10127],"="&amp;"")</f>
        <v>35</v>
      </c>
      <c r="LZ43" s="210">
        <f>COUNTIF(Tableau134[lun.11128],"="&amp;"")</f>
        <v>35</v>
      </c>
      <c r="MA43" s="210">
        <f>COUNTIF(Tableau134[mar.12129],"="&amp;"")</f>
        <v>35</v>
      </c>
      <c r="MB43" s="210">
        <f>COUNTIF(Tableau134[mer.13130],"="&amp;"")</f>
        <v>35</v>
      </c>
      <c r="MC43" s="210">
        <f>COUNTIF(Tableau134[jeu.14131],"="&amp;"")</f>
        <v>35</v>
      </c>
      <c r="MD43" s="210">
        <f>COUNTIF(Tableau134[ven.15132],"="&amp;"")</f>
        <v>35</v>
      </c>
      <c r="ME43" s="232">
        <f>AVERAGE(LZ43:MD43)</f>
        <v>35</v>
      </c>
      <c r="MF43" s="210">
        <f>COUNTIF(Tableau134[dim.17134],"="&amp;"")</f>
        <v>35</v>
      </c>
      <c r="MG43" s="210">
        <f>COUNTIF(Tableau134[lun.18135],"="&amp;"")</f>
        <v>35</v>
      </c>
      <c r="MH43" s="210">
        <f>COUNTIF(Tableau134[mar.19136],"="&amp;"")</f>
        <v>35</v>
      </c>
      <c r="MI43" s="210">
        <f>COUNTIF(Tableau134[mer.20137],"="&amp;"")</f>
        <v>35</v>
      </c>
      <c r="MJ43" s="210">
        <f>COUNTIF(Tableau134[jeu.21138],"="&amp;"")</f>
        <v>35</v>
      </c>
      <c r="MK43" s="210">
        <f>COUNTIF(Tableau134[ven.22139],"="&amp;"")</f>
        <v>35</v>
      </c>
      <c r="ML43" s="232">
        <f>AVERAGE(MG43:MK43)</f>
        <v>35</v>
      </c>
      <c r="MM43" s="210">
        <f>COUNTIF(Tableau134[dim.24141],"="&amp;"")</f>
        <v>35</v>
      </c>
      <c r="MN43" s="210">
        <f>COUNTIF(Tableau134[lun.25142],"="&amp;"")</f>
        <v>35</v>
      </c>
      <c r="MO43" s="210">
        <f>COUNTIF(Tableau134[mar.26143],"="&amp;"")</f>
        <v>35</v>
      </c>
      <c r="MP43" s="210">
        <f>COUNTIF(Tableau134[mer.27144],"="&amp;"")</f>
        <v>35</v>
      </c>
      <c r="MQ43" s="210">
        <f>COUNTIF(Tableau134[jeu.28145],"="&amp;"")</f>
        <v>35</v>
      </c>
      <c r="MR43" s="210">
        <f>COUNTIF(Tableau134[ven.29146],"="&amp;"")</f>
        <v>35</v>
      </c>
      <c r="MS43" s="232">
        <f>AVERAGE(MN43:MR43)</f>
        <v>35</v>
      </c>
      <c r="MT43" s="210">
        <f>COUNTIF(Tableau134[dim.012148],"="&amp;"")</f>
        <v>35</v>
      </c>
      <c r="MU43" s="210">
        <f>COUNTIF(Tableau134[lun.023149],"="&amp;"")</f>
        <v>35</v>
      </c>
      <c r="MV43" s="210">
        <f>COUNTIF(Tableau134[mar.034150],"="&amp;"")</f>
        <v>35</v>
      </c>
      <c r="MW43" s="210">
        <f>COUNTIF(Tableau134[mer.045151],"="&amp;"")</f>
        <v>35</v>
      </c>
      <c r="MX43" s="210">
        <f>COUNTIF(Tableau134[jeu.056152],"="&amp;"")</f>
        <v>35</v>
      </c>
      <c r="MY43" s="210">
        <f>COUNTIF(Tableau134[ven.067153],"="&amp;"")</f>
        <v>35</v>
      </c>
      <c r="MZ43" s="232">
        <f>AVERAGE(MU43:MY43)</f>
        <v>35</v>
      </c>
      <c r="NA43" s="210">
        <f>COUNTIF(Tableau134[dim.089155],"="&amp;"")</f>
        <v>35</v>
      </c>
      <c r="NB43" s="210">
        <f>COUNTIF(Tableau134[lun.0910156],"="&amp;"")</f>
        <v>35</v>
      </c>
      <c r="NC43" s="210">
        <f>COUNTIF(Tableau134[mar.1011157],"="&amp;"")</f>
        <v>35</v>
      </c>
      <c r="ND43" s="210">
        <f>COUNTIF(Tableau134[mer.1112158],"="&amp;"")</f>
        <v>35</v>
      </c>
      <c r="NE43" s="210">
        <f>COUNTIF(Tableau134[jeu.1213159],"="&amp;"")</f>
        <v>35</v>
      </c>
      <c r="NF43" s="210">
        <f>COUNTIF(Tableau134[ven.1314160],"="&amp;"")</f>
        <v>35</v>
      </c>
      <c r="NG43" s="232">
        <f>AVERAGE(NB43:NF43)</f>
        <v>35</v>
      </c>
      <c r="NH43" s="210">
        <f>COUNTIF(Tableau134[dim.1516162],"="&amp;"")</f>
        <v>35</v>
      </c>
      <c r="NI43" s="210">
        <f>COUNTIF(Tableau134[lun.1617163],"="&amp;"")</f>
        <v>35</v>
      </c>
      <c r="NJ43" s="210">
        <f>COUNTIF(Tableau134[mar.1718164],"="&amp;"")</f>
        <v>35</v>
      </c>
      <c r="NK43" s="210">
        <f>COUNTIF(Tableau134[mer.1819165],"="&amp;"")</f>
        <v>35</v>
      </c>
      <c r="NL43" s="210">
        <f>COUNTIF(Tableau134[jeu.1920166],"="&amp;"")</f>
        <v>35</v>
      </c>
      <c r="NM43" s="210">
        <f>COUNTIF(Tableau134[ven.2021167],"="&amp;"")</f>
        <v>35</v>
      </c>
      <c r="NN43" s="232">
        <f>AVERAGE(NI43:NM43)</f>
        <v>35</v>
      </c>
      <c r="NO43" s="210">
        <f>COUNTIF(Tableau134[dim.2223169],"="&amp;"")</f>
        <v>35</v>
      </c>
      <c r="NP43" s="210">
        <f>COUNTIF(Tableau134[lun.2324170],"="&amp;"")</f>
        <v>35</v>
      </c>
      <c r="NQ43" s="210">
        <f>COUNTIF(Tableau134[mar.2425171],"="&amp;"")</f>
        <v>35</v>
      </c>
      <c r="NR43" s="210">
        <f>COUNTIF(Tableau134[mer.2526172],"="&amp;"")</f>
        <v>35</v>
      </c>
      <c r="NS43" s="210">
        <f>COUNTIF(Tableau134[jeu.2627173],"="&amp;"")</f>
        <v>35</v>
      </c>
      <c r="NT43" s="210">
        <f>COUNTIF(Tableau134[ven.2728174],"="&amp;"")</f>
        <v>35</v>
      </c>
      <c r="NU43" s="232">
        <f>AVERAGE(NP43:NT43)</f>
        <v>35</v>
      </c>
    </row>
    <row r="44" spans="4:385" ht="15" thickBot="1" x14ac:dyDescent="0.35">
      <c r="H44" s="214" t="s">
        <v>499</v>
      </c>
      <c r="I44" s="217">
        <f>I43*7</f>
        <v>245</v>
      </c>
      <c r="J44" s="211">
        <f>J43*7</f>
        <v>245</v>
      </c>
      <c r="K44" s="211">
        <f>K43*7</f>
        <v>245</v>
      </c>
      <c r="L44" s="211">
        <f>L43*7</f>
        <v>245</v>
      </c>
      <c r="M44" s="211">
        <f>M43*7</f>
        <v>245</v>
      </c>
      <c r="N44" s="233">
        <f>SUM(I44:M44)</f>
        <v>1225</v>
      </c>
      <c r="O44" s="211">
        <f>O43*35</f>
        <v>1225</v>
      </c>
      <c r="P44" s="211">
        <f>P43*7</f>
        <v>238</v>
      </c>
      <c r="Q44" s="211">
        <f t="shared" ref="Q44:CB44" si="0">Q43*7</f>
        <v>238</v>
      </c>
      <c r="R44" s="211">
        <f t="shared" si="0"/>
        <v>238</v>
      </c>
      <c r="S44" s="211">
        <f t="shared" si="0"/>
        <v>231</v>
      </c>
      <c r="T44" s="211">
        <f t="shared" si="0"/>
        <v>231</v>
      </c>
      <c r="U44" s="233">
        <f>SUM(P44:T44)</f>
        <v>1176</v>
      </c>
      <c r="V44" s="211">
        <f t="shared" si="0"/>
        <v>245</v>
      </c>
      <c r="W44" s="211">
        <f t="shared" si="0"/>
        <v>210</v>
      </c>
      <c r="X44" s="211">
        <f t="shared" si="0"/>
        <v>210</v>
      </c>
      <c r="Y44" s="211">
        <f t="shared" si="0"/>
        <v>210</v>
      </c>
      <c r="Z44" s="211">
        <f t="shared" si="0"/>
        <v>210</v>
      </c>
      <c r="AA44" s="211">
        <f t="shared" si="0"/>
        <v>210</v>
      </c>
      <c r="AB44" s="233">
        <f>SUM(W44:AA44)</f>
        <v>1050</v>
      </c>
      <c r="AC44" s="211">
        <f t="shared" si="0"/>
        <v>245</v>
      </c>
      <c r="AD44" s="211">
        <f t="shared" si="0"/>
        <v>196</v>
      </c>
      <c r="AE44" s="211">
        <f t="shared" si="0"/>
        <v>196</v>
      </c>
      <c r="AF44" s="211">
        <f t="shared" si="0"/>
        <v>196</v>
      </c>
      <c r="AG44" s="211">
        <f t="shared" si="0"/>
        <v>196</v>
      </c>
      <c r="AH44" s="211">
        <f t="shared" si="0"/>
        <v>196</v>
      </c>
      <c r="AI44" s="233">
        <f>SUM(AD44:AH44)</f>
        <v>980</v>
      </c>
      <c r="AJ44" s="211">
        <f t="shared" si="0"/>
        <v>245</v>
      </c>
      <c r="AK44" s="211">
        <f t="shared" si="0"/>
        <v>196</v>
      </c>
      <c r="AL44" s="211">
        <f t="shared" si="0"/>
        <v>196</v>
      </c>
      <c r="AM44" s="211">
        <f t="shared" si="0"/>
        <v>196</v>
      </c>
      <c r="AN44" s="211">
        <f t="shared" si="0"/>
        <v>196</v>
      </c>
      <c r="AO44" s="211">
        <f t="shared" si="0"/>
        <v>196</v>
      </c>
      <c r="AP44" s="233">
        <f>SUM(AK44:AO44)</f>
        <v>980</v>
      </c>
      <c r="AQ44" s="211">
        <f t="shared" si="0"/>
        <v>238</v>
      </c>
      <c r="AR44" s="211">
        <f t="shared" si="0"/>
        <v>210</v>
      </c>
      <c r="AS44" s="211">
        <f t="shared" si="0"/>
        <v>210</v>
      </c>
      <c r="AT44" s="211">
        <f t="shared" si="0"/>
        <v>210</v>
      </c>
      <c r="AU44" s="211">
        <f t="shared" si="0"/>
        <v>210</v>
      </c>
      <c r="AV44" s="211">
        <f t="shared" si="0"/>
        <v>210</v>
      </c>
      <c r="AW44" s="233">
        <f>SUM(AR44:AV44)</f>
        <v>1050</v>
      </c>
      <c r="AX44" s="211">
        <f t="shared" si="0"/>
        <v>238</v>
      </c>
      <c r="AY44" s="211">
        <f t="shared" si="0"/>
        <v>203</v>
      </c>
      <c r="AZ44" s="211">
        <f t="shared" si="0"/>
        <v>203</v>
      </c>
      <c r="BA44" s="211">
        <f t="shared" si="0"/>
        <v>203</v>
      </c>
      <c r="BB44" s="211">
        <f t="shared" si="0"/>
        <v>203</v>
      </c>
      <c r="BC44" s="211">
        <f t="shared" si="0"/>
        <v>203</v>
      </c>
      <c r="BD44" s="233">
        <f>SUM(AY44:BC44)</f>
        <v>1015</v>
      </c>
      <c r="BE44" s="211">
        <f t="shared" si="0"/>
        <v>231</v>
      </c>
      <c r="BF44" s="211">
        <f t="shared" si="0"/>
        <v>196</v>
      </c>
      <c r="BG44" s="211">
        <f t="shared" si="0"/>
        <v>196</v>
      </c>
      <c r="BH44" s="211">
        <f t="shared" si="0"/>
        <v>196</v>
      </c>
      <c r="BI44" s="211">
        <f t="shared" si="0"/>
        <v>196</v>
      </c>
      <c r="BJ44" s="211">
        <f t="shared" si="0"/>
        <v>196</v>
      </c>
      <c r="BK44" s="233">
        <f>SUM(BF44:BJ44)</f>
        <v>980</v>
      </c>
      <c r="BL44" s="211">
        <f t="shared" si="0"/>
        <v>231</v>
      </c>
      <c r="BM44" s="211">
        <f t="shared" si="0"/>
        <v>224</v>
      </c>
      <c r="BN44" s="211">
        <f t="shared" si="0"/>
        <v>224</v>
      </c>
      <c r="BO44" s="211">
        <f t="shared" si="0"/>
        <v>224</v>
      </c>
      <c r="BP44" s="211">
        <f t="shared" si="0"/>
        <v>224</v>
      </c>
      <c r="BQ44" s="211">
        <f t="shared" si="0"/>
        <v>224</v>
      </c>
      <c r="BR44" s="233">
        <f>SUM(BM44:BQ44)</f>
        <v>1120</v>
      </c>
      <c r="BS44" s="211">
        <f t="shared" si="0"/>
        <v>224</v>
      </c>
      <c r="BT44" s="211">
        <f t="shared" si="0"/>
        <v>224</v>
      </c>
      <c r="BU44" s="211">
        <f t="shared" si="0"/>
        <v>224</v>
      </c>
      <c r="BV44" s="211">
        <f t="shared" si="0"/>
        <v>224</v>
      </c>
      <c r="BW44" s="211">
        <f t="shared" si="0"/>
        <v>224</v>
      </c>
      <c r="BX44" s="211">
        <f t="shared" si="0"/>
        <v>224</v>
      </c>
      <c r="BY44" s="233">
        <f>SUM(BT44:BX44)</f>
        <v>1120</v>
      </c>
      <c r="BZ44" s="211">
        <f t="shared" si="0"/>
        <v>238</v>
      </c>
      <c r="CA44" s="211">
        <f t="shared" si="0"/>
        <v>210</v>
      </c>
      <c r="CB44" s="211">
        <f t="shared" si="0"/>
        <v>210</v>
      </c>
      <c r="CC44" s="211">
        <f t="shared" ref="CC44:EN44" si="1">CC43*7</f>
        <v>210</v>
      </c>
      <c r="CD44" s="211">
        <f t="shared" si="1"/>
        <v>210</v>
      </c>
      <c r="CE44" s="211">
        <f t="shared" si="1"/>
        <v>210</v>
      </c>
      <c r="CF44" s="233">
        <f>SUM(CA44:CE44)</f>
        <v>1050</v>
      </c>
      <c r="CG44" s="211">
        <f t="shared" si="1"/>
        <v>224</v>
      </c>
      <c r="CH44" s="211">
        <f t="shared" si="1"/>
        <v>196</v>
      </c>
      <c r="CI44" s="211">
        <f t="shared" si="1"/>
        <v>196</v>
      </c>
      <c r="CJ44" s="211">
        <f t="shared" si="1"/>
        <v>196</v>
      </c>
      <c r="CK44" s="211">
        <f t="shared" si="1"/>
        <v>196</v>
      </c>
      <c r="CL44" s="211">
        <f t="shared" si="1"/>
        <v>196</v>
      </c>
      <c r="CM44" s="233">
        <f>SUM(CH44:CL44)</f>
        <v>980</v>
      </c>
      <c r="CN44" s="211">
        <f t="shared" si="1"/>
        <v>238</v>
      </c>
      <c r="CO44" s="211">
        <f t="shared" si="1"/>
        <v>217</v>
      </c>
      <c r="CP44" s="211">
        <f t="shared" si="1"/>
        <v>217</v>
      </c>
      <c r="CQ44" s="211">
        <f t="shared" si="1"/>
        <v>217</v>
      </c>
      <c r="CR44" s="211">
        <f t="shared" si="1"/>
        <v>217</v>
      </c>
      <c r="CS44" s="211">
        <f t="shared" si="1"/>
        <v>217</v>
      </c>
      <c r="CT44" s="233">
        <f>SUM(CO44:CS44)</f>
        <v>1085</v>
      </c>
      <c r="CU44" s="211">
        <f t="shared" si="1"/>
        <v>238</v>
      </c>
      <c r="CV44" s="211">
        <f t="shared" si="1"/>
        <v>224</v>
      </c>
      <c r="CW44" s="211">
        <f t="shared" si="1"/>
        <v>224</v>
      </c>
      <c r="CX44" s="211">
        <f t="shared" si="1"/>
        <v>224</v>
      </c>
      <c r="CY44" s="211">
        <f t="shared" si="1"/>
        <v>224</v>
      </c>
      <c r="CZ44" s="211">
        <f t="shared" si="1"/>
        <v>224</v>
      </c>
      <c r="DA44" s="233">
        <f>SUM(CV44:CZ44)</f>
        <v>1120</v>
      </c>
      <c r="DB44" s="211">
        <f t="shared" si="1"/>
        <v>245</v>
      </c>
      <c r="DC44" s="211">
        <f t="shared" si="1"/>
        <v>203</v>
      </c>
      <c r="DD44" s="211">
        <f t="shared" si="1"/>
        <v>203</v>
      </c>
      <c r="DE44" s="211">
        <f t="shared" si="1"/>
        <v>203</v>
      </c>
      <c r="DF44" s="211">
        <f t="shared" si="1"/>
        <v>203</v>
      </c>
      <c r="DG44" s="211">
        <f t="shared" si="1"/>
        <v>203</v>
      </c>
      <c r="DH44" s="233">
        <f>SUM(DC44:DG44)</f>
        <v>1015</v>
      </c>
      <c r="DI44" s="211">
        <f t="shared" si="1"/>
        <v>245</v>
      </c>
      <c r="DJ44" s="211">
        <f t="shared" si="1"/>
        <v>161</v>
      </c>
      <c r="DK44" s="211">
        <f t="shared" si="1"/>
        <v>161</v>
      </c>
      <c r="DL44" s="211">
        <f t="shared" si="1"/>
        <v>161</v>
      </c>
      <c r="DM44" s="211">
        <f t="shared" si="1"/>
        <v>161</v>
      </c>
      <c r="DN44" s="211">
        <f t="shared" si="1"/>
        <v>161</v>
      </c>
      <c r="DO44" s="233">
        <f>SUM(DJ44:DN44)</f>
        <v>805</v>
      </c>
      <c r="DP44" s="211">
        <f t="shared" si="1"/>
        <v>245</v>
      </c>
      <c r="DQ44" s="211">
        <f t="shared" si="1"/>
        <v>56</v>
      </c>
      <c r="DR44" s="211">
        <f t="shared" si="1"/>
        <v>203</v>
      </c>
      <c r="DS44" s="211">
        <f t="shared" si="1"/>
        <v>203</v>
      </c>
      <c r="DT44" s="211">
        <f t="shared" si="1"/>
        <v>203</v>
      </c>
      <c r="DU44" s="211">
        <f t="shared" si="1"/>
        <v>203</v>
      </c>
      <c r="DV44" s="233">
        <f>SUM(DQ44:DU44)</f>
        <v>868</v>
      </c>
      <c r="DW44" s="211">
        <f t="shared" si="1"/>
        <v>245</v>
      </c>
      <c r="DX44" s="211">
        <f t="shared" si="1"/>
        <v>203</v>
      </c>
      <c r="DY44" s="211">
        <f t="shared" si="1"/>
        <v>203</v>
      </c>
      <c r="DZ44" s="211">
        <f t="shared" si="1"/>
        <v>203</v>
      </c>
      <c r="EA44" s="211">
        <f t="shared" si="1"/>
        <v>56</v>
      </c>
      <c r="EB44" s="211">
        <f t="shared" si="1"/>
        <v>203</v>
      </c>
      <c r="EC44" s="233">
        <f>SUM(DX44:EB44)</f>
        <v>868</v>
      </c>
      <c r="ED44" s="211">
        <f t="shared" si="1"/>
        <v>245</v>
      </c>
      <c r="EE44" s="211">
        <f t="shared" si="1"/>
        <v>196</v>
      </c>
      <c r="EF44" s="211">
        <f t="shared" si="1"/>
        <v>196</v>
      </c>
      <c r="EG44" s="211">
        <f t="shared" si="1"/>
        <v>196</v>
      </c>
      <c r="EH44" s="211">
        <f t="shared" si="1"/>
        <v>196</v>
      </c>
      <c r="EI44" s="211">
        <f t="shared" si="1"/>
        <v>196</v>
      </c>
      <c r="EJ44" s="233">
        <f>SUM(EE44:EI44)</f>
        <v>980</v>
      </c>
      <c r="EK44" s="211">
        <f t="shared" si="1"/>
        <v>245</v>
      </c>
      <c r="EL44" s="211">
        <f t="shared" si="1"/>
        <v>203</v>
      </c>
      <c r="EM44" s="211">
        <f t="shared" si="1"/>
        <v>203</v>
      </c>
      <c r="EN44" s="211">
        <f t="shared" si="1"/>
        <v>203</v>
      </c>
      <c r="EO44" s="211">
        <f t="shared" ref="EO44:GX44" si="2">EO43*7</f>
        <v>203</v>
      </c>
      <c r="EP44" s="211">
        <f t="shared" si="2"/>
        <v>203</v>
      </c>
      <c r="EQ44" s="233">
        <f>SUM(EL44:EP44)</f>
        <v>1015</v>
      </c>
      <c r="ER44" s="211">
        <f t="shared" si="2"/>
        <v>245</v>
      </c>
      <c r="ES44" s="211">
        <f t="shared" si="2"/>
        <v>210</v>
      </c>
      <c r="ET44" s="211">
        <f t="shared" si="2"/>
        <v>210</v>
      </c>
      <c r="EU44" s="211">
        <f t="shared" si="2"/>
        <v>210</v>
      </c>
      <c r="EV44" s="211">
        <f t="shared" si="2"/>
        <v>210</v>
      </c>
      <c r="EW44" s="211">
        <f t="shared" si="2"/>
        <v>210</v>
      </c>
      <c r="EX44" s="233">
        <f>SUM(ES44:EW44)</f>
        <v>1050</v>
      </c>
      <c r="EY44" s="211">
        <f t="shared" si="2"/>
        <v>245</v>
      </c>
      <c r="EZ44" s="211">
        <f t="shared" si="2"/>
        <v>203</v>
      </c>
      <c r="FA44" s="211">
        <f t="shared" si="2"/>
        <v>203</v>
      </c>
      <c r="FB44" s="211">
        <f t="shared" si="2"/>
        <v>203</v>
      </c>
      <c r="FC44" s="211">
        <f t="shared" si="2"/>
        <v>203</v>
      </c>
      <c r="FD44" s="211">
        <f t="shared" si="2"/>
        <v>203</v>
      </c>
      <c r="FE44" s="233">
        <f>SUM(EZ44:FD44)</f>
        <v>1015</v>
      </c>
      <c r="FF44" s="211">
        <f t="shared" si="2"/>
        <v>245</v>
      </c>
      <c r="FG44" s="211">
        <f t="shared" si="2"/>
        <v>203</v>
      </c>
      <c r="FH44" s="211">
        <f t="shared" si="2"/>
        <v>203</v>
      </c>
      <c r="FI44" s="211">
        <f t="shared" si="2"/>
        <v>203</v>
      </c>
      <c r="FJ44" s="211">
        <f t="shared" si="2"/>
        <v>203</v>
      </c>
      <c r="FK44" s="211">
        <f t="shared" si="2"/>
        <v>203</v>
      </c>
      <c r="FL44" s="233">
        <f>SUM(FG44:FK44)</f>
        <v>1015</v>
      </c>
      <c r="FM44" s="211">
        <f t="shared" si="2"/>
        <v>245</v>
      </c>
      <c r="FN44" s="211">
        <f t="shared" si="2"/>
        <v>56</v>
      </c>
      <c r="FO44" s="211">
        <f t="shared" si="2"/>
        <v>203</v>
      </c>
      <c r="FP44" s="211">
        <f t="shared" si="2"/>
        <v>203</v>
      </c>
      <c r="FQ44" s="211">
        <f t="shared" si="2"/>
        <v>203</v>
      </c>
      <c r="FR44" s="211">
        <f t="shared" si="2"/>
        <v>203</v>
      </c>
      <c r="FS44" s="233">
        <f>SUM(FN44:FR44)</f>
        <v>868</v>
      </c>
      <c r="FT44" s="211">
        <f t="shared" si="2"/>
        <v>245</v>
      </c>
      <c r="FU44" s="211">
        <f t="shared" si="2"/>
        <v>203</v>
      </c>
      <c r="FV44" s="211">
        <f t="shared" si="2"/>
        <v>203</v>
      </c>
      <c r="FW44" s="211">
        <f t="shared" si="2"/>
        <v>203</v>
      </c>
      <c r="FX44" s="211">
        <f t="shared" si="2"/>
        <v>203</v>
      </c>
      <c r="FY44" s="211">
        <f t="shared" si="2"/>
        <v>203</v>
      </c>
      <c r="FZ44" s="233">
        <f>SUM(FU44:FY44)</f>
        <v>1015</v>
      </c>
      <c r="GA44" s="211">
        <f t="shared" si="2"/>
        <v>245</v>
      </c>
      <c r="GB44" s="211">
        <f t="shared" si="2"/>
        <v>203</v>
      </c>
      <c r="GC44" s="211">
        <f t="shared" si="2"/>
        <v>203</v>
      </c>
      <c r="GD44" s="211">
        <f t="shared" si="2"/>
        <v>203</v>
      </c>
      <c r="GE44" s="211">
        <f t="shared" si="2"/>
        <v>203</v>
      </c>
      <c r="GF44" s="211">
        <f t="shared" si="2"/>
        <v>203</v>
      </c>
      <c r="GG44" s="233">
        <f>SUM(GB44:GF44)</f>
        <v>1015</v>
      </c>
      <c r="GH44" s="211">
        <f t="shared" si="2"/>
        <v>245</v>
      </c>
      <c r="GI44" s="211">
        <f t="shared" si="2"/>
        <v>203</v>
      </c>
      <c r="GJ44" s="211">
        <f t="shared" si="2"/>
        <v>203</v>
      </c>
      <c r="GK44" s="211">
        <f t="shared" si="2"/>
        <v>203</v>
      </c>
      <c r="GL44" s="211">
        <f t="shared" si="2"/>
        <v>203</v>
      </c>
      <c r="GM44" s="211">
        <f t="shared" si="2"/>
        <v>203</v>
      </c>
      <c r="GN44" s="233">
        <f>SUM(GI44:GM44)</f>
        <v>1015</v>
      </c>
      <c r="GO44" s="211">
        <f t="shared" si="2"/>
        <v>245</v>
      </c>
      <c r="GP44" s="211">
        <f t="shared" si="2"/>
        <v>189</v>
      </c>
      <c r="GQ44" s="211">
        <f t="shared" si="2"/>
        <v>189</v>
      </c>
      <c r="GR44" s="211">
        <f t="shared" si="2"/>
        <v>189</v>
      </c>
      <c r="GS44" s="211">
        <f t="shared" si="2"/>
        <v>189</v>
      </c>
      <c r="GT44" s="211">
        <f t="shared" si="2"/>
        <v>189</v>
      </c>
      <c r="GU44" s="233">
        <f>SUM(GP44:GT44)</f>
        <v>945</v>
      </c>
      <c r="GV44" s="211">
        <f t="shared" si="2"/>
        <v>245</v>
      </c>
      <c r="GW44" s="211">
        <f t="shared" si="2"/>
        <v>0</v>
      </c>
      <c r="GX44" s="211">
        <f t="shared" si="2"/>
        <v>168</v>
      </c>
      <c r="GY44" s="211">
        <f>GY43*7</f>
        <v>168</v>
      </c>
      <c r="GZ44" s="211">
        <f t="shared" ref="GZ44:JK44" si="3">GZ43*7</f>
        <v>168</v>
      </c>
      <c r="HA44" s="211">
        <f t="shared" si="3"/>
        <v>168</v>
      </c>
      <c r="HB44" s="233">
        <f>SUM(GW44:HA44)</f>
        <v>672</v>
      </c>
      <c r="HC44" s="211">
        <f t="shared" si="3"/>
        <v>245</v>
      </c>
      <c r="HD44" s="211">
        <f t="shared" si="3"/>
        <v>175</v>
      </c>
      <c r="HE44" s="211">
        <f t="shared" si="3"/>
        <v>175</v>
      </c>
      <c r="HF44" s="211">
        <f t="shared" si="3"/>
        <v>175</v>
      </c>
      <c r="HG44" s="211">
        <f t="shared" si="3"/>
        <v>175</v>
      </c>
      <c r="HH44" s="211">
        <f t="shared" si="3"/>
        <v>175</v>
      </c>
      <c r="HI44" s="233">
        <f>SUM(HD44:HH44)</f>
        <v>875</v>
      </c>
      <c r="HJ44" s="211">
        <f t="shared" si="3"/>
        <v>245</v>
      </c>
      <c r="HK44" s="211">
        <f t="shared" si="3"/>
        <v>161</v>
      </c>
      <c r="HL44" s="211">
        <f t="shared" si="3"/>
        <v>161</v>
      </c>
      <c r="HM44" s="211">
        <f t="shared" si="3"/>
        <v>161</v>
      </c>
      <c r="HN44" s="211">
        <f t="shared" si="3"/>
        <v>161</v>
      </c>
      <c r="HO44" s="211">
        <f t="shared" si="3"/>
        <v>161</v>
      </c>
      <c r="HP44" s="233">
        <f>SUM(HK44:HO44)</f>
        <v>805</v>
      </c>
      <c r="HQ44" s="211">
        <f t="shared" si="3"/>
        <v>245</v>
      </c>
      <c r="HR44" s="211">
        <f t="shared" si="3"/>
        <v>154</v>
      </c>
      <c r="HS44" s="211">
        <f t="shared" si="3"/>
        <v>154</v>
      </c>
      <c r="HT44" s="211">
        <f t="shared" si="3"/>
        <v>154</v>
      </c>
      <c r="HU44" s="211">
        <f t="shared" si="3"/>
        <v>154</v>
      </c>
      <c r="HV44" s="211">
        <f t="shared" si="3"/>
        <v>154</v>
      </c>
      <c r="HW44" s="233">
        <f>SUM(HR44:HV44)</f>
        <v>770</v>
      </c>
      <c r="HX44" s="211">
        <f t="shared" si="3"/>
        <v>245</v>
      </c>
      <c r="HY44" s="211">
        <f t="shared" si="3"/>
        <v>154</v>
      </c>
      <c r="HZ44" s="211">
        <f t="shared" si="3"/>
        <v>154</v>
      </c>
      <c r="IA44" s="211">
        <f t="shared" si="3"/>
        <v>154</v>
      </c>
      <c r="IB44" s="211">
        <f t="shared" si="3"/>
        <v>154</v>
      </c>
      <c r="IC44" s="211">
        <f t="shared" si="3"/>
        <v>154</v>
      </c>
      <c r="ID44" s="233">
        <f>SUM(HY44:IC44)</f>
        <v>770</v>
      </c>
      <c r="IE44" s="211">
        <f t="shared" si="3"/>
        <v>245</v>
      </c>
      <c r="IF44" s="211">
        <f t="shared" si="3"/>
        <v>182</v>
      </c>
      <c r="IG44" s="211">
        <f t="shared" si="3"/>
        <v>182</v>
      </c>
      <c r="IH44" s="211">
        <f t="shared" si="3"/>
        <v>182</v>
      </c>
      <c r="II44" s="211">
        <f t="shared" si="3"/>
        <v>182</v>
      </c>
      <c r="IJ44" s="211">
        <f t="shared" si="3"/>
        <v>182</v>
      </c>
      <c r="IK44" s="233">
        <f>SUM(IF44:IJ44)</f>
        <v>910</v>
      </c>
      <c r="IL44" s="211">
        <f t="shared" si="3"/>
        <v>245</v>
      </c>
      <c r="IM44" s="211">
        <f t="shared" si="3"/>
        <v>203</v>
      </c>
      <c r="IN44" s="211">
        <f t="shared" si="3"/>
        <v>203</v>
      </c>
      <c r="IO44" s="211">
        <f t="shared" si="3"/>
        <v>203</v>
      </c>
      <c r="IP44" s="211">
        <f t="shared" si="3"/>
        <v>203</v>
      </c>
      <c r="IQ44" s="211">
        <f t="shared" si="3"/>
        <v>203</v>
      </c>
      <c r="IR44" s="233">
        <f>SUM(IM44:IQ44)</f>
        <v>1015</v>
      </c>
      <c r="IS44" s="211">
        <f t="shared" si="3"/>
        <v>245</v>
      </c>
      <c r="IT44" s="211">
        <f t="shared" si="3"/>
        <v>210</v>
      </c>
      <c r="IU44" s="211">
        <f t="shared" si="3"/>
        <v>210</v>
      </c>
      <c r="IV44" s="211">
        <f t="shared" si="3"/>
        <v>210</v>
      </c>
      <c r="IW44" s="211">
        <f t="shared" si="3"/>
        <v>210</v>
      </c>
      <c r="IX44" s="211">
        <f t="shared" si="3"/>
        <v>210</v>
      </c>
      <c r="IY44" s="233">
        <f>SUM(IT44:IX44)</f>
        <v>1050</v>
      </c>
      <c r="IZ44" s="211">
        <f t="shared" si="3"/>
        <v>245</v>
      </c>
      <c r="JA44" s="211">
        <f t="shared" si="3"/>
        <v>196</v>
      </c>
      <c r="JB44" s="211">
        <f t="shared" si="3"/>
        <v>196</v>
      </c>
      <c r="JC44" s="211">
        <f t="shared" si="3"/>
        <v>196</v>
      </c>
      <c r="JD44" s="211">
        <f t="shared" si="3"/>
        <v>196</v>
      </c>
      <c r="JE44" s="211">
        <f t="shared" si="3"/>
        <v>196</v>
      </c>
      <c r="JF44" s="233">
        <f>SUM(JA44:JE44)</f>
        <v>980</v>
      </c>
      <c r="JG44" s="211">
        <f t="shared" si="3"/>
        <v>245</v>
      </c>
      <c r="JH44" s="211">
        <f t="shared" si="3"/>
        <v>224</v>
      </c>
      <c r="JI44" s="211">
        <f t="shared" si="3"/>
        <v>224</v>
      </c>
      <c r="JJ44" s="211">
        <f t="shared" si="3"/>
        <v>224</v>
      </c>
      <c r="JK44" s="211">
        <f t="shared" si="3"/>
        <v>224</v>
      </c>
      <c r="JL44" s="211">
        <f t="shared" ref="JL44:LW44" si="4">JL43*7</f>
        <v>224</v>
      </c>
      <c r="JM44" s="233">
        <f>SUM(JH44:JL44)</f>
        <v>1120</v>
      </c>
      <c r="JN44" s="211">
        <f t="shared" si="4"/>
        <v>245</v>
      </c>
      <c r="JO44" s="211">
        <f t="shared" si="4"/>
        <v>238</v>
      </c>
      <c r="JP44" s="211">
        <f t="shared" si="4"/>
        <v>238</v>
      </c>
      <c r="JQ44" s="211">
        <f t="shared" si="4"/>
        <v>238</v>
      </c>
      <c r="JR44" s="211">
        <f t="shared" si="4"/>
        <v>238</v>
      </c>
      <c r="JS44" s="211">
        <f t="shared" si="4"/>
        <v>238</v>
      </c>
      <c r="JT44" s="233">
        <f>SUM(JO44:JS44)</f>
        <v>1190</v>
      </c>
      <c r="JU44" s="211">
        <f t="shared" si="4"/>
        <v>245</v>
      </c>
      <c r="JV44" s="211">
        <f t="shared" si="4"/>
        <v>245</v>
      </c>
      <c r="JW44" s="211">
        <f t="shared" si="4"/>
        <v>245</v>
      </c>
      <c r="JX44" s="211">
        <f t="shared" si="4"/>
        <v>245</v>
      </c>
      <c r="JY44" s="211">
        <f t="shared" si="4"/>
        <v>245</v>
      </c>
      <c r="JZ44" s="211">
        <f t="shared" si="4"/>
        <v>245</v>
      </c>
      <c r="KA44" s="233">
        <f>SUM(JV44:JZ44)</f>
        <v>1225</v>
      </c>
      <c r="KB44" s="211">
        <f t="shared" si="4"/>
        <v>245</v>
      </c>
      <c r="KC44" s="211">
        <f t="shared" si="4"/>
        <v>245</v>
      </c>
      <c r="KD44" s="211">
        <f t="shared" si="4"/>
        <v>245</v>
      </c>
      <c r="KE44" s="211">
        <f t="shared" si="4"/>
        <v>245</v>
      </c>
      <c r="KF44" s="211">
        <f t="shared" si="4"/>
        <v>245</v>
      </c>
      <c r="KG44" s="211">
        <f t="shared" si="4"/>
        <v>245</v>
      </c>
      <c r="KH44" s="233">
        <f>SUM(KC44:KG44)</f>
        <v>1225</v>
      </c>
      <c r="KI44" s="211">
        <f t="shared" si="4"/>
        <v>245</v>
      </c>
      <c r="KJ44" s="211">
        <f t="shared" si="4"/>
        <v>245</v>
      </c>
      <c r="KK44" s="211">
        <f t="shared" si="4"/>
        <v>245</v>
      </c>
      <c r="KL44" s="211">
        <f t="shared" si="4"/>
        <v>245</v>
      </c>
      <c r="KM44" s="211">
        <f t="shared" si="4"/>
        <v>245</v>
      </c>
      <c r="KN44" s="211">
        <f t="shared" si="4"/>
        <v>245</v>
      </c>
      <c r="KO44" s="233">
        <f>SUM(KJ44:KN44)</f>
        <v>1225</v>
      </c>
      <c r="KP44" s="211">
        <f t="shared" si="4"/>
        <v>245</v>
      </c>
      <c r="KQ44" s="211">
        <f t="shared" si="4"/>
        <v>245</v>
      </c>
      <c r="KR44" s="211">
        <f t="shared" si="4"/>
        <v>245</v>
      </c>
      <c r="KS44" s="211">
        <f t="shared" si="4"/>
        <v>245</v>
      </c>
      <c r="KT44" s="211">
        <f t="shared" si="4"/>
        <v>245</v>
      </c>
      <c r="KU44" s="211">
        <f t="shared" si="4"/>
        <v>245</v>
      </c>
      <c r="KV44" s="233">
        <f>SUM(KQ44:KU44)</f>
        <v>1225</v>
      </c>
      <c r="KW44" s="211">
        <f t="shared" si="4"/>
        <v>245</v>
      </c>
      <c r="KX44" s="211">
        <f t="shared" si="4"/>
        <v>245</v>
      </c>
      <c r="KY44" s="211">
        <f t="shared" si="4"/>
        <v>245</v>
      </c>
      <c r="KZ44" s="211">
        <f t="shared" si="4"/>
        <v>245</v>
      </c>
      <c r="LA44" s="211">
        <f t="shared" si="4"/>
        <v>245</v>
      </c>
      <c r="LB44" s="211">
        <f t="shared" si="4"/>
        <v>245</v>
      </c>
      <c r="LC44" s="233">
        <f>SUM(KX44:LB44)</f>
        <v>1225</v>
      </c>
      <c r="LD44" s="211">
        <f t="shared" si="4"/>
        <v>245</v>
      </c>
      <c r="LE44" s="211">
        <f t="shared" si="4"/>
        <v>245</v>
      </c>
      <c r="LF44" s="211">
        <f t="shared" si="4"/>
        <v>245</v>
      </c>
      <c r="LG44" s="211">
        <f t="shared" si="4"/>
        <v>245</v>
      </c>
      <c r="LH44" s="211">
        <f t="shared" si="4"/>
        <v>245</v>
      </c>
      <c r="LI44" s="211">
        <f t="shared" si="4"/>
        <v>245</v>
      </c>
      <c r="LJ44" s="233">
        <f>SUM(LE44:LI44)</f>
        <v>1225</v>
      </c>
      <c r="LK44" s="211">
        <f t="shared" si="4"/>
        <v>245</v>
      </c>
      <c r="LL44" s="211">
        <f t="shared" si="4"/>
        <v>245</v>
      </c>
      <c r="LM44" s="211">
        <f t="shared" si="4"/>
        <v>245</v>
      </c>
      <c r="LN44" s="211">
        <f t="shared" si="4"/>
        <v>245</v>
      </c>
      <c r="LO44" s="211">
        <f t="shared" si="4"/>
        <v>245</v>
      </c>
      <c r="LP44" s="211">
        <f t="shared" si="4"/>
        <v>245</v>
      </c>
      <c r="LQ44" s="233">
        <f>SUM(LL44:LP44)</f>
        <v>1225</v>
      </c>
      <c r="LR44" s="211">
        <f t="shared" si="4"/>
        <v>245</v>
      </c>
      <c r="LS44" s="211">
        <f t="shared" si="4"/>
        <v>245</v>
      </c>
      <c r="LT44" s="211">
        <f t="shared" si="4"/>
        <v>245</v>
      </c>
      <c r="LU44" s="211">
        <f t="shared" si="4"/>
        <v>245</v>
      </c>
      <c r="LV44" s="211">
        <f t="shared" si="4"/>
        <v>245</v>
      </c>
      <c r="LW44" s="211">
        <f t="shared" si="4"/>
        <v>245</v>
      </c>
      <c r="LX44" s="233">
        <f>SUM(LS44:LW44)</f>
        <v>1225</v>
      </c>
      <c r="LY44" s="211">
        <f t="shared" ref="LY44:NT44" si="5">LY43*7</f>
        <v>245</v>
      </c>
      <c r="LZ44" s="211">
        <f t="shared" si="5"/>
        <v>245</v>
      </c>
      <c r="MA44" s="211">
        <f t="shared" si="5"/>
        <v>245</v>
      </c>
      <c r="MB44" s="211">
        <f t="shared" si="5"/>
        <v>245</v>
      </c>
      <c r="MC44" s="211">
        <f t="shared" si="5"/>
        <v>245</v>
      </c>
      <c r="MD44" s="211">
        <f t="shared" si="5"/>
        <v>245</v>
      </c>
      <c r="ME44" s="233">
        <f>SUM(LZ44:MD44)</f>
        <v>1225</v>
      </c>
      <c r="MF44" s="211">
        <f t="shared" si="5"/>
        <v>245</v>
      </c>
      <c r="MG44" s="211">
        <f t="shared" si="5"/>
        <v>245</v>
      </c>
      <c r="MH44" s="211">
        <f t="shared" si="5"/>
        <v>245</v>
      </c>
      <c r="MI44" s="211">
        <f t="shared" si="5"/>
        <v>245</v>
      </c>
      <c r="MJ44" s="211">
        <f t="shared" si="5"/>
        <v>245</v>
      </c>
      <c r="MK44" s="211">
        <f t="shared" si="5"/>
        <v>245</v>
      </c>
      <c r="ML44" s="233">
        <f>SUM(MG44:MK44)</f>
        <v>1225</v>
      </c>
      <c r="MM44" s="211">
        <f t="shared" si="5"/>
        <v>245</v>
      </c>
      <c r="MN44" s="211">
        <f t="shared" si="5"/>
        <v>245</v>
      </c>
      <c r="MO44" s="211">
        <f t="shared" si="5"/>
        <v>245</v>
      </c>
      <c r="MP44" s="211">
        <f t="shared" si="5"/>
        <v>245</v>
      </c>
      <c r="MQ44" s="211">
        <f t="shared" si="5"/>
        <v>245</v>
      </c>
      <c r="MR44" s="211">
        <f t="shared" si="5"/>
        <v>245</v>
      </c>
      <c r="MS44" s="233">
        <f>SUM(MN44:MR44)</f>
        <v>1225</v>
      </c>
      <c r="MT44" s="211">
        <f t="shared" si="5"/>
        <v>245</v>
      </c>
      <c r="MU44" s="211">
        <f t="shared" si="5"/>
        <v>245</v>
      </c>
      <c r="MV44" s="211">
        <f t="shared" si="5"/>
        <v>245</v>
      </c>
      <c r="MW44" s="211">
        <f t="shared" si="5"/>
        <v>245</v>
      </c>
      <c r="MX44" s="211">
        <f t="shared" si="5"/>
        <v>245</v>
      </c>
      <c r="MY44" s="211">
        <f t="shared" si="5"/>
        <v>245</v>
      </c>
      <c r="MZ44" s="233">
        <f>SUM(MU44:MY44)</f>
        <v>1225</v>
      </c>
      <c r="NA44" s="211">
        <f t="shared" si="5"/>
        <v>245</v>
      </c>
      <c r="NB44" s="211">
        <f t="shared" si="5"/>
        <v>245</v>
      </c>
      <c r="NC44" s="211">
        <f t="shared" si="5"/>
        <v>245</v>
      </c>
      <c r="ND44" s="211">
        <f t="shared" si="5"/>
        <v>245</v>
      </c>
      <c r="NE44" s="211">
        <f t="shared" si="5"/>
        <v>245</v>
      </c>
      <c r="NF44" s="211">
        <f t="shared" si="5"/>
        <v>245</v>
      </c>
      <c r="NG44" s="233">
        <f>SUM(NB44:NF44)</f>
        <v>1225</v>
      </c>
      <c r="NH44" s="211">
        <f t="shared" si="5"/>
        <v>245</v>
      </c>
      <c r="NI44" s="211">
        <f t="shared" si="5"/>
        <v>245</v>
      </c>
      <c r="NJ44" s="211">
        <f t="shared" si="5"/>
        <v>245</v>
      </c>
      <c r="NK44" s="211">
        <f t="shared" si="5"/>
        <v>245</v>
      </c>
      <c r="NL44" s="211">
        <f t="shared" si="5"/>
        <v>245</v>
      </c>
      <c r="NM44" s="211">
        <f t="shared" si="5"/>
        <v>245</v>
      </c>
      <c r="NN44" s="233">
        <f>SUM(NI44:NM44)</f>
        <v>1225</v>
      </c>
      <c r="NO44" s="211">
        <f t="shared" si="5"/>
        <v>245</v>
      </c>
      <c r="NP44" s="211">
        <f t="shared" si="5"/>
        <v>245</v>
      </c>
      <c r="NQ44" s="211">
        <f t="shared" si="5"/>
        <v>245</v>
      </c>
      <c r="NR44" s="211">
        <f t="shared" si="5"/>
        <v>245</v>
      </c>
      <c r="NS44" s="211">
        <f t="shared" si="5"/>
        <v>245</v>
      </c>
      <c r="NT44" s="211">
        <f t="shared" si="5"/>
        <v>245</v>
      </c>
      <c r="NU44" s="233">
        <f>SUM(NP44:NT44)</f>
        <v>1225</v>
      </c>
    </row>
    <row r="46" spans="4:385" x14ac:dyDescent="0.3">
      <c r="I46" s="208"/>
      <c r="P46" s="208"/>
      <c r="W46" s="208"/>
      <c r="AD46" s="208"/>
      <c r="AK46" s="208"/>
      <c r="AR46" s="208"/>
      <c r="AY46" s="208"/>
      <c r="BF46" s="208"/>
      <c r="BM46" s="208"/>
      <c r="BT46" s="208"/>
      <c r="CA46" s="208"/>
      <c r="CH46" s="208"/>
      <c r="CO46" s="208"/>
      <c r="CV46" s="208"/>
      <c r="DC46" s="208"/>
      <c r="DJ46" s="208"/>
      <c r="DQ46" s="208"/>
      <c r="DX46" s="208"/>
      <c r="EE46" s="208"/>
      <c r="EL46" s="208"/>
      <c r="ES46" s="208"/>
      <c r="EZ46" s="208"/>
      <c r="FG46" s="208"/>
      <c r="FN46" s="208"/>
      <c r="FU46" s="208"/>
      <c r="GB46" s="208"/>
      <c r="GI46" s="208"/>
      <c r="GP46" s="208"/>
      <c r="GW46" s="208"/>
      <c r="HD46" s="208"/>
      <c r="HK46" s="208"/>
      <c r="HR46" s="208"/>
      <c r="HY46" s="208"/>
      <c r="IF46" s="208"/>
      <c r="IM46" s="208"/>
      <c r="IT46" s="208"/>
      <c r="JA46" s="208"/>
      <c r="JH46" s="208"/>
      <c r="JO46" s="208"/>
      <c r="JV46" s="208"/>
      <c r="KC46" s="208"/>
      <c r="KJ46" s="208"/>
      <c r="KQ46" s="208"/>
      <c r="KX46" s="208"/>
      <c r="LE46" s="208"/>
      <c r="LL46" s="208"/>
      <c r="LS46" s="208"/>
      <c r="LZ46" s="208"/>
      <c r="MG46" s="208"/>
      <c r="MN46" s="208"/>
      <c r="MU46" s="208"/>
      <c r="NB46" s="208"/>
      <c r="NI46" s="208"/>
      <c r="NP46" s="208"/>
    </row>
  </sheetData>
  <conditionalFormatting sqref="E5:E39">
    <cfRule type="cellIs" dxfId="420" priority="45" operator="equal">
      <formula>"CDD"</formula>
    </cfRule>
    <cfRule type="containsText" dxfId="419" priority="55" operator="containsText" text="COG">
      <formula>NOT(ISERROR(SEARCH("COG",E5)))</formula>
    </cfRule>
    <cfRule type="containsText" dxfId="418" priority="56" operator="containsText" text="CDI">
      <formula>NOT(ISERROR(SEARCH(("CDI"),(E5))))</formula>
    </cfRule>
  </conditionalFormatting>
  <conditionalFormatting sqref="AL10:AV10 BN31:CE31 BR34:BX34 CB15:CL15 CT17:CZ17 CW34:DD34 BM27:BX30 CA25:CL26 BF25:BQ26 CO18:CZ19 JH19:JS19 CO5:CS17 CV5:CZ17 JO5:JS18 JH5:JL18 BM5:BQ24 BF5:BJ24 CA5:CE24 CH5:CL24 BT5:BX27 BM35:BX39 CV35:DG39 JO35:JZ39 IF35:IQ39 BM31:BQ34 BT31:BX34 CV20:CZ34 JO20:JS38 DC5:DG34 JV5:JZ38 IF5:IJ38 IM5:IQ38 BF27:BJ39 CA27:CE39 CH27:CL39 CO20:CS39 JH20:JL39 P5:T39 I5:M39 W5:AA39 AD5:AH39 AK5:AO39 AR5:AV39 AY5:BC39 DJ5:DN39 DQ5:DU39 DW5:EB39 EE5:EI39 EL5:EP39 ES5:EW39 EZ5:FD39 NP5:NT39 NI5:NM39 NB5:NF39 MU5:MY39 MN5:MR39 MG5:MK39 LZ5:MD39 LS5:LW39 LL5:LP39 LE5:LI39 KX5:LB39 KP5:KU39 KJ5:KN39 KC5:KG39 FG5:FK39 IT5:IX39 JA5:JE39 FN5:FR39 FU5:FY39 GB5:GF39 GI5:GM39 GP5:GT39 HK5:HO39 HR5:HV39 HY5:IC39 HD5:HH39 GW5:HA39">
    <cfRule type="containsText" dxfId="417" priority="48" operator="containsText" text="FILM">
      <formula>NOT(ISERROR(SEARCH("FILM",I5)))</formula>
    </cfRule>
    <cfRule type="containsText" dxfId="416" priority="49" operator="containsText" text="VRAC">
      <formula>NOT(ISERROR(SEARCH("VRAC",I5)))</formula>
    </cfRule>
    <cfRule type="containsText" dxfId="415" priority="50" operator="containsText" text="ECH">
      <formula>NOT(ISERROR(SEARCH("ECH",I5)))</formula>
    </cfRule>
    <cfRule type="containsText" dxfId="414" priority="51" operator="containsText" text="CAR">
      <formula>NOT(ISERROR(SEARCH("CAR",I5)))</formula>
    </cfRule>
    <cfRule type="containsText" dxfId="413" priority="52" operator="containsText" text="ETIQ">
      <formula>NOT(ISERROR(SEARCH("ETIQ",I5)))</formula>
    </cfRule>
    <cfRule type="containsText" dxfId="412" priority="53" operator="containsText" text="ENCA">
      <formula>NOT(ISERROR(SEARCH("ENCA",I5)))</formula>
    </cfRule>
    <cfRule type="containsText" dxfId="411" priority="54" operator="containsText" text="FERIE">
      <formula>NOT(ISERROR(SEARCH("FERIE",I5)))</formula>
    </cfRule>
  </conditionalFormatting>
  <conditionalFormatting sqref="G5:H39">
    <cfRule type="expression" dxfId="410" priority="44">
      <formula>$D5=PA</formula>
    </cfRule>
  </conditionalFormatting>
  <conditionalFormatting sqref="I5:NU39">
    <cfRule type="expression" dxfId="409" priority="31">
      <formula>OR(LEFT(I$4,1)="s",LEFT(I$4,1)="d")</formula>
    </cfRule>
    <cfRule type="cellIs" dxfId="408" priority="43" operator="equal">
      <formula>"A."</formula>
    </cfRule>
  </conditionalFormatting>
  <conditionalFormatting sqref="D5:D39">
    <cfRule type="cellIs" dxfId="407" priority="39" operator="equal">
      <formula>"PA"</formula>
    </cfRule>
    <cfRule type="cellIs" dxfId="406" priority="40" operator="equal">
      <formula>"EUP"</formula>
    </cfRule>
    <cfRule type="cellIs" dxfId="405" priority="41" operator="equal">
      <formula>"CFP"</formula>
    </cfRule>
    <cfRule type="cellIs" dxfId="404" priority="42" operator="equal">
      <formula>"27O"</formula>
    </cfRule>
  </conditionalFormatting>
  <conditionalFormatting sqref="X5:AA39 DX5:EB39 EE5:EI39 KQ5:KU39 KX5:LB39">
    <cfRule type="containsText" dxfId="403" priority="32" operator="containsText" text="FILM">
      <formula>NOT(ISERROR(SEARCH("FILM",X5)))</formula>
    </cfRule>
    <cfRule type="containsText" dxfId="402" priority="33" operator="containsText" text="VRAC">
      <formula>NOT(ISERROR(SEARCH("VRAC",X5)))</formula>
    </cfRule>
    <cfRule type="containsText" dxfId="401" priority="34" operator="containsText" text="ECHANT">
      <formula>NOT(ISERROR(SEARCH("ECHANT",X5)))</formula>
    </cfRule>
    <cfRule type="containsText" dxfId="400" priority="35" operator="containsText" text="CAR">
      <formula>NOT(ISERROR(SEARCH("CAR",X5)))</formula>
    </cfRule>
    <cfRule type="containsText" dxfId="399" priority="36" operator="containsText" text="ETIQ">
      <formula>NOT(ISERROR(SEARCH("ETIQ",X5)))</formula>
    </cfRule>
    <cfRule type="containsText" dxfId="398" priority="37" operator="containsText" text="ENCA">
      <formula>NOT(ISERROR(SEARCH("ENCA",X5)))</formula>
    </cfRule>
    <cfRule type="containsText" dxfId="397" priority="38" operator="containsText" text="FERIE">
      <formula>NOT(ISERROR(SEARCH("FERIE",X5)))</formula>
    </cfRule>
  </conditionalFormatting>
  <conditionalFormatting sqref="AL10:AV10 BN31:CE31 BR34:BX34 CB15:CL15 CT17:CZ17 BF28:CF30 BN27:CF27 BT25:CT26 CH18:DH19 IM19:LQ19 CH20:CT24 JA20:JM24 CH5:CT17 CV5:DH17 JT5:KA17 JA5:JM14 JV5:LQ18 JH5:JT18 IM5:JF18 BT5:CF24 BF5:BR27 BF35:CF39 IE35:IY39 BF31:BR34 BT31:CF34 CH27:CT39 JA27:JM39 CV20:DH39 JH20:LQ39 IM20:JF39 I5:U39 W5:AP39 AR5:BD39 DJ5:EC39 EE5:EX39 NI5:NU39 MN5:NG39 LS5:ML39 EZ5:FS39 FU5:GN39 HK5:IK39 GP5:HI39">
    <cfRule type="containsText" dxfId="396" priority="47" operator="containsText" text="AUTRE">
      <formula>NOT(ISERROR(SEARCH("AUTRE",I5)))</formula>
    </cfRule>
  </conditionalFormatting>
  <conditionalFormatting sqref="I5:NU39">
    <cfRule type="expression" dxfId="395" priority="30">
      <formula>OR(LEFT(I$4,1)="s",LEFT(I$4,1)="d")</formula>
    </cfRule>
  </conditionalFormatting>
  <conditionalFormatting sqref="IK34:IQ34 JM17:JS17 JP34:JW34 JH18:JS18 IF27:IQ30 IT15:JE15 IT25:JE26 IG31:IX31 IE25:IJ26">
    <cfRule type="containsText" dxfId="394" priority="23" operator="containsText" text="FILM">
      <formula>NOT(ISERROR(SEARCH("FILM",IE15)))</formula>
    </cfRule>
    <cfRule type="containsText" dxfId="393" priority="24" operator="containsText" text="VRAC">
      <formula>NOT(ISERROR(SEARCH("VRAC",IE15)))</formula>
    </cfRule>
    <cfRule type="containsText" dxfId="392" priority="25" operator="containsText" text="ECH">
      <formula>NOT(ISERROR(SEARCH("ECH",IE15)))</formula>
    </cfRule>
    <cfRule type="containsText" dxfId="391" priority="26" operator="containsText" text="CAR">
      <formula>NOT(ISERROR(SEARCH("CAR",IE15)))</formula>
    </cfRule>
    <cfRule type="containsText" dxfId="390" priority="27" operator="containsText" text="ETIQ">
      <formula>NOT(ISERROR(SEARCH("ETIQ",IE15)))</formula>
    </cfRule>
    <cfRule type="containsText" dxfId="389" priority="28" operator="containsText" text="ENCA">
      <formula>NOT(ISERROR(SEARCH("ENCA",IE15)))</formula>
    </cfRule>
    <cfRule type="containsText" dxfId="388" priority="29" operator="containsText" text="FERIE">
      <formula>NOT(ISERROR(SEARCH("FERIE",IE15)))</formula>
    </cfRule>
  </conditionalFormatting>
  <conditionalFormatting sqref="IK34:IQ34 IE28:IY30 IG27:IY27 JA18:KA18 IM15:JM15 JA16:JL17 IM25:JM26 IG31:IX31">
    <cfRule type="containsText" dxfId="387" priority="22" operator="containsText" text="AUTRE">
      <formula>NOT(ISERROR(SEARCH("AUTRE",IE15)))</formula>
    </cfRule>
  </conditionalFormatting>
  <dataValidations count="5">
    <dataValidation type="list" allowBlank="1" showInputMessage="1" showErrorMessage="1" sqref="CF16:CG24 IY16:IZ24 IR5:IS30 IK5:IL26 BY5:BZ30 BR5:BS26 BK5:BL24 ID5:IE24 CT5:CU16 JM5:JN16 IY5:IZ14 CF5:CG14 AP5:AQ9 HI5:HJ9 BR32:BS33 IK32:IL33 JT5:JU33 DA5:DB33 CT20:CU39 JM20:JN39 HI11:HJ39 AP11:AQ39 BY32:BZ39 CF27:CG39 BK27:BL39 IR32:IS39 IY27:IZ39 ID27:IE39 HW5:HX39 JF5:JG39 HP5:HQ39 MZ5:NA39 MS5:MT39 ML5:MM39 ME5:MF39 LX5:LY39 LQ5:LR39 LJ5:LK39 LC5:LD39 KV5:KW39 KO5:KP39 KH5:KI39 KA5:KB39 NG5:NH39 NU5:NU39 NN5:NO39 BD5:BE39 CM5:CN39 AW5:AX39 GG5:GH39 FZ5:GA39 FS5:FT39 FL5:FM39 FE5:FF39 EX5:EY39 EQ5:ER39 EJ5:EK39 EC5:ED39 DV5:DW39 DO5:DP39 DH5:DI39 GN5:GO39 AI5:AJ39 AB5:AC39 U5:V39 N5:O39 HB5:HC39 GU5:GV39" xr:uid="{A7BACD20-31EC-4E54-B8B7-AFD610424505}">
      <formula1>INDIRECT($I5)</formula1>
    </dataValidation>
    <dataValidation type="list" allowBlank="1" showInputMessage="1" showErrorMessage="1" sqref="CB15:CL15 BX31:CE31 CB27:CE27 BG27:BJ32 AL10:AV10 CA28:CE30 BN27:BV31 BT32:BV32 BW31:BW32 BX32 IU15:JE15 IU27:IX27 HE10:HO10 IT28:IX30 HZ27:IC32 IM32:IO32 IR31:IX31 IG27:IO31 IP27:IQ32 HZ25:IJ26 IU25:JE26 BG25:BQ26 CB25:CL26 CT17:CZ19 JM17:JS19 CB9:CE14 IU9:IX14 BG9:BJ24 HZ9:IC24 CA9:CA27 IT9:IT27 HY9:HY32 BF9:BF32 CB16:CE24 JA16:JE24 IU16:IX24 CH16:CL24 BW20:BX30 BT20:BV26 CA5:CE8 BM5:BQ24 IF5:IJ24 IM5:IQ26 BT5:BX19 CH5:CL14 CV5:CZ16 JO5:JS16 JA5:JE14 AL5:AO9 HK5:HO9 HE5:HH9 AR5:AV9 BF5:BJ8 IT5:IX8 HY5:IC8 IK34:IQ39 JO34:JZ39 CV34:DG39 BR34:BX39 BT33:BX33 IM33:IQ33 HY33:IC39 BF33:BJ39 JO20:JS33 CV20:CZ33 JV5:JZ33 DC5:DG33 HE11:HH39 HR5:HV39 AL11:AO39 AR11:AV39 IT32:IX39 CA32:CE39 BN32:BQ39 BM27:BM39 CH27:CL39 IG32:IJ39 IF27:IF39 JA27:JE39 HK11:HO39 GP5:GT39 FU5:FY39 LE5:LI39 KJ5:KN39 JH5:JL39 LZ5:MD39 KC5:KG39 NI5:NM39 MG5:MK39 HD5:HD39 NB5:NF39 MU5:MY39 MN5:MR39 KX5:LB39 NP5:NT39 KQ5:KU39 LL5:LP39 LS5:LW39 EL5:EP39 DQ5:DU39 CO5:CS39 AY5:BC39 EZ5:FD39 W5:AA39 DJ5:DN39 FG5:FK39 AK5:AK39 EE5:EI39 I5:M39 P5:T39 GB5:GF39 AD5:AH39 DX5:EB39 ES5:EW39 FN5:FR39 GI5:GM39 GW5:HA39" xr:uid="{5A6C3C67-8678-4E73-B695-E5987BF39885}">
      <formula1>INDIRECT($F5)</formula1>
    </dataValidation>
    <dataValidation type="list" allowBlank="1" showInputMessage="1" showErrorMessage="1" sqref="F5:F39" xr:uid="{5AC532F7-88E2-468B-BD63-4079B40D43A6}">
      <formula1>FONCTION</formula1>
    </dataValidation>
    <dataValidation type="list" allowBlank="1" showInputMessage="1" showErrorMessage="1" sqref="E5:E39" xr:uid="{261E5ECB-39F5-4BE0-8529-FB12043F39AF}">
      <formula1>STATUT</formula1>
    </dataValidation>
    <dataValidation type="list" allowBlank="1" showInputMessage="1" showErrorMessage="1" sqref="D5:D39" xr:uid="{D10F7C55-1DCC-4656-9AF7-C52AAFE48ED1}">
      <formula1>SOCIETE</formula1>
    </dataValidation>
  </dataValidations>
  <pageMargins left="0.7" right="0.7" top="0.75" bottom="0.75" header="0.3" footer="0.3"/>
  <pageSetup paperSize="9" scale="10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46" operator="beginsWith" id="{9392CACE-7525-44FE-A2F3-1690F90E18D4}">
            <xm:f>LEFT(E5,LEN("INT"))="INT"</xm:f>
            <xm:f>"INT"</xm:f>
            <x14:dxf>
              <fill>
                <patternFill>
                  <bgColor theme="9" tint="0.59996337778862885"/>
                </patternFill>
              </fill>
            </x14:dxf>
          </x14:cfRule>
          <xm:sqref>E5:E39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9422-3424-41EE-931E-DAA3F0FDC3EA}">
  <sheetPr codeName="Feuil2"/>
  <dimension ref="A1:Y217"/>
  <sheetViews>
    <sheetView workbookViewId="0">
      <selection activeCell="F26" sqref="F26"/>
    </sheetView>
  </sheetViews>
  <sheetFormatPr baseColWidth="10" defaultRowHeight="14.4" x14ac:dyDescent="0.3"/>
  <cols>
    <col min="7" max="7" width="38" customWidth="1"/>
    <col min="9" max="19" width="5.77734375" customWidth="1"/>
    <col min="22" max="22" width="20.109375" customWidth="1"/>
    <col min="25" max="25" width="26.5546875" customWidth="1"/>
  </cols>
  <sheetData>
    <row r="1" spans="1:25" ht="15" thickBot="1" x14ac:dyDescent="0.35">
      <c r="I1" t="s">
        <v>439</v>
      </c>
      <c r="K1" t="s">
        <v>113</v>
      </c>
    </row>
    <row r="2" spans="1:25" ht="15" thickBot="1" x14ac:dyDescent="0.35">
      <c r="A2" s="64" t="s">
        <v>410</v>
      </c>
      <c r="F2" t="s">
        <v>434</v>
      </c>
      <c r="I2" s="138" t="s">
        <v>9</v>
      </c>
      <c r="J2" s="138" t="s">
        <v>35</v>
      </c>
      <c r="K2" s="138" t="s">
        <v>88</v>
      </c>
      <c r="L2" s="138" t="s">
        <v>44</v>
      </c>
      <c r="M2" s="138" t="s">
        <v>51</v>
      </c>
      <c r="N2" s="138" t="s">
        <v>32</v>
      </c>
      <c r="O2" s="138" t="s">
        <v>15</v>
      </c>
      <c r="P2" s="138" t="s">
        <v>452</v>
      </c>
      <c r="Q2" s="138" t="s">
        <v>47</v>
      </c>
      <c r="R2" s="138"/>
      <c r="S2" s="138"/>
      <c r="U2" s="136" t="s">
        <v>7</v>
      </c>
      <c r="V2" s="137" t="s">
        <v>463</v>
      </c>
      <c r="X2" s="136" t="s">
        <v>8</v>
      </c>
      <c r="Y2" s="137" t="s">
        <v>467</v>
      </c>
    </row>
    <row r="3" spans="1:25" x14ac:dyDescent="0.3">
      <c r="A3" s="64" t="s">
        <v>411</v>
      </c>
      <c r="D3" t="s">
        <v>420</v>
      </c>
      <c r="F3" t="s">
        <v>9</v>
      </c>
      <c r="G3" t="s">
        <v>435</v>
      </c>
      <c r="U3" s="125" t="s">
        <v>12</v>
      </c>
      <c r="V3" s="79" t="s">
        <v>464</v>
      </c>
      <c r="X3" s="125" t="s">
        <v>26</v>
      </c>
      <c r="Y3" s="79" t="s">
        <v>468</v>
      </c>
    </row>
    <row r="4" spans="1:25" x14ac:dyDescent="0.3">
      <c r="A4" s="64" t="s">
        <v>395</v>
      </c>
      <c r="B4">
        <v>7</v>
      </c>
      <c r="D4" t="s">
        <v>421</v>
      </c>
      <c r="F4" t="s">
        <v>35</v>
      </c>
      <c r="G4" t="s">
        <v>436</v>
      </c>
      <c r="I4" t="s">
        <v>460</v>
      </c>
      <c r="J4" t="s">
        <v>460</v>
      </c>
      <c r="K4" t="s">
        <v>460</v>
      </c>
      <c r="L4" t="s">
        <v>460</v>
      </c>
      <c r="M4" t="s">
        <v>460</v>
      </c>
      <c r="N4" t="s">
        <v>460</v>
      </c>
      <c r="O4" t="s">
        <v>460</v>
      </c>
      <c r="P4" t="s">
        <v>460</v>
      </c>
      <c r="Q4" t="s">
        <v>460</v>
      </c>
      <c r="U4" s="125" t="s">
        <v>60</v>
      </c>
      <c r="V4" s="79" t="s">
        <v>465</v>
      </c>
      <c r="X4" s="125" t="s">
        <v>469</v>
      </c>
      <c r="Y4" s="79" t="s">
        <v>470</v>
      </c>
    </row>
    <row r="5" spans="1:25" x14ac:dyDescent="0.3">
      <c r="A5" s="64" t="s">
        <v>396</v>
      </c>
      <c r="B5">
        <v>7</v>
      </c>
      <c r="D5" t="s">
        <v>422</v>
      </c>
      <c r="F5" t="s">
        <v>88</v>
      </c>
      <c r="G5" t="s">
        <v>437</v>
      </c>
      <c r="I5" t="s">
        <v>386</v>
      </c>
      <c r="J5" t="s">
        <v>457</v>
      </c>
      <c r="K5" t="s">
        <v>458</v>
      </c>
      <c r="L5" t="s">
        <v>44</v>
      </c>
      <c r="M5" t="s">
        <v>51</v>
      </c>
      <c r="N5" t="s">
        <v>32</v>
      </c>
      <c r="O5" t="s">
        <v>461</v>
      </c>
      <c r="P5" t="s">
        <v>462</v>
      </c>
      <c r="U5" s="125" t="s">
        <v>20</v>
      </c>
      <c r="V5" s="79" t="s">
        <v>466</v>
      </c>
      <c r="X5" s="125" t="s">
        <v>79</v>
      </c>
      <c r="Y5" s="79" t="s">
        <v>471</v>
      </c>
    </row>
    <row r="6" spans="1:25" x14ac:dyDescent="0.3">
      <c r="A6" s="64" t="s">
        <v>397</v>
      </c>
      <c r="B6">
        <v>7</v>
      </c>
      <c r="D6" t="s">
        <v>423</v>
      </c>
      <c r="F6" t="s">
        <v>113</v>
      </c>
      <c r="G6" t="s">
        <v>438</v>
      </c>
      <c r="I6" t="s">
        <v>429</v>
      </c>
      <c r="J6" t="s">
        <v>44</v>
      </c>
      <c r="K6" t="s">
        <v>475</v>
      </c>
      <c r="L6" t="s">
        <v>457</v>
      </c>
      <c r="M6" t="s">
        <v>475</v>
      </c>
      <c r="N6" t="s">
        <v>475</v>
      </c>
      <c r="O6" t="s">
        <v>429</v>
      </c>
      <c r="P6" t="s">
        <v>385</v>
      </c>
      <c r="X6" s="125" t="s">
        <v>450</v>
      </c>
      <c r="Y6" s="79" t="s">
        <v>451</v>
      </c>
    </row>
    <row r="7" spans="1:25" x14ac:dyDescent="0.3">
      <c r="A7" s="64" t="s">
        <v>398</v>
      </c>
      <c r="B7">
        <v>7</v>
      </c>
      <c r="D7" t="s">
        <v>424</v>
      </c>
      <c r="F7" t="s">
        <v>439</v>
      </c>
      <c r="G7" t="s">
        <v>440</v>
      </c>
      <c r="I7" t="s">
        <v>430</v>
      </c>
      <c r="J7" t="s">
        <v>35</v>
      </c>
      <c r="L7" t="s">
        <v>475</v>
      </c>
      <c r="M7" t="s">
        <v>429</v>
      </c>
      <c r="O7" t="s">
        <v>430</v>
      </c>
      <c r="P7" t="s">
        <v>457</v>
      </c>
      <c r="X7" s="125" t="s">
        <v>29</v>
      </c>
      <c r="Y7" s="79" t="s">
        <v>472</v>
      </c>
    </row>
    <row r="8" spans="1:25" x14ac:dyDescent="0.3">
      <c r="A8" s="64" t="s">
        <v>399</v>
      </c>
      <c r="B8">
        <v>7</v>
      </c>
      <c r="D8" t="s">
        <v>425</v>
      </c>
      <c r="F8" t="s">
        <v>44</v>
      </c>
      <c r="G8" t="s">
        <v>441</v>
      </c>
      <c r="I8" t="s">
        <v>475</v>
      </c>
      <c r="J8" t="s">
        <v>475</v>
      </c>
      <c r="O8" t="s">
        <v>432</v>
      </c>
      <c r="P8" t="s">
        <v>35</v>
      </c>
      <c r="X8" s="125" t="s">
        <v>21</v>
      </c>
      <c r="Y8" s="79" t="s">
        <v>473</v>
      </c>
    </row>
    <row r="9" spans="1:25" x14ac:dyDescent="0.3">
      <c r="A9" s="64" t="s">
        <v>400</v>
      </c>
      <c r="B9">
        <v>7</v>
      </c>
      <c r="F9" t="s">
        <v>47</v>
      </c>
      <c r="G9" t="s">
        <v>442</v>
      </c>
      <c r="O9" t="s">
        <v>475</v>
      </c>
      <c r="P9" t="s">
        <v>475</v>
      </c>
      <c r="X9" s="125" t="s">
        <v>217</v>
      </c>
      <c r="Y9" s="79" t="s">
        <v>474</v>
      </c>
    </row>
    <row r="10" spans="1:25" x14ac:dyDescent="0.3">
      <c r="A10" s="64" t="s">
        <v>401</v>
      </c>
      <c r="F10" t="s">
        <v>51</v>
      </c>
      <c r="G10" t="s">
        <v>443</v>
      </c>
    </row>
    <row r="11" spans="1:25" x14ac:dyDescent="0.3">
      <c r="A11" s="64" t="s">
        <v>402</v>
      </c>
      <c r="F11" t="s">
        <v>32</v>
      </c>
      <c r="G11" t="s">
        <v>444</v>
      </c>
    </row>
    <row r="12" spans="1:25" x14ac:dyDescent="0.3">
      <c r="A12" s="64" t="s">
        <v>403</v>
      </c>
      <c r="F12" t="s">
        <v>445</v>
      </c>
      <c r="G12" t="s">
        <v>446</v>
      </c>
    </row>
    <row r="13" spans="1:25" x14ac:dyDescent="0.3">
      <c r="A13" s="64" t="s">
        <v>404</v>
      </c>
      <c r="F13" t="s">
        <v>447</v>
      </c>
      <c r="G13" t="s">
        <v>448</v>
      </c>
    </row>
    <row r="14" spans="1:25" x14ac:dyDescent="0.3">
      <c r="A14" s="64" t="s">
        <v>405</v>
      </c>
      <c r="F14" t="s">
        <v>15</v>
      </c>
      <c r="G14" t="s">
        <v>449</v>
      </c>
    </row>
    <row r="15" spans="1:25" x14ac:dyDescent="0.3">
      <c r="A15" s="64" t="s">
        <v>406</v>
      </c>
      <c r="F15" t="s">
        <v>450</v>
      </c>
      <c r="G15" t="s">
        <v>451</v>
      </c>
    </row>
    <row r="16" spans="1:25" x14ac:dyDescent="0.3">
      <c r="A16" s="64" t="s">
        <v>417</v>
      </c>
      <c r="F16" t="s">
        <v>452</v>
      </c>
      <c r="G16" t="s">
        <v>453</v>
      </c>
    </row>
    <row r="17" spans="1:7" x14ac:dyDescent="0.3">
      <c r="A17" s="64" t="s">
        <v>418</v>
      </c>
      <c r="F17" t="s">
        <v>187</v>
      </c>
      <c r="G17" t="s">
        <v>454</v>
      </c>
    </row>
    <row r="18" spans="1:7" x14ac:dyDescent="0.3">
      <c r="A18" s="64" t="s">
        <v>419</v>
      </c>
      <c r="F18" t="s">
        <v>455</v>
      </c>
      <c r="G18" t="s">
        <v>456</v>
      </c>
    </row>
    <row r="19" spans="1:7" x14ac:dyDescent="0.3">
      <c r="A19" s="64" t="s">
        <v>386</v>
      </c>
    </row>
    <row r="20" spans="1:7" x14ac:dyDescent="0.3">
      <c r="A20" s="64" t="s">
        <v>385</v>
      </c>
    </row>
    <row r="21" spans="1:7" x14ac:dyDescent="0.3">
      <c r="A21" s="64" t="s">
        <v>426</v>
      </c>
    </row>
    <row r="22" spans="1:7" x14ac:dyDescent="0.3">
      <c r="A22" s="64" t="s">
        <v>427</v>
      </c>
    </row>
    <row r="23" spans="1:7" x14ac:dyDescent="0.3">
      <c r="A23" s="64" t="s">
        <v>428</v>
      </c>
    </row>
    <row r="24" spans="1:7" x14ac:dyDescent="0.3">
      <c r="A24" s="64" t="s">
        <v>429</v>
      </c>
    </row>
    <row r="25" spans="1:7" x14ac:dyDescent="0.3">
      <c r="A25" s="64" t="s">
        <v>431</v>
      </c>
    </row>
    <row r="26" spans="1:7" x14ac:dyDescent="0.3">
      <c r="A26" s="64" t="s">
        <v>432</v>
      </c>
    </row>
    <row r="27" spans="1:7" x14ac:dyDescent="0.3">
      <c r="A27" s="64"/>
    </row>
    <row r="28" spans="1:7" x14ac:dyDescent="0.3">
      <c r="A28" s="64"/>
    </row>
    <row r="29" spans="1:7" x14ac:dyDescent="0.3">
      <c r="A29" s="64"/>
    </row>
    <row r="30" spans="1:7" x14ac:dyDescent="0.3">
      <c r="A30" s="64"/>
    </row>
    <row r="31" spans="1:7" x14ac:dyDescent="0.3">
      <c r="A31" s="64"/>
    </row>
    <row r="32" spans="1:7" x14ac:dyDescent="0.3">
      <c r="A32" s="64"/>
    </row>
    <row r="33" spans="1:1" x14ac:dyDescent="0.3">
      <c r="A33" s="64"/>
    </row>
    <row r="34" spans="1:1" x14ac:dyDescent="0.3">
      <c r="A34" s="64"/>
    </row>
    <row r="35" spans="1:1" x14ac:dyDescent="0.3">
      <c r="A35" s="64"/>
    </row>
    <row r="36" spans="1:1" x14ac:dyDescent="0.3">
      <c r="A36" s="64"/>
    </row>
    <row r="37" spans="1:1" x14ac:dyDescent="0.3">
      <c r="A37" s="64"/>
    </row>
    <row r="38" spans="1:1" x14ac:dyDescent="0.3">
      <c r="A38" s="64"/>
    </row>
    <row r="39" spans="1:1" x14ac:dyDescent="0.3">
      <c r="A39" s="64"/>
    </row>
    <row r="40" spans="1:1" x14ac:dyDescent="0.3">
      <c r="A40" s="64"/>
    </row>
    <row r="41" spans="1:1" x14ac:dyDescent="0.3">
      <c r="A41" s="64"/>
    </row>
    <row r="42" spans="1:1" x14ac:dyDescent="0.3">
      <c r="A42" s="64"/>
    </row>
    <row r="43" spans="1:1" x14ac:dyDescent="0.3">
      <c r="A43" s="64"/>
    </row>
    <row r="44" spans="1:1" x14ac:dyDescent="0.3">
      <c r="A44" s="64"/>
    </row>
    <row r="45" spans="1:1" x14ac:dyDescent="0.3">
      <c r="A45" s="64"/>
    </row>
    <row r="46" spans="1:1" x14ac:dyDescent="0.3">
      <c r="A46" s="64"/>
    </row>
    <row r="47" spans="1:1" x14ac:dyDescent="0.3">
      <c r="A47" s="64"/>
    </row>
    <row r="48" spans="1:1" x14ac:dyDescent="0.3">
      <c r="A48" s="64"/>
    </row>
    <row r="49" spans="1:1" x14ac:dyDescent="0.3">
      <c r="A49" s="64"/>
    </row>
    <row r="50" spans="1:1" x14ac:dyDescent="0.3">
      <c r="A50" s="64"/>
    </row>
    <row r="51" spans="1:1" x14ac:dyDescent="0.3">
      <c r="A51" s="64"/>
    </row>
    <row r="52" spans="1:1" x14ac:dyDescent="0.3">
      <c r="A52" s="64"/>
    </row>
    <row r="53" spans="1:1" x14ac:dyDescent="0.3">
      <c r="A53" s="64"/>
    </row>
    <row r="54" spans="1:1" x14ac:dyDescent="0.3">
      <c r="A54" s="64"/>
    </row>
    <row r="55" spans="1:1" x14ac:dyDescent="0.3">
      <c r="A55" s="64"/>
    </row>
    <row r="56" spans="1:1" x14ac:dyDescent="0.3">
      <c r="A56" s="64"/>
    </row>
    <row r="57" spans="1:1" x14ac:dyDescent="0.3">
      <c r="A57" s="64"/>
    </row>
    <row r="58" spans="1:1" x14ac:dyDescent="0.3">
      <c r="A58" s="64"/>
    </row>
    <row r="59" spans="1:1" x14ac:dyDescent="0.3">
      <c r="A59" s="64"/>
    </row>
    <row r="60" spans="1:1" x14ac:dyDescent="0.3">
      <c r="A60" s="64"/>
    </row>
    <row r="61" spans="1:1" x14ac:dyDescent="0.3">
      <c r="A61" s="64"/>
    </row>
    <row r="62" spans="1:1" x14ac:dyDescent="0.3">
      <c r="A62" s="64"/>
    </row>
    <row r="63" spans="1:1" x14ac:dyDescent="0.3">
      <c r="A63" s="64"/>
    </row>
    <row r="64" spans="1:1" x14ac:dyDescent="0.3">
      <c r="A64" s="64"/>
    </row>
    <row r="65" spans="1:1" x14ac:dyDescent="0.3">
      <c r="A65" s="64"/>
    </row>
    <row r="66" spans="1:1" x14ac:dyDescent="0.3">
      <c r="A66" s="64"/>
    </row>
    <row r="67" spans="1:1" x14ac:dyDescent="0.3">
      <c r="A67" s="64"/>
    </row>
    <row r="68" spans="1:1" x14ac:dyDescent="0.3">
      <c r="A68" s="64"/>
    </row>
    <row r="69" spans="1:1" x14ac:dyDescent="0.3">
      <c r="A69" s="64"/>
    </row>
    <row r="70" spans="1:1" x14ac:dyDescent="0.3">
      <c r="A70" s="64"/>
    </row>
    <row r="71" spans="1:1" x14ac:dyDescent="0.3">
      <c r="A71" s="64"/>
    </row>
    <row r="72" spans="1:1" x14ac:dyDescent="0.3">
      <c r="A72" s="64"/>
    </row>
    <row r="73" spans="1:1" x14ac:dyDescent="0.3">
      <c r="A73" s="64"/>
    </row>
    <row r="74" spans="1:1" x14ac:dyDescent="0.3">
      <c r="A74" s="64"/>
    </row>
    <row r="75" spans="1:1" x14ac:dyDescent="0.3">
      <c r="A75" s="64"/>
    </row>
    <row r="76" spans="1:1" x14ac:dyDescent="0.3">
      <c r="A76" s="64"/>
    </row>
    <row r="77" spans="1:1" x14ac:dyDescent="0.3">
      <c r="A77" s="64"/>
    </row>
    <row r="78" spans="1:1" x14ac:dyDescent="0.3">
      <c r="A78" s="64"/>
    </row>
    <row r="79" spans="1:1" x14ac:dyDescent="0.3">
      <c r="A79" s="64"/>
    </row>
    <row r="80" spans="1:1" x14ac:dyDescent="0.3">
      <c r="A80" s="64"/>
    </row>
    <row r="81" spans="1:1" x14ac:dyDescent="0.3">
      <c r="A81" s="64"/>
    </row>
    <row r="82" spans="1:1" x14ac:dyDescent="0.3">
      <c r="A82" s="64"/>
    </row>
    <row r="83" spans="1:1" x14ac:dyDescent="0.3">
      <c r="A83" s="64"/>
    </row>
    <row r="84" spans="1:1" x14ac:dyDescent="0.3">
      <c r="A84" s="64"/>
    </row>
    <row r="85" spans="1:1" x14ac:dyDescent="0.3">
      <c r="A85" s="64"/>
    </row>
    <row r="86" spans="1:1" x14ac:dyDescent="0.3">
      <c r="A86" s="64"/>
    </row>
    <row r="87" spans="1:1" x14ac:dyDescent="0.3">
      <c r="A87" s="64"/>
    </row>
    <row r="88" spans="1:1" x14ac:dyDescent="0.3">
      <c r="A88" s="64"/>
    </row>
    <row r="89" spans="1:1" x14ac:dyDescent="0.3">
      <c r="A89" s="64"/>
    </row>
    <row r="90" spans="1:1" x14ac:dyDescent="0.3">
      <c r="A90" s="64"/>
    </row>
    <row r="91" spans="1:1" x14ac:dyDescent="0.3">
      <c r="A91" s="64"/>
    </row>
    <row r="92" spans="1:1" x14ac:dyDescent="0.3">
      <c r="A92" s="64"/>
    </row>
    <row r="93" spans="1:1" x14ac:dyDescent="0.3">
      <c r="A93" s="64"/>
    </row>
    <row r="94" spans="1:1" x14ac:dyDescent="0.3">
      <c r="A94" s="64"/>
    </row>
    <row r="95" spans="1:1" x14ac:dyDescent="0.3">
      <c r="A95" s="64"/>
    </row>
    <row r="96" spans="1:1" x14ac:dyDescent="0.3">
      <c r="A96" s="64"/>
    </row>
    <row r="97" spans="1:1" x14ac:dyDescent="0.3">
      <c r="A97" s="64"/>
    </row>
    <row r="98" spans="1:1" x14ac:dyDescent="0.3">
      <c r="A98" s="64"/>
    </row>
    <row r="99" spans="1:1" x14ac:dyDescent="0.3">
      <c r="A99" s="64"/>
    </row>
    <row r="100" spans="1:1" x14ac:dyDescent="0.3">
      <c r="A100" s="64"/>
    </row>
    <row r="101" spans="1:1" x14ac:dyDescent="0.3">
      <c r="A101" s="64"/>
    </row>
    <row r="102" spans="1:1" x14ac:dyDescent="0.3">
      <c r="A102" s="64"/>
    </row>
    <row r="103" spans="1:1" x14ac:dyDescent="0.3">
      <c r="A103" s="64"/>
    </row>
    <row r="104" spans="1:1" x14ac:dyDescent="0.3">
      <c r="A104" s="64"/>
    </row>
    <row r="105" spans="1:1" x14ac:dyDescent="0.3">
      <c r="A105" s="64"/>
    </row>
    <row r="106" spans="1:1" x14ac:dyDescent="0.3">
      <c r="A106" s="64"/>
    </row>
    <row r="107" spans="1:1" x14ac:dyDescent="0.3">
      <c r="A107" s="64"/>
    </row>
    <row r="108" spans="1:1" x14ac:dyDescent="0.3">
      <c r="A108" s="64"/>
    </row>
    <row r="109" spans="1:1" x14ac:dyDescent="0.3">
      <c r="A109" s="64"/>
    </row>
    <row r="110" spans="1:1" x14ac:dyDescent="0.3">
      <c r="A110" s="64"/>
    </row>
    <row r="111" spans="1:1" x14ac:dyDescent="0.3">
      <c r="A111" s="64"/>
    </row>
    <row r="112" spans="1:1" x14ac:dyDescent="0.3">
      <c r="A112" s="64"/>
    </row>
    <row r="113" spans="1:1" x14ac:dyDescent="0.3">
      <c r="A113" s="64"/>
    </row>
    <row r="114" spans="1:1" x14ac:dyDescent="0.3">
      <c r="A114" s="64"/>
    </row>
    <row r="115" spans="1:1" x14ac:dyDescent="0.3">
      <c r="A115" s="64"/>
    </row>
    <row r="116" spans="1:1" x14ac:dyDescent="0.3">
      <c r="A116" s="64"/>
    </row>
    <row r="117" spans="1:1" x14ac:dyDescent="0.3">
      <c r="A117" s="64"/>
    </row>
    <row r="118" spans="1:1" x14ac:dyDescent="0.3">
      <c r="A118" s="64"/>
    </row>
    <row r="119" spans="1:1" x14ac:dyDescent="0.3">
      <c r="A119" s="64"/>
    </row>
    <row r="120" spans="1:1" x14ac:dyDescent="0.3">
      <c r="A120" s="64"/>
    </row>
    <row r="121" spans="1:1" x14ac:dyDescent="0.3">
      <c r="A121" s="64"/>
    </row>
    <row r="122" spans="1:1" x14ac:dyDescent="0.3">
      <c r="A122" s="64"/>
    </row>
    <row r="123" spans="1:1" x14ac:dyDescent="0.3">
      <c r="A123" s="64"/>
    </row>
    <row r="124" spans="1:1" x14ac:dyDescent="0.3">
      <c r="A124" s="64"/>
    </row>
    <row r="125" spans="1:1" x14ac:dyDescent="0.3">
      <c r="A125" s="64"/>
    </row>
    <row r="126" spans="1:1" x14ac:dyDescent="0.3">
      <c r="A126" s="64"/>
    </row>
    <row r="127" spans="1:1" x14ac:dyDescent="0.3">
      <c r="A127" s="64"/>
    </row>
    <row r="128" spans="1:1" x14ac:dyDescent="0.3">
      <c r="A128" s="64"/>
    </row>
    <row r="129" spans="1:1" x14ac:dyDescent="0.3">
      <c r="A129" s="64"/>
    </row>
    <row r="130" spans="1:1" x14ac:dyDescent="0.3">
      <c r="A130" s="64"/>
    </row>
    <row r="131" spans="1:1" x14ac:dyDescent="0.3">
      <c r="A131" s="64"/>
    </row>
    <row r="132" spans="1:1" x14ac:dyDescent="0.3">
      <c r="A132" s="64"/>
    </row>
    <row r="133" spans="1:1" x14ac:dyDescent="0.3">
      <c r="A133" s="64"/>
    </row>
    <row r="134" spans="1:1" x14ac:dyDescent="0.3">
      <c r="A134" s="64"/>
    </row>
    <row r="135" spans="1:1" x14ac:dyDescent="0.3">
      <c r="A135" s="64"/>
    </row>
    <row r="136" spans="1:1" x14ac:dyDescent="0.3">
      <c r="A136" s="64"/>
    </row>
    <row r="137" spans="1:1" x14ac:dyDescent="0.3">
      <c r="A137" s="64"/>
    </row>
    <row r="138" spans="1:1" x14ac:dyDescent="0.3">
      <c r="A138" s="64"/>
    </row>
    <row r="139" spans="1:1" x14ac:dyDescent="0.3">
      <c r="A139" s="64"/>
    </row>
    <row r="140" spans="1:1" x14ac:dyDescent="0.3">
      <c r="A140" s="64"/>
    </row>
    <row r="141" spans="1:1" x14ac:dyDescent="0.3">
      <c r="A141" s="64"/>
    </row>
    <row r="142" spans="1:1" x14ac:dyDescent="0.3">
      <c r="A142" s="64"/>
    </row>
    <row r="143" spans="1:1" x14ac:dyDescent="0.3">
      <c r="A143" s="64"/>
    </row>
    <row r="144" spans="1:1" x14ac:dyDescent="0.3">
      <c r="A144" s="64"/>
    </row>
    <row r="145" spans="1:1" x14ac:dyDescent="0.3">
      <c r="A145" s="64"/>
    </row>
    <row r="146" spans="1:1" x14ac:dyDescent="0.3">
      <c r="A146" s="64"/>
    </row>
    <row r="147" spans="1:1" x14ac:dyDescent="0.3">
      <c r="A147" s="64"/>
    </row>
    <row r="148" spans="1:1" x14ac:dyDescent="0.3">
      <c r="A148" s="64"/>
    </row>
    <row r="149" spans="1:1" x14ac:dyDescent="0.3">
      <c r="A149" s="64"/>
    </row>
    <row r="150" spans="1:1" x14ac:dyDescent="0.3">
      <c r="A150" s="64"/>
    </row>
    <row r="151" spans="1:1" x14ac:dyDescent="0.3">
      <c r="A151" s="64"/>
    </row>
    <row r="152" spans="1:1" x14ac:dyDescent="0.3">
      <c r="A152" s="64"/>
    </row>
    <row r="153" spans="1:1" x14ac:dyDescent="0.3">
      <c r="A153" s="64"/>
    </row>
    <row r="154" spans="1:1" x14ac:dyDescent="0.3">
      <c r="A154" s="64"/>
    </row>
    <row r="155" spans="1:1" x14ac:dyDescent="0.3">
      <c r="A155" s="64"/>
    </row>
    <row r="156" spans="1:1" x14ac:dyDescent="0.3">
      <c r="A156" s="64"/>
    </row>
    <row r="157" spans="1:1" x14ac:dyDescent="0.3">
      <c r="A157" s="64"/>
    </row>
    <row r="158" spans="1:1" x14ac:dyDescent="0.3">
      <c r="A158" s="64"/>
    </row>
    <row r="159" spans="1:1" x14ac:dyDescent="0.3">
      <c r="A159" s="64"/>
    </row>
    <row r="160" spans="1:1" x14ac:dyDescent="0.3">
      <c r="A160" s="64"/>
    </row>
    <row r="161" spans="1:1" x14ac:dyDescent="0.3">
      <c r="A161" s="64"/>
    </row>
    <row r="162" spans="1:1" x14ac:dyDescent="0.3">
      <c r="A162" s="64"/>
    </row>
    <row r="163" spans="1:1" x14ac:dyDescent="0.3">
      <c r="A163" s="64"/>
    </row>
    <row r="164" spans="1:1" x14ac:dyDescent="0.3">
      <c r="A164" s="64"/>
    </row>
    <row r="165" spans="1:1" x14ac:dyDescent="0.3">
      <c r="A165" s="64"/>
    </row>
    <row r="166" spans="1:1" x14ac:dyDescent="0.3">
      <c r="A166" s="64"/>
    </row>
    <row r="167" spans="1:1" x14ac:dyDescent="0.3">
      <c r="A167" s="64"/>
    </row>
    <row r="168" spans="1:1" x14ac:dyDescent="0.3">
      <c r="A168" s="64"/>
    </row>
    <row r="169" spans="1:1" x14ac:dyDescent="0.3">
      <c r="A169" s="64"/>
    </row>
    <row r="170" spans="1:1" x14ac:dyDescent="0.3">
      <c r="A170" s="64"/>
    </row>
    <row r="171" spans="1:1" x14ac:dyDescent="0.3">
      <c r="A171" s="64"/>
    </row>
    <row r="172" spans="1:1" x14ac:dyDescent="0.3">
      <c r="A172" s="64"/>
    </row>
    <row r="173" spans="1:1" x14ac:dyDescent="0.3">
      <c r="A173" s="64"/>
    </row>
    <row r="174" spans="1:1" x14ac:dyDescent="0.3">
      <c r="A174" s="64"/>
    </row>
    <row r="175" spans="1:1" x14ac:dyDescent="0.3">
      <c r="A175" s="64"/>
    </row>
    <row r="176" spans="1:1" x14ac:dyDescent="0.3">
      <c r="A176" s="64"/>
    </row>
    <row r="177" spans="1:1" x14ac:dyDescent="0.3">
      <c r="A177" s="64"/>
    </row>
    <row r="178" spans="1:1" x14ac:dyDescent="0.3">
      <c r="A178" s="64"/>
    </row>
    <row r="179" spans="1:1" x14ac:dyDescent="0.3">
      <c r="A179" s="64"/>
    </row>
    <row r="180" spans="1:1" x14ac:dyDescent="0.3">
      <c r="A180" s="64"/>
    </row>
    <row r="181" spans="1:1" x14ac:dyDescent="0.3">
      <c r="A181" s="64"/>
    </row>
    <row r="182" spans="1:1" x14ac:dyDescent="0.3">
      <c r="A182" s="64"/>
    </row>
    <row r="183" spans="1:1" x14ac:dyDescent="0.3">
      <c r="A183" s="64"/>
    </row>
    <row r="184" spans="1:1" x14ac:dyDescent="0.3">
      <c r="A184" s="64"/>
    </row>
    <row r="185" spans="1:1" x14ac:dyDescent="0.3">
      <c r="A185" s="64"/>
    </row>
    <row r="186" spans="1:1" x14ac:dyDescent="0.3">
      <c r="A186" s="64"/>
    </row>
    <row r="187" spans="1:1" x14ac:dyDescent="0.3">
      <c r="A187" s="64"/>
    </row>
    <row r="188" spans="1:1" x14ac:dyDescent="0.3">
      <c r="A188" s="64"/>
    </row>
    <row r="189" spans="1:1" x14ac:dyDescent="0.3">
      <c r="A189" s="64"/>
    </row>
    <row r="190" spans="1:1" x14ac:dyDescent="0.3">
      <c r="A190" s="64"/>
    </row>
    <row r="191" spans="1:1" x14ac:dyDescent="0.3">
      <c r="A191" s="64"/>
    </row>
    <row r="192" spans="1:1" x14ac:dyDescent="0.3">
      <c r="A192" s="64"/>
    </row>
    <row r="193" spans="1:1" x14ac:dyDescent="0.3">
      <c r="A193" s="64"/>
    </row>
    <row r="194" spans="1:1" x14ac:dyDescent="0.3">
      <c r="A194" s="64"/>
    </row>
    <row r="195" spans="1:1" x14ac:dyDescent="0.3">
      <c r="A195" s="64"/>
    </row>
    <row r="196" spans="1:1" x14ac:dyDescent="0.3">
      <c r="A196" s="64"/>
    </row>
    <row r="197" spans="1:1" x14ac:dyDescent="0.3">
      <c r="A197" s="64"/>
    </row>
    <row r="198" spans="1:1" x14ac:dyDescent="0.3">
      <c r="A198" s="64"/>
    </row>
    <row r="199" spans="1:1" x14ac:dyDescent="0.3">
      <c r="A199" s="64"/>
    </row>
    <row r="200" spans="1:1" x14ac:dyDescent="0.3">
      <c r="A200" s="64"/>
    </row>
    <row r="201" spans="1:1" x14ac:dyDescent="0.3">
      <c r="A201" s="64"/>
    </row>
    <row r="202" spans="1:1" x14ac:dyDescent="0.3">
      <c r="A202" s="64"/>
    </row>
    <row r="203" spans="1:1" x14ac:dyDescent="0.3">
      <c r="A203" s="64"/>
    </row>
    <row r="204" spans="1:1" x14ac:dyDescent="0.3">
      <c r="A204" s="64"/>
    </row>
    <row r="205" spans="1:1" x14ac:dyDescent="0.3">
      <c r="A205" s="64"/>
    </row>
    <row r="206" spans="1:1" x14ac:dyDescent="0.3">
      <c r="A206" s="64"/>
    </row>
    <row r="207" spans="1:1" x14ac:dyDescent="0.3">
      <c r="A207" s="64"/>
    </row>
    <row r="208" spans="1:1" x14ac:dyDescent="0.3">
      <c r="A208" s="64"/>
    </row>
    <row r="209" spans="1:1" x14ac:dyDescent="0.3">
      <c r="A209" s="64"/>
    </row>
    <row r="210" spans="1:1" x14ac:dyDescent="0.3">
      <c r="A210" s="64"/>
    </row>
    <row r="211" spans="1:1" x14ac:dyDescent="0.3">
      <c r="A211" s="64"/>
    </row>
    <row r="212" spans="1:1" x14ac:dyDescent="0.3">
      <c r="A212" s="64"/>
    </row>
    <row r="213" spans="1:1" x14ac:dyDescent="0.3">
      <c r="A213" s="64"/>
    </row>
    <row r="214" spans="1:1" x14ac:dyDescent="0.3">
      <c r="A214" s="64"/>
    </row>
    <row r="215" spans="1:1" x14ac:dyDescent="0.3">
      <c r="A215" s="64"/>
    </row>
    <row r="216" spans="1:1" x14ac:dyDescent="0.3">
      <c r="A216" s="64"/>
    </row>
    <row r="217" spans="1:1" x14ac:dyDescent="0.3">
      <c r="A217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12</vt:i4>
      </vt:variant>
    </vt:vector>
  </HeadingPairs>
  <TitlesOfParts>
    <vt:vector size="21" baseType="lpstr">
      <vt:lpstr>Pilotage effectif</vt:lpstr>
      <vt:lpstr>Feuil1 (2)</vt:lpstr>
      <vt:lpstr>TDB V2</vt:lpstr>
      <vt:lpstr>TDB</vt:lpstr>
      <vt:lpstr>Pilotage effectif 27O</vt:lpstr>
      <vt:lpstr>Pilotage effectif PA</vt:lpstr>
      <vt:lpstr>Pilotage effectif EUP</vt:lpstr>
      <vt:lpstr>Pilotage effectif CFP</vt:lpstr>
      <vt:lpstr>Listes</vt:lpstr>
      <vt:lpstr>ACE</vt:lpstr>
      <vt:lpstr>CA</vt:lpstr>
      <vt:lpstr>CE</vt:lpstr>
      <vt:lpstr>CQ</vt:lpstr>
      <vt:lpstr>FONCTION</vt:lpstr>
      <vt:lpstr>GS</vt:lpstr>
      <vt:lpstr>MA</vt:lpstr>
      <vt:lpstr>OP</vt:lpstr>
      <vt:lpstr>REX</vt:lpstr>
      <vt:lpstr>RR</vt:lpstr>
      <vt:lpstr>SOCIETE</vt:lpstr>
      <vt:lpstr>STATUT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TERRASSE</dc:creator>
  <cp:lastModifiedBy>JEREMY TERRASSE</cp:lastModifiedBy>
  <cp:lastPrinted>2024-07-17T05:33:52Z</cp:lastPrinted>
  <dcterms:created xsi:type="dcterms:W3CDTF">2024-05-13T17:36:49Z</dcterms:created>
  <dcterms:modified xsi:type="dcterms:W3CDTF">2025-08-01T15:23:18Z</dcterms:modified>
</cp:coreProperties>
</file>